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cheme review" sheetId="1" r:id="rId1"/>
    <sheet name="Eligibility" sheetId="2" r:id="rId2"/>
    <sheet name="Documents and links" sheetId="3" r:id="rId3"/>
    <sheet name="Application steps" sheetId="4" r:id="rId4"/>
    <sheet name="Applicant documents" sheetId="5" r:id="rId5"/>
    <sheet name="Source passages" sheetId="6" r:id="rId6"/>
    <sheet name="Schema fields" sheetId="7" r:id="rId7"/>
    <sheet name="Coverage" sheetId="8" r:id="rId8"/>
  </sheets>
  <definedNames>
    <definedName name="_xlnm.Print_Titles" localSheetId="4">'Applicant documents'!$5:$5</definedName>
    <definedName name="_xlnm.Print_Titles" localSheetId="3">'Application steps'!$5:$5</definedName>
    <definedName name="_xlnm.Print_Titles" localSheetId="7">Coverage!$5:$5</definedName>
    <definedName name="_xlnm.Print_Titles" localSheetId="2">'Documents and links'!$5:$5</definedName>
    <definedName name="_xlnm.Print_Titles" localSheetId="1">Eligibility!$5:$5</definedName>
    <definedName name="_xlnm.Print_Titles" localSheetId="6">'Schema fields'!$5:$5</definedName>
    <definedName name="_xlnm.Print_Titles" localSheetId="0">'Scheme review'!$5:$5</definedName>
    <definedName name="_xlnm.Print_Titles" localSheetId="5">'Source passages'!$5:$5</definedName>
  </definedNames>
  <calcPr calcId="124519" fullCalcOnLoad="1"/>
</workbook>
</file>

<file path=xl/sharedStrings.xml><?xml version="1.0" encoding="utf-8"?>
<sst xmlns="http://schemas.openxmlformats.org/spreadsheetml/2006/main" count="68420" uniqueCount="9917">
  <si>
    <t>Scheme Saathi: 60-scheme review</t>
  </si>
  <si>
    <t>39 Central and 21 Maharashtra records across 15 official categories. Yellow cells retain your review workflow.</t>
  </si>
  <si>
    <t>ID</t>
  </si>
  <si>
    <t>Scheme</t>
  </si>
  <si>
    <t>Government</t>
  </si>
  <si>
    <t>Geography</t>
  </si>
  <si>
    <t>Benefits / purpose</t>
  </si>
  <si>
    <t>Applicant documents</t>
  </si>
  <si>
    <t>Application route</t>
  </si>
  <si>
    <t>Manual checks / conflicts</t>
  </si>
  <si>
    <t>Official page</t>
  </si>
  <si>
    <t>Research date</t>
  </si>
  <si>
    <t>Review status</t>
  </si>
  <si>
    <t>Reviewer</t>
  </si>
  <si>
    <t>Reviewer notes</t>
  </si>
  <si>
    <t>Official categories</t>
  </si>
  <si>
    <t>Applicant type (source)</t>
  </si>
  <si>
    <t>Target beneficiaries (source)</t>
  </si>
  <si>
    <t>Ministry / provider</t>
  </si>
  <si>
    <t>Department</t>
  </si>
  <si>
    <t>myScheme slug</t>
  </si>
  <si>
    <t>Source ID</t>
  </si>
  <si>
    <t>Original level label</t>
  </si>
  <si>
    <t>Source open date</t>
  </si>
  <si>
    <t>Source close date</t>
  </si>
  <si>
    <t>Application availability</t>
  </si>
  <si>
    <t>Eligibility capture</t>
  </si>
  <si>
    <t>Exclusions capture</t>
  </si>
  <si>
    <t>Source application modes</t>
  </si>
  <si>
    <t>Document capture</t>
  </si>
  <si>
    <t>Schema patterns to test</t>
  </si>
  <si>
    <t>Current source name / alias</t>
  </si>
  <si>
    <t>Snapshot hash</t>
  </si>
  <si>
    <t>C01</t>
  </si>
  <si>
    <t>Pradhan Mantri Jeevan Jyoti Bima Yojana</t>
  </si>
  <si>
    <t>Central</t>
  </si>
  <si>
    <t>India</t>
  </si>
  <si>
    <t>INR 200,000 life cover. INR 436 annual premium. First-enrolment quarter premiums vary.</t>
  </si>
  <si>
    <t>Signed consent/enrolment and auto-debit mandate. Bank KYC and account evidence: confirm current form. myScheme document tab was blank.</t>
  </si>
  <si>
    <t>Participating bank/post office. Form link S03.</t>
  </si>
  <si>
    <t>myScheme widget asks citizenship/KYC questions beyond short eligibility prose. DFS permits eligible NRIs. Resolve before coding. Distinguish entry age from continuation age.
Empty/absent source section: Exclusions, Applicant documents. Not evidence of no requirement.
Multiple application channels/routes.
Original review notes retained; compare fresh myScheme text with earlier department sources.</t>
  </si>
  <si>
    <t/>
  </si>
  <si>
    <t>Not started</t>
  </si>
  <si>
    <t>Banking,Financial Services and Insurance; Social welfare &amp; Empowerment</t>
  </si>
  <si>
    <t>Individual</t>
  </si>
  <si>
    <t>Ministry Of Finance</t>
  </si>
  <si>
    <t>Department of Financial Service</t>
  </si>
  <si>
    <t>pmjjby</t>
  </si>
  <si>
    <t>MS-C01</t>
  </si>
  <si>
    <t>Not verified</t>
  </si>
  <si>
    <t>Present</t>
  </si>
  <si>
    <t>Empty or absent in source</t>
  </si>
  <si>
    <t>Offline; Online</t>
  </si>
  <si>
    <t>Person age / date of birth
Time period / history
Temporal condition</t>
  </si>
  <si>
    <t>4ed9ba548036ae3677df6bdfc277712f48b8abaa74483d76d7dc0d295845e4dc</t>
  </si>
  <si>
    <t>C02</t>
  </si>
  <si>
    <t>Pradhan Mantri Suraksha Bima Yojana</t>
  </si>
  <si>
    <t>Accidental death/specified total disability INR 200,000; specified partial disability INR 100,000. Annual premium INR 20.</t>
  </si>
  <si>
    <t>Enrolment/consent and auto-debit authorisation retained by bank. Confirm KYC checklist in current form S06.</t>
  </si>
  <si>
    <t>Participating bank/post office. Forms index S06.</t>
  </si>
  <si>
    <t>Listed age range and termination on attaining 70 need exact interpretation. myScheme widget asks Aadhaar linkage; confirm guidelines.
Empty/absent source section: Exclusions, Applicant documents. Not evidence of no requirement.
Multiple application channels/routes.
Original review notes retained; compare fresh myScheme text with earlier department sources.</t>
  </si>
  <si>
    <t>Banking,Financial Services and Insurance</t>
  </si>
  <si>
    <t>All</t>
  </si>
  <si>
    <t>pmsby</t>
  </si>
  <si>
    <t>MS-C02</t>
  </si>
  <si>
    <t>Person age / date of birth
Disability and certification
Household relationships / prior benefits
Jurisdiction
Institution type / accreditation
Time period / history
Temporal condition</t>
  </si>
  <si>
    <t>3ed0e7dc4ceecc4bce13f5441196ac8a9e230a7a75fe0f4ee53acf96b3ded944</t>
  </si>
  <si>
    <t>C03</t>
  </si>
  <si>
    <t>Pradhan Mantri Kisan Maandhan Yojana</t>
  </si>
  <si>
    <t>Contributory pension: minimum INR 3,000/month from 60; spouse family pension 50%, subject to conditions; government matches contributions.</t>
  </si>
  <si>
    <t>Aadhaar; bank/PM-KISAN account details and IFSC with passbook, cheque leaf or statement; signed enrolment/auto-debit mandate.</t>
  </si>
  <si>
    <t>CSC/VLE enrolment, first contribution, signed mandate, KPAN/Kisan Card. S07 and S09.</t>
  </si>
  <si>
    <t>Verify land-record cut-off and all exclusions against current guidelines. Do not confuse with PM-KISAN income support.
Original review notes retained; compare fresh myScheme text with earlier department sources.</t>
  </si>
  <si>
    <t>Agriculture,Rural &amp; Environment; Banking,Financial Services and Insurance; Social welfare &amp; Empowerment</t>
  </si>
  <si>
    <t>Ministry Of Agriculture and Farmers Welfare</t>
  </si>
  <si>
    <t>Department of Agriculture &amp; Farmers Welfare</t>
  </si>
  <si>
    <t>pmkmdy</t>
  </si>
  <si>
    <t>MS-C03</t>
  </si>
  <si>
    <t>Online - via CSC</t>
  </si>
  <si>
    <t>Person age / date of birth
Income amount, period and subject
Household relationships / prior benefits
Registration / membership
Jurisdiction
Institution type / accreditation
Landholding / ownership
Employment / employer
Benefit cap formula
Time period / history
Negative condition
Temporal condition</t>
  </si>
  <si>
    <t>9079f8ee88ece23261eab774e5cc6a5337100e8a5c7695141670e06729e493dd</t>
  </si>
  <si>
    <t>C04</t>
  </si>
  <si>
    <t>Atal Pension Yojana</t>
  </si>
  <si>
    <t>Chosen minimum pension INR 1,000-5,000/month from age 60. Contribution depends on entry age, pension slab and payment frequency.</t>
  </si>
  <si>
    <t>Savings-bank/post-office account; enrolment and nomination details; Aadhaar/enrolment authentication evidence as applicable. Current forms S13.</t>
  </si>
  <si>
    <t>Account-holding bank/post office or authorised digital onboarding. Review contribution table in S12.</t>
  </si>
  <si>
    <t>DFS says 18-40 but its exact-age FAQ excludes completed age 40. PFRDA tax-payer restriction must also be applied.
Multiple application channels/routes.
Original review notes retained; compare fresh myScheme text with earlier department sources.</t>
  </si>
  <si>
    <t>apy</t>
  </si>
  <si>
    <t>MS-C04</t>
  </si>
  <si>
    <t>Online; Offline</t>
  </si>
  <si>
    <t>Person age / date of birth
Income amount, period and subject
Registration / membership
Jurisdiction
Employment / employer
Time period / history
Temporal condition</t>
  </si>
  <si>
    <t>f406bd41319d8bb027f74d6dcdc1e8ebc0db19afe0f1350874540e9a3c66dd5b</t>
  </si>
  <si>
    <t>C05</t>
  </si>
  <si>
    <t>Pradhan Mantri Shram Yogi Maandhan</t>
  </si>
  <si>
    <t>Minimum pension INR 3,000/month from 60. Entry-age contribution INR 55-200/month with equal government contribution.</t>
  </si>
  <si>
    <t>Aadhaar; savings/Jan Dhan account details with IFSC; mobile number. First contribution and auto-debit mandate.</t>
  </si>
  <si>
    <t>CSC enrolment with authentication, first subscription and auto-debit setup. Receive pension card.</t>
  </si>
  <si>
    <t>PIB says income &lt;= INR 15,000; some short summaries say below. Use full scheme wording and confirm other-pension exclusion.
Multiple application channels/routes.
Original review notes retained; compare fresh myScheme text with earlier department sources.</t>
  </si>
  <si>
    <t>Social welfare &amp; Empowerment</t>
  </si>
  <si>
    <t>Family</t>
  </si>
  <si>
    <t>Ministry Of Labour and Employment</t>
  </si>
  <si>
    <t>pm-sym</t>
  </si>
  <si>
    <t>MS-C05</t>
  </si>
  <si>
    <t>Online - via CSC; Online</t>
  </si>
  <si>
    <t>Person age / date of birth
Income amount, period and subject
Household relationships / prior benefits
Project attributes
Registration / membership
Jurisdiction
Employment / employer
Benefit cap formula
Time period / history
Negative condition
Temporal condition
Component / category-specific branch</t>
  </si>
  <si>
    <t>Pradhan Mantri Shram Yogi Maan-dhan</t>
  </si>
  <si>
    <t>2ff3e9277227bedd154ccc5a20429723afd6713753879ac01f02b3ecf7e28efe</t>
  </si>
  <si>
    <t>C06</t>
  </si>
  <si>
    <t>Indira Gandhi National Widow Pension Scheme</t>
  </si>
  <si>
    <t>India; Maharashtra implementation</t>
  </si>
  <si>
    <t>Department page: INR 300/month central share plus INR 1,200 Maharashtra share = INR 1,500 total. Check category-specific updates.</t>
  </si>
  <si>
    <t>Application, age proof, BPL evidence and husband’s death certificate. Local identity, residence and bank requirements need current checklist.</t>
  </si>
  <si>
    <t>Maharashtra Collector/Tehsildar/Talathi special-assistance branch. State implementation differs.</t>
  </si>
  <si>
    <t>Department lists 40-79; older district lists 40-65. Use authoritative guidelines to resolve. Do not add central and state pension twice.
Multiple application channels/routes.
Original review notes retained; compare fresh myScheme text with earlier department sources.</t>
  </si>
  <si>
    <t>Social welfare &amp; Empowerment; Banking,Financial Services and Insurance; Women and Child</t>
  </si>
  <si>
    <t>Ministry Of Rural Development</t>
  </si>
  <si>
    <t>Department of Rural Development</t>
  </si>
  <si>
    <t>ignwps</t>
  </si>
  <si>
    <t>MS-C06</t>
  </si>
  <si>
    <t>Person age / date of birth
Household relationships / prior benefits
Jurisdiction
Time period / history
Temporal condition</t>
  </si>
  <si>
    <t>3bcb73497edbddca11ebba704c82a41c9819ec52e913e62e36cf0cd0114b1f38</t>
  </si>
  <si>
    <t>M01</t>
  </si>
  <si>
    <t>Sanjay Gandhi Niradhar Anudan Yojana</t>
  </si>
  <si>
    <t>State</t>
  </si>
  <si>
    <t>Maharashtra</t>
  </si>
  <si>
    <t>Department: INR 1,500/month. Thane page lists INR 2,500/month for disabled beneficiaries from Oct 2025. Confirm latest order.</t>
  </si>
  <si>
    <t>Residence, age, income/BPL proof, Aadhaar, ration card, photos; category-specific disability/illness/orphan/widow certificates; name-change proof if relevant.</t>
  </si>
  <si>
    <t>Collector/Tehsildar/Talathi special-assistance branch. Historical application PDF S21.</t>
  </si>
  <si>
    <t>Age is 18-65 on department page but below 65 on district page. Disability income exception and benefit updates require GR review.
Empty/absent source section: Exclusions. Not evidence of no requirement.
Multiple application channels/routes.
Original review notes retained; compare fresh myScheme text with earlier department sources.</t>
  </si>
  <si>
    <t>Family; Individual</t>
  </si>
  <si>
    <t>Social Justice and Special Assistance Department</t>
  </si>
  <si>
    <t>sgngs</t>
  </si>
  <si>
    <t>MS-M01</t>
  </si>
  <si>
    <t>Person age / date of birth
Income amount, period and subject
Disability and certification
Gender / applicant category
Household relationships / prior benefits
Registration / membership
Jurisdiction
Education / enrolment
Landholding / ownership
Time period / history</t>
  </si>
  <si>
    <t>Sanjay Gandhi Niradhar Grant Scheme</t>
  </si>
  <si>
    <t>eb35aec933643c670392ef0e406180e2ac721f1ceec7dfee8b80f676f0dc9fc8</t>
  </si>
  <si>
    <t>M02</t>
  </si>
  <si>
    <t>Shravan Bal Seva Rajya Nivruttivetan Yojana</t>
  </si>
  <si>
    <t>Department lists INR 1,500/month. BPL cases may involve central/state components; verify current category-specific benefits.</t>
  </si>
  <si>
    <t>Application, residence and age proof, income certificate/BPL evidence. Confirm bank, Aadhaar and current DBT checklist.</t>
  </si>
  <si>
    <t>Collector/Tehsildar/Talathi special-assistance branch.</t>
  </si>
  <si>
    <t>Department allows BPL OR income &lt; INR 21,000; Thane state-only category describes non-BPL. Review central/state component allocation.
Empty/absent source section: Exclusions. Not evidence of no requirement.
Multiple application channels/routes.
Original review notes retained; compare fresh myScheme text with earlier department sources.</t>
  </si>
  <si>
    <t>Social welfare &amp; Empowerment; Banking,Financial Services and Insurance</t>
  </si>
  <si>
    <t>sbssps</t>
  </si>
  <si>
    <t>MS-M02</t>
  </si>
  <si>
    <t>Shravanbal Seva State Pension Scheme</t>
  </si>
  <si>
    <t>19942668387b32e6cc28f2b1c8b52eceded5e868b890586d58e56c9a2d7b7216</t>
  </si>
  <si>
    <t>M03</t>
  </si>
  <si>
    <t>Lek Ladki Yojana</t>
  </si>
  <si>
    <t>Total INR 101,000 in stages: birth 5,000; class 1 6,000; class 6 7,000; class 11 8,000; age 18 75,000.</t>
  </si>
  <si>
    <t>Birth and income certificates; yellow/orange ration card; parent Aadhaar; girl Aadhaar (first-benefit relaxation); bank passbook; stage-specific school, family-planning, voter and unmarried declarations.</t>
  </si>
  <si>
    <t>Prescribed form from Anganwadi centre; review GR S24 and stage-specific requirements.</t>
  </si>
  <si>
    <t>Birth order, twins and family-planning certificate timing must remain separate conditional rules. GR is Marathi.
Retained department/GR-based record. Full source capture and newer-amendment review still needed.
Birth order, twins and family-planning certificate timing must remain separate conditional rules. GR is Marathi.</t>
  </si>
  <si>
    <t>Women and Child</t>
  </si>
  <si>
    <t>Government of Maharashtra</t>
  </si>
  <si>
    <t>Women and Child Development</t>
  </si>
  <si>
    <t>No matching myScheme record captured</t>
  </si>
  <si>
    <t>MS-M03</t>
  </si>
  <si>
    <t>Earlier extract; full source capture pending</t>
  </si>
  <si>
    <t>Absent in source</t>
  </si>
  <si>
    <t>See instructions</t>
  </si>
  <si>
    <t>Person age / date of birth
Income amount, period and subject
Household relationships / prior benefits
Conditional exception
Negative condition
Temporal condition</t>
  </si>
  <si>
    <t>8667675258b411529764b51a33310982e871a40fa9477f511a1879ef02fa4ff5</t>
  </si>
  <si>
    <t>M04</t>
  </si>
  <si>
    <t>Mukhyamantri Vayoshri Yojana</t>
  </si>
  <si>
    <t>One-time INR 3,000 for assistive aids/equipment and specified wellbeing/training support, through DBT.</t>
  </si>
  <si>
    <t>Aadhaar/enrolment receipt or accepted alternative ID; age/income proof or declaration; bank passbook; two photos; self-declaration of prior equipment benefit.</t>
  </si>
  <si>
    <t>District Assistant Commissioner, Social Welfare. Department and district pages list different portal spellings; confirm before use.</t>
  </si>
  <si>
    <t>Original cut-off is 65 completed by 31 Dec 2023. Verify later amendments, income boundary and application window. Marathi GR supplied.
Retained department/GR-based record. Full source capture and newer-amendment review still needed.
Original cut-off is 65 completed by 31 Dec 2023. Verify later amendments, income boundary and application window. Marathi GR supplied.</t>
  </si>
  <si>
    <t>Social Justice and Special Assistance</t>
  </si>
  <si>
    <t>MS-M04</t>
  </si>
  <si>
    <t>Income amount, period and subject
Household relationships / prior benefits
Conditional exception
Time period / history</t>
  </si>
  <si>
    <t>230cad492e7ff5e546fbdf5b217d58219bad51a67aaba4e0ae05ee44320b737d</t>
  </si>
  <si>
    <t>C07</t>
  </si>
  <si>
    <t>Rashtriya Krishi Vigyan Puraskar</t>
  </si>
  <si>
    <t>The Rashtriya Krishi Vigyan Puraskar (RKVP) aims to honor scientists and technical experts for outstanding contributions and innovations in agriculture and allied sciences.</t>
  </si>
  <si>
    <t>Full item list on Applicant documents. Present</t>
  </si>
  <si>
    <t>Online. Full sequence on Application steps.</t>
  </si>
  <si>
    <t>Empty/absent source section: Exclusions. Not evidence of no requirement.
Preserve source subheadings and conditional applicability.
Complex component/stage/subject semantics. Human rule modelling required.</t>
  </si>
  <si>
    <t>Agriculture,Rural &amp; Environment</t>
  </si>
  <si>
    <t>Department of Agriculture Research and Education</t>
  </si>
  <si>
    <t>rkvp</t>
  </si>
  <si>
    <t>MS-C07</t>
  </si>
  <si>
    <t>Online</t>
  </si>
  <si>
    <t>Person age / date of birth
Gender / applicant category
Registration / membership
Institution type / accreditation
Time period / history
Component / category-specific branch</t>
  </si>
  <si>
    <t>bec611b8d87b3688a9cf16ab3e8295c85e3c3fc81542ae34db34a680946f7013</t>
  </si>
  <si>
    <t>C08</t>
  </si>
  <si>
    <t>Market Development Assistance</t>
  </si>
  <si>
    <t>The scheme aims to promote organic fertilizers produced at Bio-Gas and Compressed Bio-Gas plants under the Galvanizing Organic Bio-Agro Resources Dhan initiative. It provides Market Development Assistance of ₹1,500/- per Metric Tonne to manufacturing and marketing entities of organic fertilizers.</t>
  </si>
  <si>
    <t>Empty/absent source section: Exclusions. Not evidence of no requirement.
Complex component/stage/subject semantics. Human rule modelling required.</t>
  </si>
  <si>
    <t>Business &amp; Entrepreneurship; Science, IT &amp; Communications</t>
  </si>
  <si>
    <t>University / Institution; Business Entity</t>
  </si>
  <si>
    <t>Ministry Of Chemicals And Fertilizers</t>
  </si>
  <si>
    <t>Department Of Fertilizers</t>
  </si>
  <si>
    <t>mda-fert</t>
  </si>
  <si>
    <t>MS-C08</t>
  </si>
  <si>
    <t>Person age / date of birth
Registration / membership
Jurisdiction
Transactions / eligible sales
Conditional exception
Time period / history
Temporal condition</t>
  </si>
  <si>
    <t>b9d4ff120b461291eb2709073a08c42cbdbd225c469634334f725d9f30d9e155</t>
  </si>
  <si>
    <t>C09</t>
  </si>
  <si>
    <t>PRISM (Promoting Innovations in Individuals, Start-ups and MSMEs): Category-2: Fabrication of Working Model/Process Know-how/Testing &amp; Trial/Patenting/Technology Transfer</t>
  </si>
  <si>
    <t>The scheme aims to promote innovations in individuals, start-ups, and Micro, Small and Medium Enterprises (PRISM). It offers financial support (up to ₹20,00,000/-) for Indian Citizens working on innovation projects requiring fabrication of working models, patenting, or technology transfer.</t>
  </si>
  <si>
    <t>Offline. Full sequence on Application steps.</t>
  </si>
  <si>
    <t>Complex component/stage/subject semantics. Human rule modelling required.</t>
  </si>
  <si>
    <t>Science, IT &amp; Communications; Business &amp; Entrepreneurship</t>
  </si>
  <si>
    <t>Ministry Of Science And Technology</t>
  </si>
  <si>
    <t>Department of Scientific and Industrial Research</t>
  </si>
  <si>
    <t>prism-c2-fwmpkhttptt</t>
  </si>
  <si>
    <t>MS-C09</t>
  </si>
  <si>
    <t>Offline</t>
  </si>
  <si>
    <t>Person age / date of birth
Income amount, period and subject
Project attributes
Institution type / accreditation
Education / enrolment
Employment / employer
Conditional document
Preference, not automatically mandatory
Benefit cap formula
Negative condition
Temporal condition
Component / category-specific branch</t>
  </si>
  <si>
    <t>1212c37cbbf42a919f65802267d040d923233099a3cf2e4d4c582904ed581a04</t>
  </si>
  <si>
    <t>C10</t>
  </si>
  <si>
    <t>Khadi Gramodyog Vikas Yojana: Khadi Vikas Yojana</t>
  </si>
  <si>
    <t>The scheme aims to increase productivity and wages of Khadi artisans, improve production infrastructure, boost employment and sales, revive traditional rural skills, modernize sales outlets, and promote marketing and exports.</t>
  </si>
  <si>
    <t>Business &amp; Entrepreneurship</t>
  </si>
  <si>
    <t>Business Entity</t>
  </si>
  <si>
    <t>Ministry Of Micro, Small and Medium Enterprises</t>
  </si>
  <si>
    <t>kvyoj</t>
  </si>
  <si>
    <t>MS-C10</t>
  </si>
  <si>
    <t>Person age / date of birth
Social category
Gender / applicant category
Household relationships / prior benefits
Project attributes
Registration / membership
Institution type / accreditation
Credit / repayment
Transactions / eligible sales
Employment / employer
Preference, not automatically mandatory
Benefit cap formula
Time period / history
Temporal condition
Component / category-specific branch</t>
  </si>
  <si>
    <t>a0b2c5ebc170f32f4f2d42fcd85fad998c4d95e183987d520ddc2e94f6d6cbe0</t>
  </si>
  <si>
    <t>C11</t>
  </si>
  <si>
    <t>Stand-Up India</t>
  </si>
  <si>
    <t>A scheme by Ministry of Finance for financing SC/ST and  Women Entrepreneurs by facilitating bank loans for setting up a greenfield project  Enterprise in manufacturing, services, trading sector and activities allied to agriculture.</t>
  </si>
  <si>
    <t>Empty/absent source section: Exclusions. Not evidence of no requirement.</t>
  </si>
  <si>
    <t>Business &amp; Entrepreneurship; Banking,Financial Services and Insurance; Social welfare &amp; Empowerment</t>
  </si>
  <si>
    <t>Individual; Business Entity</t>
  </si>
  <si>
    <t>sui</t>
  </si>
  <si>
    <t>MS-C11</t>
  </si>
  <si>
    <t>Person age / date of birth
Income amount, period and subject
Social category
Gender / applicant category
Project attributes
Ownership and control
Registration / membership
Jurisdiction
Institution type / accreditation
Credit / repayment
Transactions / eligible sales
Time period / history
Component / category-specific branch</t>
  </si>
  <si>
    <t>486473c043b0eee2610f3d77244b54154b2d3f34efdf7fbb579ac56d91f739c1</t>
  </si>
  <si>
    <t>C12</t>
  </si>
  <si>
    <t>"Marketing Incentive" under the "Handloom Marketing Assistance" Component of the National Handloom Development Programme</t>
  </si>
  <si>
    <t>The scheme aims to develop and promote marketing channels for handloom products to bring greater visibility to the sector and ensure commensurate remuneration to weavers. It provides Marketing Incentive to eligible handloom agencies for creating conducive conditions for marketing handloom products.</t>
  </si>
  <si>
    <t>Individual; Self Help Groups (SHGS); Joint Liability Groups (JLGS); Business Entity; Government Organisation; NGO</t>
  </si>
  <si>
    <t>Ministry Of Textiles</t>
  </si>
  <si>
    <t>mi-hma-nhdp</t>
  </si>
  <si>
    <t>MS-C12</t>
  </si>
  <si>
    <t>Person age / date of birth
Organisation turnover history
Project attributes
Jurisdiction
Transactions / eligible sales
Time period / history
Negative condition
Temporal condition
Component / category-specific branch</t>
  </si>
  <si>
    <t>16b8e713258eabadf9672c91a7a25cb45ac8a13ab7fbb75ce7a8d03c3c0eecb4</t>
  </si>
  <si>
    <t>C13</t>
  </si>
  <si>
    <t>Kisan Credit Card</t>
  </si>
  <si>
    <t xml:space="preserve">The Kisan Credit Card (KCC) scheme was introduced in 1998 for issue of Kisan Credit Cards to farmers on the basis of their holdings for uniform adoption by the banks so that farmers may use them to readily purchase agriculture inputs and draw cash for their production needs. </t>
  </si>
  <si>
    <t>Online; Offline. Full sequence on Application steps.</t>
  </si>
  <si>
    <t>Empty/absent source section: Exclusions. Not evidence of no requirement.
Multiple application channels/routes.</t>
  </si>
  <si>
    <t>kcc</t>
  </si>
  <si>
    <t>MS-C13</t>
  </si>
  <si>
    <t>Person age / date of birth
Institution type / accreditation
Credit / repayment
Transactions / eligible sales
Landholding / ownership
Time period / history</t>
  </si>
  <si>
    <t>af2c5a6d96615a5d1b3d9b799551b2259e70af5f50d234aa0eb4e4503f8e9c90</t>
  </si>
  <si>
    <t>C14</t>
  </si>
  <si>
    <t>Pradhan Mantri Fasal Bima Yojna (PMFBY)</t>
  </si>
  <si>
    <t>Pradhan Mantri Fasal Bima Yojana was launched in  2016 with the aim to support farmers by providing an affordable comprehensive risk cover for crops.</t>
  </si>
  <si>
    <t>Online; Offline; Online - via CSC. Full sequence on Application steps.</t>
  </si>
  <si>
    <t>Multiple application channels/routes.</t>
  </si>
  <si>
    <t>Agriculture,Rural &amp; Environment; Banking,Financial Services and Insurance</t>
  </si>
  <si>
    <t>pmfby</t>
  </si>
  <si>
    <t>MS-C14</t>
  </si>
  <si>
    <t>Online; Offline; Online - via CSC</t>
  </si>
  <si>
    <t>Person age / date of birth
Income amount, period and subject
Registration / membership
Jurisdiction
Credit / repayment
Landholding / ownership
Negative condition
Temporal condition
Component / category-specific branch</t>
  </si>
  <si>
    <t>42c40d2e743e8aa4928122962d7b79d47475dfdebe36c1396278ad21ff366c8d</t>
  </si>
  <si>
    <t>C15</t>
  </si>
  <si>
    <t>Post Graduate Indira Gandhi Scholarship For Single Girl Child</t>
  </si>
  <si>
    <t>A scholarship scheme by the University Grants Commission for Girl students who are admitted in the first year of PG courses in any designated university or a postgraduate college, and happen to be the only girl child in the family. The amount of fellowship is ₹ 36,200/- per annum.</t>
  </si>
  <si>
    <t>Education &amp; Learning; Women and Child</t>
  </si>
  <si>
    <t>Ministry of Education</t>
  </si>
  <si>
    <t>Department Of Higher Education</t>
  </si>
  <si>
    <t>pg-igssgc</t>
  </si>
  <si>
    <t>MS-C15</t>
  </si>
  <si>
    <t>Person age / date of birth
Household relationships / prior benefits
Jurisdiction
Institution type / accreditation
Education / enrolment
Time period / history
Negative condition
Temporal condition</t>
  </si>
  <si>
    <t>2e04a310796720f0225325c125182b97222c371ee082660e9580a677ba8b0137</t>
  </si>
  <si>
    <t>C16</t>
  </si>
  <si>
    <t>Dr Ambedkar Central Sector Scheme of Interest Subsidy on Educational Loans for Overseas Studies for Other Backward Classes (OBCs) and Economically Backward Classes (EBCs)</t>
  </si>
  <si>
    <t xml:space="preserve">The scheme provides interest subsidy to the students belonging to the OBCs and EBCs on the interest payable for the period of the moratorium for the Education Loans for overseas studies to pursue approved courses of studies abroad at Masters, M.Phil. and PhD level. </t>
  </si>
  <si>
    <t>Education &amp; Learning; Social welfare &amp; Empowerment; Banking,Financial Services and Insurance</t>
  </si>
  <si>
    <t>Ministry Of Social Justice and Empowerment</t>
  </si>
  <si>
    <t>Department of Social Justice &amp; Empowerment</t>
  </si>
  <si>
    <t>dacssiselosobcebc</t>
  </si>
  <si>
    <t>MS-C16</t>
  </si>
  <si>
    <t>Person age / date of birth
Income amount, period and subject
Jurisdiction
Institution type / accreditation
Education / enrolment
Credit / repayment
Employment / employer
Preference, not automatically mandatory
Benefit cap formula
Conditional exception
Temporal condition
Component / category-specific branch</t>
  </si>
  <si>
    <t>d1879127970328675ac1a48c2c1ad57268e26697e69a71b5e27bdb9446ef185c</t>
  </si>
  <si>
    <t>C17</t>
  </si>
  <si>
    <t>Nikshay Poshan Yojana</t>
  </si>
  <si>
    <t xml:space="preserve">Ministry of Health and Family Welfare, Government of India has announced the scheme for incentives for nutritional support to TB patients. This scheme will be called “Nikshay Poshan Yojana”. </t>
  </si>
  <si>
    <t>Empty/absent source section: Exclusions. Not evidence of no requirement.
Preserve source subheadings and conditional applicability.</t>
  </si>
  <si>
    <t>Health &amp; Wellness</t>
  </si>
  <si>
    <t>Ministry Of Health &amp; Family Welfare</t>
  </si>
  <si>
    <t>Department of Health and Family Welfare</t>
  </si>
  <si>
    <t>nikshay</t>
  </si>
  <si>
    <t>MS-C17</t>
  </si>
  <si>
    <t>Person age / date of birth
Household relationships / prior benefits
Registration / membership
Jurisdiction
Temporal condition</t>
  </si>
  <si>
    <t>0908bc0f5c01482020f7397211f5452dfec753780d941d670a1785c578eec816</t>
  </si>
  <si>
    <t>C18</t>
  </si>
  <si>
    <t>Pradhan Mantri Surakshit Matritva Abhiyan</t>
  </si>
  <si>
    <t>The scheme aims to provide fixed-day assured, comprehensive and quality antenatal care universally to all pregnant women in 2nd and 3rd trimester on the 9th of every month. It offers free comprehensive antenatal care services at government health facilities.</t>
  </si>
  <si>
    <t>Health &amp; Wellness; Women and Child</t>
  </si>
  <si>
    <t>pmsma</t>
  </si>
  <si>
    <t>MS-C18</t>
  </si>
  <si>
    <t>Person age / date of birth
Income amount, period and subject
Gender / applicant category
Household relationships / prior benefits
Registration / membership
Jurisdiction</t>
  </si>
  <si>
    <t>27ab688bb61858510333d2c8045a88d8266242468edaa4784474ee1283bbeba7</t>
  </si>
  <si>
    <t>C19</t>
  </si>
  <si>
    <t>PM POSHAN - Prime Minister's Overarching Scheme For Holistic Nourishment</t>
  </si>
  <si>
    <t>PM POSHAN is a centrally sponsored scheme by the Department of School Education &amp; Literacy, Ministry of Education. Under this scheme, one hot cooked meal will be provided to the children studying in Government and Government – aided schools. The Scheme is implemented by the Ministry of Education.</t>
  </si>
  <si>
    <t>Health &amp; Wellness; Social welfare &amp; Empowerment</t>
  </si>
  <si>
    <t>Department of School Education and Literacy</t>
  </si>
  <si>
    <t>pm-poshan</t>
  </si>
  <si>
    <t>MS-C19</t>
  </si>
  <si>
    <t>Person age / date of birth
Temporal condition</t>
  </si>
  <si>
    <t>e28f19a207ebc2d55ba91610f374d9489634ff3cc58e9099f88f0004ddd1024c</t>
  </si>
  <si>
    <t>C20</t>
  </si>
  <si>
    <t>Youth Hostel Scheme</t>
  </si>
  <si>
    <t>The Youth Hostel Scheme is a joint venture of the Central and State Governments of India. It was launched in the early 1960s to promote youth travel within the country by providing low-cost budget accommodation and facilities to students and youth groups traveling on excursions or study tours.</t>
  </si>
  <si>
    <t>Housing &amp; Shelter</t>
  </si>
  <si>
    <t>Ministry Of Youth Affairs &amp; Sports</t>
  </si>
  <si>
    <t>Department of Youth Affairs</t>
  </si>
  <si>
    <t>yhs</t>
  </si>
  <si>
    <t>MS-C20</t>
  </si>
  <si>
    <t>Person age / date of birth
Household relationships / prior benefits
Jurisdiction
Education / enrolment</t>
  </si>
  <si>
    <t>33e2c9309da1321d177c4635f2062e9362e1771903ae4633852dac02471e88c1</t>
  </si>
  <si>
    <t>C21</t>
  </si>
  <si>
    <t>AVYAY - National Action Plan for Senior Citizens: Health and Shelter for Senior Citizens</t>
  </si>
  <si>
    <t>The scheme aims to improve the quality of life of Senior Citizens, particularly those who are indigent, by providing basic amenities like shelter, food, medical care and entertainment opportunities. The scheme provides financial assistance for projects such as maintenance of Senior Citizen Homes.</t>
  </si>
  <si>
    <t>Housing &amp; Shelter; Social welfare &amp; Empowerment; Health &amp; Wellness</t>
  </si>
  <si>
    <t>avyay-napsc-hssc</t>
  </si>
  <si>
    <t>MS-C21</t>
  </si>
  <si>
    <t>Person age / date of birth
Income amount, period and subject
Gender / applicant category
Project attributes
Registration / membership
Jurisdiction
Institution type / accreditation
Preference, not automatically mandatory
Benefit cap formula
Time period / history
Temporal condition
Component / category-specific branch</t>
  </si>
  <si>
    <t>74b777af739d69efc1d165e371da73a3d4313277c0f028cd94c8d3746513f6ba</t>
  </si>
  <si>
    <t>C22</t>
  </si>
  <si>
    <t>Nyaya Mitra Scheme</t>
  </si>
  <si>
    <t>The scheme aims to facilitate the expeditious disposal of ten to fifteen years old pending court cases. It provides legal advice, case assistance, and Lok Adalat referrals to marginalized litigants by engaging retired officers.</t>
  </si>
  <si>
    <t>Public Safety,Law &amp; Justice; Social welfare &amp; Empowerment</t>
  </si>
  <si>
    <t>Ministry Of Law and Justice</t>
  </si>
  <si>
    <t>nms</t>
  </si>
  <si>
    <t>MS-C22</t>
  </si>
  <si>
    <t>Person age / date of birth
Income amount, period and subject
Jurisdiction
Time period / history
Temporal condition</t>
  </si>
  <si>
    <t>0c8ba4766e3adc3c957bfb70a1dba6794fc6c594dd7a5a99aa3194d167d00e6b</t>
  </si>
  <si>
    <t>C23</t>
  </si>
  <si>
    <t>Nari Adalat</t>
  </si>
  <si>
    <t>Nari Adalat, a component of the "Sambal" sub-scheme under Mission Shakti, it aims to provide women with an alternate Grievance Redressal Mechanism for resolving cases of petty nature (harassment, subversion, curtailment of rights or entitlements) faced by them at Gram panchayat level.</t>
  </si>
  <si>
    <t>Individual; Family; Self Help Groups (SHGS); Village</t>
  </si>
  <si>
    <t>Ministry of Women and Child Development</t>
  </si>
  <si>
    <t>nari-adalat</t>
  </si>
  <si>
    <t>MS-C23</t>
  </si>
  <si>
    <t>Person age / date of birth
Gender / applicant category
Jurisdiction
Institution type / accreditation
Landholding / ownership
Temporal condition</t>
  </si>
  <si>
    <t>230a9a0f103f1e216b278b1b19bfeb39d7c01bda2e853e629ff50ee5c849f635</t>
  </si>
  <si>
    <t>C24</t>
  </si>
  <si>
    <t>National Post Doctoral Fellowship</t>
  </si>
  <si>
    <t>The “National Post Doctoral Fellowship (N-PDF)” was launched by the Science and Engineering Research Board, Government of India to identify motivated young researchers and provide them support for doing research in frontier areas of science and engineering.</t>
  </si>
  <si>
    <t>Science, IT &amp; Communications</t>
  </si>
  <si>
    <t>Department Of Science &amp; Technology</t>
  </si>
  <si>
    <t>n-pdf</t>
  </si>
  <si>
    <t>MS-C24</t>
  </si>
  <si>
    <t>Person age / date of birth
Income amount, period and subject
Social category
Gender / applicant category
Project attributes
Registration / membership
Jurisdiction
Institution type / accreditation
Conditional document
Conditional exception
Time period / history
Negative condition
Temporal condition
Component / category-specific branch</t>
  </si>
  <si>
    <t>c922106a50c3538e3badc6216e76c53d70b46efd667dab52a8cba8199512b7e4</t>
  </si>
  <si>
    <t>C25</t>
  </si>
  <si>
    <t>Women’s Instinct for Developing and Ushering in Scientific Heights &amp; Innovation</t>
  </si>
  <si>
    <t>'WIDUSHI' programme aims to encourage and support senior women scientists to conduct research in interdisciplinary areas of Science and Technology.</t>
  </si>
  <si>
    <t>Women and Child; Science, IT &amp; Communications</t>
  </si>
  <si>
    <t>widushi</t>
  </si>
  <si>
    <t>MS-C25</t>
  </si>
  <si>
    <t>Person age / date of birth
Gender / applicant category
Project attributes
Registration / membership
Institution type / accreditation
Employment / employer
Conditional exception
Time period / history
Negative condition
Temporal condition
Component / category-specific branch</t>
  </si>
  <si>
    <t>c1cf549fea84d4d75a6b8a2114d57ac7aaa8e3e3f98cc1e1def80fcd59fc6e3f</t>
  </si>
  <si>
    <t>C26</t>
  </si>
  <si>
    <t>Teachers Associateship for Research Excellence</t>
  </si>
  <si>
    <t>The scheme “Teachers Associateship for Research Excellence (TARE)” was launched by Science &amp; Engineering Research Board, Department of Science &amp; Technology, Government of India which aims to facilitate mobility of faculty members working in State Universities /Colleges/Private Academic institutions.</t>
  </si>
  <si>
    <t>tare</t>
  </si>
  <si>
    <t>MS-C26</t>
  </si>
  <si>
    <t>Person age / date of birth
Social category
Gender / applicant category
Project attributes
Jurisdiction
Institution type / accreditation
Preference, not automatically mandatory
Conditional exception
Time period / history
Negative condition
Temporal condition
Component / category-specific branch</t>
  </si>
  <si>
    <t>3a405e18239f9422db1ae3886847712839b0174d1eea2cfba49bd8b21218f55f</t>
  </si>
  <si>
    <t>C27</t>
  </si>
  <si>
    <t>Pradhan Mantri Virasat ka Samvardhan</t>
  </si>
  <si>
    <t>PM VIKAS is a Central sector scheme that focuses on socio-economic empowerment of six notified minorities in the country through skilling &amp; training, women leadership &amp; empowerment and education. The scheme integrates erstwhile skilling &amp; education schemes of the Ministry of Minority Affairs.</t>
  </si>
  <si>
    <t>Skills &amp; Employment; Social welfare &amp; Empowerment; Education &amp; Learning; Business &amp; Entrepreneurship</t>
  </si>
  <si>
    <t>Individual; Artists</t>
  </si>
  <si>
    <t>Ministry Of Minority Affairs</t>
  </si>
  <si>
    <t>pm-vikas</t>
  </si>
  <si>
    <t>MS-C27</t>
  </si>
  <si>
    <t>Person age / date of birth
Income amount, period and subject
Disability and certification
Gender / applicant category
Registration / membership
Employment / employer
Time period / history
Temporal condition
Component / category-specific branch</t>
  </si>
  <si>
    <t>26800b84afa439ffe47541fae37782936b0a99f78c045d01685dc8475da99ab7</t>
  </si>
  <si>
    <t>C28</t>
  </si>
  <si>
    <t>Agnipath Yojana</t>
  </si>
  <si>
    <t>A welfare scheme by the Department of Military Affairs, MoD under which rigorous military training will be imparted to the youth aged between 17.5 to 23 years and meeting other educational, physical, and medical criteria, who are aspirational to be a part of the armed forces.</t>
  </si>
  <si>
    <t>Skills &amp; Employment</t>
  </si>
  <si>
    <t>Ministry Of Defence</t>
  </si>
  <si>
    <t>ay</t>
  </si>
  <si>
    <t>MS-C28</t>
  </si>
  <si>
    <t>Person age / date of birth
Income amount, period and subject
Employment / employer
Time period / history
Temporal condition
Component / category-specific branch</t>
  </si>
  <si>
    <t>b9fbb7b63fb963f5a3e5f833fff2c34f6079020b8a287dc507620eb264f3ffff</t>
  </si>
  <si>
    <t>C29</t>
  </si>
  <si>
    <t>Indira Gandhi National Disability Pension Scheme</t>
  </si>
  <si>
    <t xml:space="preserve">A non-contributory pension scheme to provide social security to Divyangjans aged 18 and above who belong to a poor family (BPL) in society.
</t>
  </si>
  <si>
    <t>igndps</t>
  </si>
  <si>
    <t>MS-C29</t>
  </si>
  <si>
    <t>Person age / date of birth
Disability and certification
Jurisdiction
Time period / history
Temporal condition</t>
  </si>
  <si>
    <t>14b60a9e779791521852f7edde4f45b4902e4e50ff198c91e8ea5fb721cf5e92</t>
  </si>
  <si>
    <t>C30</t>
  </si>
  <si>
    <t>Persons With Disabilities Scheme In Colleges: Higher Education For Persons With Special Needs</t>
  </si>
  <si>
    <t>The Persons with Disabilities Act 1995 indicates that differently-abled persons should have access to education at all levels. In the higher education sector, the University Grants Commission (UGC) is supporting universities and colleges in the country to involve in special education activities.</t>
  </si>
  <si>
    <t>Education &amp; Learning; Social welfare &amp; Empowerment</t>
  </si>
  <si>
    <t>hepsn</t>
  </si>
  <si>
    <t>MS-C30</t>
  </si>
  <si>
    <t>Person age / date of birth
Disability and certification
Project attributes
Jurisdiction
Institution type / accreditation
Education / enrolment
Employment / employer
Temporal condition</t>
  </si>
  <si>
    <t>3fb126698acba948300b5d1f40bfe143cf1ca95c4665212c3545ae03592e6b2a</t>
  </si>
  <si>
    <t>C31</t>
  </si>
  <si>
    <t>Scheme For Financial Assistance For Veteran Artists</t>
  </si>
  <si>
    <t>A pension scheme by MoC improves the financial and socio-economic status of the old artists and scholars who have contributed significantly in their specialized fields. Still, due to old age, they have to lead a miserable life or are in penury condition.</t>
  </si>
  <si>
    <t>Sports &amp; Culture; Social welfare &amp; Empowerment</t>
  </si>
  <si>
    <t>Ministry Of Culture</t>
  </si>
  <si>
    <t>sfava</t>
  </si>
  <si>
    <t>MS-C31</t>
  </si>
  <si>
    <t>Person age / date of birth
Income amount, period and subject
Registration / membership
Jurisdiction
Landholding / ownership
Time period / history
Negative condition
Temporal condition</t>
  </si>
  <si>
    <t>c019c7861c542ca51fb80f061bf948bbcbeb248c4cfe226f77b9d26398d3a8d8</t>
  </si>
  <si>
    <t>C32</t>
  </si>
  <si>
    <t>Free Education For Sports Medal Winners / Participants Of National/ International Events</t>
  </si>
  <si>
    <t>The scheme of "Free Education for Sports Medal Winners / Participants of National/ International Events" is introduced by UGC, to provide financial assistance to the medal winners\ elite sports persons studying in universities/colleges leading to all the full-time regular courses.</t>
  </si>
  <si>
    <t>Education &amp; Learning; Sports &amp; Culture</t>
  </si>
  <si>
    <t>fesmwpnie</t>
  </si>
  <si>
    <t>MS-C32</t>
  </si>
  <si>
    <t>Person age / date of birth
Jurisdiction
Institution type / accreditation
Education / enrolment
Time period / history
Negative condition
Temporal condition</t>
  </si>
  <si>
    <t>d98a9f3e884dc97c9766627a589a41e4034db3821efa27ce559af7930ec4822f</t>
  </si>
  <si>
    <t>C33</t>
  </si>
  <si>
    <t>GST Exemption Certificate Scheme</t>
  </si>
  <si>
    <t>"GST Exemption Certificate Scheme" has been introduced by the Dept. of Heavy Industries, for issuing certificates to Persons with Disabilities (PwDs) having a disability percentage equal to or greater than 40%. The scheme provides GSC Concession to orthopedically disabled persons on purchase of car.</t>
  </si>
  <si>
    <t>Offline; Online. Full sequence on Application steps.</t>
  </si>
  <si>
    <t>Transport &amp; Infrastructure; Social welfare &amp; Empowerment; Utility &amp; Sanitation</t>
  </si>
  <si>
    <t>Ministry of Heavy Industries</t>
  </si>
  <si>
    <t>Department Of Heavy Industry</t>
  </si>
  <si>
    <t>gstecs</t>
  </si>
  <si>
    <t>MS-C33</t>
  </si>
  <si>
    <t>Person age / date of birth
Income amount, period and subject
Disability and certification
Registration / membership
Jurisdiction
Time period / history
Temporal condition</t>
  </si>
  <si>
    <t>1306bf64cc3e7c83be793af60f0c57c331ea5fb35aee640eeb2c53d62dae4062</t>
  </si>
  <si>
    <t>C34</t>
  </si>
  <si>
    <t>National Energy Conservation Award</t>
  </si>
  <si>
    <t>The scheme aims to recognize and reward organizations for their exemplary efforts in energy conservation and energy efficiency.</t>
  </si>
  <si>
    <t>Transport &amp; Infrastructure; Business &amp; Entrepreneurship</t>
  </si>
  <si>
    <t>Ministry Of Power</t>
  </si>
  <si>
    <t>neca</t>
  </si>
  <si>
    <t>MS-C34</t>
  </si>
  <si>
    <t>Person age / date of birth
Registration / membership
Institution type / accreditation
Negative condition
Component / category-specific branch</t>
  </si>
  <si>
    <t>45ecaed916700a20c5a70408e3e94b6851c78ade945594172f541402a3dad473</t>
  </si>
  <si>
    <t>C35</t>
  </si>
  <si>
    <t>Marketing Development Assistance Scheme</t>
  </si>
  <si>
    <t xml:space="preserve">The Marketing Development Assistance (MDA) Scheme under the Overseas Promotion &amp; Publicity (OPP) Scheme aims to support the promotion and marketing of Indian tourism in overseas markets. </t>
  </si>
  <si>
    <t>Travel &amp; Tourism; Business &amp; Entrepreneurship</t>
  </si>
  <si>
    <t>Ministry Of Tourism</t>
  </si>
  <si>
    <t>Ministry of Tourism</t>
  </si>
  <si>
    <t>mdas</t>
  </si>
  <si>
    <t>MS-C35</t>
  </si>
  <si>
    <t>Person age / date of birth
Jurisdiction
Transactions / eligible sales
Employment / employer
Time period / history
Temporal condition</t>
  </si>
  <si>
    <t>c99a02b0f9dc84d45321ed281a572b301aebd5350bbd05c218b68b2b17bcd24a</t>
  </si>
  <si>
    <t>C36</t>
  </si>
  <si>
    <t>AICTE-INAE Travel Grant Scheme For Engineering Students From AICTE Approved Engineering College/Institution</t>
  </si>
  <si>
    <t>A Travel Grant Scheme by the All India Council for Technical Education (AICTE) and by the Indian National Academy of Engineering (INAE), for the students from AICTE approved Engineering College/institutions. The scheme aims at enhancing the quality of engineering education in the country.</t>
  </si>
  <si>
    <t>Education &amp; Learning; Travel &amp; Tourism</t>
  </si>
  <si>
    <t>ai-tgses</t>
  </si>
  <si>
    <t>MS-C36</t>
  </si>
  <si>
    <t>Person age / date of birth
Project attributes
Registration / membership
Institution type / accreditation
Education / enrolment
Time period / history</t>
  </si>
  <si>
    <t>f1d90ecbe732723890bde6443b5cda8b5f2204ac0c5dfae62905f07ead9c5ac5</t>
  </si>
  <si>
    <t>C37</t>
  </si>
  <si>
    <t>Pilgrimage Rejuvenation and Spiritual Augmentation Drive (PRASHAD)</t>
  </si>
  <si>
    <t>Launched in 2014–2015, the scheme "Pilgrimage Rejuvenation and Spiritual Augmentation Drive (PRASAD)" is a Central Sector Scheme by the Ministry of Tourism, Government of India. The scheme focuses on developing and identifying pilgrimage sites across India to enrich the religious tourism experience.</t>
  </si>
  <si>
    <t>Transport &amp; Infrastructure; Travel &amp; Tourism</t>
  </si>
  <si>
    <t>Infra</t>
  </si>
  <si>
    <t>Government Organisation; State Government</t>
  </si>
  <si>
    <t>prashad</t>
  </si>
  <si>
    <t>MS-C37</t>
  </si>
  <si>
    <t>Person age / date of birth
Income amount, period and subject
Project attributes
Jurisdiction
Landholding / ownership
Employment / employer</t>
  </si>
  <si>
    <t>9706d1a147eb2a509f42a23b889b35a3dab7e29aaecbc93bd3913619523b22f0</t>
  </si>
  <si>
    <t>C38</t>
  </si>
  <si>
    <t>Pratyaksh Hanstantrit Labh / Direct Benefits Transfer For LPG</t>
  </si>
  <si>
    <t>PAHAL (DBTL) has been introduced to curb the diversion of subsidized LPG. Under the scheme, Consumers will pay the market price for the domestic cylinder and the subsidy will be transferred directly to their bank account</t>
  </si>
  <si>
    <t>Utility &amp; Sanitation</t>
  </si>
  <si>
    <t>Ministry Of Petroleum and Natural Gas</t>
  </si>
  <si>
    <t>pahal-dbtl</t>
  </si>
  <si>
    <t>MS-C38</t>
  </si>
  <si>
    <t>Person age / date of birth
Income amount, period and subject
Gender / applicant category
Benefit cap formula
Temporal condition</t>
  </si>
  <si>
    <t>c1879ed000fef47b30c67f69ffdfcbec4383599e73c2d13bfa452494020611a2</t>
  </si>
  <si>
    <t>C39</t>
  </si>
  <si>
    <t>Atal Bhujal Yojana</t>
  </si>
  <si>
    <t>The scheme aims to improve the management of groundwater resources in water-stressed areas. It provides institutional strengthening and financial incentives to Gram Panchayats and local communities for sustainable groundwater management and water-efficient practices.</t>
  </si>
  <si>
    <t>Utility &amp; Sanitation; Transport &amp; Infrastructure</t>
  </si>
  <si>
    <t>Individual; Village</t>
  </si>
  <si>
    <t>Ministry Of Water Resources,River Development &amp; Ganga Rejuvenation</t>
  </si>
  <si>
    <t>aby-mojs</t>
  </si>
  <si>
    <t>MS-C39</t>
  </si>
  <si>
    <t>Person age / date of birth
Gender / applicant category
Project attributes
Registration / membership
Jurisdiction
Institution type / accreditation
Credit / repayment
Landholding / ownership
Employment / employer
Time period / history
Temporal condition</t>
  </si>
  <si>
    <t>88422c9d9c39da1b4a4cd5d599454e771a88d2748a3f4b5f4d0816e780dbaff2</t>
  </si>
  <si>
    <t>M05</t>
  </si>
  <si>
    <t>State Post-metric Scholarship For Disabled</t>
  </si>
  <si>
    <t>The "State Post-metric Scholarship for Disabled" is a scheme by the Department of Social Justice &amp; Special Assistance, Govt. of Maharashtra. The objective of this scheme is to encourage students with disability (SwDs) to pursue higher education.</t>
  </si>
  <si>
    <t>spmsd</t>
  </si>
  <si>
    <t>MS-M05</t>
  </si>
  <si>
    <t>Person age / date of birth
Income amount, period and subject
Disability and certification
Project attributes
Jurisdiction
Education / enrolment
Component / category-specific branch</t>
  </si>
  <si>
    <t>8dcdcc4e1dee5319e91eda95c3e5e052008a145800f6fb44cd0ed549ac34c084</t>
  </si>
  <si>
    <t>M06</t>
  </si>
  <si>
    <t>Homes For Intellectually Impaired Persons</t>
  </si>
  <si>
    <t>The "Homes for Intellectually Impaired Persons" is a scheme by the Department of Social Justice &amp; Special Assistance, Govt. of Maharashtra. In this scheme, Mentally Deficient Children who are in need of care and protection are admitted into shelter homes through the Child Welfare Committees.</t>
  </si>
  <si>
    <t>Housing &amp; Shelter; Social welfare &amp; Empowerment</t>
  </si>
  <si>
    <t>hiip</t>
  </si>
  <si>
    <t>MS-M06</t>
  </si>
  <si>
    <t>Person age / date of birth
Income amount, period and subject
Disability and certification
Jurisdiction
Component / category-specific branch</t>
  </si>
  <si>
    <t>b3a794b84d6bbb7c9c885885ff195d856311e5b8e326a89e4013125442d7e4fc</t>
  </si>
  <si>
    <t>M07</t>
  </si>
  <si>
    <t>LIDCOM Gattai Stall Scheme</t>
  </si>
  <si>
    <t>Being implemented by LIDCOM, Govt. of Maharashtra for the Roadsides Cobblers from the (Scheduled Caste) Charmakar Community, this scheme provides a 100% subsidy for the erection of a Tin Stall of Size 4’ x 5’ x 6.5’ costing ₹16367/- per stall and ₹500/- incidental charges.</t>
  </si>
  <si>
    <t>lgss</t>
  </si>
  <si>
    <t>MS-M07</t>
  </si>
  <si>
    <t>Person age / date of birth
Income amount, period and subject
Social category
Household relationships / prior benefits
Jurisdiction
Credit / repayment
Time period / history</t>
  </si>
  <si>
    <t>5c49fd61f0b169bd18e6217dd918997888c220444478674fac953bacda47e7e2</t>
  </si>
  <si>
    <t>M08</t>
  </si>
  <si>
    <t>Mahila Kisan Yojana (Maharashtra)</t>
  </si>
  <si>
    <t>"Mahila Kisan Yojana" is implemented by the Dept. of Social Justice &amp; Special Assistance, Govt. of Maharashtra. The scheme aims to uplift the lifestyle of economically disadvantaged Charmakar communities. it supports the production and sale of various types of footwear and leather articles.</t>
  </si>
  <si>
    <t>Social welfare &amp; Empowerment; Skills &amp; Employment; Women and Child</t>
  </si>
  <si>
    <t>mkym</t>
  </si>
  <si>
    <t>MS-M08</t>
  </si>
  <si>
    <t>State/ UT</t>
  </si>
  <si>
    <t>Person age / date of birth
Income amount, period and subject
Social category
Project attributes
Credit / repayment
Landholding / ownership
Time period / history
Temporal condition</t>
  </si>
  <si>
    <t>0811de40303471ffdf04ea264de976ad0a3f2c71a4f8e82da53b96797a4e57cb</t>
  </si>
  <si>
    <t>M09</t>
  </si>
  <si>
    <t>Mahila Samridhi Yojana (Maharashtra)</t>
  </si>
  <si>
    <t>"Mahila Samridhi Yojana" is administered by the Dept. of Social Justice &amp; Special Assistance, Govt. of Maharashtra. The scheme aims to uplift economically weaker women from the Charmakar Community. Loans ranging from ₹25,000/- to ₹50,000/- are granted at a low interest rate of 4% p.a.</t>
  </si>
  <si>
    <t>Banking,Financial Services and Insurance; Women and Child</t>
  </si>
  <si>
    <t>msym</t>
  </si>
  <si>
    <t>MS-M09</t>
  </si>
  <si>
    <t>Person age / date of birth
Income amount, period and subject
Social category
Gender / applicant category
Credit / repayment
Preference, not automatically mandatory
Conditional exception
Time period / history</t>
  </si>
  <si>
    <t>5f84a7edf9619030b9ea9dfeaa198307771330c8e2f38d980594486c2f9b1698</t>
  </si>
  <si>
    <t>M10</t>
  </si>
  <si>
    <t>Financial Assistance For Aids And Appliances For Disabled Persons</t>
  </si>
  <si>
    <t>The "Financial Assistance for Aids and Appliances for Disabled Persons" is a scheme by the Govt. of Maharashtra. The objective of this scheme is to provide assistance to Persons with Disabilities (PwDs) for the purchase of aids and appliances as per their age group and the type of disability.</t>
  </si>
  <si>
    <t>faaadp</t>
  </si>
  <si>
    <t>MS-M10</t>
  </si>
  <si>
    <t>a19f99b4762e51df026a5e1e15235a0be02ac4e7a9d617c52214b07e25ab61bb</t>
  </si>
  <si>
    <t>M11</t>
  </si>
  <si>
    <t>Financial Assistance To Disabled For Self Employment</t>
  </si>
  <si>
    <t>The objective of this scheme is to facilitate the self-employment of unemployed disabled persons. Under this scheme, financial assistance is provided to persons with disabilities for self-employment, small-scale business, and agro-based project. This scheme is 100% funded by Govt. of Maharashtra.</t>
  </si>
  <si>
    <t>Skills &amp; Employment; Social welfare &amp; Empowerment; Business &amp; Entrepreneurship</t>
  </si>
  <si>
    <t>fadse</t>
  </si>
  <si>
    <t>MS-M11</t>
  </si>
  <si>
    <t>Person age / date of birth
Income amount, period and subject
Disability and certification
Project attributes
Jurisdiction
Credit / repayment
Employment / employer
Time period / history
Component / category-specific branch</t>
  </si>
  <si>
    <t>4c4d1d57f04960a62b14de61ebb882a24910f8138a04c7e3e89d1f44adba814d</t>
  </si>
  <si>
    <t>M12</t>
  </si>
  <si>
    <t>Ramai Awas (Gharkul) Scheme for SC &amp; Nav-Buddha (Urban and Rural)</t>
  </si>
  <si>
    <t>The scheme "Ramai Awas (Gharkul) Scheme for SC &amp; Nav-Buddha (Urban and Rural)" is a housing scheme by the Department of Social Justice &amp; Special Assistance of the Government of Maharashtra. The scheme aims to raise the standard of living of the Scheduled Caste and Nav-Buddha communities.</t>
  </si>
  <si>
    <t>rassnb</t>
  </si>
  <si>
    <t>MS-M12</t>
  </si>
  <si>
    <t>Person age / date of birth
Income amount, period and subject
Social category
Household relationships / prior benefits
Project attributes
Landholding / ownership
Conditional exception
Time period / history
Temporal condition</t>
  </si>
  <si>
    <t>252bd73d385164d0f28f66fc8bbb52858f4ed2e7634948c9b1d7e8c4b4e79ed3</t>
  </si>
  <si>
    <t>M13</t>
  </si>
  <si>
    <t>Namo Shetkari Mahasanman Nidhi Yojana</t>
  </si>
  <si>
    <t>To increase the income of farmers, State government has announced "Namo Shetkari Mahasanman Nidhi Yojana" in which cultivable land holding farmer families of the state will get an additional amount of Rs. 6000/- per year (along with Rs. 6000/- through Pradhan Mantri Kisan Samman Nidhi Yojana</t>
  </si>
  <si>
    <t>Agriculture Department</t>
  </si>
  <si>
    <t>namo-shetkari-mahasanman-nidhi-yojana</t>
  </si>
  <si>
    <t>MS-M13</t>
  </si>
  <si>
    <t>Person age / date of birth
Income amount, period and subject
Household relationships / prior benefits
Registration / membership
Jurisdiction
Institution type / accreditation
Landholding / ownership
Employment / employer
Negative condition</t>
  </si>
  <si>
    <t>f6e018ef0ea0b89a9409a5ff439c93abb113d82675cc97a88ec6b0a28f78fd66</t>
  </si>
  <si>
    <t>M14</t>
  </si>
  <si>
    <t>CHIEF MINISTER  EMPLOYMENT GENERATION  PROGRAMME (CMEGP)</t>
  </si>
  <si>
    <t>Government of Maharashtra has approved the introduction of a new credit linked subsidy program called Chief Minister Employment Generation Program(CMEGP) for generation of employment opportunities through establishment of Micro &amp; Small Enterprises in rural as well as urban areas in state.</t>
  </si>
  <si>
    <t>Business &amp; Entrepreneurship; Skills &amp; Employment; Social welfare &amp; Empowerment</t>
  </si>
  <si>
    <t>Industries Department</t>
  </si>
  <si>
    <t>cmegp</t>
  </si>
  <si>
    <t>MS-M14</t>
  </si>
  <si>
    <t>Person age / date of birth
Income amount, period and subject
Social category
Gender / applicant category
Household relationships / prior benefits
Project attributes
Jurisdiction
Credit / repayment
Employment / employer
Conditional exception
Time period / history
Negative condition
Temporal condition
Component / category-specific branch</t>
  </si>
  <si>
    <t>85e279015ed697ad5cad88a8359624c4c4a8fee8e647c387cc8f0b52ee667392</t>
  </si>
  <si>
    <t>M15</t>
  </si>
  <si>
    <t>Nanaji Deshmukh Krishi Sanjivani Prakalp</t>
  </si>
  <si>
    <t>The project aims to enhance climate-resilience and profitability of smallholder farming systems in 15 project districts of Maharashtra through promotion of climate resilient technology and commodity value chain across approximately 5,000 drought-prone and/or sodicity/salinity affected villages.</t>
  </si>
  <si>
    <t>pocra</t>
  </si>
  <si>
    <t>MS-M15</t>
  </si>
  <si>
    <t>Person age / date of birth
Income amount, period and subject
Disability and certification
Gender / applicant category
Household relationships / prior benefits
Project attributes
Registration / membership
Jurisdiction
Institution type / accreditation
Credit / repayment
Landholding / ownership
Time period / history
Negative condition
Temporal condition</t>
  </si>
  <si>
    <t>a94b000010d6bba00a0d004f0b7e438f9038cde28fbddcc4d58b4f9e455d0057</t>
  </si>
  <si>
    <t>M16</t>
  </si>
  <si>
    <t>Medical Assistance for the Treatment of Critical Illness</t>
  </si>
  <si>
    <t>Under this scheme, medical assistance of ₹1,00,000/- for the treatment of serious ailments for registered worker and his/her family members. (the benefit can be availed only after 26th July 2014 as the benefit is covered under the Mediclaim &amp; Personal Accident Insurance scheme).</t>
  </si>
  <si>
    <t>Labour Department</t>
  </si>
  <si>
    <t>matci</t>
  </si>
  <si>
    <t>MS-M16</t>
  </si>
  <si>
    <t>Person age / date of birth
Household relationships / prior benefits
Registration / membership
Temporal condition</t>
  </si>
  <si>
    <t>02d3058f8136217c03386c2d04a170dc646cbdb463b81a40cdb06a7273e13210</t>
  </si>
  <si>
    <t>M17</t>
  </si>
  <si>
    <t>Grant In Aid To Old Age Home</t>
  </si>
  <si>
    <t>The "Grant in Aid to Old Age Home" is a scheme by the Dept. of Social Justice &amp; Special Assistance, Govt. of Maharashtra. In this scheme, grants are provided to the NGOs for accommodating old men &amp; women, destitute, disabled victims, into Old Age Homes, and providing them with food, &amp; accommodation.</t>
  </si>
  <si>
    <t>NGO; Individual</t>
  </si>
  <si>
    <t>gaoah</t>
  </si>
  <si>
    <t>MS-M17</t>
  </si>
  <si>
    <t>Person age / date of birth
Income amount, period and subject
Disability and certification
Gender / applicant category
Registration / membership
Jurisdiction
Time period / history
Component / category-specific branch</t>
  </si>
  <si>
    <t>9c834b4622fa3eb2afc406cd282126d7e6bebf05cd96b84358a97d142329288f</t>
  </si>
  <si>
    <t>M18</t>
  </si>
  <si>
    <t>Training Of Motor Driving To VJNT, SBS &amp; OBC</t>
  </si>
  <si>
    <t xml:space="preserve">The Government of Maharashtra launched a scheme that provides light and heavy motor driving, and conductor training to the needy Vimukta Jati, Nomadic Tribes, and Other Backward Class (VJNT, OBC &amp; SBC) candidates. </t>
  </si>
  <si>
    <t>Social welfare &amp; Empowerment; Education &amp; Learning</t>
  </si>
  <si>
    <t>tmdvso</t>
  </si>
  <si>
    <t>MS-M18</t>
  </si>
  <si>
    <t>Person age / date of birth
Income amount, period and subject
Registration / membership
Institution type / accreditation
Education / enrolment
Employment / employer
Component / category-specific branch</t>
  </si>
  <si>
    <t>929bd02902d033b9bd47d592a817b29d6622ccd4f154df97384378b0b97c78ae</t>
  </si>
  <si>
    <t>M19</t>
  </si>
  <si>
    <t>Mukhyamantri - Majhi Ladki Bahin Yojana</t>
  </si>
  <si>
    <t xml:space="preserve">The "Mukhyamantri - Majhi Ladki Bahin Yojana" is for the economic freedom of women in the state age group of 21 to 65, improving their health and nutrition and strengthening their decisive role in the family. The women will receive a financial benefit through direct benefit transfer.  </t>
  </si>
  <si>
    <t>Social welfare &amp; Empowerment; Women and Child</t>
  </si>
  <si>
    <t>Women and Child Development Department</t>
  </si>
  <si>
    <t>mmlby</t>
  </si>
  <si>
    <t>MS-M19</t>
  </si>
  <si>
    <t>Person age / date of birth
Income amount, period and subject
Gender / applicant category
Household relationships / prior benefits
Registration / membership
Jurisdiction
Employment / employer
Time period / history
Negative condition
Temporal condition</t>
  </si>
  <si>
    <t>96cebe33a0e42afb915c888416df1f9c8e40994623d2fd0f08c984681a2b8df7</t>
  </si>
  <si>
    <t>M20</t>
  </si>
  <si>
    <t>Mahatma Jyotirao Phule Jan Arogya Yojana</t>
  </si>
  <si>
    <t>The Mahatma Jyotirao Phule Jan Arogya Yojana, launched by the Government of Maharashtra, offers cashless treatment for identified diseases through a network of government and private healthcare providers.</t>
  </si>
  <si>
    <t>Public Health and Family Welfare Department</t>
  </si>
  <si>
    <t>mjpjay</t>
  </si>
  <si>
    <t>MS-M20</t>
  </si>
  <si>
    <t>Person age / date of birth
Income amount, period and subject
Gender / applicant category
Household relationships / prior benefits
Registration / membership
Jurisdiction
Education / enrolment
Employment / employer
Negative condition
Component / category-specific branch</t>
  </si>
  <si>
    <t>f3f91db6d1dc43351030b154605af820461e1bd87615fec027a1e4ed4cecc68c</t>
  </si>
  <si>
    <t>M21</t>
  </si>
  <si>
    <t>Mukhyamantri Yuva Karya Prashikshan Yojana</t>
  </si>
  <si>
    <t>The Mukhyamantri Yuva Karya Prashikshan Yojana scheme was launched by the Department of Skill, Employment, Entrepreneurship and Innovation to enhance candidates' employability through practical training with entrepreneurs with a budget of ₹5,500 crore.</t>
  </si>
  <si>
    <t>Skill Development and Entrepreneurship Department</t>
  </si>
  <si>
    <t>mmykpy</t>
  </si>
  <si>
    <t>MS-M21</t>
  </si>
  <si>
    <t>Person age / date of birth
Registration / membership
Employment / employer
Temporal condition</t>
  </si>
  <si>
    <t>dfead11f8aa0e5b411f6a787db7032eaaa036608f6f6d2ffd021e029cf0b52df</t>
  </si>
  <si>
    <t>Open official page</t>
  </si>
  <si>
    <t>Eligibility conditions and exclusions</t>
  </si>
  <si>
    <t>The original 67 review rows are retained. Source rows preserve headings and pointers; they are not approved executable rules.</t>
  </si>
  <si>
    <t>Scheme ID</t>
  </si>
  <si>
    <t>Rule / source row ID</t>
  </si>
  <si>
    <t>Condition type</t>
  </si>
  <si>
    <t>Eligibility / restriction</t>
  </si>
  <si>
    <t>Source and passage</t>
  </si>
  <si>
    <t>Source context / interpretation</t>
  </si>
  <si>
    <t>Reviewer corrections</t>
  </si>
  <si>
    <t>Section</t>
  </si>
  <si>
    <t>Original source path</t>
  </si>
  <si>
    <t>Version ID</t>
  </si>
  <si>
    <t>Representation</t>
  </si>
  <si>
    <t>Subject / scope mapping</t>
  </si>
  <si>
    <t>Continuation part</t>
  </si>
  <si>
    <t>Proposed field / operator</t>
  </si>
  <si>
    <t>C01-01</t>
  </si>
  <si>
    <t>Eligibility</t>
  </si>
  <si>
    <t>Join at age 18-50 through an individual participating bank/post-office account.</t>
  </si>
  <si>
    <t>S01: Who will be eligible</t>
  </si>
  <si>
    <t>Verify nearer-birthday convention in S02.</t>
  </si>
  <si>
    <t>Earlier draft extraction</t>
  </si>
  <si>
    <t>Legacy review record</t>
  </si>
  <si>
    <t>Subject/scope not yet approved</t>
  </si>
  <si>
    <t>C01-02</t>
  </si>
  <si>
    <t>Account</t>
  </si>
  <si>
    <t>Joint-account holders may each join if otherwise eligible. Institutional accounts excluded.</t>
  </si>
  <si>
    <t>S01: joint accounts; eligible accounts</t>
  </si>
  <si>
    <t>C01-03</t>
  </si>
  <si>
    <t>Restriction</t>
  </si>
  <si>
    <t>Only one account may be used for enrolment, even if multiple accounts exist.</t>
  </si>
  <si>
    <t>S01: eligible subscribers</t>
  </si>
  <si>
    <t>C01-04</t>
  </si>
  <si>
    <t>Consent</t>
  </si>
  <si>
    <t>Prescribed enrolment option and consent for premium auto-debit required.</t>
  </si>
  <si>
    <t>S01: enrolment modality</t>
  </si>
  <si>
    <t>C01-05</t>
  </si>
  <si>
    <t>Residency</t>
  </si>
  <si>
    <t>Eligible NRIs with an eligible bank branch account in India may join; claims paid in INR.</t>
  </si>
  <si>
    <t>S01: NRI question</t>
  </si>
  <si>
    <t>Do not add an unverified resident-only condition.</t>
  </si>
  <si>
    <t>C01-06</t>
  </si>
  <si>
    <t>Continuation</t>
  </si>
  <si>
    <t>Annual renewal may continue until age 55 (age near birthday). Account closure or insufficient funds ends cover.</t>
  </si>
  <si>
    <t>S01: termination</t>
  </si>
  <si>
    <t>Not an initial-entry rule.</t>
  </si>
  <si>
    <t>C01-07</t>
  </si>
  <si>
    <t>Coverage condition</t>
  </si>
  <si>
    <t>First enrolment/re-entry has a 30-day lien for non-accidental death.</t>
  </si>
  <si>
    <t>S01: first enrolment; rejoin</t>
  </si>
  <si>
    <t>Keep claim coverage separate from eligibility.</t>
  </si>
  <si>
    <t>C02-01</t>
  </si>
  <si>
    <t>Individual participating bank/post-office account holders in the stated 18-70 age group may join.</t>
  </si>
  <si>
    <t>S04: Who will be eligible</t>
  </si>
  <si>
    <t>Review exact birthday convention; do not infer &lt;=70.</t>
  </si>
  <si>
    <t>C02-02</t>
  </si>
  <si>
    <t>Single and joint account holders can enrol; only one account can support one person’s cover.</t>
  </si>
  <si>
    <t>S04: eligible subscribers</t>
  </si>
  <si>
    <t>C02-03</t>
  </si>
  <si>
    <t>Consent to enrol and enable annual auto-debit is required.</t>
  </si>
  <si>
    <t>S04: enrolment modality</t>
  </si>
  <si>
    <t>C02-04</t>
  </si>
  <si>
    <t>Cover terminates on attaining 70 (age nearer birthday), account closure or insufficient balance.</t>
  </si>
  <si>
    <t>S04: termination</t>
  </si>
  <si>
    <t>Verify exact upper-age boundary in S05.</t>
  </si>
  <si>
    <t>C02-05</t>
  </si>
  <si>
    <t>One-year renewable accident cover. Multiple-account enrolment does not multiply insurance.</t>
  </si>
  <si>
    <t>S04: coverage; duplicate enrolment</t>
  </si>
  <si>
    <t>Not general life insurance.</t>
  </si>
  <si>
    <t>C03-01</t>
  </si>
  <si>
    <t>Small or marginal farmer with cultivable holding up to 2 hectares in State/UT records.</t>
  </si>
  <si>
    <t>S07: Eligibility</t>
  </si>
  <si>
    <t>C03-02</t>
  </si>
  <si>
    <t>Age</t>
  </si>
  <si>
    <t>Entry age 18-40.</t>
  </si>
  <si>
    <t>Confirm exact date calculation before coding.</t>
  </si>
  <si>
    <t>C03-03</t>
  </si>
  <si>
    <t>Date condition</t>
  </si>
  <si>
    <t>Applicant’s name appears in land records as of 1 Aug 2019.</t>
  </si>
  <si>
    <t>Confirm whether later amendments change this.</t>
  </si>
  <si>
    <t>C03-04</t>
  </si>
  <si>
    <t>Prerequisite</t>
  </si>
  <si>
    <t>Aadhaar and savings bank account or PM-KISAN account required.</t>
  </si>
  <si>
    <t>C03-05</t>
  </si>
  <si>
    <t>Exclusion</t>
  </si>
  <si>
    <t>Covered under statutory NPS, ESIC or EPFO; or enrolled in PM-SYM or PM-LVM.</t>
  </si>
  <si>
    <t>S08: Exclusions</t>
  </si>
  <si>
    <t>Preserve scheme-specific names.</t>
  </si>
  <si>
    <t>C03-06</t>
  </si>
  <si>
    <t>Institutional landholders; former/current constitutional office holders.</t>
  </si>
  <si>
    <t>C03-07</t>
  </si>
  <si>
    <t>Former/current ministers, MPs, MLAs/MLCs, municipal mayors or district-panchayat chairpersons.</t>
  </si>
  <si>
    <t>C03-08</t>
  </si>
  <si>
    <t>Serving/retired government, PSE, attached/autonomous-body and regular local-body staff. MTS/Class IV/Group D exception.</t>
  </si>
  <si>
    <t>Do not drop employee-category exception.</t>
  </si>
  <si>
    <t>C03-09</t>
  </si>
  <si>
    <t>Income-tax paid in last assessment year; registered practising doctors, engineers, lawyers, CAs or architects.</t>
  </si>
  <si>
    <t>C03-10</t>
  </si>
  <si>
    <t>Verification</t>
  </si>
  <si>
    <t>Eligibility rests on self-declaration and State/UT verification. False declaration can end benefits/matching contribution.</t>
  </si>
  <si>
    <t>S08: Verification</t>
  </si>
  <si>
    <t>C04-01</t>
  </si>
  <si>
    <t>Citizenship</t>
  </si>
  <si>
    <t>Indian citizen; NRIs can join if other conditions are met.</t>
  </si>
  <si>
    <t>S10: subscribers; NRI question</t>
  </si>
  <si>
    <t>C04-02</t>
  </si>
  <si>
    <t>Published band is 18-40. DFS exact-age FAQ says 18 to 39 years 364 days.</t>
  </si>
  <si>
    <t>S10: completed-40 question</t>
  </si>
  <si>
    <t>Resolve wording before selecting a &lt;= or &lt; operator.</t>
  </si>
  <si>
    <t>C04-03</t>
  </si>
  <si>
    <t>Savings bank/post-office account required. Only one APY account per subscriber.</t>
  </si>
  <si>
    <t>S10: account questions</t>
  </si>
  <si>
    <t>C04-04</t>
  </si>
  <si>
    <t>From 1 Oct 2022, anyone who is or has been an income-tax payer cannot open a new APY account.</t>
  </si>
  <si>
    <t>S11; S12: tax amendment</t>
  </si>
  <si>
    <t>Distinguish new applications from pre-amendment accounts.</t>
  </si>
  <si>
    <t>C04-05</t>
  </si>
  <si>
    <t>Periodic auto-debit contributions required. Amount varies by joining age and chosen pension.</t>
  </si>
  <si>
    <t>S10: contribution questions</t>
  </si>
  <si>
    <t>C04-06</t>
  </si>
  <si>
    <t>Nomination</t>
  </si>
  <si>
    <t>Nominee details mandatory; spouse is default nominee if married.</t>
  </si>
  <si>
    <t>S10: nomination</t>
  </si>
  <si>
    <t>C04-07</t>
  </si>
  <si>
    <t>Clarification</t>
  </si>
  <si>
    <t>Government employment or existing NPS membership alone is not an exclusion in DFS FAQ. Tax rule still applies.</t>
  </si>
  <si>
    <t>S10: government employee/NPS question</t>
  </si>
  <si>
    <t>Avoid copying PM-SYM exclusions here.</t>
  </si>
  <si>
    <t>C05-01</t>
  </si>
  <si>
    <t>Occupation</t>
  </si>
  <si>
    <t>Unorganised-sector worker, such as domestic, construction, agricultural, street-vending or similar work.</t>
  </si>
  <si>
    <t>S14: Eligibility</t>
  </si>
  <si>
    <t>C05-02</t>
  </si>
  <si>
    <t>Confirm exact birthday convention.</t>
  </si>
  <si>
    <t>C05-03</t>
  </si>
  <si>
    <t>Income</t>
  </si>
  <si>
    <t>Monthly income INR 15,000 or less.</t>
  </si>
  <si>
    <t>Monthly, not annual; boundary needs explicit test.</t>
  </si>
  <si>
    <t>C05-04</t>
  </si>
  <si>
    <t>Not covered by EPF/EPFO, ESIC or NPS.</t>
  </si>
  <si>
    <t>S14: Exclusions</t>
  </si>
  <si>
    <t>Confirm statutory/government-funded qualifier in guidelines.</t>
  </si>
  <si>
    <t>C05-05</t>
  </si>
  <si>
    <t>Not an income-tax payer and not receiving another government pension benefit.</t>
  </si>
  <si>
    <t>Confirm precise scope of other-pension condition.</t>
  </si>
  <si>
    <t>C05-06</t>
  </si>
  <si>
    <t>Aadhaar and savings/Jan Dhan account for contributions; mobile contact captured.</t>
  </si>
  <si>
    <t>S14: Documents; enrolment</t>
  </si>
  <si>
    <t>C05-07</t>
  </si>
  <si>
    <t>Contribution</t>
  </si>
  <si>
    <t>First payment at enrolment; subsequent contributions by auto-debit.</t>
  </si>
  <si>
    <t>S14: Enrolment</t>
  </si>
  <si>
    <t>C06-01</t>
  </si>
  <si>
    <t>Marital status</t>
  </si>
  <si>
    <t>Widow.</t>
  </si>
  <si>
    <t>S16: Eligibility</t>
  </si>
  <si>
    <t>Confirm remarriage/cessation rules in current guidelines.</t>
  </si>
  <si>
    <t>C06-02</t>
  </si>
  <si>
    <t>Department and ministry report specify central-assistance band 40-79.</t>
  </si>
  <si>
    <t>S16; S17: IGNWPS</t>
  </si>
  <si>
    <t>At 80, check transition/assistance rules, not automatic rejection.</t>
  </si>
  <si>
    <t>C06-03</t>
  </si>
  <si>
    <t>Household must be Below Poverty Line.</t>
  </si>
  <si>
    <t>Not interchangeable with a generic income threshold.</t>
  </si>
  <si>
    <t>C06-04</t>
  </si>
  <si>
    <t>Implementation</t>
  </si>
  <si>
    <t>Local residence, age, identity and payment evidence must satisfy the implementing authority.</t>
  </si>
  <si>
    <t>S29: widow checklist</t>
  </si>
  <si>
    <t>Historical district source; verify current requirements.</t>
  </si>
  <si>
    <t>C06-05</t>
  </si>
  <si>
    <t>Conflict</t>
  </si>
  <si>
    <t>Thane older criteria show age 40-65, unlike department 40-79.</t>
  </si>
  <si>
    <t>S18: IGNWPS; S16</t>
  </si>
  <si>
    <t>Hold this boundary for human review.</t>
  </si>
  <si>
    <t>M01-01</t>
  </si>
  <si>
    <t>Residence</t>
  </si>
  <si>
    <t>Maharashtra residence; district guidance specifies at least 15 years.</t>
  </si>
  <si>
    <t>S20: eligibility table</t>
  </si>
  <si>
    <t>Confirm governing GR and acceptable evidence.</t>
  </si>
  <si>
    <t>M01-02</t>
  </si>
  <si>
    <t>Department lists destitute adults 18-65; Thane says below 65. Orphans form a separate category.</t>
  </si>
  <si>
    <t>S19; S18</t>
  </si>
  <si>
    <t>Do not apply adult minimum age to orphan children.</t>
  </si>
  <si>
    <t>M01-03</t>
  </si>
  <si>
    <t>BPL-listed OR annual family income up to INR 21,000.</t>
  </si>
  <si>
    <t>S19: Eligibility</t>
  </si>
  <si>
    <t>Preserve OR.</t>
  </si>
  <si>
    <t>M01-04</t>
  </si>
  <si>
    <t>Income exception</t>
  </si>
  <si>
    <t>District guidance allows annual income up to INR 50,000 for disabled beneficiaries.</t>
  </si>
  <si>
    <t>S18: state criteria</t>
  </si>
  <si>
    <t>Department summary omits exception; verify current GR.</t>
  </si>
  <si>
    <t>M01-05</t>
  </si>
  <si>
    <t>Categories</t>
  </si>
  <si>
    <t>Destitute adults/widows; orphans; disabled people; severe-illness cases unable to sustain themselves.</t>
  </si>
  <si>
    <t>Category-specific tests and evidence needed.</t>
  </si>
  <si>
    <t>M01-06</t>
  </si>
  <si>
    <t>Divorce proceedings or divorced without alimony; abuse survivors/rescued women; transgender people; Devadasis.</t>
  </si>
  <si>
    <t>M01-07</t>
  </si>
  <si>
    <t>Unmarried women over 35; prisoners’ wives; people with sickle-cell disease.</t>
  </si>
  <si>
    <t>Not every category shares one age condition.</t>
  </si>
  <si>
    <t>M02-01</t>
  </si>
  <si>
    <t>65 years and above.</t>
  </si>
  <si>
    <t>S22: Eligibility</t>
  </si>
  <si>
    <t>M02-02</t>
  </si>
  <si>
    <t>Name on BPL list OR annual income less than INR 21,000.</t>
  </si>
  <si>
    <t>Department uses &lt;, not &lt;=.</t>
  </si>
  <si>
    <t>M02-03</t>
  </si>
  <si>
    <t>Maharashtra residence; district guidance specifies 15 years.</t>
  </si>
  <si>
    <t>S20: Shravan Bal table; S29</t>
  </si>
  <si>
    <t>Verify latest GR.</t>
  </si>
  <si>
    <t>M02-04</t>
  </si>
  <si>
    <t>Category</t>
  </si>
  <si>
    <t>Destitute elderly beneficiary. District state-only group is non-BPL with income below INR 21,000.</t>
  </si>
  <si>
    <t>S18: Shravanbal; S22</t>
  </si>
  <si>
    <t>Resolve BPL central/state overlap before coding.</t>
  </si>
  <si>
    <t>M03-01</t>
  </si>
  <si>
    <t>Birth date</t>
  </si>
  <si>
    <t>Girl born on or after 1 Apr 2023.</t>
  </si>
  <si>
    <t>S24: PDF p2, A1</t>
  </si>
  <si>
    <t>M03-02</t>
  </si>
  <si>
    <t>Household</t>
  </si>
  <si>
    <t>Yellow/orange ration-card family resident in Maharashtra; beneficiary bank account in Maharashtra.</t>
  </si>
  <si>
    <t>S24: p2 A1,A5,A6</t>
  </si>
  <si>
    <t>M03-03</t>
  </si>
  <si>
    <t>Annual family income no greater than INR 100,000.</t>
  </si>
  <si>
    <t>S24: p2 A7</t>
  </si>
  <si>
    <t>M03-04</t>
  </si>
  <si>
    <t>Birth order</t>
  </si>
  <si>
    <t>One or two daughters covered; daughter covered in a one-son/one-daughter family.</t>
  </si>
  <si>
    <t>S24: p2 A1</t>
  </si>
  <si>
    <t>M03-05</t>
  </si>
  <si>
    <t>Twins</t>
  </si>
  <si>
    <t>Second-delivery twins: eligible girl(s) covered, with parental family-planning surgery requirement thereafter.</t>
  </si>
  <si>
    <t>S24: p2 A3</t>
  </si>
  <si>
    <t>M03-06</t>
  </si>
  <si>
    <t>Existing child</t>
  </si>
  <si>
    <t>A child born before 1 Apr 2023 does not exclude a later second daughter/twin daughters, subject to family-planning condition.</t>
  </si>
  <si>
    <t>S24: p2 A4</t>
  </si>
  <si>
    <t>M03-07</t>
  </si>
  <si>
    <t>Certificate timing</t>
  </si>
  <si>
    <t>Family-planning certificate for first child’s third instalment or second child’s second instalment.</t>
  </si>
  <si>
    <t>S24: p2 A2</t>
  </si>
  <si>
    <t>Beed checklist wording differs; use GR for review.</t>
  </si>
  <si>
    <t>M03-08</t>
  </si>
  <si>
    <t>Stage condition</t>
  </si>
  <si>
    <t>Relevant school attendance certificate at education stages; final benefit requires age 18, voter-list proof and unmarried declaration.</t>
  </si>
  <si>
    <t>S23: Documents; S24: documents B</t>
  </si>
  <si>
    <t>Verify current annexures for each stage.</t>
  </si>
  <si>
    <t>M03-09</t>
  </si>
  <si>
    <t>Identity exception</t>
  </si>
  <si>
    <t>Girl’s Aadhaar requirement relaxed for first benefit.</t>
  </si>
  <si>
    <t>S23: Documents</t>
  </si>
  <si>
    <t>Do not block newborn solely for missing Aadhaar.</t>
  </si>
  <si>
    <t>M04-01</t>
  </si>
  <si>
    <t>Residence and age</t>
  </si>
  <si>
    <t>Maharashtra senior citizen who completed 65 years by 31 Dec 2023 under original GR.</t>
  </si>
  <si>
    <t>S27: PDF p4 section 8; S28</t>
  </si>
  <si>
    <t>Do not silently replace fixed cut-off with today’s age.</t>
  </si>
  <si>
    <t>M04-02</t>
  </si>
  <si>
    <t>Identity</t>
  </si>
  <si>
    <t>Aadhaar or enrolment evidence; GR permits independent identity documents where Aadhaar is absent.</t>
  </si>
  <si>
    <t>S27: p4 section 8</t>
  </si>
  <si>
    <t>Department short page is less detailed.</t>
  </si>
  <si>
    <t>M04-03</t>
  </si>
  <si>
    <t>Family annual income within INR 200,000; income self-declaration required.</t>
  </si>
  <si>
    <t>S26: main conditions</t>
  </si>
  <si>
    <t>Confirm strict/inclusive boundary from current GR.</t>
  </si>
  <si>
    <t>M04-04</t>
  </si>
  <si>
    <t>Prior benefit</t>
  </si>
  <si>
    <t>No same equipment received free from a government source, local body or government-controlled undertaking in previous 3 years.</t>
  </si>
  <si>
    <t>M04-05</t>
  </si>
  <si>
    <t>Exception</t>
  </si>
  <si>
    <t>Replacement of defective/non-functional equipment may be permitted as an exception.</t>
  </si>
  <si>
    <t>Caseworker review required.</t>
  </si>
  <si>
    <t>M04-06</t>
  </si>
  <si>
    <t>Payment</t>
  </si>
  <si>
    <t>Individual Aadhaar-linked savings account used for DBT.</t>
  </si>
  <si>
    <t>S27: PDF p2 benefit mechanism</t>
  </si>
  <si>
    <t>Check identity alternative versus payment onboarding.</t>
  </si>
  <si>
    <t>C01-SRC001</t>
  </si>
  <si>
    <t>Eligibility text</t>
  </si>
  <si>
    <t>The age of the applicant must be between 18 to 50 Years.</t>
  </si>
  <si>
    <t>MS-C01 / C01-P0005</t>
  </si>
  <si>
    <t>en.eligibilityCriteria.eligibilityDescription[0].children[0]</t>
  </si>
  <si>
    <t>C01@20261024-4ed9ba54</t>
  </si>
  <si>
    <t>Source extract; not executable</t>
  </si>
  <si>
    <t>Unassigned</t>
  </si>
  <si>
    <t>1/1</t>
  </si>
  <si>
    <t>C01-SRC002</t>
  </si>
  <si>
    <t>The applicant must hold an individual bank / post office account.</t>
  </si>
  <si>
    <t>MS-C01 / C01-P0006</t>
  </si>
  <si>
    <t>en.eligibilityCriteria.eligibilityDescription[0].children[1]</t>
  </si>
  <si>
    <t>C01-EMPTY-Exclusions</t>
  </si>
  <si>
    <t>Exclusions</t>
  </si>
  <si>
    <t>Not stated in the captured source. Do not infer no restrictions.</t>
  </si>
  <si>
    <t>Full official guidelines required.</t>
  </si>
  <si>
    <t>C02-SRC001</t>
  </si>
  <si>
    <t>Individual bank account holders of participating banks aged between 18 years (completed) and 70 years (age nearer birthday) who give their consent to join / enable auto-debit, will be enrolled into the scheme.</t>
  </si>
  <si>
    <t>MS-C02 / C02-P0014</t>
  </si>
  <si>
    <t>en.eligibilityCriteria.eligibilityDescription[0]</t>
  </si>
  <si>
    <t>C02@20261024-3ed0e7dc</t>
  </si>
  <si>
    <t>C02-EMPTY-Exclusions</t>
  </si>
  <si>
    <t>C03-SRC001</t>
  </si>
  <si>
    <t>The applicant should be a Small or Marginal Farmer.</t>
  </si>
  <si>
    <t>MS-C03 / C03-P0017</t>
  </si>
  <si>
    <t>en.eligibilityCriteria.eligibilityDescription[0].children[0].children[0]</t>
  </si>
  <si>
    <t>C03@20261024-9079f8ee</t>
  </si>
  <si>
    <t>C03-SRC002</t>
  </si>
  <si>
    <t>The applicant should have cultivable landholding up to 2 hectares as per State or Union Territory land records.</t>
  </si>
  <si>
    <t>MS-C03 / C03-P0018</t>
  </si>
  <si>
    <t>en.eligibilityCriteria.eligibilityDescription[0].children[0].children[1]</t>
  </si>
  <si>
    <t>C03-SRC003</t>
  </si>
  <si>
    <t>The applicant should be between 18 and 40 years of age at the time of entry.</t>
  </si>
  <si>
    <t>MS-C03 / C03-P0019</t>
  </si>
  <si>
    <t>en.eligibilityCriteria.eligibilityDescription[0].children[0].children[2]</t>
  </si>
  <si>
    <t>C03-SRC004</t>
  </si>
  <si>
    <t>The applicant’s name should appear in land records as on 01.08.2019.</t>
  </si>
  <si>
    <t>MS-C03 / C03-P0020</t>
  </si>
  <si>
    <t>en.eligibilityCriteria.eligibilityDescription[0].children[0].children[3]</t>
  </si>
  <si>
    <t>C03-SRC005</t>
  </si>
  <si>
    <t>The applicant should possess an Aadhaar card.</t>
  </si>
  <si>
    <t>MS-C03 / C03-P0021</t>
  </si>
  <si>
    <t>en.eligibilityCriteria.eligibilityDescription[0].children[0].children[4]</t>
  </si>
  <si>
    <t>C03-SRC006</t>
  </si>
  <si>
    <t>The applicant should have a savings bank account or PM-KISAN account.</t>
  </si>
  <si>
    <t>MS-C03 / C03-P0022</t>
  </si>
  <si>
    <t>en.eligibilityCriteria.eligibilityDescription[0].children[0].children[5]</t>
  </si>
  <si>
    <t>C03-SRC007</t>
  </si>
  <si>
    <t>Exclusion text</t>
  </si>
  <si>
    <t>SMFs covered under any other statuary social security schemes such as National Pension Scheme (NPS), Employees’ State Insurance Corporation scheme, Employees’ Fund Organization Scheme etc.</t>
  </si>
  <si>
    <t>MS-C03 / C03-P0023</t>
  </si>
  <si>
    <t>en.schemeContent.exclusions[0].children[0]</t>
  </si>
  <si>
    <t>C03-SRC008</t>
  </si>
  <si>
    <t>Farmers who have opted for Pradhan Mantri Shram Yogi Maandhan Yojana and Pradhan Mantri Vyapari Maandhan administered by the Ministry of Labour &amp; Employment.</t>
  </si>
  <si>
    <t>MS-C03 / C03-P0024</t>
  </si>
  <si>
    <t>en.schemeContent.exclusions[0].children[1]</t>
  </si>
  <si>
    <t>C03-SRC009</t>
  </si>
  <si>
    <t>Further, the following categories of beneficiaries of higher economic status shall not be eligible for benefits under the scheme:</t>
  </si>
  <si>
    <t>MS-C03 / C03-P0025</t>
  </si>
  <si>
    <t>en.schemeContent.exclusions[0].children[2]</t>
  </si>
  <si>
    <t>C03-SRC010</t>
  </si>
  <si>
    <t>All Institutional Landholders.</t>
  </si>
  <si>
    <t>MS-C03 / C03-P0026</t>
  </si>
  <si>
    <t>en.schemeContent.exclusions[0].children[3].children[0]</t>
  </si>
  <si>
    <t>C03-SRC011</t>
  </si>
  <si>
    <t>Former and present holders of constitutional posts.</t>
  </si>
  <si>
    <t>MS-C03 / C03-P0027</t>
  </si>
  <si>
    <t>en.schemeContent.exclusions[0].children[3].children[1]</t>
  </si>
  <si>
    <t>C03-SRC012</t>
  </si>
  <si>
    <t>Former and present Ministers/ State Ministers and former/present Members of Lok Sabha/ Rajya Sabha/ State Legislative Assemblies/ State Legislative Councils, former and present Mayors of Municipal Corporations, former and present Chairpersons of District Panchayats.</t>
  </si>
  <si>
    <t>MS-C03 / C03-P0028</t>
  </si>
  <si>
    <t>en.schemeContent.exclusions[0].children[3].children[2]</t>
  </si>
  <si>
    <t>C03-SRC013</t>
  </si>
  <si>
    <t>All serving or retired officers and employees of Central/ State Government Ministries/ Offices/Departments and their field units, Central or State PSEs and Attached offices/ Autonomous Institutions under Government as well as regular employees of the Local Bodies (Excluding Multi Tasking Staff / Class IV/Group D employees).</t>
  </si>
  <si>
    <t>MS-C03 / C03-P0029</t>
  </si>
  <si>
    <t>en.schemeContent.exclusions[0].children[3].children[3]</t>
  </si>
  <si>
    <t>C03-SRC014</t>
  </si>
  <si>
    <t>All Persons who paid Income Tax in the last assessment year Professionals like Doctors, Engineers, Lawyers, Chartered Accountants, and Architects registered with Professional bodies and carrying out profession by undertaking practice.</t>
  </si>
  <si>
    <t>MS-C03 / C03-P0030</t>
  </si>
  <si>
    <t>en.schemeContent.exclusions[0].children[3].children[4]</t>
  </si>
  <si>
    <t>C04-SRC001</t>
  </si>
  <si>
    <t>Age of joining and contribution period</t>
  </si>
  <si>
    <t>MS-C04 / C04-P0023</t>
  </si>
  <si>
    <t>C04@20261024-f406bd41</t>
  </si>
  <si>
    <t>C04-SRC002</t>
  </si>
  <si>
    <t>The minimum age of joining APY is 18 years and maximum is 40 years.</t>
  </si>
  <si>
    <t>MS-C04 / C04-P0024</t>
  </si>
  <si>
    <t>en.eligibilityCriteria.eligibilityDescription[1].children[0]</t>
  </si>
  <si>
    <t>C04-SRC003</t>
  </si>
  <si>
    <t>The age of exit and start of pension is 60 years.</t>
  </si>
  <si>
    <t>MS-C04 / C04-P0025</t>
  </si>
  <si>
    <t>en.eligibilityCriteria.eligibilityDescription[1].children[1]</t>
  </si>
  <si>
    <t>C04-SRC004</t>
  </si>
  <si>
    <t>Subscriber contribution to APY shall be made through the facility of ‘auto-debit’ of the prescribed contribution amount from the savings bank account of the subscriber on monthly, quarterly or half-yearly basis.</t>
  </si>
  <si>
    <t>MS-C04 / C04-P0026</t>
  </si>
  <si>
    <t>en.eligibilityCriteria.eligibilityDescription[1].children[2]</t>
  </si>
  <si>
    <t>C04-SRC005</t>
  </si>
  <si>
    <t>The subscribers are required to contribute the prescribed contribution amount from the age of joining APY till the age of  60 years.</t>
  </si>
  <si>
    <t>MS-C04 / C04-P0027</t>
  </si>
  <si>
    <t>en.eligibilityCriteria.eligibilityDescription[1].children[3]</t>
  </si>
  <si>
    <t>C04-SRC006</t>
  </si>
  <si>
    <t>Source heading</t>
  </si>
  <si>
    <t>From 1st October, 2022, any citizen who is or has been an income tax payer, shall  not be eligible to join  APY.</t>
  </si>
  <si>
    <t>MS-C04 / C04-P0028</t>
  </si>
  <si>
    <t>C05-SRC001</t>
  </si>
  <si>
    <t>The applicant must be an unorganized worker, construction workers, domestic workers, cobbler etc.</t>
  </si>
  <si>
    <t>MS-C05 / C05-P0012</t>
  </si>
  <si>
    <t>C05@20261024-2ff3e927</t>
  </si>
  <si>
    <t>C05-SRC002</t>
  </si>
  <si>
    <t>The applicant must have an entry age between 18 and 40 years.</t>
  </si>
  <si>
    <t>MS-C05 / C05-P0013</t>
  </si>
  <si>
    <t>C05-SRC003</t>
  </si>
  <si>
    <t>The applicant must have a monthly income of ₹15,000/- or less.</t>
  </si>
  <si>
    <t>MS-C05 / C05-P0014</t>
  </si>
  <si>
    <t>en.eligibilityCriteria.eligibilityDescription[0].children[2]</t>
  </si>
  <si>
    <t>C05-SRC004</t>
  </si>
  <si>
    <t>The applicant must possess a Savings Bank Account or Jan Dhan account number with an Indian Financial System Code.</t>
  </si>
  <si>
    <t>MS-C05 / C05-P0015</t>
  </si>
  <si>
    <t>en.eligibilityCriteria.eligibilityDescription[0].children[3]</t>
  </si>
  <si>
    <t>C05-SRC005</t>
  </si>
  <si>
    <t>The applicant must not be -</t>
  </si>
  <si>
    <t>MS-C05 / C05-P0016</t>
  </si>
  <si>
    <t>en.schemeContent.exclusions[0]</t>
  </si>
  <si>
    <t>C05-SRC006</t>
  </si>
  <si>
    <t>An income tax payer.</t>
  </si>
  <si>
    <t>MS-C05 / C05-P0017</t>
  </si>
  <si>
    <t>en.schemeContent.exclusions[1].children[0]</t>
  </si>
  <si>
    <t>C05-SRC007</t>
  </si>
  <si>
    <t>Engaged in the organized sector.</t>
  </si>
  <si>
    <t>MS-C05 / C05-P0018</t>
  </si>
  <si>
    <t>en.schemeContent.exclusions[1].children[1]</t>
  </si>
  <si>
    <t>C05-SRC008</t>
  </si>
  <si>
    <t>Holding membership in the Employees' Provident Fund Organization scheme.</t>
  </si>
  <si>
    <t>MS-C05 / C05-P0019</t>
  </si>
  <si>
    <t>en.schemeContent.exclusions[1].children[2]</t>
  </si>
  <si>
    <t>C05-SRC009</t>
  </si>
  <si>
    <t>Holding membership in the National Pension Scheme.</t>
  </si>
  <si>
    <t>MS-C05 / C05-P0020</t>
  </si>
  <si>
    <t>en.schemeContent.exclusions[1].children[3]</t>
  </si>
  <si>
    <t>C05-SRC010</t>
  </si>
  <si>
    <t>Holding membership in the Employees' State Insurance Corporation scheme.</t>
  </si>
  <si>
    <t>MS-C05 / C05-P0021</t>
  </si>
  <si>
    <t>en.schemeContent.exclusions[1].children[4]</t>
  </si>
  <si>
    <t>C05-SRC011</t>
  </si>
  <si>
    <t>Not a member of NPS-Traders scheme.</t>
  </si>
  <si>
    <t>MS-C05 / C05-P0022</t>
  </si>
  <si>
    <t>en.schemeContent.exclusions[1].children[5]</t>
  </si>
  <si>
    <t>C06-SRC001</t>
  </si>
  <si>
    <t>The eligibility criteria under Indira Gandhi National Widow Pension Scheme (IGNWPS) is:-</t>
  </si>
  <si>
    <t>MS-C06 / C06-P0003</t>
  </si>
  <si>
    <t>C06@20261024-3bcb7349</t>
  </si>
  <si>
    <t>C06-SRC002</t>
  </si>
  <si>
    <t>The applicant must be a widow in the age group of 40-79 years.</t>
  </si>
  <si>
    <t>MS-C06 / C06-P0004</t>
  </si>
  <si>
    <t>en.eligibilityCriteria.eligibilityDescription[2].children[0]</t>
  </si>
  <si>
    <t>C06-SRC003</t>
  </si>
  <si>
    <t>The applicant should belong to a household living below the poverty line according to the criteria prescribed by the Govt. of India</t>
  </si>
  <si>
    <t>MS-C06 / C06-P0005</t>
  </si>
  <si>
    <t>en.eligibilityCriteria.eligibilityDescription[2].children[1]</t>
  </si>
  <si>
    <t>C06-SRC004</t>
  </si>
  <si>
    <t>Pension will be discontinued</t>
  </si>
  <si>
    <t>MS-C06 / C06-P0006</t>
  </si>
  <si>
    <t>C06-SRC005</t>
  </si>
  <si>
    <t>In case of remarriage of widow</t>
  </si>
  <si>
    <t>MS-C06 / C06-P0007</t>
  </si>
  <si>
    <t>en.schemeContent.exclusions[2].children[0]</t>
  </si>
  <si>
    <t>C06-SRC006</t>
  </si>
  <si>
    <t>Once the widow moves above poverty line</t>
  </si>
  <si>
    <t>MS-C06 / C06-P0008</t>
  </si>
  <si>
    <t>en.schemeContent.exclusions[2].children[1]</t>
  </si>
  <si>
    <t>M01-SRC001</t>
  </si>
  <si>
    <t>The applicant should be a citizen of India.</t>
  </si>
  <si>
    <t>MS-M01 / M01-P0004</t>
  </si>
  <si>
    <t>M01@20261024-eb35aec9</t>
  </si>
  <si>
    <t>M01-SRC002</t>
  </si>
  <si>
    <t>The applicant should be a domicile / permanent resident of the state of Maharashtra.</t>
  </si>
  <si>
    <t>MS-M01 / M01-P0005</t>
  </si>
  <si>
    <t>M01-SRC003</t>
  </si>
  <si>
    <t>The name of the applicant should be in the list of Below Poverty Line (BPL) families OR the annual income of the family should be less than or equal to ₹ 21,000/-.</t>
  </si>
  <si>
    <t>MS-M01 / M01-P0006</t>
  </si>
  <si>
    <t>M01-SRC004</t>
  </si>
  <si>
    <t>The applicant should be one of the following:</t>
  </si>
  <si>
    <t>MS-M01 / M01-P0007</t>
  </si>
  <si>
    <t>M01-SRC005</t>
  </si>
  <si>
    <t>a) Destitute Men and Women below 65 Years of Age.</t>
  </si>
  <si>
    <t>MS-M01 / M01-P0008</t>
  </si>
  <si>
    <t>en.eligibilityCriteria.eligibilityDescription[1]</t>
  </si>
  <si>
    <t>M01-SRC006</t>
  </si>
  <si>
    <t>b) Orphan Children.</t>
  </si>
  <si>
    <t>MS-M01 / M01-P0009</t>
  </si>
  <si>
    <t>en.eligibilityCriteria.eligibilityDescription[2]</t>
  </si>
  <si>
    <t>M01-SRC007</t>
  </si>
  <si>
    <t>c) All categories of Person with Disability (PwD).</t>
  </si>
  <si>
    <t>MS-M01 / M01-P0010</t>
  </si>
  <si>
    <t>en.eligibilityCriteria.eligibilityDescription[3]</t>
  </si>
  <si>
    <t>M01-SRC008</t>
  </si>
  <si>
    <t>d) Men and Women Who Are Unable to Sustain Themselves Due to Diseases Like Tuberculosis, Cancer, Aids, Leprosy.</t>
  </si>
  <si>
    <t>MS-M01 / M01-P0011</t>
  </si>
  <si>
    <t>en.eligibilityCriteria.eligibilityDescription[4]</t>
  </si>
  <si>
    <t>M01-SRC009</t>
  </si>
  <si>
    <t>e) Destitute Widows (including widows of farmers who committed suicide).</t>
  </si>
  <si>
    <t>MS-M01 / M01-P0012</t>
  </si>
  <si>
    <t>en.eligibilityCriteria.eligibilityDescription[5]</t>
  </si>
  <si>
    <t>M01-SRC010</t>
  </si>
  <si>
    <t>f) Women in the Divorce Process and Divorced but Not Alimony.</t>
  </si>
  <si>
    <t>MS-M01 / M01-P0013</t>
  </si>
  <si>
    <t>en.eligibilityCriteria.eligibilityDescription[6]</t>
  </si>
  <si>
    <t>M01-SRC011</t>
  </si>
  <si>
    <t>g) Women Who Have Been Tortured and Released From Prostitution.</t>
  </si>
  <si>
    <t>MS-M01 / M01-P0014</t>
  </si>
  <si>
    <t>en.eligibilityCriteria.eligibilityDescription[7]</t>
  </si>
  <si>
    <t>M01-SRC012</t>
  </si>
  <si>
    <t>h) Transgender.</t>
  </si>
  <si>
    <t>MS-M01 / M01-P0015</t>
  </si>
  <si>
    <t>en.eligibilityCriteria.eligibilityDescription[8]</t>
  </si>
  <si>
    <t>M01-SRC013</t>
  </si>
  <si>
    <t>i) Devadasi.</t>
  </si>
  <si>
    <t>MS-M01 / M01-P0016</t>
  </si>
  <si>
    <t>en.eligibilityCriteria.eligibilityDescription[9]</t>
  </si>
  <si>
    <t>M01-SRC014</t>
  </si>
  <si>
    <t>j) Unmarried Women Above 35 Years of Age.</t>
  </si>
  <si>
    <t>MS-M01 / M01-P0017</t>
  </si>
  <si>
    <t>en.eligibilityCriteria.eligibilityDescription[10]</t>
  </si>
  <si>
    <t>M01-SRC015</t>
  </si>
  <si>
    <t>k) The Wives of Prisoners Serving Sentences in Jail.</t>
  </si>
  <si>
    <t>MS-M01 / M01-P0018</t>
  </si>
  <si>
    <t>en.eligibilityCriteria.eligibilityDescription[11]</t>
  </si>
  <si>
    <t>M01-SRC016</t>
  </si>
  <si>
    <t>l) Those Suffering From Sickle Cell Disease.</t>
  </si>
  <si>
    <t>MS-M01 / M01-P0019</t>
  </si>
  <si>
    <t>en.eligibilityCriteria.eligibilityDescription[12]</t>
  </si>
  <si>
    <t>M01-EMPTY-Exclusions</t>
  </si>
  <si>
    <t>M02-SRC001</t>
  </si>
  <si>
    <t>MS-M02 / M02-P0005</t>
  </si>
  <si>
    <t>M02@20261024-19942668</t>
  </si>
  <si>
    <t>M02-SRC002</t>
  </si>
  <si>
    <t>The applicant should be a domicile / permanent resident of the state of Maharashtra for at least 15 years.</t>
  </si>
  <si>
    <t>MS-M02 / M02-P0006</t>
  </si>
  <si>
    <t>M02-SRC003</t>
  </si>
  <si>
    <t>The applicant should be destitute.</t>
  </si>
  <si>
    <t>MS-M02 / M02-P0007</t>
  </si>
  <si>
    <t>M02-SRC004</t>
  </si>
  <si>
    <t>The applicant should be 65 years or above in age.</t>
  </si>
  <si>
    <t>MS-M02 / M02-P0008</t>
  </si>
  <si>
    <t>M02-SRC005</t>
  </si>
  <si>
    <t>MS-M02 / M02-P0009</t>
  </si>
  <si>
    <t>en.eligibilityCriteria.eligibilityDescription[0].children[4]</t>
  </si>
  <si>
    <t>M02-EMPTY-Exclusions</t>
  </si>
  <si>
    <t>M03-SRC001</t>
  </si>
  <si>
    <t>MS-M03 / M03-P0001</t>
  </si>
  <si>
    <t>earlier_review.rules[0]</t>
  </si>
  <si>
    <t>M03@20261023-86676752</t>
  </si>
  <si>
    <t>M03-SRC002</t>
  </si>
  <si>
    <t>MS-M03 / M03-P0002</t>
  </si>
  <si>
    <t>earlier_review.rules[1]</t>
  </si>
  <si>
    <t>M03-SRC003</t>
  </si>
  <si>
    <t>MS-M03 / M03-P0003</t>
  </si>
  <si>
    <t>earlier_review.rules[2]</t>
  </si>
  <si>
    <t>M03-SRC004</t>
  </si>
  <si>
    <t>MS-M03 / M03-P0004</t>
  </si>
  <si>
    <t>earlier_review.rules[3]</t>
  </si>
  <si>
    <t>M03-SRC005</t>
  </si>
  <si>
    <t>MS-M03 / M03-P0005</t>
  </si>
  <si>
    <t>earlier_review.rules[4]</t>
  </si>
  <si>
    <t>M03-SRC006</t>
  </si>
  <si>
    <t>MS-M03 / M03-P0006</t>
  </si>
  <si>
    <t>earlier_review.rules[5]</t>
  </si>
  <si>
    <t>M03-SRC007</t>
  </si>
  <si>
    <t>MS-M03 / M03-P0007</t>
  </si>
  <si>
    <t>earlier_review.rules[6]</t>
  </si>
  <si>
    <t>M03-SRC008</t>
  </si>
  <si>
    <t>MS-M03 / M03-P0008</t>
  </si>
  <si>
    <t>earlier_review.rules[7]</t>
  </si>
  <si>
    <t>M03-SRC009</t>
  </si>
  <si>
    <t>Exception candidate</t>
  </si>
  <si>
    <t>MS-M03 / M03-P0009</t>
  </si>
  <si>
    <t>earlier_review.rules[8]</t>
  </si>
  <si>
    <t>M04-SRC001</t>
  </si>
  <si>
    <t>MS-M04 / M04-P0001</t>
  </si>
  <si>
    <t>M04@20261023-230cad49</t>
  </si>
  <si>
    <t>M04-SRC002</t>
  </si>
  <si>
    <t>MS-M04 / M04-P0002</t>
  </si>
  <si>
    <t>M04-SRC003</t>
  </si>
  <si>
    <t>MS-M04 / M04-P0003</t>
  </si>
  <si>
    <t>M04-SRC004</t>
  </si>
  <si>
    <t>MS-M04 / M04-P0004</t>
  </si>
  <si>
    <t>M04-SRC005</t>
  </si>
  <si>
    <t>MS-M04 / M04-P0005</t>
  </si>
  <si>
    <t>M04-SRC006</t>
  </si>
  <si>
    <t>MS-M04 / M04-P0006</t>
  </si>
  <si>
    <t>C07-SRC001</t>
  </si>
  <si>
    <t>General Conditions:</t>
  </si>
  <si>
    <t>MS-C07 / C07-P0016</t>
  </si>
  <si>
    <t>C07@20261024-bec611b8</t>
  </si>
  <si>
    <t>C07-SRC002</t>
  </si>
  <si>
    <t>The applicant should be an Indian scientist working in agriculture or allied fields in ICAR institutes, public agricultural institutions, or Krishi Vigyan Kendras, and must have made significant contributions in India.</t>
  </si>
  <si>
    <t>MS-C07 / C07-P0017</t>
  </si>
  <si>
    <t>C07-SRC003</t>
  </si>
  <si>
    <t>The applicant should have work (research, innovation, or extension) that shows clear and proven impact on society, economy, or environment, supported by the Head of the Institution.</t>
  </si>
  <si>
    <t>MS-C07 / C07-P0018</t>
  </si>
  <si>
    <t>C07-SRC004</t>
  </si>
  <si>
    <t>The applicant can apply at any stage of their career, as no minimum service period is required.</t>
  </si>
  <si>
    <t>MS-C07 / C07-P0019</t>
  </si>
  <si>
    <t>C07-SRC005</t>
  </si>
  <si>
    <t>The applicant should submit only one application for a particular contribution in a year, and the application will be valid only for that year.</t>
  </si>
  <si>
    <t>MS-C07 / C07-P0020</t>
  </si>
  <si>
    <t>C07-SRC006</t>
  </si>
  <si>
    <t>The applicant should have a clean service record, with no pending enquiry or major punishment in the last five years.</t>
  </si>
  <si>
    <t>MS-C07 / C07-P0021</t>
  </si>
  <si>
    <t>en.eligibilityCriteria.eligibilityDescription[1].children[4]</t>
  </si>
  <si>
    <t>C07-SRC007</t>
  </si>
  <si>
    <t>The applicant should apply under only one category and cannot be considered for multiple categories.</t>
  </si>
  <si>
    <t>MS-C07 / C07-P0022</t>
  </si>
  <si>
    <t>en.eligibilityCriteria.eligibilityDescription[1].children[5]</t>
  </si>
  <si>
    <t>C07-SRC008</t>
  </si>
  <si>
    <t>Category-wise Conditions:</t>
  </si>
  <si>
    <t>MS-C07 / C07-P0023</t>
  </si>
  <si>
    <t>C07-SRC009</t>
  </si>
  <si>
    <t>The applicant can apply individually or as part of a team (maximum five members) for innovation and research awards, and must be below 60 years of age.</t>
  </si>
  <si>
    <t>MS-C07 / C07-P0024</t>
  </si>
  <si>
    <t>en.eligibilityCriteria.eligibilityDescription[3].children[0]</t>
  </si>
  <si>
    <t>C07-SRC010</t>
  </si>
  <si>
    <t>The applicant applying for interdisciplinary research should be part of a team of at least three members from different disciplines, and the team leader must be below 60 years of age.</t>
  </si>
  <si>
    <t>MS-C07 / C07-P0025</t>
  </si>
  <si>
    <t>en.eligibilityCriteria.eligibilityDescription[3].children[1]</t>
  </si>
  <si>
    <t>C07-SRC011</t>
  </si>
  <si>
    <t>The applicant applying for the women scientist category should be a woman working in agriculture or allied fields, and must be below 60 years of age.</t>
  </si>
  <si>
    <t>MS-C07 / C07-P0026</t>
  </si>
  <si>
    <t>en.eligibilityCriteria.eligibilityDescription[3].children[2]</t>
  </si>
  <si>
    <t>C07-SRC012</t>
  </si>
  <si>
    <t>The applicant applying for the young scientist category should have a doctoral degree, hold a regular position, and must be below 45 years of age.</t>
  </si>
  <si>
    <t>MS-C07 / C07-P0027</t>
  </si>
  <si>
    <t>en.eligibilityCriteria.eligibilityDescription[3].children[3]</t>
  </si>
  <si>
    <t>C07-EMPTY-Exclusions</t>
  </si>
  <si>
    <t>C08-SRC001</t>
  </si>
  <si>
    <t>The applicant must be a manufacturing-cum-marketing entity, a Compressed Bio-Gas operator, a Bio-gas operator, a marketer, or a distributor under the umbrella Galvanizing Organic Bio-Agro Resources Dhan initiative.</t>
  </si>
  <si>
    <t>MS-C08 / C08-P0014</t>
  </si>
  <si>
    <t>C08@20261024-b9d4ff12</t>
  </si>
  <si>
    <t>C08-SRC002</t>
  </si>
  <si>
    <t>The applicant must be a Fertilizer Marketing Company marketing their organic fertilizers.</t>
  </si>
  <si>
    <t>MS-C08 / C08-P0015</t>
  </si>
  <si>
    <t>C08-SRC003</t>
  </si>
  <si>
    <t>The applicant must produce organic fertilizers at Bio-Gas or Compressed Bio-Gas plants established under the umbrella Galvanizing Organic Bio-Agro Resources Dhan initiative.</t>
  </si>
  <si>
    <t>MS-C08 / C08-P0016</t>
  </si>
  <si>
    <t>C08-SRC004</t>
  </si>
  <si>
    <t>The applicant must ensure the Bio-Gas or Compressed Bio-Gas plants are supported under initiatives like the Sustainable Alternative Towards Affordable Transportation scheme, the Waste to Energy programme, or the Swachh Bharat Mission.</t>
  </si>
  <si>
    <t>MS-C08 / C08-P0017</t>
  </si>
  <si>
    <t>C08-SRC005</t>
  </si>
  <si>
    <t>The applicant must register the Bio-Gas or Compressed Bio-Gas units with the Galvanizing Organic Bio-Agro Resources Dhan portal of the Department of Drinking Water &amp; Sanitation as a pre-requisite condition.</t>
  </si>
  <si>
    <t>MS-C08 / C08-P0018</t>
  </si>
  <si>
    <t>C08-SRC006</t>
  </si>
  <si>
    <t>The applicant must market Fermented Organic Manure, Liquid Fermented Organic Manure, or enriched Phosphate Rich Organic Manure.</t>
  </si>
  <si>
    <t>MS-C08 / C08-P0019</t>
  </si>
  <si>
    <t>en.eligibilityCriteria.eligibilityDescription[0].children[5]</t>
  </si>
  <si>
    <t>C08-SRC007</t>
  </si>
  <si>
    <t>The applicant must market the organic fertilizers in packed form.</t>
  </si>
  <si>
    <t>MS-C08 / C08-P0020</t>
  </si>
  <si>
    <t>en.eligibilityCriteria.eligibilityDescription[0].children[6]</t>
  </si>
  <si>
    <t>C08-SRC008</t>
  </si>
  <si>
    <t>The applicant must ensure the organic fertilizers conform to the specifications mentioned in the Fertilizer Control Order, 1985.</t>
  </si>
  <si>
    <t>MS-C08 / C08-P0021</t>
  </si>
  <si>
    <t>en.eligibilityCriteria.eligibilityDescription[0].children[7]</t>
  </si>
  <si>
    <t>C08-SRC009</t>
  </si>
  <si>
    <t>The applicant must undergo quality testing at Government notified laboratories or National Accreditation Board for Testing and Calibration Laboratories accredited private laboratories.</t>
  </si>
  <si>
    <t>MS-C08 / C08-P0022</t>
  </si>
  <si>
    <t>en.eligibilityCriteria.eligibilityDescription[0].children[8]</t>
  </si>
  <si>
    <t>C08-SRC010</t>
  </si>
  <si>
    <t>Relaxations</t>
  </si>
  <si>
    <t>MS-C08 / C08-P0023</t>
  </si>
  <si>
    <t>C08-SRC011</t>
  </si>
  <si>
    <t>The applicant may market the fertilizers in bulk or loose form on an experimental basis subject to necessary notifications by the Department of Agriculture &amp; Farmers Welfare.</t>
  </si>
  <si>
    <t>MS-C08 / C08-P0024</t>
  </si>
  <si>
    <t>C08-SRC012</t>
  </si>
  <si>
    <t>Primary Agricultural Cooperative Societies may be engaged as aggregators by the Fertilizers Marketing Companies or manufacturers, wherever feasible.</t>
  </si>
  <si>
    <t>MS-C08 / C08-P0025</t>
  </si>
  <si>
    <t>C08-SRC013</t>
  </si>
  <si>
    <t>Post-selection candidate</t>
  </si>
  <si>
    <t>Post-Selection Conditions</t>
  </si>
  <si>
    <t>MS-C08 / C08-P0026</t>
  </si>
  <si>
    <t>C08-SRC014</t>
  </si>
  <si>
    <t>The applicant must maintain records of a permanent nature in continuity year after year.</t>
  </si>
  <si>
    <t>MS-C08 / C08-P0027</t>
  </si>
  <si>
    <t>en.eligibilityCriteria.eligibilityDescription[4].children[0]</t>
  </si>
  <si>
    <t>C08-SRC015</t>
  </si>
  <si>
    <t>The applicant must make all permanent records available to the Department of Fertilizers or the Fertilizer Flying Squad for audit and verification.</t>
  </si>
  <si>
    <t>MS-C08 / C08-P0028</t>
  </si>
  <si>
    <t>en.eligibilityCriteria.eligibilityDescription[4].children[1]</t>
  </si>
  <si>
    <t>C08-EMPTY-Exclusions</t>
  </si>
  <si>
    <t>C09-SRC001</t>
  </si>
  <si>
    <t>The applicant must be an Indian Citizen.</t>
  </si>
  <si>
    <t>MS-C09 / C09-P0027</t>
  </si>
  <si>
    <t>C09@20261024-1212c37c</t>
  </si>
  <si>
    <t>C09-SRC002</t>
  </si>
  <si>
    <t>The applicant must have an innovative idea or an invention.</t>
  </si>
  <si>
    <t>MS-C09 / C09-P0028</t>
  </si>
  <si>
    <t>C09-SRC003</t>
  </si>
  <si>
    <t>The applicant must propose a project where the project cost is more than ₹5,00,000/- and up to ₹35,00,000/-.</t>
  </si>
  <si>
    <t>MS-C09 / C09-P0029</t>
  </si>
  <si>
    <t>C09-SRC004</t>
  </si>
  <si>
    <t>The applicant must ensure the project duration does not exceed 24 months.</t>
  </si>
  <si>
    <t>MS-C09 / C09-P0030</t>
  </si>
  <si>
    <t>C09-SRC005</t>
  </si>
  <si>
    <t>The applicant must ensure the proposal involves the fabrication of a working model/process know-how/testing and trial/patenting/technology transfer.</t>
  </si>
  <si>
    <t>MS-C09 / C09-P0031</t>
  </si>
  <si>
    <t>C09-SRC006</t>
  </si>
  <si>
    <t>The applicant must ensure the proposal does not involve only software development.</t>
  </si>
  <si>
    <t>MS-C09 / C09-P0032</t>
  </si>
  <si>
    <t>C09-SRC007</t>
  </si>
  <si>
    <t>The applicant must ensure the proposal is not for basic scientific research having no immediate commercial implications.</t>
  </si>
  <si>
    <t>MS-C09 / C09-P0033</t>
  </si>
  <si>
    <t>C09-SRC008</t>
  </si>
  <si>
    <t>Specific Conditions</t>
  </si>
  <si>
    <t>MS-C09 / C09-P0034</t>
  </si>
  <si>
    <t>C09-SRC009</t>
  </si>
  <si>
    <t>Students: The applicant must provide a `No Objection Certificate’ from the head of their institution on the institution’s letterhead.</t>
  </si>
  <si>
    <t>MS-C09 / C09-P0035</t>
  </si>
  <si>
    <t>C09-SRC010</t>
  </si>
  <si>
    <t>Students: The applicant must ensure the commitment from the institution that the project will be taken to its logical conclusion by the student/concerned faculty.</t>
  </si>
  <si>
    <t>MS-C09 / C09-P0036</t>
  </si>
  <si>
    <t>C09-SRC011</t>
  </si>
  <si>
    <t>Individuals Working in Organizations: The applicant must furnish a `No Objection Certificate’ from their employer.</t>
  </si>
  <si>
    <t>MS-C09 / C09-P0037</t>
  </si>
  <si>
    <t>en.eligibilityCriteria.eligibilityDescription[2].children[2]</t>
  </si>
  <si>
    <t>C09-SRC012</t>
  </si>
  <si>
    <t>Preference candidate</t>
  </si>
  <si>
    <t>Desirable Criteria (Preference)</t>
  </si>
  <si>
    <t>MS-C09 / C09-P0038</t>
  </si>
  <si>
    <t>C09-SRC013</t>
  </si>
  <si>
    <t>The proposals should preferably be in the following focus sectors: Green Technology, Clean Energy, Industrially utilizable smart materials, Waste to wealth, Affordable healthcare, Water &amp; sewage management, or any other technology or knowledge-intensive area.</t>
  </si>
  <si>
    <t>MS-C09 / C09-P0039</t>
  </si>
  <si>
    <t>C09-SRC014</t>
  </si>
  <si>
    <t>Preference: Student innovators making it to the final of any competition are eligible, but they should take the project as a full-time activity after graduation to ensure their studies are not adversely affected.</t>
  </si>
  <si>
    <t>MS-C09 / C09-P0040</t>
  </si>
  <si>
    <t>C09-SRC015</t>
  </si>
  <si>
    <t>The applicant should ensure the proposal is submitted through the nearest TePP Outreach cum Cluster Innovation Centre, even if scouted, documented, and mentored by other agencies, and must include evaluation by the assisting agency.</t>
  </si>
  <si>
    <t>MS-C09 / C09-P0041</t>
  </si>
  <si>
    <t>en.eligibilityCriteria.eligibilityDescription[4].children[2]</t>
  </si>
  <si>
    <t>C09-SRC016</t>
  </si>
  <si>
    <t>Proposals involving only software development.</t>
  </si>
  <si>
    <t>MS-C09 / C09-P0042</t>
  </si>
  <si>
    <t>C09-SRC017</t>
  </si>
  <si>
    <t>Proposals involving only patenting (unless patenting is along with prototype development).</t>
  </si>
  <si>
    <t>MS-C09 / C09-P0043</t>
  </si>
  <si>
    <t>C09-SRC018</t>
  </si>
  <si>
    <t>Proposals for basic scientific research having no immediate commercial implication</t>
  </si>
  <si>
    <t>MS-C09 / C09-P0044</t>
  </si>
  <si>
    <t>C10-SRC001</t>
  </si>
  <si>
    <t>The applicant must be a Khadi artisan or Khadi Institution registered with KVIC or KVIB.</t>
  </si>
  <si>
    <t>MS-C10 / C10-P0018</t>
  </si>
  <si>
    <t>C10@20261024-a0b2c5eb</t>
  </si>
  <si>
    <t>C10-SRC002</t>
  </si>
  <si>
    <t>The applicant must be between 18 to 55 years of age.</t>
  </si>
  <si>
    <t>MS-C10 / C10-P0019</t>
  </si>
  <si>
    <t>C10-SRC003</t>
  </si>
  <si>
    <t>The applicant must have a valid Aadhaar card or government-issued ID.</t>
  </si>
  <si>
    <t>MS-C10 / C10-P0020</t>
  </si>
  <si>
    <t>C10-SRC004</t>
  </si>
  <si>
    <t>One person per family is eligible under the scheme.</t>
  </si>
  <si>
    <t>MS-C10 / C10-P0021</t>
  </si>
  <si>
    <t>C10-SRC005</t>
  </si>
  <si>
    <t>The applicant should not have availed benefits from any other government scheme for the same purpose.</t>
  </si>
  <si>
    <t>MS-C10 / C10-P0022</t>
  </si>
  <si>
    <t>C10-SRC006</t>
  </si>
  <si>
    <t>Preference is given to SC/ST, women, unemployed youth, and BPL category applicants.</t>
  </si>
  <si>
    <t>MS-C10 / C10-P0023</t>
  </si>
  <si>
    <t>C10-SRC007</t>
  </si>
  <si>
    <t>The beneficiaries may be identified by KVIC, KVIBs, NGOs, DICs, FPOs, or Khadi Institutions.</t>
  </si>
  <si>
    <t>MS-C10 / C10-P0024</t>
  </si>
  <si>
    <t>C10-EMPTY-Exclusions</t>
  </si>
  <si>
    <t>C11-SRC001</t>
  </si>
  <si>
    <t>Finance is  provided for Greenfield Enterprises.</t>
  </si>
  <si>
    <t>MS-C11 / C11-P0004</t>
  </si>
  <si>
    <t>C11@20261024-486473c0</t>
  </si>
  <si>
    <t>C11-SRC002</t>
  </si>
  <si>
    <t>If the applicant is a male, he must be from SC / ST category.</t>
  </si>
  <si>
    <t>MS-C11 / C11-P0005</t>
  </si>
  <si>
    <t>en.eligibilityCriteria.eligibilityDescription[0].children[1].children[0]</t>
  </si>
  <si>
    <t>C11-SRC003</t>
  </si>
  <si>
    <t>The age of the applicant must be at least 18 years.</t>
  </si>
  <si>
    <t>MS-C11 / C11-P0006</t>
  </si>
  <si>
    <t>en.eligibilityCriteria.eligibilityDescription[0].children[2].children[0]</t>
  </si>
  <si>
    <t>C11-SRC004</t>
  </si>
  <si>
    <t>The applicant must not be in default to any bank/financial institution.</t>
  </si>
  <si>
    <t>MS-C11 / C11-P0007</t>
  </si>
  <si>
    <t>en.eligibilityCriteria.eligibilityDescription[0].children[3].children[0]</t>
  </si>
  <si>
    <t>C11-EMPTY-Exclusions</t>
  </si>
  <si>
    <t>C12-SRC001</t>
  </si>
  <si>
    <t>The applicant must be one of the following:</t>
  </si>
  <si>
    <t>MS-C12 / C12-P0023</t>
  </si>
  <si>
    <t>C12@20261024-16b8e713</t>
  </si>
  <si>
    <t>C12-SRC002</t>
  </si>
  <si>
    <t>Handloom agencies including State level organizations such as Handloom Corporations, Apex Cooperative Societies and National Level Handloom Organizations, Primary Handloom Weavers Cooperative Societies, Producer Companies, Self Help Groups, Joint Liability Groups, Federations and Other eligible Handloom entities.</t>
  </si>
  <si>
    <t>MS-C12 / C12-P0024</t>
  </si>
  <si>
    <t>C12-SRC003</t>
  </si>
  <si>
    <t>The applicant must have made the final transaction of product sale to the consumer.</t>
  </si>
  <si>
    <t>MS-C12 / C12-P0025</t>
  </si>
  <si>
    <t>C12-SRC004</t>
  </si>
  <si>
    <t>The applicant must use Handloom Mark or India Handloom Brand for their handloom products.</t>
  </si>
  <si>
    <t>MS-C12 / C12-P0026</t>
  </si>
  <si>
    <t>C12-SRC005</t>
  </si>
  <si>
    <t>The applicant must have average sales turnover of handloom products for the last 3 years for incentive calculation.</t>
  </si>
  <si>
    <t>MS-C12 / C12-P0027</t>
  </si>
  <si>
    <t>C12-SRC006</t>
  </si>
  <si>
    <t>Sales by one handloom agency to another handloom agency are not eligible.</t>
  </si>
  <si>
    <t>MS-C12 / C12-P0028</t>
  </si>
  <si>
    <t>C12-SRC007</t>
  </si>
  <si>
    <t>Sales of handloom products by Primary Handloom Weavers Cooperative Societies or any other Handloom Agency to Apex Societies, Federations, Producer Companies, Corporations are excluded.</t>
  </si>
  <si>
    <t>MS-C12 / C12-P0029</t>
  </si>
  <si>
    <t>C12-SRC008</t>
  </si>
  <si>
    <t>Sales by handloom agencies to Government departments/agencies are excluded.</t>
  </si>
  <si>
    <t>MS-C12 / C12-P0030</t>
  </si>
  <si>
    <t>C12-SRC009</t>
  </si>
  <si>
    <t>Sales made under barter system by handloom agencies are excluded.</t>
  </si>
  <si>
    <t>MS-C12 / C12-P0031</t>
  </si>
  <si>
    <t>en.schemeContent.exclusions[0].children[3]</t>
  </si>
  <si>
    <t>C12-SRC010</t>
  </si>
  <si>
    <t>Agencies that have received similar kind of incentive/rebate under any other Central Government scheme are not preferred.</t>
  </si>
  <si>
    <t>MS-C12 / C12-P0032</t>
  </si>
  <si>
    <t>en.schemeContent.exclusions[0].children[4]</t>
  </si>
  <si>
    <t>C13-SRC001</t>
  </si>
  <si>
    <t>MS-C13 / C13-P0035</t>
  </si>
  <si>
    <t>C13@20261024-af2c5a6d</t>
  </si>
  <si>
    <t>C13-SRC002</t>
  </si>
  <si>
    <t>Farmers - individual/joint borrowers who are owner cultivators;</t>
  </si>
  <si>
    <t>MS-C13 / C13-P0036</t>
  </si>
  <si>
    <t>C13-SRC003</t>
  </si>
  <si>
    <t>Tenant farmers, oral lessees &amp; share croppers;</t>
  </si>
  <si>
    <t>MS-C13 / C13-P0037</t>
  </si>
  <si>
    <t>C13-SRC004</t>
  </si>
  <si>
    <t>Self Help Groups (SHGs) or Joint Liability Groups (JLGs) of farmers including tenant farmers, share croppers etc</t>
  </si>
  <si>
    <t>MS-C13 / C13-P0038</t>
  </si>
  <si>
    <t>C13-EMPTY-Exclusions</t>
  </si>
  <si>
    <t>C14-SRC001</t>
  </si>
  <si>
    <t>All farmers, including tenant farmers and sharecroppers growing notified crops in notified areas.</t>
  </si>
  <si>
    <t>MS-C14 / C14-P0017</t>
  </si>
  <si>
    <t>C14@20261024-42c40d2e</t>
  </si>
  <si>
    <t>C14-SRC002</t>
  </si>
  <si>
    <t>Farmers must have an insurable interest in the insured crops.</t>
  </si>
  <si>
    <t>MS-C14 / C14-P0018</t>
  </si>
  <si>
    <t>C14-SRC003</t>
  </si>
  <si>
    <t>Farmers must possess a valid and authenticated land ownership certificate or a valid land tenure agreement.</t>
  </si>
  <si>
    <t>MS-C14 / C14-P0019</t>
  </si>
  <si>
    <t>C14-SRC004</t>
  </si>
  <si>
    <t>The farmer must be a cultivator or sharecropper on the insured land.</t>
  </si>
  <si>
    <t>MS-C14 / C14-P0020</t>
  </si>
  <si>
    <t>C14-SRC005</t>
  </si>
  <si>
    <t>The farmer must apply for insurance coverage within the prescribed time frame, usually within 2 weeks of the start of the sowing season.</t>
  </si>
  <si>
    <t>MS-C14 / C14-P0021</t>
  </si>
  <si>
    <t>C14-SRC006</t>
  </si>
  <si>
    <t>Farmers must not have received compensation for the same crop loss from any other medium or source.</t>
  </si>
  <si>
    <t>MS-C14 / C14-P0022</t>
  </si>
  <si>
    <t>C14-SRC007</t>
  </si>
  <si>
    <t>Non-Notified Areas</t>
  </si>
  <si>
    <t>MS-C14 / C14-P0023</t>
  </si>
  <si>
    <t>C14-SRC008</t>
  </si>
  <si>
    <t>PMFBY applies to notified areas, and crop losses in non-notified areas are generally not covered. Farmers in areas not designated under the scheme may not receive compensation.</t>
  </si>
  <si>
    <t>MS-C14 / C14-P0024</t>
  </si>
  <si>
    <t>en.schemeContent.exclusions[1]</t>
  </si>
  <si>
    <t>C14-SRC009</t>
  </si>
  <si>
    <t>Losses Outside the Crop Cycle</t>
  </si>
  <si>
    <t>MS-C14 / C14-P0025</t>
  </si>
  <si>
    <t>C14-SRC010</t>
  </si>
  <si>
    <t>Crop losses occurring outside the specified crop cycle are often excluded from coverage. If a loss is not directly related to the growing season, it may not be eligible for compensation.</t>
  </si>
  <si>
    <t>MS-C14 / C14-P0026</t>
  </si>
  <si>
    <t>en.schemeContent.exclusions[3]</t>
  </si>
  <si>
    <t>C14-SRC011</t>
  </si>
  <si>
    <t>Negligence and Non-Compliance</t>
  </si>
  <si>
    <t>MS-C14 / C14-P0027</t>
  </si>
  <si>
    <t>en.schemeContent.exclusions[4].children[0]</t>
  </si>
  <si>
    <t>C14-SRC012</t>
  </si>
  <si>
    <t>Losses resulting from farmer negligence, non-compliance with recommended agricultural practices, or failure to protect the crop adequately may be excluded.</t>
  </si>
  <si>
    <t>MS-C14 / C14-P0028</t>
  </si>
  <si>
    <t>en.schemeContent.exclusions[5]</t>
  </si>
  <si>
    <t>C14-SRC013</t>
  </si>
  <si>
    <t>Losses Beyond Specified Limits</t>
  </si>
  <si>
    <t>MS-C14 / C14-P0029</t>
  </si>
  <si>
    <t>en.schemeContent.exclusions[6].children[0]</t>
  </si>
  <si>
    <t>C14-SRC014</t>
  </si>
  <si>
    <t>Some losses beyond specified limits or thresholds may not be covered. The scheme may have predefined criteria for determining the extent of loss that qualifies for compensation.</t>
  </si>
  <si>
    <t>MS-C14 / C14-P0030</t>
  </si>
  <si>
    <t>en.schemeContent.exclusions[7]</t>
  </si>
  <si>
    <t>C14-SRC015</t>
  </si>
  <si>
    <t>Non-Premium Payment</t>
  </si>
  <si>
    <t>MS-C14 / C14-P0031</t>
  </si>
  <si>
    <t>en.schemeContent.exclusions[8].children[0]</t>
  </si>
  <si>
    <t>C14-SRC016</t>
  </si>
  <si>
    <t>Farmers who fail to pay their premium contributions as required may not be eligible for coverage. Non-payment of premiums can result in the cancellation of insurance.</t>
  </si>
  <si>
    <t>MS-C14 / C14-P0032</t>
  </si>
  <si>
    <t>en.schemeContent.exclusions[9]</t>
  </si>
  <si>
    <t>C15-SRC001</t>
  </si>
  <si>
    <t>1. The applicant must be a citizen of India.</t>
  </si>
  <si>
    <t>MS-C15 / C15-P0011</t>
  </si>
  <si>
    <t>C15@20261024-2e04a310</t>
  </si>
  <si>
    <t>C15-SRC002</t>
  </si>
  <si>
    <t>2. The applicant must be the only girl child in the family.</t>
  </si>
  <si>
    <t>MS-C15 / C15-P0012</t>
  </si>
  <si>
    <t>C15-SRC003</t>
  </si>
  <si>
    <t>3. Girl students without having any brothers or the girl student who are twin daughters/ fraternal daughters may also apply</t>
  </si>
  <si>
    <t>MS-C15 / C15-P0013</t>
  </si>
  <si>
    <t>C15-SRC004</t>
  </si>
  <si>
    <t>4. The age of the applicant should not be more than 30 years at the time of admission in the first year of PG</t>
  </si>
  <si>
    <t>MS-C15 / C15-P0014</t>
  </si>
  <si>
    <t>C15-SRC005</t>
  </si>
  <si>
    <t>course.</t>
  </si>
  <si>
    <t>MS-C15 / C15-P0015</t>
  </si>
  <si>
    <t>C15-SRC006</t>
  </si>
  <si>
    <t>5. The applicant must have taken admission to regular, full-time first-year Master's Degree courses in any designated university or a post-graduate college.</t>
  </si>
  <si>
    <t>MS-C15 / C15-P0016</t>
  </si>
  <si>
    <t>C15-SRC007</t>
  </si>
  <si>
    <t>6. The candidate should be pursuing a non-professional course and be taking regular classes from a recognized institution.</t>
  </si>
  <si>
    <t>MS-C15 / C15-P0017</t>
  </si>
  <si>
    <t>C15-SRC008</t>
  </si>
  <si>
    <t>7. The applicant must not be [ursuing education through Distance education mode.</t>
  </si>
  <si>
    <t>MS-C15 / C15-P0018</t>
  </si>
  <si>
    <t>C15-SRC009</t>
  </si>
  <si>
    <t>1. Admission to PG Course in Distance education mode is not covered under the scheme.</t>
  </si>
  <si>
    <t>MS-C15 / C15-P0019</t>
  </si>
  <si>
    <t>C15-SRC010</t>
  </si>
  <si>
    <t>2. Those Deemed Universities which do not receive funds from the Central/ State Government are not eligible institutions under the scheme.</t>
  </si>
  <si>
    <t>MS-C15 / C15-P0020</t>
  </si>
  <si>
    <t>C15-SRC011</t>
  </si>
  <si>
    <t>3. In a family if one son and one daughter are available then the girl child will not be considered for scholarship under the scheme.</t>
  </si>
  <si>
    <t>MS-C15 / C15-P0021</t>
  </si>
  <si>
    <t>en.schemeContent.exclusions[2]</t>
  </si>
  <si>
    <t>C16-SRC001</t>
  </si>
  <si>
    <t>The applicant should be a Student.</t>
  </si>
  <si>
    <t>MS-C16 / C16-P0014</t>
  </si>
  <si>
    <t>C16@20261024-d1879127</t>
  </si>
  <si>
    <t>C16-SRC002</t>
  </si>
  <si>
    <t>The student should have secured admission in the approved course at Masters, M.Phil or PhD levels abroad for the listed courses.</t>
  </si>
  <si>
    <t>MS-C16 / C16-P0015</t>
  </si>
  <si>
    <t>C16-SRC003</t>
  </si>
  <si>
    <t>The applicant should have availed loan from a scheduled bank under the Education Loan Scheme of the Indian Banks Association (IBA) for the purpose.</t>
  </si>
  <si>
    <t>MS-C16 / C16-P0016</t>
  </si>
  <si>
    <t>C16-SRC004</t>
  </si>
  <si>
    <t>The total income of the applicant (from all sources) shall not exceed ₹ 8,00,000 per annum.</t>
  </si>
  <si>
    <t>MS-C16 / C16-P0017</t>
  </si>
  <si>
    <t>C16-SRC005</t>
  </si>
  <si>
    <t>Reservation/ Relaxation/ Preference/ Priority</t>
  </si>
  <si>
    <t>MS-C16 / C16-P0018</t>
  </si>
  <si>
    <t>C16-SRC006</t>
  </si>
  <si>
    <t>Out of the total outlay in a year, a minimum of 50% amount will be earmarked for Interest Subsidy to the girl candidates.</t>
  </si>
  <si>
    <t>MS-C16 / C16-P0019</t>
  </si>
  <si>
    <t>C16-EMPTY-Exclusions</t>
  </si>
  <si>
    <t>C17-SRC001</t>
  </si>
  <si>
    <t>All patients with tuberculosis (TB) who are notified to the government on or after April 1, 2018, including those who are already being treated for TB, are eligible for financial incentives.</t>
  </si>
  <si>
    <t>MS-C17 / C17-P0003</t>
  </si>
  <si>
    <t>C17@20261024-0908bc0f</t>
  </si>
  <si>
    <t>C17-SRC002</t>
  </si>
  <si>
    <t>To be eligible for the incentives, patients must be registered or notified on the NIKSHAY portal.</t>
  </si>
  <si>
    <t>MS-C17 / C17-P0004</t>
  </si>
  <si>
    <t>C17-EMPTY-Exclusions</t>
  </si>
  <si>
    <t>C18-SRC001</t>
  </si>
  <si>
    <t>The applicant must be a pregnant woman in her 2nd or 3rd trimester of pregnancy.</t>
  </si>
  <si>
    <t>MS-C18 / C18-P0018</t>
  </si>
  <si>
    <t>C18@20261024-27ab688b</t>
  </si>
  <si>
    <t>C18-SRC002</t>
  </si>
  <si>
    <t>The applicant must be an Indian citizen residing in India.</t>
  </si>
  <si>
    <t>MS-C18 / C18-P0019</t>
  </si>
  <si>
    <t>C18-SRC003</t>
  </si>
  <si>
    <t>The applicant must be willing to visit designated government health facilities on the 9th of every month.</t>
  </si>
  <si>
    <t>MS-C18 / C18-P0020</t>
  </si>
  <si>
    <t>C18-SRC004</t>
  </si>
  <si>
    <t>Trimester Specific Criteria</t>
  </si>
  <si>
    <t>MS-C18 / C18-P0021</t>
  </si>
  <si>
    <t>C18-SRC005</t>
  </si>
  <si>
    <t>The applicant must have completed the first trimester of pregnancy (beyond 12 weeks of gestation).</t>
  </si>
  <si>
    <t>MS-C18 / C18-P0022</t>
  </si>
  <si>
    <t>C18-SRC006</t>
  </si>
  <si>
    <t>The applicant must be in 2nd trimester (13-28 weeks) or 3rd trimester (29-40 weeks) of pregnancy.</t>
  </si>
  <si>
    <t>MS-C18 / C18-P0023</t>
  </si>
  <si>
    <t>C18-SRC007</t>
  </si>
  <si>
    <t>Special Categories</t>
  </si>
  <si>
    <t>MS-C18 / C18-P0024</t>
  </si>
  <si>
    <t>C18-SRC008</t>
  </si>
  <si>
    <t>The applicant identified as high-risk pregnancy cases receive priority attention and follow-up care.</t>
  </si>
  <si>
    <t>MS-C18 / C18-P0025</t>
  </si>
  <si>
    <t>C18-SRC009</t>
  </si>
  <si>
    <t>The applicant who are dropouts from regular antenatal care services are encouraged to participate.</t>
  </si>
  <si>
    <t>MS-C18 / C18-P0026</t>
  </si>
  <si>
    <t>C18-EMPTY-Exclusions</t>
  </si>
  <si>
    <t>C19-SRC001</t>
  </si>
  <si>
    <t>The applicant must be a citizen of India.</t>
  </si>
  <si>
    <t>MS-C19 / C19-P0011</t>
  </si>
  <si>
    <t>C19@20261024-e28f19a2</t>
  </si>
  <si>
    <t>C19-SRC002</t>
  </si>
  <si>
    <t>The applicant must be studying in a Primary or Upper Primary class (Class 1st to Class 8th) in a Government or a Government-aided school.</t>
  </si>
  <si>
    <t>MS-C19 / C19-P0012</t>
  </si>
  <si>
    <t>C19-EMPTY-Exclusions</t>
  </si>
  <si>
    <t>C20-SRC001</t>
  </si>
  <si>
    <t>There is no age restriction but if applicant is below 18 then he/she  must be accompanied by a parent or guardian when staying in a youth hostel.</t>
  </si>
  <si>
    <t>MS-C20 / C20-P0006</t>
  </si>
  <si>
    <t>C20@20261024-33e2c930</t>
  </si>
  <si>
    <t>C20-EMPTY-Exclusions</t>
  </si>
  <si>
    <t>C21-SRC001</t>
  </si>
  <si>
    <t>For Senior Citizens</t>
  </si>
  <si>
    <t>MS-C21 / C21-P0029</t>
  </si>
  <si>
    <t>C21@20261024-74b777af</t>
  </si>
  <si>
    <t>C21-SRC002</t>
  </si>
  <si>
    <t>1.  The applicant must be a Senior Citizen.</t>
  </si>
  <si>
    <t>MS-C21 / C21-P0030</t>
  </si>
  <si>
    <t>C21-SRC003</t>
  </si>
  <si>
    <t>2.  The applicant must be one of the following:</t>
  </si>
  <si>
    <t>MS-C21 / C21-P0031</t>
  </si>
  <si>
    <t>C21-SRC004</t>
  </si>
  <si>
    <t>Indigent, having no sufficient means to maintain himself/herself, as determined by the State Government.</t>
  </si>
  <si>
    <t>MS-C21 / C21-P0032</t>
  </si>
  <si>
    <t>C21-SRC005</t>
  </si>
  <si>
    <t>Afflicted with Alzheimer's disease/Dementia or seriously ill requiring continuous nursing care, for admittance into Continuous Care Homes.</t>
  </si>
  <si>
    <t>MS-C21 / C21-P0033</t>
  </si>
  <si>
    <t>C21-SRC006</t>
  </si>
  <si>
    <t>For Implementing Agencies (General)</t>
  </si>
  <si>
    <t>MS-C21 / C21-P0034</t>
  </si>
  <si>
    <t>C21-SRC007</t>
  </si>
  <si>
    <t>1.  The applicant must be one of the following:</t>
  </si>
  <si>
    <t>MS-C21 / C21-P0035</t>
  </si>
  <si>
    <t>C21-SRC008</t>
  </si>
  <si>
    <t>State/Union Territory Government.</t>
  </si>
  <si>
    <t>MS-C21 / C21-P0036</t>
  </si>
  <si>
    <t>en.eligibilityCriteria.eligibilityDescription[6].children[0]</t>
  </si>
  <si>
    <t>C21-SRC009</t>
  </si>
  <si>
    <t>Panchayati Raj Institution (PRI).</t>
  </si>
  <si>
    <t>MS-C21 / C21-P0037</t>
  </si>
  <si>
    <t>en.eligibilityCriteria.eligibilityDescription[6].children[1]</t>
  </si>
  <si>
    <t>C21-SRC010</t>
  </si>
  <si>
    <t>Urban Local Body (ULB).</t>
  </si>
  <si>
    <t>MS-C21 / C21-P0038</t>
  </si>
  <si>
    <t>en.eligibilityCriteria.eligibilityDescription[6].children[2]</t>
  </si>
  <si>
    <t>C21-SRC011</t>
  </si>
  <si>
    <t>An Institution or Organization set up by the Government as autonomous/subordinate bodies.</t>
  </si>
  <si>
    <t>MS-C21 / C21-P0039</t>
  </si>
  <si>
    <t>en.eligibilityCriteria.eligibilityDescription[6].children[3]</t>
  </si>
  <si>
    <t>C21-SRC012</t>
  </si>
  <si>
    <t>A Government Recognized Educational Institution.</t>
  </si>
  <si>
    <t>MS-C21 / C21-P0040</t>
  </si>
  <si>
    <t>en.eligibilityCriteria.eligibilityDescription[6].children[4]</t>
  </si>
  <si>
    <t>C21-SRC013</t>
  </si>
  <si>
    <t>A recognized youth organization such as Nehru Yuva Kendra Sangathan (NYKS).</t>
  </si>
  <si>
    <t>MS-C21 / C21-P0041</t>
  </si>
  <si>
    <t>en.eligibilityCriteria.eligibilityDescription[6].children[5]</t>
  </si>
  <si>
    <t>C21-SRC014</t>
  </si>
  <si>
    <t>For Implementing Agencies (Non-Governmental Organizations/Voluntary Organizations)</t>
  </si>
  <si>
    <t>MS-C21 / C21-P0042</t>
  </si>
  <si>
    <t>en.eligibilityCriteria.eligibilityDescription[7].children[0]</t>
  </si>
  <si>
    <t>C21-SRC015</t>
  </si>
  <si>
    <t>1.  The applicant must be registered under the Societies Registration Act, 1860 (XXI of 1860) or any relevant Act of the State/Union Territory.</t>
  </si>
  <si>
    <t>MS-C21 / C21-P0043</t>
  </si>
  <si>
    <t>C21-SRC016</t>
  </si>
  <si>
    <t>MS-C21 / C21-P0044</t>
  </si>
  <si>
    <t>C21-SRC017</t>
  </si>
  <si>
    <t>A Public Trust registered under the law for the time being in force.</t>
  </si>
  <si>
    <t>MS-C21 / C21-P0045</t>
  </si>
  <si>
    <t>en.eligibilityCriteria.eligibilityDescription[10].children[0]</t>
  </si>
  <si>
    <t>C21-SRC018</t>
  </si>
  <si>
    <t>A charitable company licensed under Section 25 of the Companies Act, 1958.</t>
  </si>
  <si>
    <t>MS-C21 / C21-P0046</t>
  </si>
  <si>
    <t>en.eligibilityCriteria.eligibilityDescription[10].children[1]</t>
  </si>
  <si>
    <t>C21-SRC019</t>
  </si>
  <si>
    <t>Indian Red Cross Society or its branches.</t>
  </si>
  <si>
    <t>MS-C21 / C21-P0047</t>
  </si>
  <si>
    <t>en.eligibilityCriteria.eligibilityDescription[10].children[2]</t>
  </si>
  <si>
    <t>C21-SRC020</t>
  </si>
  <si>
    <t>Any other public body or institution having a legal status of its own.</t>
  </si>
  <si>
    <t>MS-C21 / C21-P0048</t>
  </si>
  <si>
    <t>en.eligibilityCriteria.eligibilityDescription[10].children[3]</t>
  </si>
  <si>
    <t>C21-SRC021</t>
  </si>
  <si>
    <t>Any other organization of repute, which may be approved by the Secretary, Department of Social Justice and Empowerment.</t>
  </si>
  <si>
    <t>MS-C21 / C21-P0049</t>
  </si>
  <si>
    <t>en.eligibilityCriteria.eligibilityDescription[10].children[4]</t>
  </si>
  <si>
    <t>C21-SRC022</t>
  </si>
  <si>
    <t>3.  The applicant (Voluntary Organization) should have been registered for at least two years.</t>
  </si>
  <si>
    <t>MS-C21 / C21-P0050</t>
  </si>
  <si>
    <t>C21-SRC023</t>
  </si>
  <si>
    <t>4.  The applicant should have had at least two years' experience in the social sector at the time of applying for the grant.</t>
  </si>
  <si>
    <t>MS-C21 / C21-P0051</t>
  </si>
  <si>
    <t>C21-SRC024</t>
  </si>
  <si>
    <t>5.  The applicant must have a Bank Account maintained and operated in the joint name of the Non-Governmental Organization/Voluntary Organization.</t>
  </si>
  <si>
    <t>MS-C21 / C21-P0052</t>
  </si>
  <si>
    <t>en.eligibilityCriteria.eligibilityDescription[13]</t>
  </si>
  <si>
    <t>C21-SRC025</t>
  </si>
  <si>
    <t>6.  The applicant (for Continuous Care Homes) must have shown a credible track record in running Charitable Hospitals/Nursing Homes/Medical Institutions/Colleges.</t>
  </si>
  <si>
    <t>MS-C21 / C21-P0053</t>
  </si>
  <si>
    <t>en.eligibilityCriteria.eligibilityDescription[14]</t>
  </si>
  <si>
    <t>C21-SRC026</t>
  </si>
  <si>
    <t>Preference/Priority</t>
  </si>
  <si>
    <t>MS-C21 / C21-P0054</t>
  </si>
  <si>
    <t>en.eligibilityCriteria.eligibilityDescription[15].children[0]</t>
  </si>
  <si>
    <t>C21-SRC027</t>
  </si>
  <si>
    <t>The applicant agency will be selected in the order of preference as follows: Self Help Groups of the senior citizens, Corporate Social Responsibility (CSR) Foundations/Charities already in the field of elderly care, Start-ups in the segment of elderly care, and Non-Governmental Organizations/Trusts operating in the elderly care segment.</t>
  </si>
  <si>
    <t>MS-C21 / C21-P0055</t>
  </si>
  <si>
    <t>en.eligibilityCriteria.eligibilityDescription[16]</t>
  </si>
  <si>
    <t>C21-SRC028</t>
  </si>
  <si>
    <t>New Mobile Medicare Units shall not be supported under the Integrated Programme for Senior Citizens (IPSrC) scheme.</t>
  </si>
  <si>
    <t>MS-C21 / C21-P0056</t>
  </si>
  <si>
    <t>C21-SRC029</t>
  </si>
  <si>
    <t>No Grant-in-Aid shall be released for new Physiotherapy Clinics under State Action Plan for Senior Citizens (SAPSrC).</t>
  </si>
  <si>
    <t>MS-C21 / C21-P0057</t>
  </si>
  <si>
    <t>C22-SRC001</t>
  </si>
  <si>
    <t>For Nyaya Mitras</t>
  </si>
  <si>
    <t>MS-C22 / C22-P0010</t>
  </si>
  <si>
    <t>C22@20261024-0c8ba476</t>
  </si>
  <si>
    <t>C22-SRC002</t>
  </si>
  <si>
    <t>The applicant must be a retired judicial officer or a retired executive officer.</t>
  </si>
  <si>
    <t>MS-C22 / C22-P0011</t>
  </si>
  <si>
    <t>C22-SRC003</t>
  </si>
  <si>
    <t>The applicant must possess legal experience or an educational background in law.</t>
  </si>
  <si>
    <t>MS-C22 / C22-P0012</t>
  </si>
  <si>
    <t>C22-SRC004</t>
  </si>
  <si>
    <t>For Beneficiaries (Litigants)</t>
  </si>
  <si>
    <t>MS-C22 / C22-P0013</t>
  </si>
  <si>
    <t>C22-SRC005</t>
  </si>
  <si>
    <t>The applicant must be a litigant whose case has been languishing in the subordinate courts for more than ten years.</t>
  </si>
  <si>
    <t>MS-C22 / C22-P0014</t>
  </si>
  <si>
    <t>C22-SRC006</t>
  </si>
  <si>
    <t>The applicant must be an individual for whom quality legal aid is not available due to social and economic barriers.</t>
  </si>
  <si>
    <t>MS-C22 / C22-P0015</t>
  </si>
  <si>
    <t>C22-SRC007</t>
  </si>
  <si>
    <t>The applicant must be suffering due to a delay in investigations or trial.</t>
  </si>
  <si>
    <t>MS-C22 / C22-P0016</t>
  </si>
  <si>
    <t>C22-EMPTY-Exclusions</t>
  </si>
  <si>
    <t>C23-SRC001</t>
  </si>
  <si>
    <t>The only specific requirement for eligibility is that the applicant must be a woman/girl.</t>
  </si>
  <si>
    <t>MS-C23 / C23-P0009</t>
  </si>
  <si>
    <t>C23@20261024-230a9a0f</t>
  </si>
  <si>
    <t>C23-EMPTY-Exclusions</t>
  </si>
  <si>
    <t>C24-SRC001</t>
  </si>
  <si>
    <t>The applicant should be an Indian citizen.</t>
  </si>
  <si>
    <t>MS-C24 / C24-P0022</t>
  </si>
  <si>
    <t>C24@20261024-c922106a</t>
  </si>
  <si>
    <t>C24-SRC002</t>
  </si>
  <si>
    <t>The applicant must have obtained PhD/M.D/M.S degree from a recognized University. Those who have submitted their PhD/M.D/M.S. thesis and are awaiting the award of the degree are also eligible to apply. However, such candidates, if selected, will be offered a lower fellowship amount till they qualify for the eligible degree.</t>
  </si>
  <si>
    <t>MS-C24 / C24-P0023</t>
  </si>
  <si>
    <t>C24-SRC003</t>
  </si>
  <si>
    <t>The upper age limit for the fellowship is 35 years at the time of the submission of the application, age will be calculated by taking the date of closure of the respective call. Age relaxation of 5 (five) years will be given to candidates belonging to SC/ST/OBC/Physically Challenged &amp; Women candidates.</t>
  </si>
  <si>
    <t>MS-C24 / C24-P0024</t>
  </si>
  <si>
    <t>C24-SRC004</t>
  </si>
  <si>
    <t>NPDF can be availed only once by a candidate in his/her career.</t>
  </si>
  <si>
    <t>MS-C24 / C24-P0025</t>
  </si>
  <si>
    <t>C24-SRC005</t>
  </si>
  <si>
    <t>The mentor must hold a regular academic/research position in a recognized institution in India. Should hold a Ph.D. degree in Science or Engineering.</t>
  </si>
  <si>
    <t>MS-C24 / C24-P0026</t>
  </si>
  <si>
    <t>C24-SRC006</t>
  </si>
  <si>
    <t>A mentor shall not have more than two SERB NPDF fellows at any given time.</t>
  </si>
  <si>
    <t>MS-C24 / C24-P0027</t>
  </si>
  <si>
    <t>C24-SRC007</t>
  </si>
  <si>
    <t>Note 01: The fellowship is tenable only in India and can be implemented in any of the recognized academic institutions, national laboratories, and other recognized R&amp;D institutions. The host institution should provide the necessary administrative and infrastructural support.</t>
  </si>
  <si>
    <t>MS-C24 / C24-P0028</t>
  </si>
  <si>
    <t>C24-SRC008</t>
  </si>
  <si>
    <t>Note 02: The fellows will not be allowed to work with the Ph.D. guide/co-guide. It is also normally not availed at the same Department/institution where the candidates have earned their PhD/M.S./M.D degree.</t>
  </si>
  <si>
    <t>MS-C24 / C24-P0029</t>
  </si>
  <si>
    <t>C24-EMPTY-Exclusions</t>
  </si>
  <si>
    <t>C25-SRC001</t>
  </si>
  <si>
    <t>Category A: The following are the primary eligibility criteria-</t>
  </si>
  <si>
    <t>MS-C25 / C25-P0020</t>
  </si>
  <si>
    <t>C25@20261024-c1cf549f</t>
  </si>
  <si>
    <t>C25-SRC002</t>
  </si>
  <si>
    <t>Employment: Women Scientists who are permanent employees but retiring in a year or already retired/superannuated from government academic/research institutions.</t>
  </si>
  <si>
    <t>MS-C25 / C25-P0021</t>
  </si>
  <si>
    <t>C25-SRC003</t>
  </si>
  <si>
    <t>Age: 57-62 years</t>
  </si>
  <si>
    <t>MS-C25 / C25-P0022</t>
  </si>
  <si>
    <t>en.eligibilityCriteria.eligibilityDescription[0].children[1].children[1]</t>
  </si>
  <si>
    <t>C25-SRC004</t>
  </si>
  <si>
    <t>Qualification: Women Scientists having Ph.D. in Basic/Applied Sciences or equivalent degree.</t>
  </si>
  <si>
    <t>MS-C25 / C25-P0023</t>
  </si>
  <si>
    <t>en.eligibilityCriteria.eligibilityDescription[0].children[1].children[2]</t>
  </si>
  <si>
    <t>C25-SRC005</t>
  </si>
  <si>
    <t>Research Experience: Minimum 2 R&amp;D projects as Principal Investigator with excellent track record.</t>
  </si>
  <si>
    <t>MS-C25 / C25-P0024</t>
  </si>
  <si>
    <t>en.eligibilityCriteria.eligibilityDescription[0].children[1].children[3]</t>
  </si>
  <si>
    <t>C25-SRC006</t>
  </si>
  <si>
    <t>Publications: Minimum 20 research publications with impact factor.</t>
  </si>
  <si>
    <t>MS-C25 / C25-P0025</t>
  </si>
  <si>
    <t>en.eligibilityCriteria.eligibilityDescription[0].children[1].children[4]</t>
  </si>
  <si>
    <t>C25-SRC007</t>
  </si>
  <si>
    <t>Category B: The following are the primary eligibility criteria-</t>
  </si>
  <si>
    <t>MS-C25 / C25-P0026</t>
  </si>
  <si>
    <t>C25-SRC008</t>
  </si>
  <si>
    <t>Employment: Women who are not permanent employees in any institution but working temporarily and have completed 2 independent research projects as Principal Investigator.</t>
  </si>
  <si>
    <t>MS-C25 / C25-P0027</t>
  </si>
  <si>
    <t>C25-SRC009</t>
  </si>
  <si>
    <t>Age: 45-62 years</t>
  </si>
  <si>
    <t>MS-C25 / C25-P0028</t>
  </si>
  <si>
    <t>en.eligibilityCriteria.eligibilityDescription[0].children[3].children[1]</t>
  </si>
  <si>
    <t>C25-SRC010</t>
  </si>
  <si>
    <t>MS-C25 / C25-P0029</t>
  </si>
  <si>
    <t>en.eligibilityCriteria.eligibilityDescription[0].children[3].children[2]</t>
  </si>
  <si>
    <t>C25-SRC011</t>
  </si>
  <si>
    <t>MS-C25 / C25-P0030</t>
  </si>
  <si>
    <t>en.eligibilityCriteria.eligibilityDescription[0].children[3].children[3]</t>
  </si>
  <si>
    <t>C25-SRC012</t>
  </si>
  <si>
    <t>Publications: Minimum 10 research publications with impact factor.</t>
  </si>
  <si>
    <t>MS-C25 / C25-P0031</t>
  </si>
  <si>
    <t>en.eligibilityCriteria.eligibilityDescription[0].children[3].children[4]</t>
  </si>
  <si>
    <t>C25-EMPTY-Exclusions</t>
  </si>
  <si>
    <t>C26-SRC001</t>
  </si>
  <si>
    <t>Indian citizens residing in India holding a Ph.D. degree in Science/Engineering or MS/MD in Medicine are eligible to apply.</t>
  </si>
  <si>
    <t>MS-C26 / C26-P0008</t>
  </si>
  <si>
    <t>C26@20261024-3a405e18</t>
  </si>
  <si>
    <t>C26-SRC002</t>
  </si>
  <si>
    <t>The applicant(s) must hold a regular academic/research position in State Universities/ Colleges and private Academic Institutions.</t>
  </si>
  <si>
    <t>MS-C26 / C26-P0009</t>
  </si>
  <si>
    <t>C26-SRC003</t>
  </si>
  <si>
    <t>Applicant should not hold any ongoing research projects or any fellowship at the time of submission of application.</t>
  </si>
  <si>
    <t>MS-C26 / C26-P0010</t>
  </si>
  <si>
    <t>C26-SRC004</t>
  </si>
  <si>
    <t>The upper age limit for the award is 45 years at the time of the submission of the application. Age relaxation of 5 (five) years will be given to candidates belonging to SC/ST/OBC/Physically Challenged &amp; Women candidates.</t>
  </si>
  <si>
    <t>MS-C26 / C26-P0011</t>
  </si>
  <si>
    <t>C26-SRC005</t>
  </si>
  <si>
    <t>Mentor should be at the level of Associate Professor/Scientist E, or higher level.</t>
  </si>
  <si>
    <t>MS-C26 / C26-P0012</t>
  </si>
  <si>
    <t>C26-SRC006</t>
  </si>
  <si>
    <t>Only one candidate will be allowed to work with a mentor at any given point of time.</t>
  </si>
  <si>
    <t>MS-C26 / C26-P0013</t>
  </si>
  <si>
    <t>C26-EMPTY-Exclusions</t>
  </si>
  <si>
    <t>C27-SRC001</t>
  </si>
  <si>
    <t>1)	The Age of the applicant should be 14 to 45 years for skilling and education component and 18 to 45 years for Women Leadership and Entrepreneurship Component</t>
  </si>
  <si>
    <t>MS-C27 / C27-P0032</t>
  </si>
  <si>
    <t>C27@20261024-26800b84</t>
  </si>
  <si>
    <t>C27-SRC002</t>
  </si>
  <si>
    <t>2)	33% of total seats in Skilling and Training component, 50% of total seats in Education component and 100% of total seats in Women Leadership and Entrepreneurship component are earmarked for women.</t>
  </si>
  <si>
    <t>MS-C27 / C27-P0033</t>
  </si>
  <si>
    <t>C27-SRC003</t>
  </si>
  <si>
    <t>3)	The education qualification for Skilling and Training component would be as per NSQF norms and Education component would be as per NIOS norms. Candidates with aptitude and leadership qualities will be selected for Women Leadership and Entrepreneurship component.</t>
  </si>
  <si>
    <t>MS-C27 / C27-P0034</t>
  </si>
  <si>
    <t>C27-EMPTY-Exclusions</t>
  </si>
  <si>
    <t>C28-SRC001</t>
  </si>
  <si>
    <t>MS-C28 / C28-P0045</t>
  </si>
  <si>
    <t>C28@20261024-b9fbb7b6</t>
  </si>
  <si>
    <t>C28-SRC002</t>
  </si>
  <si>
    <t>For the 2022 intake, the age of the applicant should be between 17.5 to 23 years. For the subsequent intakes, the age of the applicant should be between 17.5 to 21 years.</t>
  </si>
  <si>
    <t>MS-C28 / C28-P0046</t>
  </si>
  <si>
    <t>C28-SRC003</t>
  </si>
  <si>
    <t>The applicant must fulfill the educational qualifications and physical and medical standards set by the Indian Army / Indian Navy / Indian Air Force.</t>
  </si>
  <si>
    <t>MS-C28 / C28-P0047</t>
  </si>
  <si>
    <t>C28-SRC004</t>
  </si>
  <si>
    <t>Note 01: The Agniveers will be enrolled in the Forces under respective Service Acts for a period of four years. They would form a distinct rank in the Armed Forces, different from any other existing ranks.</t>
  </si>
  <si>
    <t>MS-C28 / C28-P0048</t>
  </si>
  <si>
    <t>C28-SRC005</t>
  </si>
  <si>
    <t>Note 02: Upon the completion of four years of service, based on organizational requirements and policies promulgated by the Armed Forces from time to time, Agniveers will be offered an opportunity to apply for permanent enrolment in the Armed Forces.</t>
  </si>
  <si>
    <t>MS-C28 / C28-P0049</t>
  </si>
  <si>
    <t>C28-SRC006</t>
  </si>
  <si>
    <t>Note 03: The applications for permanent enrolment will be considered in a centralized manner based on objective criteria including performance during their four-year engagement period and up to 25% of each specific batch of Agniveers will be enrolled in the regular cadre of the Armed Forces. The selection will be the exclusive jurisdiction of the Armed Forces.</t>
  </si>
  <si>
    <t>MS-C28 / C28-P0050</t>
  </si>
  <si>
    <t>C28-SRC007</t>
  </si>
  <si>
    <t>Note 04: Agniveers will meet the medical eligibility conditions laid down for enrolment in the armed forces as applicable to respective categories/trades.</t>
  </si>
  <si>
    <t>MS-C28 / C28-P0051</t>
  </si>
  <si>
    <t>C28-SRC008</t>
  </si>
  <si>
    <t>Note 05: The educational qualification for Agniveers will remain as in vogue for enrollment in various categories.</t>
  </si>
  <si>
    <t>MS-C28 / C28-P0052</t>
  </si>
  <si>
    <t>C28-SRC009</t>
  </si>
  <si>
    <t>The scheme is applicable at the soldier (jawan) level, and not the officer level.</t>
  </si>
  <si>
    <t>MS-C28 / C28-P0053</t>
  </si>
  <si>
    <t>C29-SRC001</t>
  </si>
  <si>
    <t>The eligibility criteria for a disabled person to avail of the benefits are as follows.</t>
  </si>
  <si>
    <t>MS-C29 / C29-P0004</t>
  </si>
  <si>
    <t>C29@20261024-14b60a9e</t>
  </si>
  <si>
    <t>C29-SRC002</t>
  </si>
  <si>
    <t>The age of the applicant should be 18 years and above.</t>
  </si>
  <si>
    <t>MS-C29 / C29-P0005</t>
  </si>
  <si>
    <t>C29-SRC003</t>
  </si>
  <si>
    <t>The applicant should be a resident of India.</t>
  </si>
  <si>
    <t>MS-C29 / C29-P0006</t>
  </si>
  <si>
    <t>C29-SRC004</t>
  </si>
  <si>
    <t>The applicant should be a physically or mentally disabled person.</t>
  </si>
  <si>
    <t>MS-C29 / C29-P0007</t>
  </si>
  <si>
    <t>C29-SRC005</t>
  </si>
  <si>
    <t>The applicant’s disability should be more than 80%.</t>
  </si>
  <si>
    <t>MS-C29 / C29-P0008</t>
  </si>
  <si>
    <t>en.eligibilityCriteria.eligibilityDescription[2].children[3]</t>
  </si>
  <si>
    <t>C29-SRC006</t>
  </si>
  <si>
    <t>Dwarfs are also eligible for this scheme.</t>
  </si>
  <si>
    <t>MS-C29 / C29-P0009</t>
  </si>
  <si>
    <t>en.eligibilityCriteria.eligibilityDescription[2].children[4]</t>
  </si>
  <si>
    <t>C29-SRC007</t>
  </si>
  <si>
    <t>The applicant should belong to the Below Poverty Line.</t>
  </si>
  <si>
    <t>MS-C29 / C29-P0010</t>
  </si>
  <si>
    <t>en.eligibilityCriteria.eligibilityDescription[2].children[5]</t>
  </si>
  <si>
    <t>C29-EMPTY-Exclusions</t>
  </si>
  <si>
    <t>C30-SRC001</t>
  </si>
  <si>
    <t>The college applying for a grant for any one of the components of the scheme should have enrolled disabled persons, including persons with visual impairment, hearing impairment, locomotor disability, etc., in various courses of the institute. The definitions of disability are in accordance with the Persons with Disabilities Act 1995.</t>
  </si>
  <si>
    <t>MS-C30 / C30-P0026</t>
  </si>
  <si>
    <t>C30@20261024-3fb12669</t>
  </si>
  <si>
    <t>C30-SRC002</t>
  </si>
  <si>
    <t>Institutions applying for the scheme should have been approved by the UGC under Sections 2(f) and 12 B.</t>
  </si>
  <si>
    <t>MS-C30 / C30-P0027</t>
  </si>
  <si>
    <t>C30-SRC003</t>
  </si>
  <si>
    <t>The college should have constituted an expert committee involving faculty members, experts in the field and differently-abled persons themselves. The committee should meet at least once a year to review the activities related to the concerned scheme(s).</t>
  </si>
  <si>
    <t>MS-C30 / C30-P0028</t>
  </si>
  <si>
    <t>C30-EMPTY-Exclusions</t>
  </si>
  <si>
    <t>C31-SRC001</t>
  </si>
  <si>
    <t>To be eligible for assistance under the Scheme, a person's contribution to art and letters, etc. must be of significance.</t>
  </si>
  <si>
    <t>MS-C31 / C31-P0016</t>
  </si>
  <si>
    <t>C31@20261024-c019c786</t>
  </si>
  <si>
    <t>C31-SRC002</t>
  </si>
  <si>
    <t>Traditional scholars who have made significant contributions in their fields would also be eligible notwithstanding the absence of any published works.</t>
  </si>
  <si>
    <t>MS-C31 / C31-P0017</t>
  </si>
  <si>
    <t>C31-SRC003</t>
  </si>
  <si>
    <t>The personal income of the applicant (including the income of the spouse) must not exceed ₹4,000/- per month or an annual income of ₹48,000/-. [This excludes artiste pension assistance amount already getting by a beneficiary from the Government (i.e. concerned State Govt./UT Administration and/or Ministry of Culture)]</t>
  </si>
  <si>
    <t>MS-C31 / C31-P0018</t>
  </si>
  <si>
    <t>C31-SRC004</t>
  </si>
  <si>
    <t>The applicant should not be less than 60 (sixty) years of age (This does not apply in the case of a spouse).</t>
  </si>
  <si>
    <t>MS-C31 / C31-P0019</t>
  </si>
  <si>
    <t>C31-SRC005</t>
  </si>
  <si>
    <t>The applicant artiste is getting a pension of at least ₹500/- per month from the concerned State Government/UT Administration or is recommended by the Zonal Cultural Centres, Ministry of Culture, for the artists of their Members State where State Pension is not there.</t>
  </si>
  <si>
    <t>MS-C31 / C31-P0020</t>
  </si>
  <si>
    <t>C31-SRC006</t>
  </si>
  <si>
    <t>The applicant artists should not be getting financial assistance under other Schemes of the Ministry viz. Repertory Grant etc.</t>
  </si>
  <si>
    <t>MS-C31 / C31-P0021</t>
  </si>
  <si>
    <t>C31-EMPTY-Exclusions</t>
  </si>
  <si>
    <t>C32-SRC001</t>
  </si>
  <si>
    <t>(i) The Scholarship will be provided to the Medal winners of National games and participants in recognized international sporting events recognized by the World University Service, International Olympic Committee, and Olympic Committee of Asia (OCA) who have taken admitted to the Universities/Colleges/Institutions as indicated below:</t>
  </si>
  <si>
    <t>MS-C32 / C32-P0034</t>
  </si>
  <si>
    <t>C32@20261024-d98a9f3e</t>
  </si>
  <si>
    <t>C32-SRC002</t>
  </si>
  <si>
    <t>Universities/Institutions/Colleges included under sections 2(f) and 12(b) of the UGC Act, 1956.</t>
  </si>
  <si>
    <t>MS-C32 / C32-P0035</t>
  </si>
  <si>
    <t>C32-SRC003</t>
  </si>
  <si>
    <t>Deemed to be Universities under section 3 of the UGC Act, 1956 which are eligible to receive grants</t>
  </si>
  <si>
    <t>MS-C32 / C32-P0036</t>
  </si>
  <si>
    <t>C32-SRC004</t>
  </si>
  <si>
    <t>in aid from UGC.</t>
  </si>
  <si>
    <t>MS-C32 / C32-P0037</t>
  </si>
  <si>
    <t>C32-SRC005</t>
  </si>
  <si>
    <t>Universities/Institutions/Colleges funded by Central/ State Govt.</t>
  </si>
  <si>
    <t>MS-C32 / C32-P0038</t>
  </si>
  <si>
    <t>C32-SRC006</t>
  </si>
  <si>
    <t>Institutes of National Importance.</t>
  </si>
  <si>
    <t>MS-C32 / C32-P0039</t>
  </si>
  <si>
    <t>C32-SRC007</t>
  </si>
  <si>
    <t>(ii) In the subsequent years this scholarship shall depend on their subsequent sports performance.</t>
  </si>
  <si>
    <t>MS-C32 / C32-P0040</t>
  </si>
  <si>
    <t>C32-SRC008</t>
  </si>
  <si>
    <t>CANCELLATION OF SCHOLARSHIP</t>
  </si>
  <si>
    <t>MS-C32 / C32-P0041</t>
  </si>
  <si>
    <t>C32-SRC009</t>
  </si>
  <si>
    <t>UGC may terminate the scholarship of any student in the case of the:</t>
  </si>
  <si>
    <t>MS-C32 / C32-P0042</t>
  </si>
  <si>
    <t>C32-SRC010</t>
  </si>
  <si>
    <t>(i) Misconduct of the candidate, if any, reported by the University/College/Institution.</t>
  </si>
  <si>
    <t>MS-C32 / C32-P0043</t>
  </si>
  <si>
    <t>C32-SRC011</t>
  </si>
  <si>
    <t>(ii) Unsatisfactory progress report i.e. if the candidate frequently fails in his/her examination will not be given further assistance.</t>
  </si>
  <si>
    <t>MS-C32 / C32-P0044</t>
  </si>
  <si>
    <t>C32-SRC012</t>
  </si>
  <si>
    <t>(iii) The scholarship may be terminated by the Commission, on the recommendation of the University at</t>
  </si>
  <si>
    <t>MS-C32 / C32-P0045</t>
  </si>
  <si>
    <t>en.schemeContent.exclusions[4]</t>
  </si>
  <si>
    <t>C32-SRC013</t>
  </si>
  <si>
    <t>anytime during the tenure and the decision of the Commission will be final and binding.</t>
  </si>
  <si>
    <t>MS-C32 / C32-P0046</t>
  </si>
  <si>
    <t>C33-SRC001</t>
  </si>
  <si>
    <t>Any Orthopedic Physically handicapped person having a permanent disability of 40% &amp; above can apply for the benefit under the scheme, irrespective of whether the applicant drives the vehicle himself or otherwise.</t>
  </si>
  <si>
    <t>MS-C33 / C33-P0005</t>
  </si>
  <si>
    <t>C33@20261024-1306bf64</t>
  </si>
  <si>
    <t>C33-SRC002</t>
  </si>
  <si>
    <t>Cars (automatic or manual) having a length less than or equal to 4m and engine capacity of not more than 1200 cc (petrol, Liquefied Petroleum Gases (LPG) or compressed natural gas (CNG) or 1500 cc (diesel) qualify for purchase under this scheme.</t>
  </si>
  <si>
    <t>MS-C33 / C33-P0006</t>
  </si>
  <si>
    <t>C33-SRC003</t>
  </si>
  <si>
    <t>The said Certificate for availing the GST concession would be valid for a period of three months from the date of issue of the certificate and the vehicle would have to be purchased by the applicant within this three-month period to avail the concession.</t>
  </si>
  <si>
    <t>MS-C33 / C33-P0007</t>
  </si>
  <si>
    <t>C33-EMPTY-Exclusions</t>
  </si>
  <si>
    <t>C34-SRC001</t>
  </si>
  <si>
    <t>All organizations are eligible to apply free of cost for the National Energy Conservation Award subject to the condition that their sector should be eligible for Award for a particular year.</t>
  </si>
  <si>
    <t>MS-C34 / C34-P0006</t>
  </si>
  <si>
    <t>C34@20261024-45ecaed9</t>
  </si>
  <si>
    <t>C34-SRC002</t>
  </si>
  <si>
    <t>However, the following organizations cannot apply for the Award:</t>
  </si>
  <si>
    <t>MS-C34 / C34-P0007</t>
  </si>
  <si>
    <t>C34-SRC003</t>
  </si>
  <si>
    <t>a. Organizations having legal issues, blacklisted, or defaulters in any of the government schemes.</t>
  </si>
  <si>
    <t>MS-C34 / C34-P0008</t>
  </si>
  <si>
    <t>C34-SRC004</t>
  </si>
  <si>
    <t>b. Defaulters/repeated defaulters under the Perform Achieve and Trade scheme of the Bureau of Energy Efficiency, Ministry of Power.</t>
  </si>
  <si>
    <t>MS-C34 / C34-P0009</t>
  </si>
  <si>
    <t>C35-SRC001</t>
  </si>
  <si>
    <t>The tourism service providers should be travel agents, inbound tour operators, tourist transport operators, classified hotels, classified bed &amp; breakfast units, classified home stays, classified motels, guest houses &amp; tented accommodation units, standalone restaurants, convention centers, and online aggregators, sales tours, participation in travel fairs/exhibitions and road shows (organized by Ministry of Tourism), online promotion of tourism destinations and products, tour packages in the overseas markets, including content creation/production of digital promotional brochures/leaflets etc.</t>
  </si>
  <si>
    <t>MS-C35 / C35-P0038</t>
  </si>
  <si>
    <t>C35@20261024-c99a02b0</t>
  </si>
  <si>
    <t>C35-SRC002</t>
  </si>
  <si>
    <t>The tourism service providers should be approved by the Ministry of Tourism, Government of India, or the concerned State / Union Territory Tourism Department.</t>
  </si>
  <si>
    <t>MS-C35 / C35-P0039</t>
  </si>
  <si>
    <t>C35-SRC003</t>
  </si>
  <si>
    <t>The approved tourism service providers should show a minimum fee of ₹1.00 crore – ₹2.00 crore in any of the preceding two years i.e. 2018-19 or 2019-20, the number of tours may be limited to a maximum of two in one financial year.</t>
  </si>
  <si>
    <t>MS-C35 / C35-P0040</t>
  </si>
  <si>
    <t>C35-SRC004</t>
  </si>
  <si>
    <t>The approved tourism service providers should show a minimum fee of ₹2.00 crore and above in one of the preceding two years i.e. 2018-19 or 2019-20, the number of tours may be limited to a maximum of three in one financial year.</t>
  </si>
  <si>
    <t>MS-C35 / C35-P0041</t>
  </si>
  <si>
    <t>C35-SRC005</t>
  </si>
  <si>
    <t>Tourism departments of State Governments / UT Administrations are also eligible to avail benefits under the Scheme. However, the above eligibility conditions do not apply to them.</t>
  </si>
  <si>
    <t>MS-C35 / C35-P0042</t>
  </si>
  <si>
    <t>C35-EMPTY-Exclusions</t>
  </si>
  <si>
    <t>C36-SRC001</t>
  </si>
  <si>
    <t>The applicant must EITHER be a Pre-final/final year student of B.E./B.Tech, OR Integrated M.Tech and first/second-year student of M.E./M. Tech, OR Students pursuing MS Research, M.Sc. in Engineering, dual degree B.Tech and M.Tech or any degree with a minimum of 4 years of engineering studies.</t>
  </si>
  <si>
    <t>MS-C36 / C36-P0007</t>
  </si>
  <si>
    <t>C36@20261024-f1d90ecb</t>
  </si>
  <si>
    <t>C36-SRC002</t>
  </si>
  <si>
    <t>The applicant must be pursuing the degree course from an AICTE-approved Engineering Institution.</t>
  </si>
  <si>
    <t>MS-C36 / C36-P0008</t>
  </si>
  <si>
    <t>C36-SRC003</t>
  </si>
  <si>
    <t>The applicant must have scored a minimum of 7 CGPA or 65% in the previous year's annual examination.</t>
  </si>
  <si>
    <t>MS-C36 / C36-P0009</t>
  </si>
  <si>
    <t>C36-SRC004</t>
  </si>
  <si>
    <t>The applicant must possess a letter of acceptance for presenting a research paper accepted in a conference/seminar/symposium/workshop/exhibition abroad.</t>
  </si>
  <si>
    <t>MS-C36 / C36-P0010</t>
  </si>
  <si>
    <t>C36-SRC005</t>
  </si>
  <si>
    <t>NOTE: A student is eligible only once during the course of his/her study for finance al support under the subject scheme.</t>
  </si>
  <si>
    <t>MS-C36 / C36-P0011</t>
  </si>
  <si>
    <t>C36-EMPTY-Exclusions</t>
  </si>
  <si>
    <t>C37-SRC001</t>
  </si>
  <si>
    <t>There are no eligibility requirements to avail the benefits of this scheme.</t>
  </si>
  <si>
    <t>MS-C37 / C37-P0017</t>
  </si>
  <si>
    <t>C37@20261024-9706d1a1</t>
  </si>
  <si>
    <t>C37-EMPTY-Exclusions</t>
  </si>
  <si>
    <t>C38-SRC001</t>
  </si>
  <si>
    <t>The applicant must be an LPG user.</t>
  </si>
  <si>
    <t>MS-C38 / C38-P0005</t>
  </si>
  <si>
    <t>C38@20261024-c1879ed0</t>
  </si>
  <si>
    <t>C38-SRC002</t>
  </si>
  <si>
    <t>The combined taxable income of the applicant and their spouse should not exceed ₹10,00,000 in the previous financial year, as per the Income Tax Act, 1961.</t>
  </si>
  <si>
    <t>MS-C38 / C38-P0006</t>
  </si>
  <si>
    <t>C38-EMPTY-Exclusions</t>
  </si>
  <si>
    <t>C39-SRC001</t>
  </si>
  <si>
    <t>The applicant must reside or operate within the identified water-stressed districts, blocks, or Gram Panchayats selected for the scheme.</t>
  </si>
  <si>
    <t>MS-C39 / C39-P0014</t>
  </si>
  <si>
    <t>C39@20261024-88422c9d</t>
  </si>
  <si>
    <t>C39-SRC002</t>
  </si>
  <si>
    <t>The applicant must be located in one of the seven participating states, namely Gujarat, Haryana, Karnataka, Madhya Pradesh, Maharashtra, Rajasthan, or Uttar Pradesh.</t>
  </si>
  <si>
    <t>MS-C39 / C39-P0015</t>
  </si>
  <si>
    <t>C39-SRC003</t>
  </si>
  <si>
    <t>The applicant must formulate a Water Security Plan with active community participation.</t>
  </si>
  <si>
    <t>MS-C39 / C39-P0016</t>
  </si>
  <si>
    <t>C39-SRC004</t>
  </si>
  <si>
    <t>The applicant must obtain the final approval of the prepared Water Security Plan from the Gram Sabha.</t>
  </si>
  <si>
    <t>MS-C39 / C39-P0017</t>
  </si>
  <si>
    <t>C39-SRC005</t>
  </si>
  <si>
    <t>The applicant must ensure the presence of at least 33% female members in the Gram Panchayat-level Water User Associations or Village Water and Sanitation Committees.</t>
  </si>
  <si>
    <t>MS-C39 / C39-P0018</t>
  </si>
  <si>
    <t>C39-SRC006</t>
  </si>
  <si>
    <t>The applicant should identify and train local volunteers or community resource persons to handle data collection equipment.</t>
  </si>
  <si>
    <t>MS-C39 / C39-P0019</t>
  </si>
  <si>
    <t>C39-SRC007</t>
  </si>
  <si>
    <t>The applicant MUST NOT utilize the scheme funds for -</t>
  </si>
  <si>
    <t>MS-C39 / C39-P0020</t>
  </si>
  <si>
    <t>C39-SRC008</t>
  </si>
  <si>
    <t>Construction of major or minor dams.</t>
  </si>
  <si>
    <t>MS-C39 / C39-P0021</t>
  </si>
  <si>
    <t>C39-SRC009</t>
  </si>
  <si>
    <t>Construction of new large-scale irrigation systems.</t>
  </si>
  <si>
    <t>MS-C39 / C39-P0022</t>
  </si>
  <si>
    <t>C39-SRC010</t>
  </si>
  <si>
    <t>Major industrial wastewater collection, treatment, and injection systems.</t>
  </si>
  <si>
    <t>MS-C39 / C39-P0023</t>
  </si>
  <si>
    <t>C39-SRC011</t>
  </si>
  <si>
    <t>Payment of salaries to government employees.</t>
  </si>
  <si>
    <t>MS-C39 / C39-P0024</t>
  </si>
  <si>
    <t>C39-SRC012</t>
  </si>
  <si>
    <t>Construction or maintenance of religious structures such as temples, mosques, churches, or tombs.</t>
  </si>
  <si>
    <t>MS-C39 / C39-P0025</t>
  </si>
  <si>
    <t>C39-SRC013</t>
  </si>
  <si>
    <t>Development of commercial ventures, including hotels, restaurants, or resorts.</t>
  </si>
  <si>
    <t>MS-C39 / C39-P0026</t>
  </si>
  <si>
    <t>C39-SRC014</t>
  </si>
  <si>
    <t>Activities of a military or paramilitary nature.</t>
  </si>
  <si>
    <t>MS-C39 / C39-P0027</t>
  </si>
  <si>
    <t>en.schemeContent.exclusions[1].children[6]</t>
  </si>
  <si>
    <t>C39-SRC015</t>
  </si>
  <si>
    <t>Purchase of vehicles, land, arms, ammunition, alcohol, or tobacco.</t>
  </si>
  <si>
    <t>MS-C39 / C39-P0028</t>
  </si>
  <si>
    <t>en.schemeContent.exclusions[1].children[7]</t>
  </si>
  <si>
    <t>M05-SRC001</t>
  </si>
  <si>
    <t>MS-M05 / M05-P0028</t>
  </si>
  <si>
    <t>M05@20261024-8dcdcc4e</t>
  </si>
  <si>
    <t>M05-SRC002</t>
  </si>
  <si>
    <t>MS-M05 / M05-P0029</t>
  </si>
  <si>
    <t>M05-SRC003</t>
  </si>
  <si>
    <t>The applicant should be a student admitted/enrolled in a school recognized by the Govt. of Maharashtra.</t>
  </si>
  <si>
    <t>MS-M05 / M05-P0030</t>
  </si>
  <si>
    <t>M05-SRC004</t>
  </si>
  <si>
    <t>The applicant should be a Person with Disability (Visually Handicapped, Low Vision, Hearing Impaired, Orthopedically Handicapped, etc).</t>
  </si>
  <si>
    <t>MS-M05 / M05-P0031</t>
  </si>
  <si>
    <t>M05-SRC005</t>
  </si>
  <si>
    <t>The percentage of the disability should be 40% or above.</t>
  </si>
  <si>
    <t>MS-M05 / M05-P0032</t>
  </si>
  <si>
    <t>M05-SRC006</t>
  </si>
  <si>
    <t>The applicant should have passed class 10th.</t>
  </si>
  <si>
    <t>MS-M05 / M05-P0033</t>
  </si>
  <si>
    <t>M05-SRC007</t>
  </si>
  <si>
    <t>The applicant should not have failed in the last qualifying examination.</t>
  </si>
  <si>
    <t>MS-M05 / M05-P0034</t>
  </si>
  <si>
    <t>M05-SRC008</t>
  </si>
  <si>
    <t>The applicant should be pursuing a post-metric qualification, i.e. Higher Secondary School (Class 11th, Class 12th), or a Technical/Professional Degree in Medical, Engineering, etc.</t>
  </si>
  <si>
    <t>MS-M05 / M05-P0035</t>
  </si>
  <si>
    <t>M05-EMPTY-Exclusions</t>
  </si>
  <si>
    <t>M06-SRC001</t>
  </si>
  <si>
    <t>MS-M06 / M06-P0004</t>
  </si>
  <si>
    <t>M06@20261024-b3a794b8</t>
  </si>
  <si>
    <t>M06-SRC002</t>
  </si>
  <si>
    <t>The applicant should be an orphan.</t>
  </si>
  <si>
    <t>MS-M06 / M06-P0005</t>
  </si>
  <si>
    <t>M06-SRC003</t>
  </si>
  <si>
    <t>The applicant should be a permanent resident of Maharashtra State.</t>
  </si>
  <si>
    <t>MS-M06 / M06-P0006</t>
  </si>
  <si>
    <t>M06-SRC004</t>
  </si>
  <si>
    <t>The applicant should be a Mentally Deficient Child (MDC) who is in need of care and protection.</t>
  </si>
  <si>
    <t>MS-M06 / M06-P0007</t>
  </si>
  <si>
    <t>M06-SRC005</t>
  </si>
  <si>
    <t>MS-M06 / M06-P0008</t>
  </si>
  <si>
    <t>M06-EMPTY-Exclusions</t>
  </si>
  <si>
    <t>M07-SRC001</t>
  </si>
  <si>
    <t>MS-M07 / M07-P0003</t>
  </si>
  <si>
    <t>M07@20261024-5c49fd61</t>
  </si>
  <si>
    <t>M07-SRC002</t>
  </si>
  <si>
    <t>The applicant should be a Roadside Cobbler identified by the Gram Panchayat.</t>
  </si>
  <si>
    <t>MS-M07 / M07-P0004</t>
  </si>
  <si>
    <t>M07-SRC003</t>
  </si>
  <si>
    <t>MS-M07 / M07-P0005</t>
  </si>
  <si>
    <t>M07-SRC004</t>
  </si>
  <si>
    <t>The applicant should be in the 18 to 50 years age group.</t>
  </si>
  <si>
    <t>MS-M07 / M07-P0006</t>
  </si>
  <si>
    <t>M07-SRC005</t>
  </si>
  <si>
    <t>The applicant should be from Charmakar Community only (Dhor, Chambhar, Holar, Mochi, etc.).</t>
  </si>
  <si>
    <t>MS-M07 / M07-P0007</t>
  </si>
  <si>
    <t>M07-SRC006</t>
  </si>
  <si>
    <t>The annual income of the family of the applicant should be less than or equal to ₹1,00,000/-.</t>
  </si>
  <si>
    <t>MS-M07 / M07-P0008</t>
  </si>
  <si>
    <t>M07-SRC007</t>
  </si>
  <si>
    <t>The applicant should have knowledge of the business for which he has applied for the loan.</t>
  </si>
  <si>
    <t>MS-M07 / M07-P0009</t>
  </si>
  <si>
    <t>M07-EMPTY-Exclusions</t>
  </si>
  <si>
    <t>M08-SRC001</t>
  </si>
  <si>
    <t>The applicant should be a permanent resident of Maharashtra.</t>
  </si>
  <si>
    <t>MS-M08 / M08-P0005</t>
  </si>
  <si>
    <t>M08@20261024-0811de40</t>
  </si>
  <si>
    <t>M08-SRC002</t>
  </si>
  <si>
    <t>The applicant should be a female.</t>
  </si>
  <si>
    <t>MS-M08 / M08-P0006</t>
  </si>
  <si>
    <t>M08-SRC003</t>
  </si>
  <si>
    <t>The applicant should belong to the Charmakar Community.</t>
  </si>
  <si>
    <t>MS-M08 / M08-P0007</t>
  </si>
  <si>
    <t>M08-SRC004</t>
  </si>
  <si>
    <t>The applicant's age should be between 18 to 50 years.</t>
  </si>
  <si>
    <t>MS-M08 / M08-P0008</t>
  </si>
  <si>
    <t>M08-SRC005</t>
  </si>
  <si>
    <t>The applicant must have knowledge of the business for which they are applying for a loan.</t>
  </si>
  <si>
    <t>MS-M08 / M08-P0009</t>
  </si>
  <si>
    <t>M08-SRC006</t>
  </si>
  <si>
    <t>The applicant must have her own name, or joint name with her husband, or her husband’s name (with affidavit) on the 7/12 land extract for agricultural project loans.</t>
  </si>
  <si>
    <t>MS-M08 / M08-P0010</t>
  </si>
  <si>
    <t>M08-SRC007</t>
  </si>
  <si>
    <t>For the 50% Subsidy Scheme and Margin Money, her annual income must be below the poverty line.</t>
  </si>
  <si>
    <t>MS-M08 / M08-P0011</t>
  </si>
  <si>
    <t>M08-SRC008</t>
  </si>
  <si>
    <t>For the NSFDC Scheme, the income limit is ₹98,000 for rural areas and ₹1,20,000 for urban areas.</t>
  </si>
  <si>
    <t>MS-M08 / M08-P0012</t>
  </si>
  <si>
    <t>M08-EMPTY-Exclusions</t>
  </si>
  <si>
    <t>M09-SRC001</t>
  </si>
  <si>
    <t>MS-M09 / M09-P0003</t>
  </si>
  <si>
    <t>M09@20261024-5f84a7ed</t>
  </si>
  <si>
    <t>M09-SRC002</t>
  </si>
  <si>
    <t>MS-M09 / M09-P0004</t>
  </si>
  <si>
    <t>M09-SRC003</t>
  </si>
  <si>
    <t>The applicant's age should be between 18 and 50 years.</t>
  </si>
  <si>
    <t>MS-M09 / M09-P0005</t>
  </si>
  <si>
    <t>M09-SRC004</t>
  </si>
  <si>
    <t>MS-M09 / M09-P0006</t>
  </si>
  <si>
    <t>M09-SRC005</t>
  </si>
  <si>
    <t>The applicant must have knowledge of the business for which the loan is being applied.</t>
  </si>
  <si>
    <t>MS-M09 / M09-P0007</t>
  </si>
  <si>
    <t>M09-SRC006</t>
  </si>
  <si>
    <t>For the 50% Subsidy Scheme and Margin Money, the applicant's annual income must be below the poverty line.</t>
  </si>
  <si>
    <t>MS-M09 / M09-P0008</t>
  </si>
  <si>
    <t>M09-SRC007</t>
  </si>
  <si>
    <t>For the NSFDC Scheme, the applicant's annual income should be below ₹98,000 for rural areas and ₹1,20,000 for urban areas.</t>
  </si>
  <si>
    <t>MS-M09 / M09-P0009</t>
  </si>
  <si>
    <t>M09-SRC008</t>
  </si>
  <si>
    <t>Relaxation/Preference/Priority</t>
  </si>
  <si>
    <t>MS-M09 / M09-P0010</t>
  </si>
  <si>
    <t>M09-SRC009</t>
  </si>
  <si>
    <t>Widows and divorcees are given priority.</t>
  </si>
  <si>
    <t>MS-M09 / M09-P0011</t>
  </si>
  <si>
    <t>M09-EMPTY-Exclusions</t>
  </si>
  <si>
    <t>M10-SRC001</t>
  </si>
  <si>
    <t>MS-M10 / M10-P0005</t>
  </si>
  <si>
    <t>M10@20261024-a19f99b4</t>
  </si>
  <si>
    <t>M10-SRC002</t>
  </si>
  <si>
    <t>MS-M10 / M10-P0006</t>
  </si>
  <si>
    <t>M10-SRC003</t>
  </si>
  <si>
    <t>MS-M10 / M10-P0007</t>
  </si>
  <si>
    <t>M10-SRC004</t>
  </si>
  <si>
    <t>MS-M10 / M10-P0008</t>
  </si>
  <si>
    <t>M10-SRC005</t>
  </si>
  <si>
    <t>For financial assistance of 100% of the cost of the aids and appliances, the monthly income of the applicant should be less than ₹1,500/-.</t>
  </si>
  <si>
    <t>MS-M10 / M10-P0009</t>
  </si>
  <si>
    <t>M10-SRC006</t>
  </si>
  <si>
    <t>For financial assistance of 50% of the cost of the aids and appliances, the monthly income of the applicant should be between ₹1,500/- to ₹2,000/-.</t>
  </si>
  <si>
    <t>MS-M10 / M10-P0010</t>
  </si>
  <si>
    <t>M10-EMPTY-Exclusions</t>
  </si>
  <si>
    <t>M11-SRC001</t>
  </si>
  <si>
    <t>MS-M11 / M11-P0004</t>
  </si>
  <si>
    <t>M11@20261024-4c4d1d57</t>
  </si>
  <si>
    <t>M11-SRC002</t>
  </si>
  <si>
    <t>MS-M11 / M11-P0005</t>
  </si>
  <si>
    <t>M11-SRC003</t>
  </si>
  <si>
    <t>MS-M11 / M11-P0006</t>
  </si>
  <si>
    <t>M11-SRC004</t>
  </si>
  <si>
    <t>MS-M11 / M11-P0007</t>
  </si>
  <si>
    <t>M11-SRC005</t>
  </si>
  <si>
    <t>MS-M11 / M11-P0008</t>
  </si>
  <si>
    <t>M11-SRC006</t>
  </si>
  <si>
    <t>The annual income of the applicant should be less than ₹1,00,000/-.</t>
  </si>
  <si>
    <t>MS-M11 / M11-P0009</t>
  </si>
  <si>
    <t>M11-EMPTY-Exclusions</t>
  </si>
  <si>
    <t>M12-SRC001</t>
  </si>
  <si>
    <t>1. The applicant should have lived for 15 years in Maharashtra.</t>
  </si>
  <si>
    <t>MS-M12 / M12-P0006</t>
  </si>
  <si>
    <t>M12@20261024-252bd73d</t>
  </si>
  <si>
    <t>M12-SRC002</t>
  </si>
  <si>
    <t>2. The applicant's annual income limit is as under -</t>
  </si>
  <si>
    <t>MS-M12 / M12-P0007</t>
  </si>
  <si>
    <t>M12-SRC003</t>
  </si>
  <si>
    <t>For Rural Area, ₹1,00,000/- per annum.</t>
  </si>
  <si>
    <t>MS-M12 / M12-P0008</t>
  </si>
  <si>
    <t>M12-SRC004</t>
  </si>
  <si>
    <t>For Municipal Area, ₹1,50,000/- per annum.</t>
  </si>
  <si>
    <t>MS-M12 / M12-P0009</t>
  </si>
  <si>
    <t>M12-SRC005</t>
  </si>
  <si>
    <t>For Municipal Corporation, ₹2,00,000/- per annum.</t>
  </si>
  <si>
    <t>MS-M12 / M12-P0010</t>
  </si>
  <si>
    <t>M12-SRC006</t>
  </si>
  <si>
    <t>3. Only one person in the family will get the benefit.</t>
  </si>
  <si>
    <t>MS-M12 / M12-P0011</t>
  </si>
  <si>
    <t>M12-SRC007</t>
  </si>
  <si>
    <t>4. The applicant should have his/her own land</t>
  </si>
  <si>
    <t>MS-M12 / M12-P0012</t>
  </si>
  <si>
    <t>M12-SRC008</t>
  </si>
  <si>
    <t>5. The applicant should not be receiving the benefits of any other housing scheme of the Government.</t>
  </si>
  <si>
    <t>MS-M12 / M12-P0013</t>
  </si>
  <si>
    <t>M12-SRC009</t>
  </si>
  <si>
    <t>Reservation/Relaxation/Priority</t>
  </si>
  <si>
    <t>MS-M12 / M12-P0014</t>
  </si>
  <si>
    <t>M12-SRC010</t>
  </si>
  <si>
    <t>Priority will be given to applicants from the Below Poverty Line (BPL).</t>
  </si>
  <si>
    <t>MS-M12 / M12-P0015</t>
  </si>
  <si>
    <t>M12-EMPTY-Exclusions</t>
  </si>
  <si>
    <t>M13-SRC001</t>
  </si>
  <si>
    <t>Cultivable land holding farmers families (comprising of husband, wife and minor children) having land holding on dated 01.02.2019 are eligible for both PM KISAN &amp; NSMNY scheme.</t>
  </si>
  <si>
    <t>MS-M13 / M13-P0013</t>
  </si>
  <si>
    <t>M13@20261024-f6e018ef</t>
  </si>
  <si>
    <t>M13-SRC002</t>
  </si>
  <si>
    <t>The following categories of beneficiaries of higher economic status shall not be eligible for benefit under the scheme:</t>
  </si>
  <si>
    <t>MS-M13 / M13-P0014</t>
  </si>
  <si>
    <t>M13-SRC003</t>
  </si>
  <si>
    <t>(a) All Institutional Land holders; and</t>
  </si>
  <si>
    <t>MS-M13 / M13-P0015</t>
  </si>
  <si>
    <t>M13-SRC004</t>
  </si>
  <si>
    <t>(b) Farmer families in which one or more of its members belong to following categories:</t>
  </si>
  <si>
    <t>MS-M13 / M13-P0016</t>
  </si>
  <si>
    <t>M13-SRC005</t>
  </si>
  <si>
    <t>Former and present holders of constitutional post.</t>
  </si>
  <si>
    <t>MS-M13 / M13-P0017</t>
  </si>
  <si>
    <t>en.schemeContent.exclusions[3].children[0]</t>
  </si>
  <si>
    <t>M13-SRC006</t>
  </si>
  <si>
    <t>MS-M13 / M13-P0018</t>
  </si>
  <si>
    <t>en.schemeContent.exclusions[3].children[1]</t>
  </si>
  <si>
    <t>M13-SRC007</t>
  </si>
  <si>
    <t>All serving or retired officers and employees of Central/ State Government Ministries /Offices/Departments and its field units Central or State PSEs and Attached offices /Autonomous Institutions under Government as well as regular employees of the Local Bodies (Excluding Multi-Tasking Staff / Class IV/Group D employees).</t>
  </si>
  <si>
    <t>MS-M13 / M13-P0019</t>
  </si>
  <si>
    <t>en.schemeContent.exclusions[3].children[2]</t>
  </si>
  <si>
    <t>M13-SRC008</t>
  </si>
  <si>
    <t>All superannuated/retired pensioners whose monthly pension is Rs.10,000/-or more (Excluding Multi Tasking Staff / Class IV/Group D employees.</t>
  </si>
  <si>
    <t>MS-M13 / M13-P0020</t>
  </si>
  <si>
    <t>en.schemeContent.exclusions[3].children[3]</t>
  </si>
  <si>
    <t>M13-SRC009</t>
  </si>
  <si>
    <t>All Persons who paid Income Tax in last assessment year.</t>
  </si>
  <si>
    <t>MS-M13 / M13-P0021</t>
  </si>
  <si>
    <t>en.schemeContent.exclusions[3].children[4]</t>
  </si>
  <si>
    <t>M13-SRC010</t>
  </si>
  <si>
    <t>Professionals like Doctors, Engineers, Lawyers, Chartered Accountants, and Architects registered with Professional bodies and carrying out profession by undertaking practices.</t>
  </si>
  <si>
    <t>MS-M13 / M13-P0022</t>
  </si>
  <si>
    <t>en.schemeContent.exclusions[3].children[5]</t>
  </si>
  <si>
    <t>M13-SRC011</t>
  </si>
  <si>
    <t>Non-Resident Indians (NRIs)</t>
  </si>
  <si>
    <t>MS-M13 / M13-P0023</t>
  </si>
  <si>
    <t>en.schemeContent.exclusions[3].children[6]</t>
  </si>
  <si>
    <t>M14-SRC001</t>
  </si>
  <si>
    <t>1)The Age of the applicant should be between 18 to 45. For Special category (including SC/ST/Women/ Ex-servicemen/Differently abled) age is relaxed by 5 years.</t>
  </si>
  <si>
    <t>MS-M14 / M14-P0019</t>
  </si>
  <si>
    <t>M14@20261024-85e27901</t>
  </si>
  <si>
    <t>M14-SRC002</t>
  </si>
  <si>
    <t>2)The Occupation of the applicant should be unemployed youth, Youth willing to establish new ventures.</t>
  </si>
  <si>
    <t>MS-M14 / M14-P0020</t>
  </si>
  <si>
    <t>M14-SRC003</t>
  </si>
  <si>
    <t>3)The Annual Income of the Applicant/Family/Parent/Guardian should No criteria LPA</t>
  </si>
  <si>
    <t>MS-M14 / M14-P0021</t>
  </si>
  <si>
    <t>M14-SRC004</t>
  </si>
  <si>
    <t>4)The Gender of the applicant should be Male and Female</t>
  </si>
  <si>
    <t>MS-M14 / M14-P0022</t>
  </si>
  <si>
    <t>M14-SRC005</t>
  </si>
  <si>
    <t>5)The Marital Status of the applicant should be for all</t>
  </si>
  <si>
    <t>MS-M14 / M14-P0023</t>
  </si>
  <si>
    <t>M14-SRC006</t>
  </si>
  <si>
    <t>6)The Educational Qualification of the applicant should be minimum 7th standard pass for   project/unit above Rs. 10 lac and for project/units above Rs.25 lac the required educational criterion for the applicant is minimum 10th standard pass.</t>
  </si>
  <si>
    <t>MS-M14 / M14-P0024</t>
  </si>
  <si>
    <t>M14-SRC007</t>
  </si>
  <si>
    <t>1) Only one person from a family will be eligible under the scheme. (Definition of family includes Self and spouse)</t>
  </si>
  <si>
    <t>MS-M14 / M14-P0025</t>
  </si>
  <si>
    <t>M14-SRC008</t>
  </si>
  <si>
    <t>2) Existing Units and units that have availed benefit under PMRY, REGP, PMEGP or any other subsidy linked scheme of Government of India or State Government and also units that have already availed Government Subsidy under any other scheme of Government of India or State Government are not eligible under the scheme.</t>
  </si>
  <si>
    <t>MS-M14 / M14-P0026</t>
  </si>
  <si>
    <t>M15-SRC001</t>
  </si>
  <si>
    <t>1)	Farmers producer companies under the project in the district, registered farmer groups/self-help groups in the project village.</t>
  </si>
  <si>
    <t>MS-M15 / M15-P0011</t>
  </si>
  <si>
    <t>M15@20261024-a94b0000</t>
  </si>
  <si>
    <t>M15-SRC002</t>
  </si>
  <si>
    <t>2)	In the project, FPC’s registered with a minimum of 100 members from the district will be eligible to avail benefits under the agribusiness components.</t>
  </si>
  <si>
    <t>MS-M15 / M15-P0012</t>
  </si>
  <si>
    <t>M15-SRC003</t>
  </si>
  <si>
    <t>3)	For the project, any eligible group of interested/qualified farmers/women/landless individuals registered with any govt. department (e.g., ATMA, MAVIM, MSRLM etc.) selected in the village can apply for the Prime Minister's Farmer Scheme, based on the family's eligibility criteria (husband, wife, and dependent children over 18 years of age). The explanation of the family's composition from different families within the group, with a minimum of 11 members in each family, is necessary. The benefits of the agribusiness components should not be directed solely towards one family; attention should be paid to this aspect.</t>
  </si>
  <si>
    <t>MS-M15 / M15-P0013</t>
  </si>
  <si>
    <t>M15-SRC004</t>
  </si>
  <si>
    <t>4)	The financial condition of applicant farmers' producer companies/registered farmers/self help groups is proposed to be capable enough to establish and operate agricultural input service centers/industries.</t>
  </si>
  <si>
    <t>MS-M15 / M15-P0014</t>
  </si>
  <si>
    <t>M15-SRC005</t>
  </si>
  <si>
    <t>5)	The project mandates that loans sanctioned to farmers' producer companies/registered banks/financial institutions for projects exceeding Rs. 20.00 lakhs must be approved. The approved amount of the existing loan should be at least 1.25 times the minimum grant aid.</t>
  </si>
  <si>
    <t>MS-M15 / M15-P0015</t>
  </si>
  <si>
    <t>M15-SRC006</t>
  </si>
  <si>
    <t>6)	The proposal of Rs. 20.00 lakhs will be funded through self-financing. In such proposals, assurance should be given that the required funds are available in the registered bank account of the group/company or will be raised from the members (include this decision in the company/group resolution). While providing financial assistance under the project, the expenditure incurred for the project from the bank account of the group/company will be considered eligible for reimbursement.</t>
  </si>
  <si>
    <t>MS-M15 / M15-P0016</t>
  </si>
  <si>
    <t>M15-SRC007</t>
  </si>
  <si>
    <t>7)	If there's a loan involved, it's essential for the farmers' producer company and registered farmers/self help groups to enter into a tripartite agreement with the registered bank/financial institution and the relevant project management authority.</t>
  </si>
  <si>
    <t>MS-M15 / M15-P0017</t>
  </si>
  <si>
    <t>M15-SRC008</t>
  </si>
  <si>
    <t>1.	Farmers with land holding more than 5.00 ha</t>
  </si>
  <si>
    <t>MS-M15 / M15-P0018</t>
  </si>
  <si>
    <t>M16-SRC001</t>
  </si>
  <si>
    <t>The worker must be engaged in building or construction work.</t>
  </si>
  <si>
    <t>MS-M16 / M16-P0003</t>
  </si>
  <si>
    <t>M16@20261024-02d3058f</t>
  </si>
  <si>
    <t>M16-SRC002</t>
  </si>
  <si>
    <t>The worker should be registered under the Maharashtra Building and Other Construction Workers Welfare Board (MBOCWW).</t>
  </si>
  <si>
    <t>MS-M16 / M16-P0004</t>
  </si>
  <si>
    <t>M16-SRC003</t>
  </si>
  <si>
    <t>The worker or family member must be undergoing treatment for a serious illness or critical medical condition.</t>
  </si>
  <si>
    <t>MS-M16 / M16-P0005</t>
  </si>
  <si>
    <t>M16-EMPTY-Exclusions</t>
  </si>
  <si>
    <t>M17-SRC001</t>
  </si>
  <si>
    <t>The applicant should be a registered Non-Governmental Organization (NGO).</t>
  </si>
  <si>
    <t>MS-M17 / M17-P0003</t>
  </si>
  <si>
    <t>M17@20261024-9c834b46</t>
  </si>
  <si>
    <t>M17-SRC002</t>
  </si>
  <si>
    <t>The applicant should only accommodate old/destitute/disabled victims.</t>
  </si>
  <si>
    <t>MS-M17 / M17-P0004</t>
  </si>
  <si>
    <t>M17-SRC003</t>
  </si>
  <si>
    <t>In the case of old men, the age should be 60 years and above. In the case of old women, the age should be 55 years and above.</t>
  </si>
  <si>
    <t>MS-M17 / M17-P0005</t>
  </si>
  <si>
    <t>M17-SRC004</t>
  </si>
  <si>
    <t>The old age person should be a citizen of India.</t>
  </si>
  <si>
    <t>MS-M17 / M17-P0006</t>
  </si>
  <si>
    <t>M17-SRC005</t>
  </si>
  <si>
    <t>The old age person should be a permanent resident of the state of Maharashtra.</t>
  </si>
  <si>
    <t>MS-M17 / M17-P0007</t>
  </si>
  <si>
    <t>M17-EMPTY-Exclusions</t>
  </si>
  <si>
    <t>M18-SRC001</t>
  </si>
  <si>
    <t>Applicant should belong to VJNT, OBC or SBC Category.</t>
  </si>
  <si>
    <t>MS-M18 / M18-P0007</t>
  </si>
  <si>
    <t>M18@20261024-929bd029</t>
  </si>
  <si>
    <t>M18-SRC002</t>
  </si>
  <si>
    <t>Applicant should fulfil all the conditions of Age, Education, and fitness as per the Motor Vehicle Act.</t>
  </si>
  <si>
    <t>MS-M18 / M18-P0008</t>
  </si>
  <si>
    <t>M18-SRC003</t>
  </si>
  <si>
    <t>During the training period payment for reaching &amp; coming back from the training institute, Medical checkups, photographs, learning and permanent licence, travelling licence, batch and provision of lodging and boarding are provided by the training institution.</t>
  </si>
  <si>
    <t>MS-M18 / M18-P0009</t>
  </si>
  <si>
    <t>M18-EMPTY-Exclusions</t>
  </si>
  <si>
    <t>M19-SRC001</t>
  </si>
  <si>
    <t>MS-M19 / M19-P0003</t>
  </si>
  <si>
    <t>M19@20261024-96cebe33</t>
  </si>
  <si>
    <t>M19-SRC002</t>
  </si>
  <si>
    <t>The applicant should be a resident of Maharashtra state.</t>
  </si>
  <si>
    <t>MS-M19 / M19-P0004</t>
  </si>
  <si>
    <t>M19-SRC003</t>
  </si>
  <si>
    <t>The applicant's age should be between 21-65 years.</t>
  </si>
  <si>
    <t>MS-M19 / M19-P0005</t>
  </si>
  <si>
    <t>M19-SRC004</t>
  </si>
  <si>
    <t>The applicant should have their bank account with an Aadhaar link.</t>
  </si>
  <si>
    <t>MS-M19 / M19-P0006</t>
  </si>
  <si>
    <t>M19-SRC005</t>
  </si>
  <si>
    <t>The annual income of the applicant's family should not exceed ₹2,50,000/-.</t>
  </si>
  <si>
    <t>MS-M19 / M19-P0007</t>
  </si>
  <si>
    <t>M19-SRC006</t>
  </si>
  <si>
    <t>Outsourced employees, voluntary workers, and contract workers with income up to ₹2,50,000/- are eligible.</t>
  </si>
  <si>
    <t>MS-M19 / M19-P0008</t>
  </si>
  <si>
    <t>M19-SRC007</t>
  </si>
  <si>
    <t>The applicant should be any one of the following:</t>
  </si>
  <si>
    <t>MS-M19 / M19-P0009</t>
  </si>
  <si>
    <t>M19-SRC008</t>
  </si>
  <si>
    <t>Married Woman</t>
  </si>
  <si>
    <t>MS-M19 / M19-P0010</t>
  </si>
  <si>
    <t>en.eligibilityCriteria.eligibilityDescription[1].children[0].children[0]</t>
  </si>
  <si>
    <t>M19-SRC009</t>
  </si>
  <si>
    <t>Widowed</t>
  </si>
  <si>
    <t>MS-M19 / M19-P0011</t>
  </si>
  <si>
    <t>en.eligibilityCriteria.eligibilityDescription[1].children[0].children[1]</t>
  </si>
  <si>
    <t>M19-SRC010</t>
  </si>
  <si>
    <t>Divorced Woman</t>
  </si>
  <si>
    <t>MS-M19 / M19-P0012</t>
  </si>
  <si>
    <t>en.eligibilityCriteria.eligibilityDescription[1].children[0].children[2]</t>
  </si>
  <si>
    <t>M19-SRC011</t>
  </si>
  <si>
    <t>Abandoned and Destitute Women</t>
  </si>
  <si>
    <t>MS-M19 / M19-P0013</t>
  </si>
  <si>
    <t>en.eligibilityCriteria.eligibilityDescription[1].children[0].children[3]</t>
  </si>
  <si>
    <t>M19-SRC012</t>
  </si>
  <si>
    <t>One Unmarried Woman in the family</t>
  </si>
  <si>
    <t>MS-M19 / M19-P0014</t>
  </si>
  <si>
    <t>en.eligibilityCriteria.eligibilityDescription[1].children[0].children[4]</t>
  </si>
  <si>
    <t>M19-SRC013</t>
  </si>
  <si>
    <t>The combined annual family income is more than ₹2,50,000/-.</t>
  </si>
  <si>
    <t>MS-M19 / M19-P0015</t>
  </si>
  <si>
    <t>M19-SRC014</t>
  </si>
  <si>
    <t>The family member is an income taxpayer.</t>
  </si>
  <si>
    <t>MS-M19 / M19-P0016</t>
  </si>
  <si>
    <t>M19-SRC015</t>
  </si>
  <si>
    <t>The family members are working as regular/permanent employees in a government department/undertaking/board/government of India or local body of the state government or are drawing pensions after retirement.</t>
  </si>
  <si>
    <t>MS-M19 / M19-P0017</t>
  </si>
  <si>
    <t>M19-SRC016</t>
  </si>
  <si>
    <t>The beneficiary women received ₹1,500 per month through the financial scheme implemented by other departments of the government.</t>
  </si>
  <si>
    <t>MS-M19 / M19-P0018</t>
  </si>
  <si>
    <t>M19-SRC017</t>
  </si>
  <si>
    <t>The family member is a present or former MP/MLA.</t>
  </si>
  <si>
    <t>MS-M19 / M19-P0019</t>
  </si>
  <si>
    <t>M19-SRC018</t>
  </si>
  <si>
    <t>The family member is the Chairman/Vice-Chairman/Director/Member of the Board/Corporation/Undertaking of the Government of India or State Government.</t>
  </si>
  <si>
    <t>MS-M19 / M19-P0020</t>
  </si>
  <si>
    <t>en.schemeContent.exclusions[0].children[5]</t>
  </si>
  <si>
    <t>M19-SRC019</t>
  </si>
  <si>
    <t>A person has a four-wheeler (excluding a tractor) registered in the name of their family members.</t>
  </si>
  <si>
    <t>MS-M19 / M19-P0021</t>
  </si>
  <si>
    <t>en.schemeContent.exclusions[0].children[6]</t>
  </si>
  <si>
    <t>M20-SRC001</t>
  </si>
  <si>
    <t>Category A: Families holding Yellow, Antyodaya Anna Yojana (AAY), Annapurna Yojna and Orange Ration Card.</t>
  </si>
  <si>
    <t>MS-M20 / M20-P0030</t>
  </si>
  <si>
    <t>M20@20261024-f3f91db6</t>
  </si>
  <si>
    <t>M20-SRC002</t>
  </si>
  <si>
    <t>Category B</t>
  </si>
  <si>
    <t>MS-M20 / M20-P0031</t>
  </si>
  <si>
    <t>M20-SRC003</t>
  </si>
  <si>
    <t>• White ration card holder families (including Govt./Semi Gov employees).</t>
  </si>
  <si>
    <t>MS-M20 / M20-P0032</t>
  </si>
  <si>
    <t>M20-SRC004</t>
  </si>
  <si>
    <t>• A family without having any kind of ration card but having domicile certificate of Maharashtra</t>
  </si>
  <si>
    <t>MS-M20 / M20-P0033</t>
  </si>
  <si>
    <t>M20-SRC005</t>
  </si>
  <si>
    <t>Category C</t>
  </si>
  <si>
    <t>MS-M20 / M20-P0034</t>
  </si>
  <si>
    <t>M20-SRC006</t>
  </si>
  <si>
    <t>• Students in Govt. and Govt. recognized Ashram School</t>
  </si>
  <si>
    <t>MS-M20 / M20-P0035</t>
  </si>
  <si>
    <t>M20-SRC007</t>
  </si>
  <si>
    <t>• Children in Govt. and Govt. recognized Orphanages</t>
  </si>
  <si>
    <t>MS-M20 / M20-P0036</t>
  </si>
  <si>
    <t>M20-SRC008</t>
  </si>
  <si>
    <t>• Women in Govt. and Govt. recognized Women's Ashram</t>
  </si>
  <si>
    <t>MS-M20 / M20-P0037</t>
  </si>
  <si>
    <t>M20-SRC009</t>
  </si>
  <si>
    <t>• Sr. citizens in Govt. and Govt. recognized old age homes</t>
  </si>
  <si>
    <t>MS-M20 / M20-P0038</t>
  </si>
  <si>
    <t>M20-SRC010</t>
  </si>
  <si>
    <t>• Journalists and their dependent family members as per criteria of Directorate General of Information and Public Relations Office.</t>
  </si>
  <si>
    <t>MS-M20 / M20-P0039</t>
  </si>
  <si>
    <t>M20-SRC011</t>
  </si>
  <si>
    <t>• Construction workers and their families (who are resident of outside of Maharashtra) registered with Maharashtra Building and Other Construction Workers Board.</t>
  </si>
  <si>
    <t>MS-M20 / M20-P0040</t>
  </si>
  <si>
    <t>M20-SRC012</t>
  </si>
  <si>
    <t>Category D</t>
  </si>
  <si>
    <t>MS-M20 / M20-P0041</t>
  </si>
  <si>
    <t>M20-SRC013</t>
  </si>
  <si>
    <t>Road traffic accident victims from outside Maharashtra and outside India who met with an accident on roads in Maharashtra</t>
  </si>
  <si>
    <t>MS-M20 / M20-P0042</t>
  </si>
  <si>
    <t>en.eligibilityCriteria.eligibilityDescription[12].children[0]</t>
  </si>
  <si>
    <t>M20-SRC014</t>
  </si>
  <si>
    <t>Category E</t>
  </si>
  <si>
    <t>MS-M20 / M20-P0043</t>
  </si>
  <si>
    <t>M20-SRC015</t>
  </si>
  <si>
    <t>Families holding below mentioned ration cards from 865 villages of Belgaon, Karwar, Kalburgi and Bidar Districts of Maharashtra- Karnataka border</t>
  </si>
  <si>
    <t>MS-M20 / M20-P0044</t>
  </si>
  <si>
    <t>M20-SRC016</t>
  </si>
  <si>
    <t>1) Antyodaya Anna Yojana (AAY)</t>
  </si>
  <si>
    <t>MS-M20 / M20-P0045</t>
  </si>
  <si>
    <t>en.eligibilityCriteria.eligibilityDescription[15]</t>
  </si>
  <si>
    <t>M20-SRC017</t>
  </si>
  <si>
    <t>2) Priority House Holder (PHH)</t>
  </si>
  <si>
    <t>MS-M20 / M20-P0046</t>
  </si>
  <si>
    <t>M20-SRC018</t>
  </si>
  <si>
    <t>3) Annapurna Yojna</t>
  </si>
  <si>
    <t>MS-M20 / M20-P0047</t>
  </si>
  <si>
    <t>en.eligibilityCriteria.eligibilityDescription[17]</t>
  </si>
  <si>
    <t>M20-EMPTY-Exclusions</t>
  </si>
  <si>
    <t>M21-SRC001</t>
  </si>
  <si>
    <t>The candidate should be a resident of Maharashtra.</t>
  </si>
  <si>
    <t>MS-M21 / M21-P0008</t>
  </si>
  <si>
    <t>M21@20261024-dfead11f</t>
  </si>
  <si>
    <t>M21-SRC002</t>
  </si>
  <si>
    <t>The candidate's age should be between 18 to 35.</t>
  </si>
  <si>
    <t>MS-M21 / M21-P0009</t>
  </si>
  <si>
    <t>M21-SRC003</t>
  </si>
  <si>
    <t>The candidate should have minimum education criteria of 12th Pass/ITI/Diploma/Graduation/Post Graduation.</t>
  </si>
  <si>
    <t>MS-M21 / M21-P0010</t>
  </si>
  <si>
    <t>M21-SRC004</t>
  </si>
  <si>
    <t>The candidate should be registered with Aadhaar.</t>
  </si>
  <si>
    <t>MS-M21 / M21-P0011</t>
  </si>
  <si>
    <t>M21-SRC005</t>
  </si>
  <si>
    <t>The candidate's bank accounts should be linked with Aadhaar.</t>
  </si>
  <si>
    <t>MS-M21 / M21-P0012</t>
  </si>
  <si>
    <t>M21-EMPTY-Exclusions</t>
  </si>
  <si>
    <t>Official documents and source register</t>
  </si>
  <si>
    <t>Original sources retained. New links are source-listed; destination validation remains a manual review task.</t>
  </si>
  <si>
    <t>Scheme IDs</t>
  </si>
  <si>
    <t>Document type</t>
  </si>
  <si>
    <t>Document / page title</t>
  </si>
  <si>
    <t>Open link</t>
  </si>
  <si>
    <t>Where to look / source path</t>
  </si>
  <si>
    <t>Access / completeness</t>
  </si>
  <si>
    <t>Language</t>
  </si>
  <si>
    <t>Source date / version</t>
  </si>
  <si>
    <t>URL</t>
  </si>
  <si>
    <t>S01</t>
  </si>
  <si>
    <t>Official FAQ</t>
  </si>
  <si>
    <t>DFS PMJJBY FAQ</t>
  </si>
  <si>
    <t>Open source</t>
  </si>
  <si>
    <t>Who is eligible; termination; enrolment; NRI questions</t>
  </si>
  <si>
    <t>Read</t>
  </si>
  <si>
    <t>English</t>
  </si>
  <si>
    <t>Page updated 5 Jan 2026</t>
  </si>
  <si>
    <t>S02</t>
  </si>
  <si>
    <t>Guidelines PDF</t>
  </si>
  <si>
    <t>PMJJBY rules</t>
  </si>
  <si>
    <t>Open PDF</t>
  </si>
  <si>
    <t>Linked by myScheme</t>
  </si>
  <si>
    <t>Fetch failed; retry manually</t>
  </si>
  <si>
    <t>Not established</t>
  </si>
  <si>
    <t>S03</t>
  </si>
  <si>
    <t>Application PDF</t>
  </si>
  <si>
    <t>PMJJBY consent-cum-declaration form</t>
  </si>
  <si>
    <t>Linked by myScheme application tab</t>
  </si>
  <si>
    <t>S04</t>
  </si>
  <si>
    <t>DFS PMSBY FAQ</t>
  </si>
  <si>
    <t>Eligibility; benefits; termination; account restrictions</t>
  </si>
  <si>
    <t>Page authored 24 Dec 2025</t>
  </si>
  <si>
    <t>S05</t>
  </si>
  <si>
    <t>PMSBY rules</t>
  </si>
  <si>
    <t>S06</t>
  </si>
  <si>
    <t>Forms index</t>
  </si>
  <si>
    <t>PMSBY forms</t>
  </si>
  <si>
    <t>Enrolment and claim forms</t>
  </si>
  <si>
    <t>S07</t>
  </si>
  <si>
    <t>myScheme page</t>
  </si>
  <si>
    <t>PM Kisan Maandhan</t>
  </si>
  <si>
    <t>Details; Eligibility; Exclusions; Documents Required; Application Process</t>
  </si>
  <si>
    <t>Read in rendered browser</t>
  </si>
  <si>
    <t>S08</t>
  </si>
  <si>
    <t>Official backgrounder</t>
  </si>
  <si>
    <t>PIB PM-KMY, seven years</t>
  </si>
  <si>
    <t>Eligibility and excluded categories</t>
  </si>
  <si>
    <t>11 Sep 2026</t>
  </si>
  <si>
    <t>S09</t>
  </si>
  <si>
    <t>Guidelines page</t>
  </si>
  <si>
    <t>PM-KMY guidelines</t>
  </si>
  <si>
    <t>Guidelines and contribution chart linked by myScheme</t>
  </si>
  <si>
    <t>S10</t>
  </si>
  <si>
    <t>DFS Atal Pension Yojana FAQ</t>
  </si>
  <si>
    <t>Eligibility; exact age question; nomination; accounts; contributions</t>
  </si>
  <si>
    <t>5 Jan 2026</t>
  </si>
  <si>
    <t>S11</t>
  </si>
  <si>
    <t>Regulator document</t>
  </si>
  <si>
    <t>PFRDA APY eligibility and tax amendment</t>
  </si>
  <si>
    <t>Search-index text inspected</t>
  </si>
  <si>
    <t>Contains information to 31 Mar 2025</t>
  </si>
  <si>
    <t>S12</t>
  </si>
  <si>
    <t>Regulator compendium PDF</t>
  </si>
  <si>
    <t>PFRDA Act, Rules and Regulations</t>
  </si>
  <si>
    <t>APY section, printed page 696; tax amendment and contribution annex</t>
  </si>
  <si>
    <t>Search-index extract inspected; full PDF review pending</t>
  </si>
  <si>
    <t>S13</t>
  </si>
  <si>
    <t>APY forms linked by DFS</t>
  </si>
  <si>
    <t>Could not open; retry manually</t>
  </si>
  <si>
    <t>S14</t>
  </si>
  <si>
    <t>PIB PM-SYM</t>
  </si>
  <si>
    <t>Eligibility; documents; contribution table; enrolment</t>
  </si>
  <si>
    <t>4 Mar 2025</t>
  </si>
  <si>
    <t>S15</t>
  </si>
  <si>
    <t>Official backgrounder PDF</t>
  </si>
  <si>
    <t>PM-SYM pension overview</t>
  </si>
  <si>
    <t>Eligibility and enrolment</t>
  </si>
  <si>
    <t>Mar 2025</t>
  </si>
  <si>
    <t>S16</t>
  </si>
  <si>
    <t>Department scheme page</t>
  </si>
  <si>
    <t>Maharashtra IGNWPS implementation</t>
  </si>
  <si>
    <t>Eligibility; central/state shares; application</t>
  </si>
  <si>
    <t>S17</t>
  </si>
  <si>
    <t>Ministry report PDF</t>
  </si>
  <si>
    <t>Rural Development annual report 2023-24</t>
  </si>
  <si>
    <t>Search PDF for Indira Gandhi National Widow Pension Scheme</t>
  </si>
  <si>
    <t>2023-24</t>
  </si>
  <si>
    <t>S18</t>
  </si>
  <si>
    <t>C06, M01, M02</t>
  </si>
  <si>
    <t>District guidance</t>
  </si>
  <si>
    <t>Thane pension criteria and checklist</t>
  </si>
  <si>
    <t>State Government Sponsored Scheme; Document Required</t>
  </si>
  <si>
    <t>Page updated 30 Sep 2025</t>
  </si>
  <si>
    <t>S19</t>
  </si>
  <si>
    <t>Eligibility Criteria; Benefits; How To Apply</t>
  </si>
  <si>
    <t>Page updated 25 Apr 2025</t>
  </si>
  <si>
    <t>S20</t>
  </si>
  <si>
    <t>M01, M02</t>
  </si>
  <si>
    <t>Ahilyanagar special assistance eligibility</t>
  </si>
  <si>
    <t>Scheme eligibility table</t>
  </si>
  <si>
    <t>Search-index extract inspected</t>
  </si>
  <si>
    <t>S21</t>
  </si>
  <si>
    <t>Historical application PDF</t>
  </si>
  <si>
    <t>Sanjay Gandhi Niradhar application</t>
  </si>
  <si>
    <t>Linked from Mumbai Suburban forms page</t>
  </si>
  <si>
    <t>PDF opened; scanned text not extracted. Check current form</t>
  </si>
  <si>
    <t>Marathi</t>
  </si>
  <si>
    <t>Forms listing dated 6 Apr 2018</t>
  </si>
  <si>
    <t>S22</t>
  </si>
  <si>
    <t>Eligibility; Benefits; How To Apply</t>
  </si>
  <si>
    <t>S23</t>
  </si>
  <si>
    <t>District scheme page</t>
  </si>
  <si>
    <t>Lek Ladki Yojana, Beed</t>
  </si>
  <si>
    <t>Eligibility Criteria and document checklist</t>
  </si>
  <si>
    <t>Page updated 8 Apr 2025</t>
  </si>
  <si>
    <t>S24</t>
  </si>
  <si>
    <t>Government Resolution PDF</t>
  </si>
  <si>
    <t>Lek Ladki GR and annexures</t>
  </si>
  <si>
    <t>PDF page 2: conditions A and documents B; annexures</t>
  </si>
  <si>
    <t>Read relevant extracted text</t>
  </si>
  <si>
    <t>30 Oct 2023</t>
  </si>
  <si>
    <t>S25</t>
  </si>
  <si>
    <t>District application guidance</t>
  </si>
  <si>
    <t>Pune Lek Ladki scheme</t>
  </si>
  <si>
    <t>How To Apply: prescribed form at Anganwadi</t>
  </si>
  <si>
    <t>S26</t>
  </si>
  <si>
    <t>Mukhyamantri Vayoshri</t>
  </si>
  <si>
    <t>Main conditions; benefits; application</t>
  </si>
  <si>
    <t>Scheme dated 6 Feb 2024</t>
  </si>
  <si>
    <t>S27</t>
  </si>
  <si>
    <t>Vayoshri GR</t>
  </si>
  <si>
    <t>PDF page 4 section 8; annexures</t>
  </si>
  <si>
    <t>6 Feb 2024</t>
  </si>
  <si>
    <t>S28</t>
  </si>
  <si>
    <t>Nashik Vayoshri scheme and PDF link</t>
  </si>
  <si>
    <t>Eligibility; linked GR</t>
  </si>
  <si>
    <t>Page updated 28 Jan 2025</t>
  </si>
  <si>
    <t>S29</t>
  </si>
  <si>
    <t>C06, M02</t>
  </si>
  <si>
    <t>Historical district checklist</t>
  </si>
  <si>
    <t>Mumbai Suburban pension checklists</t>
  </si>
  <si>
    <t>Shravan Bal and widow pension document lists</t>
  </si>
  <si>
    <t>Read; older amounts and age limits conflict with department pages</t>
  </si>
  <si>
    <t>S30</t>
  </si>
  <si>
    <t>District checklist</t>
  </si>
  <si>
    <t>Satara schemes and required documents</t>
  </si>
  <si>
    <t>Chief Minister Vayoshri Scheme, row 13</t>
  </si>
  <si>
    <t>Official scheme page</t>
  </si>
  <si>
    <t>All extracted sections</t>
  </si>
  <si>
    <t>Public source feed retrieved; publication text, not policy sign-off</t>
  </si>
  <si>
    <t>Scheme effective date not established</t>
  </si>
  <si>
    <t>MS-C01-JSON</t>
  </si>
  <si>
    <t>Public source JSON</t>
  </si>
  <si>
    <t>Structured public scheme record</t>
  </si>
  <si>
    <t>Original nested source structure</t>
  </si>
  <si>
    <t>Retrieved, unmodified source snapshot used</t>
  </si>
  <si>
    <t>Effective date not established</t>
  </si>
  <si>
    <t>https://www.myscheme.gov.in/api/apisetu/schemes?slug=pmjjby&amp;lang=en</t>
  </si>
  <si>
    <t>MS-C01-DOC</t>
  </si>
  <si>
    <t>Public document JSON</t>
  </si>
  <si>
    <t>Official applicant document section</t>
  </si>
  <si>
    <t>documents_required</t>
  </si>
  <si>
    <t>Retrieved; empty sections explicitly flagged</t>
  </si>
  <si>
    <t>https://www.myscheme.gov.in/api/apisetu/schemes/62a1a38e07ac3b4e623091b1/documents?lang=en</t>
  </si>
  <si>
    <t>C01-L01</t>
  </si>
  <si>
    <t>Linked PDF</t>
  </si>
  <si>
    <t>https://www.jansuraksha.gov.in/Files/PMJJBY/English/ApplicationForm.pdf#zoom=250</t>
  </si>
  <si>
    <t>.scheme.applicationProcess[0].process[1].children[0].children[2]</t>
  </si>
  <si>
    <t>Listed by myScheme; destination not independently opened</t>
  </si>
  <si>
    <t>As published</t>
  </si>
  <si>
    <t>C01-L02</t>
  </si>
  <si>
    <t>Guidelines</t>
  </si>
  <si>
    <t>.scheme.schemeContent.references[0]</t>
  </si>
  <si>
    <t>https://jansuraksha.gov.in/Files/PMJJBY/English/Rules.pdf</t>
  </si>
  <si>
    <t>MS-C02-JSON</t>
  </si>
  <si>
    <t>https://www.myscheme.gov.in/api/apisetu/schemes?slug=pmsby&amp;lang=en</t>
  </si>
  <si>
    <t>MS-C02-DOC</t>
  </si>
  <si>
    <t>https://www.myscheme.gov.in/api/apisetu/schemes/6290a249e65001fa5dfa97b0/documents?lang=en</t>
  </si>
  <si>
    <t>C02-L01</t>
  </si>
  <si>
    <t>Linked reference / route</t>
  </si>
  <si>
    <t>https://jansuraksha.gov.in/Forms-PMSBY.aspx</t>
  </si>
  <si>
    <t>.scheme.applicationProcess[0].process[0].children[0].children[2]</t>
  </si>
  <si>
    <t>C02-L02</t>
  </si>
  <si>
    <t xml:space="preserve">https://jansuraksha.gov.in/files/STATEWISETOLLFREE.pdf </t>
  </si>
  <si>
    <t>.scheme.applicationProcess[0].process[4].children[2]</t>
  </si>
  <si>
    <t>https://jansuraksha.gov.in/files/STATEWISETOLLFREE.pdf</t>
  </si>
  <si>
    <t>C02-L03</t>
  </si>
  <si>
    <t>Scheme Guidelines</t>
  </si>
  <si>
    <t>https://jansuraksha.gov.in/Files/PMSBY/English/Rules.pdf</t>
  </si>
  <si>
    <t>MS-C03-JSON</t>
  </si>
  <si>
    <t>https://www.myscheme.gov.in/api/apisetu/schemes?slug=pmkmdy&amp;lang=en</t>
  </si>
  <si>
    <t>MS-C03-DOC</t>
  </si>
  <si>
    <t>https://www.myscheme.gov.in/api/apisetu/schemes/69896d8ebd88cb68aad3c472/documents?lang=en</t>
  </si>
  <si>
    <t>C03-L01</t>
  </si>
  <si>
    <t>https://pmkmy.gov.in/scheme/pmkmy</t>
  </si>
  <si>
    <t>C03-L02</t>
  </si>
  <si>
    <t>Frequenty Asked Questions (FAQs)</t>
  </si>
  <si>
    <t>.scheme.schemeContent.references[1]</t>
  </si>
  <si>
    <t>https://pmkmy.gov.in/page/faq</t>
  </si>
  <si>
    <t>MS-C04-JSON</t>
  </si>
  <si>
    <t>https://www.myscheme.gov.in/api/apisetu/schemes?slug=apy&amp;lang=en</t>
  </si>
  <si>
    <t>MS-C04-DOC</t>
  </si>
  <si>
    <t>https://www.myscheme.gov.in/api/apisetu/schemes/628b41a2c9b440ca7f31ff6c/documents?lang=en</t>
  </si>
  <si>
    <t>C04-L01</t>
  </si>
  <si>
    <t>https://enps.nsdl.com/eNPS/NationalPensionSystem.html</t>
  </si>
  <si>
    <t>.scheme.applicationProcess[0].process[3].children[1]</t>
  </si>
  <si>
    <t>C04-L02</t>
  </si>
  <si>
    <t xml:space="preserve"> https://www.npscra.nsdl.co.in/nsdl/scheme-details/APY_Subscribers_Contribution_Chart_1.pdf</t>
  </si>
  <si>
    <t>.scheme.schemeContent.detailedDescription[4].children[1]</t>
  </si>
  <si>
    <t>https://www.npscra.nsdl.co.in/nsdl/scheme-details/APY_Subscribers_Contribution_Chart_1.pdf</t>
  </si>
  <si>
    <t>C04-L03</t>
  </si>
  <si>
    <t>www.npscra.nsdl.co.in</t>
  </si>
  <si>
    <t>.scheme.schemeContent.detailedDescription[6].children[2].children[1]</t>
  </si>
  <si>
    <t>https://www.npscra.nsdl.co.in/</t>
  </si>
  <si>
    <t>MS-C05-JSON</t>
  </si>
  <si>
    <t>https://www.myscheme.gov.in/api/apisetu/schemes?slug=pm-sym&amp;lang=en</t>
  </si>
  <si>
    <t>MS-C05-DOC</t>
  </si>
  <si>
    <t>https://www.myscheme.gov.in/api/apisetu/schemes/6989c67975dad3f48e6dab1c/documents?lang=en</t>
  </si>
  <si>
    <t>C05-L01</t>
  </si>
  <si>
    <t>Maandhan Homepage</t>
  </si>
  <si>
    <t>.scheme.applicationProcess[1].process[1].children[0].children[1]</t>
  </si>
  <si>
    <t>https://maandhan.in/</t>
  </si>
  <si>
    <t>C05-L02</t>
  </si>
  <si>
    <t>Maandhan User Manual</t>
  </si>
  <si>
    <t>.scheme.applicationProcess[1].process[2].children[2]</t>
  </si>
  <si>
    <t>https://maandhan.in/showfile.php?lang=1&amp;level=1&amp;ls_id=171&amp;lid=260&amp;page=101</t>
  </si>
  <si>
    <t>C05-L03</t>
  </si>
  <si>
    <t>https://www.labour.gov.in/offerings/schemes-and-services/details/pm-sym-QTOzATMtQWa</t>
  </si>
  <si>
    <t>C05-L04</t>
  </si>
  <si>
    <t>PIB Press Release (4th March 2025)</t>
  </si>
  <si>
    <t>https://www.pib.gov.in/PressReleasePage.aspx?PRID=2108082&amp;reg=48&amp;lang=2</t>
  </si>
  <si>
    <t>C05-L05</t>
  </si>
  <si>
    <t>FAQs</t>
  </si>
  <si>
    <t>.scheme.schemeContent.references[3]</t>
  </si>
  <si>
    <t>https://maandhan.in/show_content.php?lang=1&amp;level=1&amp;ls_id=79&amp;lid=63&amp;page=74</t>
  </si>
  <si>
    <t>C05-L06</t>
  </si>
  <si>
    <t>Revival SoA Update Process</t>
  </si>
  <si>
    <t>.scheme.schemeContent.references[4]</t>
  </si>
  <si>
    <t>https://maandhan.in/show_content.php?lang=1&amp;level=1&amp;ls_id=104&amp;lid=88&amp;page=101</t>
  </si>
  <si>
    <t>C05-L07</t>
  </si>
  <si>
    <t>CSC Locator</t>
  </si>
  <si>
    <t>.scheme.schemeContent.references[5]</t>
  </si>
  <si>
    <t>https://findmycsc.nic.in/csc/</t>
  </si>
  <si>
    <t>MS-C06-JSON</t>
  </si>
  <si>
    <t>https://www.myscheme.gov.in/api/apisetu/schemes?slug=ignwps&amp;lang=en</t>
  </si>
  <si>
    <t>MS-C06-DOC</t>
  </si>
  <si>
    <t>https://www.myscheme.gov.in/api/apisetu/schemes/628c79f250b52bb011ccb5ee/documents?lang=en</t>
  </si>
  <si>
    <t>C06-L01</t>
  </si>
  <si>
    <t>https://web.umang.gov.in/web_new/home</t>
  </si>
  <si>
    <t>.scheme.applicationProcess[0].process[0].children[0].children[1]</t>
  </si>
  <si>
    <t>C06-L02</t>
  </si>
  <si>
    <t>NSAP FAQs</t>
  </si>
  <si>
    <t>https://nsap.nic.in/circular.do?method=faq</t>
  </si>
  <si>
    <t>C06-L03</t>
  </si>
  <si>
    <t>NSAP Guidelines</t>
  </si>
  <si>
    <t>https://nsap.nic.in/Guidelines/nsap_guidelines_oct2014.pdf</t>
  </si>
  <si>
    <t>C06-L04</t>
  </si>
  <si>
    <t>IGNWPS Office Memorandum Dated 08th Nov 2012</t>
  </si>
  <si>
    <t>.scheme.schemeContent.references[2]</t>
  </si>
  <si>
    <t>https://nsap.nic.in/Guidelines/wps.pdf</t>
  </si>
  <si>
    <t>C06-L05</t>
  </si>
  <si>
    <t>IGNWPS Office Memorandum Dated 30th Jun 2011</t>
  </si>
  <si>
    <t>https://nsap.nic.in/Guidelines/english_wps.pdf</t>
  </si>
  <si>
    <t>C06-L06</t>
  </si>
  <si>
    <t>IGNWPS Office Memorandum Dated 30th Sep 2009</t>
  </si>
  <si>
    <t>https://nsap.nic.in/Guidelines/guidelines%20on%20IGNWPS%2030sep09.pdf</t>
  </si>
  <si>
    <t>MS-M01-JSON</t>
  </si>
  <si>
    <t>https://www.myscheme.gov.in/api/apisetu/schemes?slug=sgngs&amp;lang=en</t>
  </si>
  <si>
    <t>MS-M01-DOC</t>
  </si>
  <si>
    <t>https://www.myscheme.gov.in/api/apisetu/schemes/645dc43b7556e20740a46703/documents?lang=en</t>
  </si>
  <si>
    <t>M01-L01</t>
  </si>
  <si>
    <t xml:space="preserve">format </t>
  </si>
  <si>
    <t>.scheme.applicationProcess[0].process[0].children[2]</t>
  </si>
  <si>
    <t>https://cdn.s3waas.gov.in/s317e62166fc8586dfa4d1bc0e1742c08b/uploads/2018/03/2018031988.pdf</t>
  </si>
  <si>
    <t>M01-L02</t>
  </si>
  <si>
    <t>Registration:</t>
  </si>
  <si>
    <t>.scheme.applicationProcess[1].process[0].children[1]</t>
  </si>
  <si>
    <t>https://aaplesarkar.mahaonline.gov.in/pdf/UM_AS_Reg.pdf</t>
  </si>
  <si>
    <t>M01-L03</t>
  </si>
  <si>
    <t>Official Portal</t>
  </si>
  <si>
    <t>https://aaplesarkar.mahaonline.gov.in/</t>
  </si>
  <si>
    <t>M01-L04</t>
  </si>
  <si>
    <t>Registration Page</t>
  </si>
  <si>
    <t>.scheme.applicationProcess[1].process[2].children[4]</t>
  </si>
  <si>
    <t>https://aaplesarkar.mahaonline.gov.in/en/Registration/Register</t>
  </si>
  <si>
    <t>M01-L05</t>
  </si>
  <si>
    <t>Upload your Photograph</t>
  </si>
  <si>
    <t>.scheme.applicationProcess[1].process[12].children[2]</t>
  </si>
  <si>
    <t>https://aaplesarkar.mahaonline.gov.in/pdf/Photoupload.pdf</t>
  </si>
  <si>
    <t>M01-L06</t>
  </si>
  <si>
    <t>https://sjsa.maharashtra.gov.in/mr/schemes-page?scheme_nature=37</t>
  </si>
  <si>
    <t>M01-L07</t>
  </si>
  <si>
    <t>Guidelines (Marathi)</t>
  </si>
  <si>
    <t>https://static.s3waas.gov.in/s3db85e2590b6109813dafa101ceb2faeb/uploads/2018/03/2018030785.pdf</t>
  </si>
  <si>
    <t>M01-L08</t>
  </si>
  <si>
    <t>Mumbai Suburban</t>
  </si>
  <si>
    <t>https://mumbaisuburban.gov.in/scheme/sanjay-gandhi-niradhar-pension-scheme/#:~:text=To%20provide%20financial%20assistance%20to,outraged%20women%2C%20Transgender%2C%20etc.</t>
  </si>
  <si>
    <t>M01-L09</t>
  </si>
  <si>
    <t>Application Form</t>
  </si>
  <si>
    <t>https://cdn.s3waas.gov.in/s304025959b191f8f9de3f924f0940515f/uploads/2018/04/2018040628-1.pdf</t>
  </si>
  <si>
    <t>M01-L10</t>
  </si>
  <si>
    <t>Contact Us</t>
  </si>
  <si>
    <t>https://aaplesarkar.mahaonline.gov.in/en/CommonForm/ContactUs</t>
  </si>
  <si>
    <t>M01-L11</t>
  </si>
  <si>
    <t>Seva Kendras</t>
  </si>
  <si>
    <t>.scheme.schemeContent.references[6]</t>
  </si>
  <si>
    <t>https://aaplesarkar.mahaonline.gov.in/en/CommonForm/SewaKendraDetails</t>
  </si>
  <si>
    <t>MS-M02-JSON</t>
  </si>
  <si>
    <t>https://www.myscheme.gov.in/api/apisetu/schemes?slug=sbssps&amp;lang=en</t>
  </si>
  <si>
    <t>MS-M02-DOC</t>
  </si>
  <si>
    <t>https://www.myscheme.gov.in/api/apisetu/schemes/645e08f6c6c27dd966a138d0/documents?lang=en</t>
  </si>
  <si>
    <t>M02-L01</t>
  </si>
  <si>
    <t>.scheme.applicationProcess[0].process[0].children[1]</t>
  </si>
  <si>
    <t>M02-L02</t>
  </si>
  <si>
    <t>.scheme.applicationProcess[0].process[2].children[2]</t>
  </si>
  <si>
    <t>M02-L03</t>
  </si>
  <si>
    <t>.scheme.applicationProcess[0].process[2].children[4]</t>
  </si>
  <si>
    <t>M02-L04</t>
  </si>
  <si>
    <t>.scheme.applicationProcess[0].process[12].children[2]</t>
  </si>
  <si>
    <t>M02-L05</t>
  </si>
  <si>
    <t>Source link</t>
  </si>
  <si>
    <t>.scheme.applicationProcess[1].process[0].children[2]</t>
  </si>
  <si>
    <t>M02-L06</t>
  </si>
  <si>
    <t>M02-L07</t>
  </si>
  <si>
    <t>M02-L08</t>
  </si>
  <si>
    <t>Earlier department/GR extract retained</t>
  </si>
  <si>
    <t>Earlier source dates retained</t>
  </si>
  <si>
    <t>MS-C07-JSON</t>
  </si>
  <si>
    <t>https://www.myscheme.gov.in/api/apisetu/schemes?slug=rkvp&amp;lang=en</t>
  </si>
  <si>
    <t>MS-C07-DOC</t>
  </si>
  <si>
    <t>https://www.myscheme.gov.in/api/apisetu/schemes/69c3b7129d266e2072493bb0/documents?lang=en</t>
  </si>
  <si>
    <t>C07-L01</t>
  </si>
  <si>
    <t>fficial website</t>
  </si>
  <si>
    <t>.scheme.applicationProcess[0].process[1].children[2]</t>
  </si>
  <si>
    <t>https://awards.gov.in/</t>
  </si>
  <si>
    <t>C07-L02</t>
  </si>
  <si>
    <t xml:space="preserve"> Registration button.</t>
  </si>
  <si>
    <t>.scheme.applicationProcess[0].process[1].children[4]</t>
  </si>
  <si>
    <t>https://awards.gov.in/Registration/SignUp</t>
  </si>
  <si>
    <t>C07-L03</t>
  </si>
  <si>
    <t>Log in</t>
  </si>
  <si>
    <t>.scheme.applicationProcess[0].process[8].children[2]</t>
  </si>
  <si>
    <t>https://awards.gov.in/Login</t>
  </si>
  <si>
    <t>C07-L04</t>
  </si>
  <si>
    <t>Nominate / Apply Now".</t>
  </si>
  <si>
    <t>.scheme.applicationProcess[0].process[9].children[2]</t>
  </si>
  <si>
    <t>https://awards.gov.in/Home/AwardLibrary</t>
  </si>
  <si>
    <t>C07-L05</t>
  </si>
  <si>
    <t>Website</t>
  </si>
  <si>
    <t>https://icar.org.in/hi/node/22890</t>
  </si>
  <si>
    <t>MS-C08-JSON</t>
  </si>
  <si>
    <t>https://www.myscheme.gov.in/api/apisetu/schemes?slug=mda-fert&amp;lang=en</t>
  </si>
  <si>
    <t>MS-C08-DOC</t>
  </si>
  <si>
    <t>https://www.myscheme.gov.in/api/apisetu/schemes/6a02fb5ef93a81a34ce51eaf/documents?lang=en</t>
  </si>
  <si>
    <t>C08-L01</t>
  </si>
  <si>
    <t>Annexure-I</t>
  </si>
  <si>
    <t>.scheme.applicationProcess[0].process[9].children[1]</t>
  </si>
  <si>
    <t>https://fert.gov.in/sites/default/files/Guidelines%20on%20Market%20Development%20Assistance%20(MDA)%20for%20Promotion%20of%20Organic%20Fertilizers%20-%20Regarding%20(20-09-2023)_0.pdf</t>
  </si>
  <si>
    <t>MS-C09-JSON</t>
  </si>
  <si>
    <t>https://www.myscheme.gov.in/api/apisetu/schemes?slug=prism-c2-fwmpkhttptt&amp;lang=en</t>
  </si>
  <si>
    <t>MS-C09-DOC</t>
  </si>
  <si>
    <t>https://www.myscheme.gov.in/api/apisetu/schemes/68f75bc2cd0b48b25fba8003/documents?lang=en</t>
  </si>
  <si>
    <t>C09-L01</t>
  </si>
  <si>
    <t>application form</t>
  </si>
  <si>
    <t>.scheme.applicationProcess[0].process[4].children[1].children[1]</t>
  </si>
  <si>
    <t>https://www.dsir.gov.in/sites/default/files/2019-09/guide_ph1_cat2.pdf</t>
  </si>
  <si>
    <t>MS-C10-JSON</t>
  </si>
  <si>
    <t>https://www.myscheme.gov.in/api/apisetu/schemes?slug=kvyoj&amp;lang=en</t>
  </si>
  <si>
    <t>MS-C10-DOC</t>
  </si>
  <si>
    <t>https://www.myscheme.gov.in/api/apisetu/schemes/698b1adbb3c2d7b0a51cdc11/documents?lang=en</t>
  </si>
  <si>
    <t>C10-L01</t>
  </si>
  <si>
    <t xml:space="preserve">official website </t>
  </si>
  <si>
    <t>https://www.kviconline.gov.in/</t>
  </si>
  <si>
    <t>C10-L02</t>
  </si>
  <si>
    <t>KVIC online portal</t>
  </si>
  <si>
    <t>.scheme.applicationProcess[0].process[0].children[1].children[2]</t>
  </si>
  <si>
    <t>https://kviconline.gov.in/mdaclaims/certKhadi/index.jsp</t>
  </si>
  <si>
    <t>C10-L03</t>
  </si>
  <si>
    <t>Online Registration of Khadi Institutions</t>
  </si>
  <si>
    <t>.scheme.applicationProcess[0].process[0].children[1].children[4]</t>
  </si>
  <si>
    <t>https://kviconline.gov.in/mdaclaims/certKhadi/khadiCertificateRenew.jsp?app=1</t>
  </si>
  <si>
    <t>C10-L04</t>
  </si>
  <si>
    <t>Login</t>
  </si>
  <si>
    <t>.scheme.applicationProcess[0].process[0].children[4].children[2]</t>
  </si>
  <si>
    <t>https://kviconline.gov.in/mdaclaims/certKhadi/certApplicantLogin.jsp</t>
  </si>
  <si>
    <t>C10-L05</t>
  </si>
  <si>
    <t>Guidelines Page No. 28</t>
  </si>
  <si>
    <t>https://www.dcmsme.gov.in/ebook/MSMESchemebooklet2025-26.pdf</t>
  </si>
  <si>
    <t>MS-C11-JSON</t>
  </si>
  <si>
    <t>https://www.myscheme.gov.in/api/apisetu/schemes?slug=sui&amp;lang=en</t>
  </si>
  <si>
    <t>MS-C11-DOC</t>
  </si>
  <si>
    <t>https://www.myscheme.gov.in/api/apisetu/schemes/628727c27d5de378dc7acfe9/documents?lang=en</t>
  </si>
  <si>
    <t>C11-L01</t>
  </si>
  <si>
    <t xml:space="preserve">https://www.rbi.org.in/Scripts/query.aspx </t>
  </si>
  <si>
    <t>https://www.rbi.org.in/Scripts/query.aspx</t>
  </si>
  <si>
    <t>C11-L02</t>
  </si>
  <si>
    <t>https://www.standupmitra.in/LDMS#NoBack</t>
  </si>
  <si>
    <t>.scheme.applicationProcess[0].process[0].children[3]</t>
  </si>
  <si>
    <t>C11-L03</t>
  </si>
  <si>
    <t>www.standupmitra.in</t>
  </si>
  <si>
    <t>.scheme.applicationProcess[0].process[1].children[1]</t>
  </si>
  <si>
    <t>https://www.standupmitra.in/</t>
  </si>
  <si>
    <t>C11-L04</t>
  </si>
  <si>
    <t>https://www.standupmitra.in/Login/Register</t>
  </si>
  <si>
    <t>.scheme.applicationProcess[0].process[3].children[0].children[1]</t>
  </si>
  <si>
    <t>C11-L05</t>
  </si>
  <si>
    <t>https://www.udyami.org.in/storage/schemes/file/t4CQkv4D2TsdhI3MK8KqFSnYPw6RTBBsmh7p449D.pdf</t>
  </si>
  <si>
    <t>MS-C12-JSON</t>
  </si>
  <si>
    <t>https://www.myscheme.gov.in/api/apisetu/schemes?slug=mi-hma-nhdp&amp;lang=en</t>
  </si>
  <si>
    <t>MS-C12-DOC</t>
  </si>
  <si>
    <t>https://www.myscheme.gov.in/api/apisetu/schemes/6889e14c5674185b680dafac/documents?lang=en</t>
  </si>
  <si>
    <t>C12-L01</t>
  </si>
  <si>
    <t>National Handloom Development Programme (NHDP)</t>
  </si>
  <si>
    <t>https://handlooms.nic.in/assets/img/Final%20Revised%20%20Guidelines%20NHDP%2012.04.2023.pdf</t>
  </si>
  <si>
    <t>MS-C13-JSON</t>
  </si>
  <si>
    <t>https://www.myscheme.gov.in/api/apisetu/schemes?slug=kcc&amp;lang=en</t>
  </si>
  <si>
    <t>MS-C13-DOC</t>
  </si>
  <si>
    <t>https://www.myscheme.gov.in/api/apisetu/schemes/63d65d39eed73423e389f973/documents?lang=en</t>
  </si>
  <si>
    <t>C13-L01</t>
  </si>
  <si>
    <t>Details-1</t>
  </si>
  <si>
    <t>https://pib.gov.in/FactsheetDetails.aspx?Id=148600</t>
  </si>
  <si>
    <t>C13-L02</t>
  </si>
  <si>
    <t>Details-2</t>
  </si>
  <si>
    <t>https://sbi.co.in/web/agri-rural/agriculture-banking/crop-loan/kisan-credit-card</t>
  </si>
  <si>
    <t>C13-L03</t>
  </si>
  <si>
    <t>Notification</t>
  </si>
  <si>
    <t>https://rbidocs.rbi.org.in/rdocs/notification/PDFs/04MCKCC030720171E79A08735884C429CF26F5414AB36D9.PDF</t>
  </si>
  <si>
    <t>MS-C14-JSON</t>
  </si>
  <si>
    <t>https://www.myscheme.gov.in/api/apisetu/schemes?slug=pmfby&amp;lang=en</t>
  </si>
  <si>
    <t>MS-C14-DOC</t>
  </si>
  <si>
    <t>https://www.myscheme.gov.in/api/apisetu/schemes/63b811620d2bd718ff71b421/documents?lang=en</t>
  </si>
  <si>
    <t>C14-L01</t>
  </si>
  <si>
    <t>Official Website</t>
  </si>
  <si>
    <t>https://pmfby.gov.in/</t>
  </si>
  <si>
    <t>C14-L02</t>
  </si>
  <si>
    <t>Online Registration Form</t>
  </si>
  <si>
    <t>.scheme.applicationProcess[0].process[2].children[1]</t>
  </si>
  <si>
    <t>https://pmfby.gov.in/farmerRegistrationForm</t>
  </si>
  <si>
    <t>C14-L03</t>
  </si>
  <si>
    <t>participating bank</t>
  </si>
  <si>
    <t>https://pmfby.gov.in/bankBranchDirectory</t>
  </si>
  <si>
    <t>C14-L04</t>
  </si>
  <si>
    <t>insurance office,</t>
  </si>
  <si>
    <t>.scheme.applicationProcess[1].process[0].children[4]</t>
  </si>
  <si>
    <t>https://pmfby.gov.in/insuranceCompanyDirectory</t>
  </si>
  <si>
    <t>C14-L05</t>
  </si>
  <si>
    <t>Common Service Centre (CSC)</t>
  </si>
  <si>
    <t>.scheme.applicationProcess[2].process[0].children[2]</t>
  </si>
  <si>
    <t>https://locator.csccloud.in/</t>
  </si>
  <si>
    <t>C14-L06</t>
  </si>
  <si>
    <t>https://pmfby.gov.in/pdf/Revamped%20Operational%20Guidelines_17th%20August%202020.pdf</t>
  </si>
  <si>
    <t>C14-L07</t>
  </si>
  <si>
    <t>FAQ</t>
  </si>
  <si>
    <t>https://pmfby.gov.in/pdf/FAQ%E2%80%93For%20Portal.pdf</t>
  </si>
  <si>
    <t>MS-C15-JSON</t>
  </si>
  <si>
    <t>https://www.myscheme.gov.in/api/apisetu/schemes?slug=pg-igssgc&amp;lang=en</t>
  </si>
  <si>
    <t>MS-C15-DOC</t>
  </si>
  <si>
    <t>https://www.myscheme.gov.in/api/apisetu/schemes/631b167899d5444e11b5faf3/documents?lang=en</t>
  </si>
  <si>
    <t>C15-L01</t>
  </si>
  <si>
    <t>https://scholarships.gov.in/public/schemeGuidelines/Guidelines_SGC1819.pdf</t>
  </si>
  <si>
    <t>C15-L02</t>
  </si>
  <si>
    <t>https://scholarships.gov.in/public/FAQ/FAQ_SGC1819.pdf</t>
  </si>
  <si>
    <t>MS-C16-JSON</t>
  </si>
  <si>
    <t>https://www.myscheme.gov.in/api/apisetu/schemes?slug=dacssiselosobcebc&amp;lang=en</t>
  </si>
  <si>
    <t>MS-C16-DOC</t>
  </si>
  <si>
    <t>https://www.myscheme.gov.in/api/apisetu/schemes/652a40ba2a298fe1b4839e65/documents?lang=en</t>
  </si>
  <si>
    <t>C16-L01</t>
  </si>
  <si>
    <t>listed courses</t>
  </si>
  <si>
    <t>.scheme.eligibilityCriteria.eligibilityDescription[0].children[1].children[1]</t>
  </si>
  <si>
    <t>https://socialjustice.gov.in/writereaddata/UploadFile/Guidelines%20ISEL%20Scheme%20(wef%2001%20Oct%202017).pdf</t>
  </si>
  <si>
    <t>C16-L02</t>
  </si>
  <si>
    <t>Amendment Reg. Income Criteria</t>
  </si>
  <si>
    <t>https://socialjustice.gov.in/writereaddata/UploadFile/RICfor%20ISSC.pdf</t>
  </si>
  <si>
    <t>C16-L03</t>
  </si>
  <si>
    <t>Check Claim Details On UMANG</t>
  </si>
  <si>
    <t>https://web.umang.gov.in/landing/department/dr-ambedkar-central-sector-scheme-of-interest-subsidy.html</t>
  </si>
  <si>
    <t>MS-C17-JSON</t>
  </si>
  <si>
    <t>https://www.myscheme.gov.in/api/apisetu/schemes?slug=nikshay&amp;lang=en</t>
  </si>
  <si>
    <t>MS-C17-DOC</t>
  </si>
  <si>
    <t>https://www.myscheme.gov.in/api/apisetu/schemes/63bfbc794b939a5de6a11bb4/documents?lang=en</t>
  </si>
  <si>
    <t>C17-L01</t>
  </si>
  <si>
    <t>https://tbcindia.mohfw.gov.in/wp-content/uploads/2023/05/23294204DBTManualForNTEP.pdf</t>
  </si>
  <si>
    <t>C17-L02</t>
  </si>
  <si>
    <t>https://www.nikshay.in/</t>
  </si>
  <si>
    <t>C17-L03</t>
  </si>
  <si>
    <t>Manual</t>
  </si>
  <si>
    <t>https://communitysupport.nikshay.in/Guidance_Booklet_16_09_2022.pdf</t>
  </si>
  <si>
    <t>C17-L04</t>
  </si>
  <si>
    <t>State TB Officer Directory</t>
  </si>
  <si>
    <t>https://reports.nikshay.in/Reports/StosDirectory</t>
  </si>
  <si>
    <t>MS-C18-JSON</t>
  </si>
  <si>
    <t>https://www.myscheme.gov.in/api/apisetu/schemes?slug=pmsma&amp;lang=en</t>
  </si>
  <si>
    <t>MS-C18-DOC</t>
  </si>
  <si>
    <t>https://www.myscheme.gov.in/api/apisetu/schemes/68b6757986724e508a38d755/documents?lang=en</t>
  </si>
  <si>
    <t>C18-L01</t>
  </si>
  <si>
    <t>https://pmsma.nhp.gov.in/</t>
  </si>
  <si>
    <t>C18-L02</t>
  </si>
  <si>
    <t>https://pmsma.mohfw.gov.in/wp-content/uploads/2016/09/Pradhan_Mantri_Surakshit_Matritva_Abhiyan-2.pdf</t>
  </si>
  <si>
    <t>C18-L03</t>
  </si>
  <si>
    <t>Operational Framework</t>
  </si>
  <si>
    <t>https://pmsma.mohfw.gov.in/wp-content/uploads/2016/09/PMSMA_Operational_Framework.pdf</t>
  </si>
  <si>
    <t>C18-L04</t>
  </si>
  <si>
    <t>Pre-requisites For Facilities</t>
  </si>
  <si>
    <t>https://pmsma.mohfw.gov.in/wp-content/uploads/2016/10/PMSMA_Operational_Framework.34.pdf</t>
  </si>
  <si>
    <t>C18-L05</t>
  </si>
  <si>
    <t>Synopsis For High Risk Pregnancy</t>
  </si>
  <si>
    <t>https://pmsma.mohfw.gov.in/wp-content/uploads/2016/10/High-Risk-Conditions-in-preg-modified-Final.pdf</t>
  </si>
  <si>
    <t>MS-C19-JSON</t>
  </si>
  <si>
    <t>https://www.myscheme.gov.in/api/apisetu/schemes?slug=pm-poshan&amp;lang=en</t>
  </si>
  <si>
    <t>MS-C19-DOC</t>
  </si>
  <si>
    <t>https://www.myscheme.gov.in/api/apisetu/schemes/62a9d415f038bd8499a75a68/documents?lang=en</t>
  </si>
  <si>
    <t>C19-L01</t>
  </si>
  <si>
    <t>https://www.india.gov.in/spotlight/poshan-abhiyaan-pms-overarching-scheme-holistic-nourishment</t>
  </si>
  <si>
    <t>C19-L02</t>
  </si>
  <si>
    <t>PIB</t>
  </si>
  <si>
    <t>https://pib.gov.in/Pressreleaseshare.aspx?PRID=1812421#:~:text=The%20Government%20has%20approved%20the,by%20the%20Ministry%20of%20Education.</t>
  </si>
  <si>
    <t>MS-C20-JSON</t>
  </si>
  <si>
    <t>https://www.myscheme.gov.in/api/apisetu/schemes?slug=yhs&amp;lang=en</t>
  </si>
  <si>
    <t>MS-C20-DOC</t>
  </si>
  <si>
    <t>https://www.myscheme.gov.in/api/apisetu/schemes/652f86ac4c46bfe12b21d76a/documents?lang=en</t>
  </si>
  <si>
    <t>C20-L01</t>
  </si>
  <si>
    <t>official website</t>
  </si>
  <si>
    <t>https://dbtyas-youth.gov.in/</t>
  </si>
  <si>
    <t>C20-L02</t>
  </si>
  <si>
    <t>Apply Now</t>
  </si>
  <si>
    <t>.scheme.applicationProcess[0].process[0].children[1].children[1]</t>
  </si>
  <si>
    <t>https://dbtyas-youth.gov.in/userlogin.php</t>
  </si>
  <si>
    <t>C20-L03</t>
  </si>
  <si>
    <t>https://yas.nic.in/sites/default/files/Youth%20Hostel%20Scheme_0.pdf</t>
  </si>
  <si>
    <t>C20-L04</t>
  </si>
  <si>
    <t>Office Order</t>
  </si>
  <si>
    <t>https://yas.nic.in/sites/default/files/File845.PDF</t>
  </si>
  <si>
    <t>C20-L05</t>
  </si>
  <si>
    <t>List Of Youth Hostel</t>
  </si>
  <si>
    <t>https://yas.gov.in/sites/default/files/YH%20details.pdf</t>
  </si>
  <si>
    <t>C20-L06</t>
  </si>
  <si>
    <t>CPC Order Dated 09.10.2015</t>
  </si>
  <si>
    <t>https://yas.gov.in/sites/default/files/CPC%20Order.pdf</t>
  </si>
  <si>
    <t>MS-C21-JSON</t>
  </si>
  <si>
    <t>https://www.myscheme.gov.in/api/apisetu/schemes?slug=avyay-napsc-hssc&amp;lang=en</t>
  </si>
  <si>
    <t>MS-C21-DOC</t>
  </si>
  <si>
    <t>https://www.myscheme.gov.in/api/apisetu/schemes/68da61c9bae64e2356731950/documents?lang=en</t>
  </si>
  <si>
    <t>C21-L01</t>
  </si>
  <si>
    <t>E-anudaan Portal.</t>
  </si>
  <si>
    <t>.scheme.applicationProcess[0].process[1].children[0].children[1]</t>
  </si>
  <si>
    <t>https://grants-msje.gov.in/</t>
  </si>
  <si>
    <t>C21-L02</t>
  </si>
  <si>
    <t>https://socialjustice.gov.in/schemes/43</t>
  </si>
  <si>
    <t>MS-C22-JSON</t>
  </si>
  <si>
    <t>https://www.myscheme.gov.in/api/apisetu/schemes?slug=nms&amp;lang=en</t>
  </si>
  <si>
    <t>MS-C22-DOC</t>
  </si>
  <si>
    <t>https://www.myscheme.gov.in/api/apisetu/schemes/6a06e7e6f93a81a34cf79dee/documents?lang=en</t>
  </si>
  <si>
    <t>C22-L01</t>
  </si>
  <si>
    <t>https://drtktopecollege.in/wp-content/uploads/2021/03/Nyaya-Mitra-scheme.pdf?attachment_id=541</t>
  </si>
  <si>
    <t>C22-L02</t>
  </si>
  <si>
    <t>More Information</t>
  </si>
  <si>
    <t>https://www.doj.gov.in/page/nyaya-mitra-programme</t>
  </si>
  <si>
    <t>C22-L03</t>
  </si>
  <si>
    <t>Press Release (29.07.2022)</t>
  </si>
  <si>
    <t>https://www.pib.gov.in/PressReleaseIframePage.aspx?PRID=1846198&amp;reg=3&amp;lang=2</t>
  </si>
  <si>
    <t>MS-C23-JSON</t>
  </si>
  <si>
    <t>https://www.myscheme.gov.in/api/apisetu/schemes?slug=nari-adalat&amp;lang=en</t>
  </si>
  <si>
    <t>MS-C23-DOC</t>
  </si>
  <si>
    <t>https://www.myscheme.gov.in/api/apisetu/schemes/67e0ee08dcf7ceef67c7909f/documents?lang=en</t>
  </si>
  <si>
    <t>MS-C24-JSON</t>
  </si>
  <si>
    <t>https://www.myscheme.gov.in/api/apisetu/schemes?slug=n-pdf&amp;lang=en</t>
  </si>
  <si>
    <t>MS-C24-DOC</t>
  </si>
  <si>
    <t>https://www.myscheme.gov.in/api/apisetu/schemes/654df3745838968fc3894a7f/documents?lang=en</t>
  </si>
  <si>
    <t>C24-L01</t>
  </si>
  <si>
    <t>www.serbonline.in</t>
  </si>
  <si>
    <t>https://www.serbonline.in/SERB/npdf?HomePage=New</t>
  </si>
  <si>
    <t>C24-L02</t>
  </si>
  <si>
    <t>https://serb.gov.in/</t>
  </si>
  <si>
    <t>.scheme.applicationProcess[0].process[1].children[0].children[4]</t>
  </si>
  <si>
    <t>https://serb.gov.in/page/awards_fellowship#National%20Post%20Doctoral%20Fellowship</t>
  </si>
  <si>
    <t>C24-L03</t>
  </si>
  <si>
    <t>click here to register</t>
  </si>
  <si>
    <t>.scheme.applicationProcess[0].process[1].children[2].children[2]</t>
  </si>
  <si>
    <t>https://serbonline.in/SERB/Registration</t>
  </si>
  <si>
    <t>C24-L04</t>
  </si>
  <si>
    <t>Complete guidelines for Principal Investigator for SERB-online system</t>
  </si>
  <si>
    <t>.scheme.applicationProcess[0].process[1].children[13].children[1]</t>
  </si>
  <si>
    <t>https://www.serbonline.in/SERB_Help/pi/Multiscreen_HTML5/desktop/Login.htm</t>
  </si>
  <si>
    <t>C24-L05</t>
  </si>
  <si>
    <t>India Science, Technology &amp; Innovation</t>
  </si>
  <si>
    <t>https://www.indiascienceandtechnology.gov.in/programme-schemes/research-and-development/national-post-doctoral-fellowship-n-pdf</t>
  </si>
  <si>
    <t>MS-C25-JSON</t>
  </si>
  <si>
    <t>https://www.myscheme.gov.in/api/apisetu/schemes?slug=widushi&amp;lang=en</t>
  </si>
  <si>
    <t>MS-C25-DOC</t>
  </si>
  <si>
    <t>https://www.myscheme.gov.in/api/apisetu/schemes/6586eab96093f0fa3307fe57/documents?lang=en</t>
  </si>
  <si>
    <t>C25-L01</t>
  </si>
  <si>
    <t>https://dst.gov.in</t>
  </si>
  <si>
    <t>.scheme.applicationProcess[0].process[0].children[2].children[2]</t>
  </si>
  <si>
    <t>https://dst.gov.in/</t>
  </si>
  <si>
    <t>C25-L02</t>
  </si>
  <si>
    <t>https://onlinedst.gov.in/</t>
  </si>
  <si>
    <t>.scheme.applicationProcess[0].process[0].children[2].children[4]</t>
  </si>
  <si>
    <t>C25-L03</t>
  </si>
  <si>
    <t>https://online-wosa.gov.in/</t>
  </si>
  <si>
    <t>.scheme.applicationProcess[0].process[0].children[2].children[6]</t>
  </si>
  <si>
    <t>C25-L04</t>
  </si>
  <si>
    <t>https://dst.gov.in/sites/default/files/Advertisement-WIDUSHI_0.pdf</t>
  </si>
  <si>
    <t>MS-C26-JSON</t>
  </si>
  <si>
    <t>https://www.myscheme.gov.in/api/apisetu/schemes?slug=tare&amp;lang=en</t>
  </si>
  <si>
    <t>MS-C26-DOC</t>
  </si>
  <si>
    <t>https://www.myscheme.gov.in/api/apisetu/schemes/65539c374407b323640ca41e/documents?lang=en</t>
  </si>
  <si>
    <t>C26-L01</t>
  </si>
  <si>
    <t>https://www.serbonline.in/SERB/HomePage</t>
  </si>
  <si>
    <t>C26-L02</t>
  </si>
  <si>
    <t>www.serb.gov.in</t>
  </si>
  <si>
    <t>.scheme.applicationProcess[0].process[0].children[0].children[4]</t>
  </si>
  <si>
    <t>https://serb.gov.in/page/english/awards_fellowship#Teachers%20Associateship%20for%20Research%20Excellence%20(TARE)</t>
  </si>
  <si>
    <t>C26-L03</t>
  </si>
  <si>
    <t>Click here to register</t>
  </si>
  <si>
    <t>https://www.serbonline.in/SERB/Registration</t>
  </si>
  <si>
    <t>C26-L04</t>
  </si>
  <si>
    <t>Scheme Details</t>
  </si>
  <si>
    <t>https://www.serbonline.in/SERB/Tare</t>
  </si>
  <si>
    <t>MS-C27-JSON</t>
  </si>
  <si>
    <t>https://www.myscheme.gov.in/api/apisetu/schemes?slug=pm-vikas&amp;lang=en</t>
  </si>
  <si>
    <t>MS-C27-DOC</t>
  </si>
  <si>
    <t>https://www.myscheme.gov.in/api/apisetu/schemes/690dbabeedcdf37e5493a27a/documents?lang=en</t>
  </si>
  <si>
    <t>MS-C28-JSON</t>
  </si>
  <si>
    <t>https://www.myscheme.gov.in/api/apisetu/schemes?slug=ay&amp;lang=en</t>
  </si>
  <si>
    <t>MS-C28-DOC</t>
  </si>
  <si>
    <t>https://www.myscheme.gov.in/api/apisetu/schemes/62a9755af038bd8499a71cd7/documents?lang=en</t>
  </si>
  <si>
    <t>C28-L01</t>
  </si>
  <si>
    <t>.scheme.applicationProcess[0].process[0].children[2].children[0].children[1]</t>
  </si>
  <si>
    <t>https://joinindianarmy.nic.in/BRAVOUserLogin.htm</t>
  </si>
  <si>
    <t>C28-L02</t>
  </si>
  <si>
    <t>.scheme.applicationProcess[0].process[0].children[2].children[1].children[1]</t>
  </si>
  <si>
    <t>https://www.joinindiannavy.gov.in/en/page/agniveer-ways-to-join.html</t>
  </si>
  <si>
    <t>C28-L03</t>
  </si>
  <si>
    <t>.scheme.applicationProcess[0].process[0].children[2].children[2].children[1]</t>
  </si>
  <si>
    <t>https://indianairforce.nic.in/agniveer/</t>
  </si>
  <si>
    <t>C28-L04</t>
  </si>
  <si>
    <t>English Leaflet</t>
  </si>
  <si>
    <t>https://static.mygov.in/rest/s3fs-public/mygov_165520214151307401.pdf</t>
  </si>
  <si>
    <t>C28-L05</t>
  </si>
  <si>
    <t>Hindi Leaflet</t>
  </si>
  <si>
    <t>https://static.mygov.in/rest/s3fs-public/mygov_165520220351307401.pdf</t>
  </si>
  <si>
    <t>C28-L06</t>
  </si>
  <si>
    <t>https://pib.gov.in/PressReleasePage.aspx?PRID=1833747</t>
  </si>
  <si>
    <t>C28-L07</t>
  </si>
  <si>
    <t>Guidelines By Indian Air Force</t>
  </si>
  <si>
    <t>https://indianairforce.nic.in/wp-content/uploads/2022/06/Detailed-BRIEF-13-JUN-22.pdf</t>
  </si>
  <si>
    <t>C28-L08</t>
  </si>
  <si>
    <t>PIB (ministry Of Education)</t>
  </si>
  <si>
    <t>https://pib.gov.in/PressReleasePage.aspx?PRID=1834202</t>
  </si>
  <si>
    <t>MS-C29-JSON</t>
  </si>
  <si>
    <t>https://www.myscheme.gov.in/api/apisetu/schemes?slug=igndps&amp;lang=en</t>
  </si>
  <si>
    <t>MS-C29-DOC</t>
  </si>
  <si>
    <t>https://www.myscheme.gov.in/api/apisetu/schemes/629092822ad78f71fb7bc3a9/documents?lang=en</t>
  </si>
  <si>
    <t>C29-L01</t>
  </si>
  <si>
    <t>C29-L02</t>
  </si>
  <si>
    <t>C29-L03</t>
  </si>
  <si>
    <t>Office Memorandum 1</t>
  </si>
  <si>
    <t>https://nsap.nic.in/Guidelines/dps.pdf</t>
  </si>
  <si>
    <t>C29-L04</t>
  </si>
  <si>
    <t>Office Memorandum 2</t>
  </si>
  <si>
    <t>https://nsap.nic.in/Guidelines/english_dps.pdf</t>
  </si>
  <si>
    <t>C29-L05</t>
  </si>
  <si>
    <t>Office Memorandum 3</t>
  </si>
  <si>
    <t>https://nsap.nic.in/circular.do?method=showguidlines#</t>
  </si>
  <si>
    <t>MS-C30-JSON</t>
  </si>
  <si>
    <t>https://www.myscheme.gov.in/api/apisetu/schemes?slug=hepsn&amp;lang=en</t>
  </si>
  <si>
    <t>MS-C30-DOC</t>
  </si>
  <si>
    <t>https://www.myscheme.gov.in/api/apisetu/schemes/64956e96380f8e123542a62f/documents?lang=en</t>
  </si>
  <si>
    <t>C30-L01</t>
  </si>
  <si>
    <t xml:space="preserve">Proforma For financial assistance under the scheme to assist for college to facilitate higher Education for Person (HEPSN) Scheme </t>
  </si>
  <si>
    <t>https://www.ugc.gov.in/pdfnews/1112642_Person-with-Disability-guidelines.pdf</t>
  </si>
  <si>
    <t>C30-L02</t>
  </si>
  <si>
    <t>Persons with Disabilities Act 1995</t>
  </si>
  <si>
    <t>.scheme.eligibilityCriteria.eligibilityDescription[0].children[0].children[1]</t>
  </si>
  <si>
    <t>https://thenationaltrust.gov.in/upload/uploadfiles/files/Persons%20with%20Disability%20Act%201995.pdf</t>
  </si>
  <si>
    <t>C30-L03</t>
  </si>
  <si>
    <t>UGC under Sections 2(f) and 12</t>
  </si>
  <si>
    <t>https://www.ugc.gov.in/recog_college.aspx#:~:text=**%20Apart%20from%20inclusion%20of,funds%20from%20the%20Central%20Government.</t>
  </si>
  <si>
    <t>MS-C31-JSON</t>
  </si>
  <si>
    <t>https://www.myscheme.gov.in/api/apisetu/schemes?slug=sfava&amp;lang=en</t>
  </si>
  <si>
    <t>MS-C31-DOC</t>
  </si>
  <si>
    <t>https://www.myscheme.gov.in/api/apisetu/schemes/6296022d72acc0e5ffb2ee78/documents?lang=en</t>
  </si>
  <si>
    <t>C31-L01</t>
  </si>
  <si>
    <t>Culture Scheme Monitoring System (CSMS)</t>
  </si>
  <si>
    <t>http://csms.nic.in/login/index.php</t>
  </si>
  <si>
    <t>C31-L02</t>
  </si>
  <si>
    <t>website of the Ministry of Culture</t>
  </si>
  <si>
    <t>.scheme.applicationProcess[0].process[1].children[0].children[3]</t>
  </si>
  <si>
    <t>https://indiaculture.gov.in</t>
  </si>
  <si>
    <t>C31-L03</t>
  </si>
  <si>
    <t>.scheme.applicationProcess[1]</t>
  </si>
  <si>
    <t>https://www.indiaculture.nic.in/sites/default/files/Schemes/New_application_form_for_Artistes_Pension_1_23_07_2019.pdf</t>
  </si>
  <si>
    <t>C31-L04</t>
  </si>
  <si>
    <t>https://indiaculture.gov.in/scheme-financial-assistance-veteran-artists</t>
  </si>
  <si>
    <t>C31-L05</t>
  </si>
  <si>
    <t>Notice</t>
  </si>
  <si>
    <t>https://indiaculture.gov.in/sites/default/files/Schemes/NOTICE-inviting_requisite_document_from_the_beneficiary_for_release_of_their_financial_assistance_under_the_scheme_11_07_2023.pdf</t>
  </si>
  <si>
    <t>C31-L06</t>
  </si>
  <si>
    <t>https://indiaculture.gov.in/sites/default/files/Schemes/Application_for_Scheme_for_Financial_Assistance_for_Veteran_Artists_09112022.pdf</t>
  </si>
  <si>
    <t>MS-C32-JSON</t>
  </si>
  <si>
    <t>https://www.myscheme.gov.in/api/apisetu/schemes?slug=fesmwpnie&amp;lang=en</t>
  </si>
  <si>
    <t>MS-C32-DOC</t>
  </si>
  <si>
    <t>https://www.myscheme.gov.in/api/apisetu/schemes/6388b3a7a5a3f76ea0355573/documents?lang=en</t>
  </si>
  <si>
    <t>C32-L01</t>
  </si>
  <si>
    <t>https://www.ugc.gov.in/oldpdf/xiiplanpdf/medal-winners-guidelines.pdf</t>
  </si>
  <si>
    <t>C32-L02</t>
  </si>
  <si>
    <t>.scheme.applicationProcess[0]</t>
  </si>
  <si>
    <t>http://www.ugc.ac.in/page/XII-Plan_x0002_Guidelines.aspx</t>
  </si>
  <si>
    <t>C32-L03</t>
  </si>
  <si>
    <t>https://www.ugc.ac.in/oldpdf/xiiplanpdf/medal-winners-guidelines.pdf</t>
  </si>
  <si>
    <t>MS-C33-JSON</t>
  </si>
  <si>
    <t>https://www.myscheme.gov.in/api/apisetu/schemes?slug=gstecs&amp;lang=en</t>
  </si>
  <si>
    <t>MS-C33-DOC</t>
  </si>
  <si>
    <t>https://www.myscheme.gov.in/api/apisetu/schemes/652d2e682a298fe1b4855eda/documents?lang=en</t>
  </si>
  <si>
    <t>C33-L01</t>
  </si>
  <si>
    <t>prescribed format</t>
  </si>
  <si>
    <t>https://gecs.heavyindustries.gov.in/assets/site/main/DHIGECS_procedure_(Revised).pdf</t>
  </si>
  <si>
    <t>C33-L02</t>
  </si>
  <si>
    <t>User Manual - Application Process</t>
  </si>
  <si>
    <t>https://gecs.heavyindustries.gov.in/assets/site/main/User_Manual_New.pdf</t>
  </si>
  <si>
    <t>C33-L03</t>
  </si>
  <si>
    <t>https://gecs.heavyindustries.gov.in/assets/site/main/FAQS.pdf</t>
  </si>
  <si>
    <t>C33-L04</t>
  </si>
  <si>
    <t>https://gecs.heavyindustries.gov.in/home/contactUs</t>
  </si>
  <si>
    <t>C33-L05</t>
  </si>
  <si>
    <t>Approved Applications</t>
  </si>
  <si>
    <t>https://gecs.heavyindustries.gov.in/home/allOnlineGSTConcessionApprovedApplicant</t>
  </si>
  <si>
    <t>MS-C34-JSON</t>
  </si>
  <si>
    <t>https://www.myscheme.gov.in/api/apisetu/schemes?slug=neca&amp;lang=en</t>
  </si>
  <si>
    <t>MS-C34-DOC</t>
  </si>
  <si>
    <t>https://www.myscheme.gov.in/api/apisetu/schemes/69c2278953937261838e0983/documents?lang=en</t>
  </si>
  <si>
    <t>C34-L01</t>
  </si>
  <si>
    <t>C34-L02</t>
  </si>
  <si>
    <t>C34-L03</t>
  </si>
  <si>
    <t>C34-L04</t>
  </si>
  <si>
    <t>MS-C35-JSON</t>
  </si>
  <si>
    <t>https://www.myscheme.gov.in/api/apisetu/schemes?slug=mdas&amp;lang=en</t>
  </si>
  <si>
    <t>MS-C35-DOC</t>
  </si>
  <si>
    <t>https://www.myscheme.gov.in/api/apisetu/schemes/667bdb11113e1b5b0a85dc1f/documents?lang=en</t>
  </si>
  <si>
    <t>C35-L01</t>
  </si>
  <si>
    <t>https://tourism.gov.in/sites/default/files/2022-03/Revised%20MDA%20Guidelines%2010032022.pdf</t>
  </si>
  <si>
    <t>MS-C36-JSON</t>
  </si>
  <si>
    <t>https://www.myscheme.gov.in/api/apisetu/schemes?slug=ai-tgses&amp;lang=en</t>
  </si>
  <si>
    <t>MS-C36-DOC</t>
  </si>
  <si>
    <t>https://www.myscheme.gov.in/api/apisetu/schemes/6310337e1f0db328b8191b32/documents?lang=en</t>
  </si>
  <si>
    <t>C36-L01</t>
  </si>
  <si>
    <t>https://www.aicte-india.org/sites/default/files/INAE-TG%20Scheme%20Guidelines.pdf</t>
  </si>
  <si>
    <t>MS-C37-JSON</t>
  </si>
  <si>
    <t>https://www.myscheme.gov.in/api/apisetu/schemes?slug=prashad&amp;lang=en</t>
  </si>
  <si>
    <t>MS-C37-DOC</t>
  </si>
  <si>
    <t>https://www.myscheme.gov.in/api/apisetu/schemes/661e1ac48397d2ab2ff060dc/documents?lang=en</t>
  </si>
  <si>
    <t>C37-L01</t>
  </si>
  <si>
    <t>Official Source</t>
  </si>
  <si>
    <t>https://tourism.gov.in/prashad-scheme</t>
  </si>
  <si>
    <t>C37-L02</t>
  </si>
  <si>
    <t>https://tourism.gov.in/sites/default/files/2023-08/PRASHAD%2015th%20FC%20Scheme%20Guidelines.pdf</t>
  </si>
  <si>
    <t>MS-C38-JSON</t>
  </si>
  <si>
    <t>https://www.myscheme.gov.in/api/apisetu/schemes?slug=pahal-dbtl&amp;lang=en</t>
  </si>
  <si>
    <t>MS-C38-DOC</t>
  </si>
  <si>
    <t>https://www.myscheme.gov.in/api/apisetu/schemes/63a52da197da3d02867ac23b/documents?lang=en</t>
  </si>
  <si>
    <t>C38-L01</t>
  </si>
  <si>
    <t>http://petroleum.nic.in/dbt/forms.html</t>
  </si>
  <si>
    <t>C38-L02</t>
  </si>
  <si>
    <t>https://mopng.gov.in/en/marketing/pahal</t>
  </si>
  <si>
    <t>C38-L03</t>
  </si>
  <si>
    <t>Booklet</t>
  </si>
  <si>
    <t>https://mopng.gov.in/files/uploads/Booklet_edited.pdf</t>
  </si>
  <si>
    <t>MS-C39-JSON</t>
  </si>
  <si>
    <t>https://www.myscheme.gov.in/api/apisetu/schemes?slug=aby-mojs&amp;lang=en</t>
  </si>
  <si>
    <t>MS-C39-DOC</t>
  </si>
  <si>
    <t>https://www.myscheme.gov.in/api/apisetu/schemes/6a06a89cf93a81a34cf5f531/documents?lang=en</t>
  </si>
  <si>
    <t>C39-L01</t>
  </si>
  <si>
    <t>https://ataljal.mowr.gov.in/WriteReadData/GeneralNotices/398cc9fe-774f-421c-9e3d-82d0ac040659_Atal%20Bhujal%20Yojana%20Program%20Guideline%201.2.pdf</t>
  </si>
  <si>
    <t>C39-L02</t>
  </si>
  <si>
    <t>https://ataljal.mowr.gov.in/Home/Index/EN</t>
  </si>
  <si>
    <t>MS-M05-JSON</t>
  </si>
  <si>
    <t>https://www.myscheme.gov.in/api/apisetu/schemes?slug=spmsd&amp;lang=en</t>
  </si>
  <si>
    <t>MS-M05-DOC</t>
  </si>
  <si>
    <t>https://www.myscheme.gov.in/api/apisetu/schemes/6459dd4f3f7b5c3a4e103c81/documents?lang=en</t>
  </si>
  <si>
    <t>M05-L01</t>
  </si>
  <si>
    <t>https://sjsa.maharashtra.gov.in/en/scheme-category/disability-welfare?&amp;Submit=Submit&amp;page=1</t>
  </si>
  <si>
    <t>M05-L02</t>
  </si>
  <si>
    <t>https://sjsa.maharashtra.gov.in/en/contacts</t>
  </si>
  <si>
    <t>MS-M06-JSON</t>
  </si>
  <si>
    <t>https://www.myscheme.gov.in/api/apisetu/schemes?slug=hiip&amp;lang=en</t>
  </si>
  <si>
    <t>MS-M06-DOC</t>
  </si>
  <si>
    <t>https://www.myscheme.gov.in/api/apisetu/schemes/6458aee7607242dc9bf0f890/documents?lang=en</t>
  </si>
  <si>
    <t>M06-L01</t>
  </si>
  <si>
    <t>Child Welfare Committee</t>
  </si>
  <si>
    <t>https://jjis.maharashtra.gov.in/Site/ViewCWCList</t>
  </si>
  <si>
    <t>M06-L02</t>
  </si>
  <si>
    <t>.scheme.applicationProcess[0].process[0].children[4]</t>
  </si>
  <si>
    <t>M06-L03</t>
  </si>
  <si>
    <t>https://sjsa.maharashtra.gov.in/en/scheme-category/disability-welfare</t>
  </si>
  <si>
    <t>MS-M07-JSON</t>
  </si>
  <si>
    <t>https://www.myscheme.gov.in/api/apisetu/schemes?slug=lgss&amp;lang=en</t>
  </si>
  <si>
    <t>MS-M07-DOC</t>
  </si>
  <si>
    <t>https://www.myscheme.gov.in/api/apisetu/schemes/6451e551a14a95679a614687/documents?lang=en</t>
  </si>
  <si>
    <t>M07-L01</t>
  </si>
  <si>
    <t>District Office</t>
  </si>
  <si>
    <t>https://lidcom.co.in/contact.php</t>
  </si>
  <si>
    <t>M07-L02</t>
  </si>
  <si>
    <t>https://www.lidcom.co.in/gattai-stall.php</t>
  </si>
  <si>
    <t>MS-M08-JSON</t>
  </si>
  <si>
    <t>https://www.myscheme.gov.in/api/apisetu/schemes?slug=mkym&amp;lang=en</t>
  </si>
  <si>
    <t>MS-M08-DOC</t>
  </si>
  <si>
    <t>https://www.myscheme.gov.in/api/apisetu/schemes/671b6ff74d83876c61bafdaa/documents?lang=en</t>
  </si>
  <si>
    <t>M08-L01</t>
  </si>
  <si>
    <t xml:space="preserve"> </t>
  </si>
  <si>
    <t>M08-L02</t>
  </si>
  <si>
    <t>https://sjsa.maharashtra.gov.in/en/scheme-category/employment</t>
  </si>
  <si>
    <t>MS-M09-JSON</t>
  </si>
  <si>
    <t>https://www.myscheme.gov.in/api/apisetu/schemes?slug=msym&amp;lang=en</t>
  </si>
  <si>
    <t>MS-M09-DOC</t>
  </si>
  <si>
    <t>https://www.myscheme.gov.in/api/apisetu/schemes/672071da68f52636e3f6480b/documents?lang=en</t>
  </si>
  <si>
    <t>M09-L01</t>
  </si>
  <si>
    <t>M09-L02</t>
  </si>
  <si>
    <t>MS-M10-JSON</t>
  </si>
  <si>
    <t>https://www.myscheme.gov.in/api/apisetu/schemes?slug=faaadp&amp;lang=en</t>
  </si>
  <si>
    <t>MS-M10-DOC</t>
  </si>
  <si>
    <t>https://www.myscheme.gov.in/api/apisetu/schemes/64534b9f9a0bca12ac11add8/documents?lang=en</t>
  </si>
  <si>
    <t>M10-L01</t>
  </si>
  <si>
    <t>District Social Welfare Office</t>
  </si>
  <si>
    <t>M10-L02</t>
  </si>
  <si>
    <t>MS-M11-JSON</t>
  </si>
  <si>
    <t>https://www.myscheme.gov.in/api/apisetu/schemes?slug=fadse&amp;lang=en</t>
  </si>
  <si>
    <t>MS-M11-DOC</t>
  </si>
  <si>
    <t>https://www.myscheme.gov.in/api/apisetu/schemes/64536f10ca93efcf5840b34a/documents?lang=en</t>
  </si>
  <si>
    <t>M11-L01</t>
  </si>
  <si>
    <t>M11-L02</t>
  </si>
  <si>
    <t>MS-M12-JSON</t>
  </si>
  <si>
    <t>https://www.myscheme.gov.in/api/apisetu/schemes?slug=rassnb&amp;lang=en</t>
  </si>
  <si>
    <t>MS-M12-DOC</t>
  </si>
  <si>
    <t>https://www.myscheme.gov.in/api/apisetu/schemes/655b0a515838968fc391514c/documents?lang=en</t>
  </si>
  <si>
    <t>M12-L01</t>
  </si>
  <si>
    <t>https://sjsa.maharashtra.gov.in/en/ramai-awas-gharkul-scheme-sc-nav-buddha-urban-and-rural</t>
  </si>
  <si>
    <t>MS-M13-JSON</t>
  </si>
  <si>
    <t>https://www.myscheme.gov.in/api/apisetu/schemes?slug=namo-shetkari-mahasanman-nidhi-yojana&amp;lang=en</t>
  </si>
  <si>
    <t>MS-M13-DOC</t>
  </si>
  <si>
    <t>https://www.myscheme.gov.in/api/apisetu/schemes/65cdec51cd96dc5e0754139e/documents?lang=en</t>
  </si>
  <si>
    <t>M13-L01</t>
  </si>
  <si>
    <t xml:space="preserve">PMKISAN </t>
  </si>
  <si>
    <t>https://fw.pmkisan.gov.in/</t>
  </si>
  <si>
    <t>M13-L02</t>
  </si>
  <si>
    <t>https://fw.pmkisan.gov.in/Documents/RevisedPM-KISANOperationalGuidelines(English).pdf</t>
  </si>
  <si>
    <t>M13-L03</t>
  </si>
  <si>
    <t>Online Link</t>
  </si>
  <si>
    <t>http://nsmny.mahait.org/</t>
  </si>
  <si>
    <t>MS-M14-JSON</t>
  </si>
  <si>
    <t>https://www.myscheme.gov.in/api/apisetu/schemes?slug=cmegp&amp;lang=en</t>
  </si>
  <si>
    <t>MS-M14-DOC</t>
  </si>
  <si>
    <t>https://www.myscheme.gov.in/api/apisetu/schemes/65d83237938a0b13cc8eaa67/documents?lang=en</t>
  </si>
  <si>
    <t>M14-L01</t>
  </si>
  <si>
    <t>https://maha-cmegp.gov.in</t>
  </si>
  <si>
    <t>MS-M15-JSON</t>
  </si>
  <si>
    <t>https://www.myscheme.gov.in/api/apisetu/schemes?slug=pocra&amp;lang=en</t>
  </si>
  <si>
    <t>MS-M15-DOC</t>
  </si>
  <si>
    <t>https://www.myscheme.gov.in/api/apisetu/schemes/65d47222ed4030e118e0afda/documents?lang=en</t>
  </si>
  <si>
    <t>M15-L01</t>
  </si>
  <si>
    <t xml:space="preserve">https://dbt.mahapocra.gov.in  </t>
  </si>
  <si>
    <t>https://dbt.mahapocra.gov.in</t>
  </si>
  <si>
    <t>M15-L02</t>
  </si>
  <si>
    <t>PoCRA</t>
  </si>
  <si>
    <t>https://mahapocra.gov.in/</t>
  </si>
  <si>
    <t>MS-M16-JSON</t>
  </si>
  <si>
    <t>https://www.myscheme.gov.in/api/apisetu/schemes?slug=matci&amp;lang=en</t>
  </si>
  <si>
    <t>MS-M16-DOC</t>
  </si>
  <si>
    <t>https://www.myscheme.gov.in/api/apisetu/schemes/671a29e780ec82b742b90839/documents?lang=en</t>
  </si>
  <si>
    <t>M16-L01</t>
  </si>
  <si>
    <t>https://mahabocw.in/wp-content/uploads/2019/06/SCHEME_HEALTH_FORM-1.pdf</t>
  </si>
  <si>
    <t>M16-L02</t>
  </si>
  <si>
    <t>https://mahakamgar.maharashtra.gov.in/welfare-scheme-for-building-other-construction-workers.htm</t>
  </si>
  <si>
    <t>M16-L03</t>
  </si>
  <si>
    <t>https://mahabocw.in/</t>
  </si>
  <si>
    <t>MS-M17-JSON</t>
  </si>
  <si>
    <t>https://www.myscheme.gov.in/api/apisetu/schemes?slug=gaoah&amp;lang=en</t>
  </si>
  <si>
    <t>MS-M17-DOC</t>
  </si>
  <si>
    <t>https://www.myscheme.gov.in/api/apisetu/schemes/6458d9568539c89f46a5678d/documents?lang=en</t>
  </si>
  <si>
    <t>M17-L01</t>
  </si>
  <si>
    <t>M17-L02</t>
  </si>
  <si>
    <t>MS-M18-JSON</t>
  </si>
  <si>
    <t>https://www.myscheme.gov.in/api/apisetu/schemes?slug=tmdvso&amp;lang=en</t>
  </si>
  <si>
    <t>MS-M18-DOC</t>
  </si>
  <si>
    <t>https://www.myscheme.gov.in/api/apisetu/schemes/64815fe8380f8e12353d6c90/documents?lang=en</t>
  </si>
  <si>
    <t>M18-L01</t>
  </si>
  <si>
    <t>Mahadbt Portal.</t>
  </si>
  <si>
    <t>https://mahadbt.maharashtra.gov.in/</t>
  </si>
  <si>
    <t>M18-L02</t>
  </si>
  <si>
    <t>New Applicant Registration</t>
  </si>
  <si>
    <t>https://mahadbt.maharashtra.gov.in/RegistrationLogin/RegistrationLogin</t>
  </si>
  <si>
    <t>M18-L03</t>
  </si>
  <si>
    <t>Guideline</t>
  </si>
  <si>
    <t>https://sjsa.maharashtra.gov.in/sites/default/files/vjntscheme/eng/2-20.pdf</t>
  </si>
  <si>
    <t>MS-M19-JSON</t>
  </si>
  <si>
    <t>https://www.myscheme.gov.in/api/apisetu/schemes?slug=mmlby&amp;lang=en</t>
  </si>
  <si>
    <t>MS-M19-DOC</t>
  </si>
  <si>
    <t>https://www.myscheme.gov.in/api/apisetu/schemes/66c70ef1bfeff774c3914334/documents?lang=en</t>
  </si>
  <si>
    <t>M19-L01</t>
  </si>
  <si>
    <t>https://ladakibahin.maharashtra.gov.in/</t>
  </si>
  <si>
    <t>M19-L02</t>
  </si>
  <si>
    <t>https://ladlibahinstorage.s3.ap-south-1.amazonaws.com/site-pdf/%E0%A4%AE%E0%A4%BE%E0%A4%B0%E0%A5%8D%E0%A4%97%E0%A4%A6%E0%A4%B0%E0%A5%8D%E0%A4%B6%E0%A4%95+%E0%A4%B8%E0%A5%82%E0%A4%9A%E0%A4%A8%E0%A4%BE+%E0%A4%A6%E0%A4%BF.%E0%A5%A8%E0%A5%AD.%E0%A5%A6%E0%A5%AD.%E0%A5%A8%E0%A5%AA.pdf#toolbar=0</t>
  </si>
  <si>
    <t>MS-M20-JSON</t>
  </si>
  <si>
    <t>https://www.myscheme.gov.in/api/apisetu/schemes?slug=mjpjay&amp;lang=en</t>
  </si>
  <si>
    <t>MS-M20-DOC</t>
  </si>
  <si>
    <t>https://www.myscheme.gov.in/api/apisetu/schemes/65b25ce566a1d73a2185184c/documents?lang=en</t>
  </si>
  <si>
    <t>M20-L01</t>
  </si>
  <si>
    <t>login.</t>
  </si>
  <si>
    <t>.scheme.applicationProcess[0].process[0].children[5].children[1].children[2]</t>
  </si>
  <si>
    <t>https://www.jeevandayee.gov.in/MJPJAY/FrontServlet?requestType=CommonRH&amp;actionVal=RightFrame&amp;page=undefined%3E%3E%3Cb%3EMJPJAY%20Login%3C/b%3E&amp;pageName=MJPJAY_Login&amp;mainMenu=MJPJAY_Login&amp;subMenu=MJPJAY_Login</t>
  </si>
  <si>
    <t>M20-L02</t>
  </si>
  <si>
    <t>https://www.jeevandayee.gov.in/MJPJAY/FrontServlet?requestType=CommonRH&amp;actionVal=RightFrame&amp;page=undefined%3E%3E%3Cb%3EMJPJAY%3C/b%3E&amp;pageName=MJPJAY&amp;mainMenu=About&amp;subMenu=MJPJAY</t>
  </si>
  <si>
    <t>M20-L03</t>
  </si>
  <si>
    <t>https://www.jeevandayee.gov.in/MJPJAY/FrontServlet?requestType=CommonRH&amp;actionVal=RightFrame&amp;page=undefined%3E%3E%3Cb%3EMJPJAY%20FAQs%3C/b%3E&amp;pageName=MJPJAY_FAQs&amp;mainMenu=MJPJAY_FAQs&amp;subMenu=MJPJAY_FAQs#</t>
  </si>
  <si>
    <t>MS-M21-JSON</t>
  </si>
  <si>
    <t>https://www.myscheme.gov.in/api/apisetu/schemes?slug=mmykpy&amp;lang=en</t>
  </si>
  <si>
    <t>MS-M21-DOC</t>
  </si>
  <si>
    <t>https://www.myscheme.gov.in/api/apisetu/schemes/6729e79b9c0322bd6874a823/documents?lang=en</t>
  </si>
  <si>
    <t>M21-L01</t>
  </si>
  <si>
    <t>CMYKPY website</t>
  </si>
  <si>
    <t>https://cmykpy.mahaswayam.gov.in/Index.aspx</t>
  </si>
  <si>
    <t>M21-L02</t>
  </si>
  <si>
    <t>https://cmykpy.mahaswayam.gov.in/DocMasters/PublicityDocuments/CMYKPY_Note.pdf</t>
  </si>
  <si>
    <t>Application routes and steps</t>
  </si>
  <si>
    <t>Source order, application mode and phase labels retained. Do not treat every line as an applicant action.</t>
  </si>
  <si>
    <t>Passage ID</t>
  </si>
  <si>
    <t>Source mode</t>
  </si>
  <si>
    <t>Source phase / heading</t>
  </si>
  <si>
    <t>Row type</t>
  </si>
  <si>
    <t>Step / process text</t>
  </si>
  <si>
    <t>Workflow modelling note</t>
  </si>
  <si>
    <t>C01-P0007</t>
  </si>
  <si>
    <t>Heading / phase</t>
  </si>
  <si>
    <t>en.applicationProcess[0].process[0]</t>
  </si>
  <si>
    <t>Actor, branch and dependency need review.</t>
  </si>
  <si>
    <t>C01-P0008</t>
  </si>
  <si>
    <t>Source step text</t>
  </si>
  <si>
    <t>Step 01: Download and take print of the “CONSENT-CUM-DECLARATION FORM” given in the link below: https://www.jansuraksha.gov.in/Files/PMJJBY/English/ApplicationForm.pdf#zoom=250</t>
  </si>
  <si>
    <t>en.applicationProcess[0].process[1].children[0]</t>
  </si>
  <si>
    <t>C01-P0009</t>
  </si>
  <si>
    <t>Step 02: Duly fill and sign the application form, attach the self-attested copies of the required documents, and submit the case to the authorised official of Bank / Post Office. The official will return you the “ACKNOWLEDGEMENT SLIP CUM CERTIFICATE OF INSURANCE”.</t>
  </si>
  <si>
    <t>en.applicationProcess[0].process[2].children[0]</t>
  </si>
  <si>
    <t>C01-P0010</t>
  </si>
  <si>
    <t>One can also avail cover under PMJJBY online using their bank's Net banking facility.</t>
  </si>
  <si>
    <t>en.applicationProcess[1].process[0]</t>
  </si>
  <si>
    <t>C02-P0015</t>
  </si>
  <si>
    <t>Step 01: In order to enrol in PMSBY offline, one can visit the bank branch where one has a savings account or the candidate can visit the official site: https://jansuraksha.gov.in/Forms-PMSBY.aspx to download the form.</t>
  </si>
  <si>
    <t>en.applicationProcess[0].process[0].children[0]</t>
  </si>
  <si>
    <t>C02-P0016</t>
  </si>
  <si>
    <t>Step 02: After downloading the application form , candidate can fill in all the details and submit  them to the bank along with the  required documents.</t>
  </si>
  <si>
    <t>en.applicationProcess[0].process[1]</t>
  </si>
  <si>
    <t>C02-P0017</t>
  </si>
  <si>
    <t>Step 03: Once it is successfully submitted , subscriber will get an Acknowledgement Slip Cum Certificate of Insurance.</t>
  </si>
  <si>
    <t>en.applicationProcess[0].process[2]</t>
  </si>
  <si>
    <t>C02-P0018</t>
  </si>
  <si>
    <t>Contact:</t>
  </si>
  <si>
    <t>en.applicationProcess[0].process[3]</t>
  </si>
  <si>
    <t>C02-P0019</t>
  </si>
  <si>
    <t>State wise tollfree number - https://jansuraksha.gov.in/files/STATEWISETOLLFREE.pdf</t>
  </si>
  <si>
    <t>en.applicationProcess[0].process[4]</t>
  </si>
  <si>
    <t>C02-P0020</t>
  </si>
  <si>
    <t>National Toll Free Number - 1800-180-1111 / 1800-110-001</t>
  </si>
  <si>
    <t>en.applicationProcess[0].process[5]</t>
  </si>
  <si>
    <t>C02-P0021</t>
  </si>
  <si>
    <t>One can also avail cover under PMSBY online using their bank's Net banking facility.</t>
  </si>
  <si>
    <t>C03-P0033</t>
  </si>
  <si>
    <t>Step 1: The Eligible SMFs desirous of joining the scheme shall visit the nearest Common Service Centre (CSC).</t>
  </si>
  <si>
    <t>C03-P0034</t>
  </si>
  <si>
    <t>Step 2: Following are the prerequisites for the enrolment process:</t>
  </si>
  <si>
    <t>en.applicationProcess[0].process[0].children[1]</t>
  </si>
  <si>
    <t>C03-P0035</t>
  </si>
  <si>
    <t>Aadhaar Card</t>
  </si>
  <si>
    <t>en.applicationProcess[0].process[0].children[2].children[0].children[0].children[0].children[0].children[0]</t>
  </si>
  <si>
    <t>C03-P0036</t>
  </si>
  <si>
    <t>Savings Bank Account Number along with IFSC Code ( Bank Passbook or Cheque Leave/book or copy of bank statement as evidence of bank account ).</t>
  </si>
  <si>
    <t>en.applicationProcess[0].process[0].children[2].children[0].children[0].children[0].children[0].children[1]</t>
  </si>
  <si>
    <t>C03-P0037</t>
  </si>
  <si>
    <t>Step 3: Initial contribution amount in cash will be made to the Village Level Entrepreneur (VLE).</t>
  </si>
  <si>
    <t>en.applicationProcess[0].process[0].children[3]</t>
  </si>
  <si>
    <t>C03-P0038</t>
  </si>
  <si>
    <t>Step 4: The VLE will key-in the Aadhaar number, Name of subscriber and Date of birth as printed on aadhaar card for authentication.</t>
  </si>
  <si>
    <t>en.applicationProcess[0].process[0].children[4]</t>
  </si>
  <si>
    <t>C03-P0039</t>
  </si>
  <si>
    <t>Step 5: The VLE will complete the online registration by filling up the details like Bank Account details, Mobile Number, Email Address, Spouse (if any) and Nominee details will be captured.</t>
  </si>
  <si>
    <t>en.applicationProcess[0].process[0].children[5]</t>
  </si>
  <si>
    <t>C03-P0040</t>
  </si>
  <si>
    <t>Step 6: System will auto calculate monthly contribution payable according to age of the Subscriber.</t>
  </si>
  <si>
    <t>en.applicationProcess[0].process[0].children[6]</t>
  </si>
  <si>
    <t>C03-P0041</t>
  </si>
  <si>
    <t>Step 7: Subscriber will pay the 1st subscription amount in cash to the VLE.</t>
  </si>
  <si>
    <t>en.applicationProcess[0].process[0].children[7]</t>
  </si>
  <si>
    <t>C03-P0042</t>
  </si>
  <si>
    <t>Step 8: Enrolment cum Auto Debit mandate form will be printed and will be further signed by the subscriber. VLE will scan the same and upload it into the system.</t>
  </si>
  <si>
    <t>en.applicationProcess[0].process[0].children[8]</t>
  </si>
  <si>
    <t>C03-P0043</t>
  </si>
  <si>
    <t>Step 9: A unique Kisan Pension Account Number (KPAN) will be generated and Kisan Card will be printed.</t>
  </si>
  <si>
    <t>en.applicationProcess[0].process[0].children[9]</t>
  </si>
  <si>
    <t>C04-P0031</t>
  </si>
  <si>
    <t>Process 1:</t>
  </si>
  <si>
    <t>C04-P0032</t>
  </si>
  <si>
    <t>One can also open an APY account online using one's Net banking facility.</t>
  </si>
  <si>
    <t>C04-P0033</t>
  </si>
  <si>
    <t>The applicant can login into his/her internet banking account and search for APY on dashboard.</t>
  </si>
  <si>
    <t>en.applicationProcess[0].process[1].children[1]</t>
  </si>
  <si>
    <t>C04-P0034</t>
  </si>
  <si>
    <t>Customer has to fill basic and Nominee details.</t>
  </si>
  <si>
    <t>en.applicationProcess[0].process[1].children[2]</t>
  </si>
  <si>
    <t>C04-P0035</t>
  </si>
  <si>
    <t>Customer has to give consent for  auto debit of premium from the account and submit the form.</t>
  </si>
  <si>
    <t>en.applicationProcess[0].process[1].children[3]</t>
  </si>
  <si>
    <t>C04-P0036</t>
  </si>
  <si>
    <t>Process 2:</t>
  </si>
  <si>
    <t>C04-P0037</t>
  </si>
  <si>
    <t>Visit website “</t>
  </si>
  <si>
    <t>en.applicationProcess[0].process[3].children[0]</t>
  </si>
  <si>
    <t>C04-P0038</t>
  </si>
  <si>
    <t>en.applicationProcess[0].process[3].children[1].children[0]</t>
  </si>
  <si>
    <t>C04-P0039</t>
  </si>
  <si>
    <t xml:space="preserve"> “ and select “Atal Pension Yojana”.</t>
  </si>
  <si>
    <t>en.applicationProcess[0].process[3].children[2]</t>
  </si>
  <si>
    <t>C04-P0040</t>
  </si>
  <si>
    <t>Select “APY Registration”</t>
  </si>
  <si>
    <t>en.applicationProcess[0].process[4].children[0]</t>
  </si>
  <si>
    <t>C04-P0041</t>
  </si>
  <si>
    <t xml:space="preserve">Fill the basic details in the form. One can complete KYC through 3 options – </t>
  </si>
  <si>
    <t>en.applicationProcess[0].process[5].children[0]</t>
  </si>
  <si>
    <t>C04-P0042</t>
  </si>
  <si>
    <t>Offline KYC – Where one has to upload XML file of Aadhaar</t>
  </si>
  <si>
    <t>en.applicationProcess[0].process[6].children[0].children[0]</t>
  </si>
  <si>
    <t>C04-P0043</t>
  </si>
  <si>
    <t>Aadhaar – Where KYC is done through OTP verification on Mobile Number register with Aadhaar</t>
  </si>
  <si>
    <t>en.applicationProcess[0].process[6].children[0].children[1]</t>
  </si>
  <si>
    <t>C04-P0044</t>
  </si>
  <si>
    <t>Virtual ID – Where Aadhaar virtual ID is created for KYC</t>
  </si>
  <si>
    <t>en.applicationProcess[0].process[6].children[0].children[2]</t>
  </si>
  <si>
    <t>C04-P0045</t>
  </si>
  <si>
    <t>Citizen can select either one of three options.</t>
  </si>
  <si>
    <t>en.applicationProcess[0].process[6].children[1]</t>
  </si>
  <si>
    <t>C04-P0046</t>
  </si>
  <si>
    <t>Once the basic details are filled, an acknowledgement number is generated.</t>
  </si>
  <si>
    <t>en.applicationProcess[0].process[6].children[2].children[0]</t>
  </si>
  <si>
    <t>C04-P0047</t>
  </si>
  <si>
    <t>Citizen then has to fill personal details and decide the pension amount he/she wants after 60 years.</t>
  </si>
  <si>
    <t>en.applicationProcess[0].process[6].children[3].children[0]</t>
  </si>
  <si>
    <t>C04-P0048</t>
  </si>
  <si>
    <t>The Citizen also has to decide the frequency of contribution for the scheme.</t>
  </si>
  <si>
    <t>en.applicationProcess[0].process[6].children[3].children[1]</t>
  </si>
  <si>
    <t>C04-P0049</t>
  </si>
  <si>
    <t>Once the citizen “confirms” for personal details, he/she  has to then fill nominee details.</t>
  </si>
  <si>
    <t>en.applicationProcess[0].process[6].children[3].children[2]</t>
  </si>
  <si>
    <t>C04-P0050</t>
  </si>
  <si>
    <t>After submitting the personal and Nominee details, Citizen is redirected to NSDL website for eSign.</t>
  </si>
  <si>
    <t>en.applicationProcess[0].process[6].children[3].children[3]</t>
  </si>
  <si>
    <t>C04-P0051</t>
  </si>
  <si>
    <t>Once Aadhaar is OTP verified,  Citizen gets successfully registered in APY.</t>
  </si>
  <si>
    <t>en.applicationProcess[0].process[6].children[3].children[4]</t>
  </si>
  <si>
    <t>C04-P0052</t>
  </si>
  <si>
    <t>One can also join digitally through e-APY portal or through web portal of banks providing such facility.</t>
  </si>
  <si>
    <t>en.applicationProcess[0].process[6].children[3].children[5]</t>
  </si>
  <si>
    <t>C04-P0053</t>
  </si>
  <si>
    <t>en.applicationProcess[0].process[7].children[0]</t>
  </si>
  <si>
    <t>C04-P0054</t>
  </si>
  <si>
    <t xml:space="preserve">https://enps.nsdl.com/eNPS/NationalPensionSystem.html </t>
  </si>
  <si>
    <t>en.applicationProcess[0].process[7].children[1].children[0]</t>
  </si>
  <si>
    <t>C04-P0055</t>
  </si>
  <si>
    <t>“ and select “Atal Pension Yojana”.</t>
  </si>
  <si>
    <t>en.applicationProcess[0].process[7].children[2]</t>
  </si>
  <si>
    <t>C04-P0056</t>
  </si>
  <si>
    <t>Helpline Number - - Toll Free Helpline number for APY Scheme is 1800-110-069</t>
  </si>
  <si>
    <t>en.applicationProcess[0].process[8].children[0]</t>
  </si>
  <si>
    <t>C04-P0057</t>
  </si>
  <si>
    <t>One can visit the nearest Bank branch or Post Office where he/ she is having a saving bank account and submit the APY registration form for opening the APY account.</t>
  </si>
  <si>
    <t>en.applicationProcess[1].process[0].children[0]</t>
  </si>
  <si>
    <t>C05-P0028</t>
  </si>
  <si>
    <t>Application Process:</t>
  </si>
  <si>
    <t>C05-P0029</t>
  </si>
  <si>
    <t>Step 1: The interested eligible person must visit the nearest Common Services Centre (CSC) to initiate the registration and enrollment process.</t>
  </si>
  <si>
    <t>C05-P0030</t>
  </si>
  <si>
    <t>Step 2: The Village Level Entrepreneur (VLE) present at the CSC will key in the Aadhaar number, the exact name of the subscriber as printed on the Aadhaar card, and the date of birth into the system. These details will subsequently be instantly verified with the UIDAI database.</t>
  </si>
  <si>
    <t>C05-P0031</t>
  </si>
  <si>
    <t>Step 3: The VLE will capture further details of the applicant, including Bank Account details, Mobile Number, Email-id, spouse, and nominee details into the registration portal. A self-certification verifying the required eligibility conditions will also be successfully completed in the system during this step.</t>
  </si>
  <si>
    <t>C05-P0032</t>
  </si>
  <si>
    <t>Step 4: The system will automatically calculate the exact monthly contribution payable according to the entry age of the subscriber. The subscriber must then pay the full amount of the first subscription in cash to the VLE, who will generate a receipt and hand it over to the subscriber.</t>
  </si>
  <si>
    <t>C05-P0033</t>
  </si>
  <si>
    <t>Step 5: An Enrolment Form cum Auto Debit mandate will be printed and must be physically signed by the subscriber. The VLE must then scan the signed enrolment cum auto debit mandate and safely upload it into the system.</t>
  </si>
  <si>
    <t>C05-P0034</t>
  </si>
  <si>
    <t>Step 6: A unique Shram Yogi Pension Account Number will be instantly generated, and a Shram Yogi Card will be printed directly at the CSC. The subscriber will leave the center with the printed Shram Yogi Card and a signed copy of the enrolment form for their personal records.</t>
  </si>
  <si>
    <t>en.applicationProcess[0].process[6]</t>
  </si>
  <si>
    <t>C05-P0035</t>
  </si>
  <si>
    <t>Post-Application Process:</t>
  </si>
  <si>
    <t>C05-P0036</t>
  </si>
  <si>
    <t>Step 1: The subscriber will regularly receive SMS notifications on their registered mobile phone regarding the activation of the auto-debit facility. An additional mini-statement message will be automatically sent to the mobile device upon every successful monthly deduction of the contribution.</t>
  </si>
  <si>
    <t>en.applicationProcess[0].process[8]</t>
  </si>
  <si>
    <t>C05-P0037</t>
  </si>
  <si>
    <t>Step 2: The mandatory monthly subscription shall be automatically debited on a fixed date every single month from the subscriber's linked saving account or Jan-Dhan account. The subscriber must proactively maintain sufficient funds in their account to ensure the contribution, along with any applicable penalty or interest, is successfully processed.</t>
  </si>
  <si>
    <t>en.applicationProcess[0].process[9]</t>
  </si>
  <si>
    <t>C05-P0038</t>
  </si>
  <si>
    <t>Grievance Redressal and Help Support</t>
  </si>
  <si>
    <t>en.applicationProcess[0].process[10].children[0]</t>
  </si>
  <si>
    <t>C05-P0039</t>
  </si>
  <si>
    <t>A dedicated Call Centre and Project Management Unit actively administer the scheme, supervised tightly by the National Social Security Board. To address any grievances related to the scheme, subscribers can directly contact the official customer care number 1800 267 6888 on a 24*7 basis.</t>
  </si>
  <si>
    <t>en.applicationProcess[0].process[11].children[0]</t>
  </si>
  <si>
    <t>C05-P0040</t>
  </si>
  <si>
    <t>The dedicated web portal and mobile application will also have a specific built-in facility specifically for registering complaints and raising issues digitally.</t>
  </si>
  <si>
    <t>en.applicationProcess[0].process[11].children[1]</t>
  </si>
  <si>
    <t>C05-P0041</t>
  </si>
  <si>
    <t>Self-Enrollment Login Process:</t>
  </si>
  <si>
    <t>C05-P0042</t>
  </si>
  <si>
    <t>Visit the Maandhan Homepage</t>
  </si>
  <si>
    <t>en.applicationProcess[1].process[1].children[0]</t>
  </si>
  <si>
    <t>C05-P0043</t>
  </si>
  <si>
    <t>Click on Login. The Maandhan Login screen will appear.</t>
  </si>
  <si>
    <t>en.applicationProcess[1].process[1].children[1]</t>
  </si>
  <si>
    <t>C05-P0044</t>
  </si>
  <si>
    <t>Click on Self Enrollment.</t>
  </si>
  <si>
    <t>en.applicationProcess[1].process[1].children[2]</t>
  </si>
  <si>
    <t>C05-P0045</t>
  </si>
  <si>
    <t>Enter your Mobile Number.</t>
  </si>
  <si>
    <t>en.applicationProcess[1].process[1].children[3]</t>
  </si>
  <si>
    <t>C05-P0046</t>
  </si>
  <si>
    <t>Enter the OTP received on your registered mobile number.</t>
  </si>
  <si>
    <t>en.applicationProcess[1].process[1].children[4]</t>
  </si>
  <si>
    <t>C05-P0047</t>
  </si>
  <si>
    <t>Click on Proceed.</t>
  </si>
  <si>
    <t>en.applicationProcess[1].process[1].children[5]</t>
  </si>
  <si>
    <t>C05-P0048</t>
  </si>
  <si>
    <t>Complete Self Enrollment</t>
  </si>
  <si>
    <t>en.applicationProcess[1].process[1].children[6]</t>
  </si>
  <si>
    <t>C05-P0049</t>
  </si>
  <si>
    <t>Note:</t>
  </si>
  <si>
    <t>en.applicationProcess[1].process[2].children[0]</t>
  </si>
  <si>
    <t>C05-P0051</t>
  </si>
  <si>
    <t>en.applicationProcess[1].process[2].children[2].children[0]</t>
  </si>
  <si>
    <t>C06-P0012</t>
  </si>
  <si>
    <t>One can download UMANG App or visit website https://web.umang.gov.in/web_new/home</t>
  </si>
  <si>
    <t>C06-P0013</t>
  </si>
  <si>
    <t>The citizen can login using mobile number and OTP.</t>
  </si>
  <si>
    <t>C06-P0014</t>
  </si>
  <si>
    <t>Once logged In, citizen can search for NSAP.</t>
  </si>
  <si>
    <t>en.applicationProcess[0].process[0].children[2]</t>
  </si>
  <si>
    <t>C06-P0015</t>
  </si>
  <si>
    <t>Click on “Apply Online”</t>
  </si>
  <si>
    <t>C06-P0016</t>
  </si>
  <si>
    <t>Fill the basic details, choose the mode of payment of pension, upload photo and click on “Submit”.</t>
  </si>
  <si>
    <t>C06-P0017</t>
  </si>
  <si>
    <t>Individuals can submit completely filled applications to the Gram Panchayat / Block Office in the rural area and the Municipality / Municipal Council in the urban area, as per eligibility.</t>
  </si>
  <si>
    <t>C06-P0018</t>
  </si>
  <si>
    <t>A Verification Officer or Verification Team under an authorized officer verifies the applications with reference to facts related to eligibility</t>
  </si>
  <si>
    <t>en.applicationProcess[1].process[0].children[1]</t>
  </si>
  <si>
    <t>C06-P0019</t>
  </si>
  <si>
    <t>The Verification Officer make the necessary recommendation for sanction or rejection with reasons.</t>
  </si>
  <si>
    <t>en.applicationProcess[1].process[0].children[2]</t>
  </si>
  <si>
    <t>C06-P0020</t>
  </si>
  <si>
    <t>The list of applicants with the recommendations of the Verifying Authority is discussed in the Gram Sabha in rural areas or Ward Sabha / Area Sabha as designated by the State Government in urban areas and thereafter in the Gram Panchayats and Municipalities.</t>
  </si>
  <si>
    <t>en.applicationProcess[1].process[0].children[3]</t>
  </si>
  <si>
    <t>C06-P0021</t>
  </si>
  <si>
    <t>If the time limits are not adhered to by Gram Sabha / Ward Sabhas, Gram Panchayats / Municipalities the Verification Officer directly submits his recommendations to the Sanctioning Authority under intimation to the Gram Panchayat / Municipality.</t>
  </si>
  <si>
    <t>en.applicationProcess[1].process[0].children[4]</t>
  </si>
  <si>
    <t>C06-P0022</t>
  </si>
  <si>
    <t>After receipt of applications which are verified and recommended by the Gram Sabha / Ward Committee / Area Sabha, the Sanctioning Authority convey approval to the applicant in the form of a Sanction Order with a copy to Gram Panchayat / Municipality concerned.</t>
  </si>
  <si>
    <t>en.applicationProcess[1].process[0].children[5]</t>
  </si>
  <si>
    <t>C06-P0023</t>
  </si>
  <si>
    <t>The Sanctioning Authority issues Sanction Order under his seal</t>
  </si>
  <si>
    <t>en.applicationProcess[1].process[0].children[6]</t>
  </si>
  <si>
    <t>C06-P0024</t>
  </si>
  <si>
    <t>Every beneficiary who has been sanctioned pension under schemes of NSAP are issued a Pension Passbook. The Passbook contain details of the Sanction Order, particulars of the pensioner and disbursement details</t>
  </si>
  <si>
    <t>en.applicationProcess[1].process[0].children[7]</t>
  </si>
  <si>
    <t>C06-P0025</t>
  </si>
  <si>
    <t>The list of beneficiaries to whom sanctions are issued is displayed at the Gram Panchayat / Ward / Municipal Office and updated every three months.</t>
  </si>
  <si>
    <t>en.applicationProcess[1].process[0].children[8]</t>
  </si>
  <si>
    <t>C06-P0026</t>
  </si>
  <si>
    <t>The Pension amount is directly paid to the beneficiaries through the Direct Benefit Transfer (DBT) process to their post office or bank account.</t>
  </si>
  <si>
    <t>en.applicationProcess[1].process[0].children[9]</t>
  </si>
  <si>
    <t>M01-P0031</t>
  </si>
  <si>
    <t>Step 1: Visit the Collector's Office / Tahsildar Sanjay Gandhi Yojana / Talathi Office, and request a hard copy of the format of the application form for the scheme from the concerned authority.</t>
  </si>
  <si>
    <t>M01-P0032</t>
  </si>
  <si>
    <t>Step 2: In the application form, fill in all the mandatory fields, paste the passport-sized photograph (signed across), and attach all the (self-attested) mandatory documents.</t>
  </si>
  <si>
    <t>M01-P0033</t>
  </si>
  <si>
    <t>Step 3: Submit the duly filled and signed application form along with the documents to the Collector's Office / Tahsildar Sanjay Gandhi Yojana / Talathi Office.</t>
  </si>
  <si>
    <t>M01-P0034</t>
  </si>
  <si>
    <t>Step 4: Acquire the receipt/acknowledgment of the successful submission of the application form.</t>
  </si>
  <si>
    <t>M01-P0035</t>
  </si>
  <si>
    <t>en.applicationProcess[1].process[0].children[1].children[0]</t>
  </si>
  <si>
    <t>M01-P0036</t>
  </si>
  <si>
    <t>Step 1: Visit the Official Portal of Aaple Sarkar (Maha DBT). On the right pane (green), click "New User? Register Here". You will be directed to the Registration Page.</t>
  </si>
  <si>
    <t>en.applicationProcess[1].process[2]</t>
  </si>
  <si>
    <t>M01-P0037</t>
  </si>
  <si>
    <t>Step 2: Verify your Email ID and Mobile Number using OTP and then create a Unique Username and Password. (You will also find the link to the Registration Manual on the top right of the page.)</t>
  </si>
  <si>
    <t>en.applicationProcess[1].process[4]</t>
  </si>
  <si>
    <t>M01-P0038</t>
  </si>
  <si>
    <t>In the "Applicant Detail" section, fill in the following mandatory fields: Salutation, Full Name(English), Full Name(Marathi), Father's Salutation, Father's Name (English), Father's Name(Marathi), Date of Birth, Age, Gender, Occupation.</t>
  </si>
  <si>
    <t>en.applicationProcess[1].process[6]</t>
  </si>
  <si>
    <t>M01-P0039</t>
  </si>
  <si>
    <t>In the "Applicant's Address" section, fill in the following mandatory fields: Address (English), Address (Marathi), Street (English), Street (Marathi), Section (English), Section (Marathi), Building (English), Building (Marathi), Landmark (English), Landmark (Marathi), District, Taluka, Village, Pincode</t>
  </si>
  <si>
    <t>en.applicationProcess[1].process[8]</t>
  </si>
  <si>
    <t>M01-P0040</t>
  </si>
  <si>
    <t>In the "Mobile No. &amp; Username Verification" section, fill in the following mandatory fields: 10-digit Mobile Number (to be verified via OTP), PAN No, User Name, Email ID (to be verified via OTP), Password, and Confirm Password.</t>
  </si>
  <si>
    <t>en.applicationProcess[1].process[10]</t>
  </si>
  <si>
    <t>M01-P0041</t>
  </si>
  <si>
    <t>In the "Upload your Photograph" section, upload your passport-sized photograph following the instructions given below:</t>
  </si>
  <si>
    <t>en.applicationProcess[1].process[12]</t>
  </si>
  <si>
    <t>M01-P0042</t>
  </si>
  <si>
    <t>1. The file size should fall between 5 KB to 20 KB.</t>
  </si>
  <si>
    <t>en.applicationProcess[1].process[13]</t>
  </si>
  <si>
    <t>M01-P0043</t>
  </si>
  <si>
    <t>2. The format should be JPEG.</t>
  </si>
  <si>
    <t>en.applicationProcess[1].process[14]</t>
  </si>
  <si>
    <t>M01-P0044</t>
  </si>
  <si>
    <t>3. The width should be 160 pixels.</t>
  </si>
  <si>
    <t>en.applicationProcess[1].process[15]</t>
  </si>
  <si>
    <t>M01-P0045</t>
  </si>
  <si>
    <t>4. The height should fall between 200 to 212 pixels.</t>
  </si>
  <si>
    <t>en.applicationProcess[1].process[16]</t>
  </si>
  <si>
    <t>M01-P0046</t>
  </si>
  <si>
    <t>In the "Proof Of Identity" section, upload ANY ONE of the following documents: PAN Card, Voter ID Card (POI), Passport (POI), Aadhaar Card (POI), Driving License (POI), Government / Semi-Government ID, Proof MNREGA Job Card, RSBY Card.</t>
  </si>
  <si>
    <t>en.applicationProcess[1].process[18]</t>
  </si>
  <si>
    <t>M01-P0047</t>
  </si>
  <si>
    <t>The format should be JPEG/ PDF, and the file size should be between 75 KB to 256 KB.</t>
  </si>
  <si>
    <t>en.applicationProcess[1].process[19]</t>
  </si>
  <si>
    <t>M01-P0048</t>
  </si>
  <si>
    <t>In the "Proof Of Address" section, upload ANY ONE of the following documents: Ration Card Passport (POA), Aadhaar Card (POA), Driving License (POA), Voter ID Card (POA), Extracts of 7/12 and 8 A, Property Tax Receipt, Property Agreement Copy, Water Bill, Electricity Bill, Telephone Bill, Rent Receipt.</t>
  </si>
  <si>
    <t>en.applicationProcess[1].process[21]</t>
  </si>
  <si>
    <t>M01-P0049</t>
  </si>
  <si>
    <t>Step 3: At the bottom of the Registration Page, read the following declaration carefully:</t>
  </si>
  <si>
    <t>en.applicationProcess[1].process[23]</t>
  </si>
  <si>
    <t>M01-P0050</t>
  </si>
  <si>
    <t>"I declare that the above-mentioned information submitted by me is true and correct to my knowledge and belief. I hereby agree to be liable for legal consequences for any information found incorrect or false under section 200 of the Indian penal code 1960."</t>
  </si>
  <si>
    <t>en.applicationProcess[1].process[24]</t>
  </si>
  <si>
    <t>M01-P0051</t>
  </si>
  <si>
    <t>Select the "I accept" checkbox, and click "Register". Your Login Credentials will be shared over your registered Email ID and Mobile Number.</t>
  </si>
  <si>
    <t>en.applicationProcess[1].process[26]</t>
  </si>
  <si>
    <t>M01-P0052</t>
  </si>
  <si>
    <t>Application:</t>
  </si>
  <si>
    <t>en.applicationProcess[1].process[28].children[0]</t>
  </si>
  <si>
    <t>M01-P0053</t>
  </si>
  <si>
    <t>Step 1: Visit the Official Portal of Aaple Sarkar (Maha DBT). On the right pane (green), click "Already Registered? Login Here". Provide your Username and Password. Fill in the Captcha Code, Select your District from the dropdown menu, and click "Login".</t>
  </si>
  <si>
    <t>en.applicationProcess[1].process[30]</t>
  </si>
  <si>
    <t>M01-P0054</t>
  </si>
  <si>
    <t>Step 2: On the next page, in the left pane, click "All Schemes". From the dropdown menu, select the Department Name, and the name of the scheme that you seek to apply for. Click "Apply" against the concerned scheme.</t>
  </si>
  <si>
    <t>en.applicationProcess[1].process[32]</t>
  </si>
  <si>
    <t>M01-P0055</t>
  </si>
  <si>
    <t>Step 3: Fill in all the mandatory fields and upload the mandatory documents, and click "Apply". A popup message acknowledging the successful submission of the application will be displayed, along with the Application ID:</t>
  </si>
  <si>
    <t>en.applicationProcess[1].process[34]</t>
  </si>
  <si>
    <t>M01-P0056</t>
  </si>
  <si>
    <t>"Dear [Username], you have successfully applied for [Scheme Name]. Your Application ID is [Application ID here]."</t>
  </si>
  <si>
    <t>en.applicationProcess[1].process[35]</t>
  </si>
  <si>
    <t>M01-P0057</t>
  </si>
  <si>
    <t>The Application ID will also be shared over your registered Email ID and Mobile Number. Save this Application ID for future reference and for checking the application status.</t>
  </si>
  <si>
    <t>en.applicationProcess[1].process[37]</t>
  </si>
  <si>
    <t>M01-P0058</t>
  </si>
  <si>
    <t>Step 4: You can also view the status of your applications (Under Scrutiny / Approved / Rejected / Fund Disbursed) using the "My Applied Scheme History" in the left pane.</t>
  </si>
  <si>
    <t>en.applicationProcess[1].process[39]</t>
  </si>
  <si>
    <t>M02-P0017</t>
  </si>
  <si>
    <t>en.applicationProcess[0].process[0].children[1].children[0]</t>
  </si>
  <si>
    <t>M02-P0018</t>
  </si>
  <si>
    <t>M02-P0019</t>
  </si>
  <si>
    <t>M02-P0020</t>
  </si>
  <si>
    <t>M02-P0021</t>
  </si>
  <si>
    <t>M02-P0022</t>
  </si>
  <si>
    <t>en.applicationProcess[0].process[10]</t>
  </si>
  <si>
    <t>M02-P0023</t>
  </si>
  <si>
    <t>en.applicationProcess[0].process[12]</t>
  </si>
  <si>
    <t>M02-P0024</t>
  </si>
  <si>
    <t>en.applicationProcess[0].process[13]</t>
  </si>
  <si>
    <t>M02-P0025</t>
  </si>
  <si>
    <t>en.applicationProcess[0].process[14]</t>
  </si>
  <si>
    <t>M02-P0026</t>
  </si>
  <si>
    <t>en.applicationProcess[0].process[15]</t>
  </si>
  <si>
    <t>M02-P0027</t>
  </si>
  <si>
    <t>en.applicationProcess[0].process[16]</t>
  </si>
  <si>
    <t>M02-P0028</t>
  </si>
  <si>
    <t>en.applicationProcess[0].process[18]</t>
  </si>
  <si>
    <t>M02-P0029</t>
  </si>
  <si>
    <t>en.applicationProcess[0].process[19]</t>
  </si>
  <si>
    <t>M02-P0030</t>
  </si>
  <si>
    <t>en.applicationProcess[0].process[21]</t>
  </si>
  <si>
    <t>M02-P0031</t>
  </si>
  <si>
    <t>en.applicationProcess[0].process[23]</t>
  </si>
  <si>
    <t>M02-P0032</t>
  </si>
  <si>
    <t>en.applicationProcess[0].process[24]</t>
  </si>
  <si>
    <t>M02-P0033</t>
  </si>
  <si>
    <t>en.applicationProcess[0].process[26]</t>
  </si>
  <si>
    <t>M02-P0034</t>
  </si>
  <si>
    <t>en.applicationProcess[0].process[28].children[0]</t>
  </si>
  <si>
    <t>M02-P0035</t>
  </si>
  <si>
    <t>en.applicationProcess[0].process[30]</t>
  </si>
  <si>
    <t>M02-P0036</t>
  </si>
  <si>
    <t>en.applicationProcess[0].process[32]</t>
  </si>
  <si>
    <t>M02-P0037</t>
  </si>
  <si>
    <t>en.applicationProcess[0].process[34]</t>
  </si>
  <si>
    <t>M02-P0038</t>
  </si>
  <si>
    <t>en.applicationProcess[0].process[35]</t>
  </si>
  <si>
    <t>M02-P0039</t>
  </si>
  <si>
    <t>en.applicationProcess[0].process[37]</t>
  </si>
  <si>
    <t>M02-P0040</t>
  </si>
  <si>
    <t>en.applicationProcess[0].process[39]</t>
  </si>
  <si>
    <t>M02-P0041</t>
  </si>
  <si>
    <t>Step 1: Visit the Talathi Office, and request a hard copy of the format of the application form for the scheme from the concerned authority.</t>
  </si>
  <si>
    <t>M02-P0042</t>
  </si>
  <si>
    <t>en.applicationProcess[1].process[1]</t>
  </si>
  <si>
    <t>M02-P0043</t>
  </si>
  <si>
    <t>Step 3: Submit the duly filled and signed application form along with the documents to the Talathi Office.</t>
  </si>
  <si>
    <t>M02-P0044</t>
  </si>
  <si>
    <t>en.applicationProcess[1].process[3]</t>
  </si>
  <si>
    <t>M03-P0011</t>
  </si>
  <si>
    <t>earlier_review.apply</t>
  </si>
  <si>
    <t>M04-P0008</t>
  </si>
  <si>
    <t>C07-P0033</t>
  </si>
  <si>
    <t>C07-P0034</t>
  </si>
  <si>
    <t>Step 1: Visit the official website and click on the Registration button.</t>
  </si>
  <si>
    <t>C07-P0035</t>
  </si>
  <si>
    <t>Step 2: Select your category: Individual or Organization.</t>
  </si>
  <si>
    <t>C07-P0036</t>
  </si>
  <si>
    <t>Step 3: Fill in the required details:</t>
  </si>
  <si>
    <t>C07-P0037</t>
  </si>
  <si>
    <t>Individual: Name, Date of Birth, Nominator Type, Mobile, Email, Aadhaar Number.</t>
  </si>
  <si>
    <t>C07-P0038</t>
  </si>
  <si>
    <t>Organization: Type, Authorized Person Name, Date of Birth, Organization Description, Designation, Mobile, Email, Aadhaar Number.</t>
  </si>
  <si>
    <t>C07-P0039</t>
  </si>
  <si>
    <t>Step 4: Click Submit to complete registration.</t>
  </si>
  <si>
    <t>C07-P0040</t>
  </si>
  <si>
    <t>Apply:</t>
  </si>
  <si>
    <t>en.applicationProcess[0].process[7]</t>
  </si>
  <si>
    <t>C07-P0041</t>
  </si>
  <si>
    <t>Step 1: Log in to the portal using your registered credentials.</t>
  </si>
  <si>
    <t>C07-P0042</t>
  </si>
  <si>
    <t>Step 2: Select the scheme from the list of awards and click "Nominate / Apply Now".</t>
  </si>
  <si>
    <t>C07-P0043</t>
  </si>
  <si>
    <t>Step 3: Fill in all mandatory fields in the online application form.</t>
  </si>
  <si>
    <t>C07-P0044</t>
  </si>
  <si>
    <t>Step 4: Click Submit to complete your application.</t>
  </si>
  <si>
    <t>en.applicationProcess[0].process[11]</t>
  </si>
  <si>
    <t>C08-P0055</t>
  </si>
  <si>
    <t>Registration Process</t>
  </si>
  <si>
    <t>C08-P0056</t>
  </si>
  <si>
    <t>Step 1: Accessing the Portal for Pre-requisite Registration</t>
  </si>
  <si>
    <t>C08-P0057</t>
  </si>
  <si>
    <t>The applicant must access the Unified Galvanizing Organic Bio-Agro Resources Dhan portal of the Department of Drinking Water &amp; Sanitation to register their Bio-Gas or Compressed Bio-Gas manufacturing units.</t>
  </si>
  <si>
    <t>C08-P0058</t>
  </si>
  <si>
    <t>Step 2: Submitting Details for Registration</t>
  </si>
  <si>
    <t>C08-P0059</t>
  </si>
  <si>
    <t>The applicant must submit all necessary plant and operational details on the portal to obtain the mandatory registration number required to avail the assistance.</t>
  </si>
  <si>
    <t>C08-P0060</t>
  </si>
  <si>
    <t>Application Process</t>
  </si>
  <si>
    <t>C08-P0061</t>
  </si>
  <si>
    <t>Step 3: Intimation of Willingness to the Department</t>
  </si>
  <si>
    <t>C08-P0062</t>
  </si>
  <si>
    <t>The applicant must submit a physical letter intimating their willingness to market the organic fertilizers to the Department of Fertilizers.</t>
  </si>
  <si>
    <t>C08-P0063</t>
  </si>
  <si>
    <t>Step 4: Submission of Annexures</t>
  </si>
  <si>
    <t>C08-P0064</t>
  </si>
  <si>
    <t>The applicant must attach the required operational details as per Annexure-I (for Fertilizer Marketing Companies) or Annexure-II (for Manufacturers) along with the intimation letter for formal approval.</t>
  </si>
  <si>
    <t>C08-P0065</t>
  </si>
  <si>
    <t>Step 5: Registration on the Integrated Fertilizer Management System Portal</t>
  </si>
  <si>
    <t>C08-P0066</t>
  </si>
  <si>
    <t>The applicant must register on the newly introduced module on the Integrated Fertilizer Management System portal where the Department of Fertilizers will allot a unique identification number to the manufacturing units.</t>
  </si>
  <si>
    <t>C08-P0067</t>
  </si>
  <si>
    <t>Step 6: Uploading Operational Data</t>
  </si>
  <si>
    <t>C08-P0068</t>
  </si>
  <si>
    <t>The applicant must use the allotted identification number to upload the quantity of organic fertilizers produced, data relating to sales, Maximum Retail Price, remaining stock, and quality certificates on the Integrated Fertilizer Management System portal.</t>
  </si>
  <si>
    <t>C08-P0069</t>
  </si>
  <si>
    <t>Post-Application Processes</t>
  </si>
  <si>
    <t>en.applicationProcess[0].process[14].children[0]</t>
  </si>
  <si>
    <t>C08-P0070</t>
  </si>
  <si>
    <t>Step 7: Quality Testing and Certification</t>
  </si>
  <si>
    <t>C08-P0071</t>
  </si>
  <si>
    <t>The applicant must ensure batch-wise or dispatch-wise quality testing at accredited laboratories and get the test reports validated by the State Agriculture Department or State Energy Development Agency to receive the 'B2-MDA' certificate.</t>
  </si>
  <si>
    <t>C08-P0072</t>
  </si>
  <si>
    <t>Step 8: Generating Benefit Claims</t>
  </si>
  <si>
    <t>en.applicationProcess[0].process[17]</t>
  </si>
  <si>
    <t>C08-P0073</t>
  </si>
  <si>
    <t>The applicant must generate Direct Benefit Transfer claims through the Integrated Fertilizer Management System portal using the prescribed Annexure within two months from the month of sale.</t>
  </si>
  <si>
    <t>C08-P0074</t>
  </si>
  <si>
    <t>Step 9: Submission of Claim Documentation</t>
  </si>
  <si>
    <t>C08-P0075</t>
  </si>
  <si>
    <t>The applicant must submit a copy of the Quality Certificate along with the claim for Market Development Assistance payment for that particular month to the Department of Fertilizers to receive the financial disbursement.</t>
  </si>
  <si>
    <t>en.applicationProcess[0].process[20]</t>
  </si>
  <si>
    <t>C09-P0063</t>
  </si>
  <si>
    <t>Proposals can be submitted to the following -</t>
  </si>
  <si>
    <t>C09-P0064</t>
  </si>
  <si>
    <t>The nearest TePP Outreach cum Cluster Innovation Centres (TOCICs).</t>
  </si>
  <si>
    <t>C09-P0065</t>
  </si>
  <si>
    <t>The Department of Scientific and Industrial Research (DSIR).</t>
  </si>
  <si>
    <t>C09-P0066</t>
  </si>
  <si>
    <t>Step 1:</t>
  </si>
  <si>
    <t>C09-P0068</t>
  </si>
  <si>
    <t>Consultation and Preparation</t>
  </si>
  <si>
    <t>C09-P0069</t>
  </si>
  <si>
    <t>The innovator should meet coordinators of TePP Outreach cum Cluster Innovation Centres (TOCICs) and take their advice before submitting the application.</t>
  </si>
  <si>
    <t>C09-P0070</t>
  </si>
  <si>
    <t>The applicant must prepare the application form, ensuring all mandatory details like the Title of the proposed project, Name, Address, Date of Birth, Educational qualification, Annual Income, Permanent Account Number (PAN) (mandatory), and Aadhaar Number are included.</t>
  </si>
  <si>
    <t>en.applicationProcess[0].process[4].children[1]</t>
  </si>
  <si>
    <t>C09-P0071</t>
  </si>
  <si>
    <t>Step 2:</t>
  </si>
  <si>
    <t>C09-P0073</t>
  </si>
  <si>
    <t>Submission of Proposal</t>
  </si>
  <si>
    <t>en.applicationProcess[0].process[5].children[2]</t>
  </si>
  <si>
    <t>C09-P0074</t>
  </si>
  <si>
    <t>The applicant must submit the application either directly to the nearest TePP Outreach cum Cluster Innovation Centre (TOCIC) or directly to the Department of Scientific and Industrial Research (DSIR).</t>
  </si>
  <si>
    <t>en.applicationProcess[0].process[6].children[0]</t>
  </si>
  <si>
    <t>C09-P0075</t>
  </si>
  <si>
    <t>Proposals submitted directly to the Department of Scientific and Industrial Research will be forwarded to the relevant TePP Outreach cum Cluster Innovation Centre for counselling and local screening.</t>
  </si>
  <si>
    <t>C09-P0076</t>
  </si>
  <si>
    <t>C09-P0077</t>
  </si>
  <si>
    <t>en.applicationProcess[0].process[9].children[0]</t>
  </si>
  <si>
    <t>C09-P0079</t>
  </si>
  <si>
    <t>Initial Screening for Completeness</t>
  </si>
  <si>
    <t>en.applicationProcess[0].process[9].children[2]</t>
  </si>
  <si>
    <t>C09-P0080</t>
  </si>
  <si>
    <t>The proposals will initially be screened for completeness at the point of receipt by the coordinators of the TePP Outreach cum Cluster Innovation Centres.</t>
  </si>
  <si>
    <t>C09-P0081</t>
  </si>
  <si>
    <t>C09-P0083</t>
  </si>
  <si>
    <t>Evaluation by Domain Knowledge Experts</t>
  </si>
  <si>
    <t>en.applicationProcess[0].process[11].children[2]</t>
  </si>
  <si>
    <t>C09-P0084</t>
  </si>
  <si>
    <t>After initial Screening, the complete and screened proposals are evaluated by the Domain Knowledge Experts associated with the TePP Outreach cum Cluster Innovation Centre.</t>
  </si>
  <si>
    <t>C09-P0085</t>
  </si>
  <si>
    <t>Step 3:</t>
  </si>
  <si>
    <t>en.applicationProcess[0].process[13].children[0]</t>
  </si>
  <si>
    <t>C09-P0087</t>
  </si>
  <si>
    <t>Submission to the Department of Scientific and Industrial Research</t>
  </si>
  <si>
    <t>en.applicationProcess[0].process[13].children[2]</t>
  </si>
  <si>
    <t>C09-P0088</t>
  </si>
  <si>
    <t>The TePP Outreach cum Cluster Innovation Centres will send complete and evaluated proposals to the Department of Scientific and Industrial Research for further action.</t>
  </si>
  <si>
    <t>C09-P0089</t>
  </si>
  <si>
    <t>Step 4:</t>
  </si>
  <si>
    <t>en.applicationProcess[0].process[15].children[0]</t>
  </si>
  <si>
    <t>C09-P0091</t>
  </si>
  <si>
    <t>Committee Recommendation</t>
  </si>
  <si>
    <t>en.applicationProcess[0].process[15].children[2]</t>
  </si>
  <si>
    <t>C09-P0092</t>
  </si>
  <si>
    <t>The proposals will then be considered by the PRISM Advisory and Screening Committee (PASC) for final recommendation.</t>
  </si>
  <si>
    <t>C09-P0093</t>
  </si>
  <si>
    <t>Step 5:</t>
  </si>
  <si>
    <t>en.applicationProcess[0].process[17].children[0]</t>
  </si>
  <si>
    <t>C09-P0094</t>
  </si>
  <si>
    <t xml:space="preserve"> Final Approval and Sanction</t>
  </si>
  <si>
    <t>en.applicationProcess[0].process[17].children[1]</t>
  </si>
  <si>
    <t>C09-P0095</t>
  </si>
  <si>
    <t>The sanction will finally be released to those projects that are approved by the Department.</t>
  </si>
  <si>
    <t>C09-P0096</t>
  </si>
  <si>
    <t>Step 6:</t>
  </si>
  <si>
    <t>en.applicationProcess[0].process[19].children[0]</t>
  </si>
  <si>
    <t>C09-P0098</t>
  </si>
  <si>
    <t>Signing of Terms and Conditions</t>
  </si>
  <si>
    <t>en.applicationProcess[0].process[19].children[2]</t>
  </si>
  <si>
    <t>C09-P0099</t>
  </si>
  <si>
    <t>The applicant has to sign the "Terms &amp; Conditions" document prior to the actual release of the grants-in-aid.</t>
  </si>
  <si>
    <t>C09-P0100</t>
  </si>
  <si>
    <t>Disbursement</t>
  </si>
  <si>
    <t>en.applicationProcess[0].process[22].children[0]</t>
  </si>
  <si>
    <t>C09-P0101</t>
  </si>
  <si>
    <t>en.applicationProcess[0].process[23].children[0]</t>
  </si>
  <si>
    <t>C09-P0103</t>
  </si>
  <si>
    <t>First Release</t>
  </si>
  <si>
    <t>en.applicationProcess[0].process[23].children[2]</t>
  </si>
  <si>
    <t>C09-P0104</t>
  </si>
  <si>
    <t>The first release of funds is based on milestones and deliverables projected in the project proposals and as recommended by the PRISM Advisory and Screening Committee (PASC).</t>
  </si>
  <si>
    <t>C09-P0105</t>
  </si>
  <si>
    <t>en.applicationProcess[0].process[25].children[0]</t>
  </si>
  <si>
    <t>C09-P0107</t>
  </si>
  <si>
    <t xml:space="preserve">Subsequent Fund Release and Monitoring </t>
  </si>
  <si>
    <t>en.applicationProcess[0].process[25].children[2]</t>
  </si>
  <si>
    <t>C09-P0108</t>
  </si>
  <si>
    <t>Subsequent releases of funds are based on the assessment of the progress of the project by the Project Review Committee (PRC). The approved projects will be monitored by the TePP Outreach cum Cluster Innovation Centre/other network partners, including technical expert(s), and the Project Review Committees will meet at least once in nine months to review the progress of the project.</t>
  </si>
  <si>
    <t>C09-P0109</t>
  </si>
  <si>
    <t>en.applicationProcess[0].process[27].children[0]</t>
  </si>
  <si>
    <t>C09-P0111</t>
  </si>
  <si>
    <t>Project Closure</t>
  </si>
  <si>
    <t>en.applicationProcess[0].process[27].children[2]</t>
  </si>
  <si>
    <t>C09-P0112</t>
  </si>
  <si>
    <t>The project completion report will be accepted by the Competent Authority in the Department of Scientific and Industrial Research, based on the Project Review Committee recommendation, after the successful closure of the project.</t>
  </si>
  <si>
    <t>en.applicationProcess[0].process[28]</t>
  </si>
  <si>
    <t>C10-P0032</t>
  </si>
  <si>
    <t>Step 1: Visit official website to apply under the scheme.</t>
  </si>
  <si>
    <t>C10-P0033</t>
  </si>
  <si>
    <t>Step 2: On the KVIC online portal and click on “Online Registration of Khadi Institutions.”</t>
  </si>
  <si>
    <t>C10-P0034</t>
  </si>
  <si>
    <t>Step 3: Fill in all required details of the institution, including name, address, type of registration, authorised person, number of artisans, and infrastructure information, then save the form.</t>
  </si>
  <si>
    <t>C10-P0035</t>
  </si>
  <si>
    <t>Step 4: After submission, receive a Username, Password, and Unique ID on your registered email and mobile, and download the acknowledgement for reference.</t>
  </si>
  <si>
    <t>C10-P0036</t>
  </si>
  <si>
    <t>Step 5: Login using your credentials and upload all required documents such as registration certificate, list of artisans, workshed details, and bylaws.</t>
  </si>
  <si>
    <t>C10-P0037</t>
  </si>
  <si>
    <t>Step 6: The KVIC office verifies the application and documents, and once approved, the Certificate of Registration (CoR) is issued online for download.</t>
  </si>
  <si>
    <t>C11-P0025</t>
  </si>
  <si>
    <t>Either approach your nearest bank branch to apply (locate your nearest bank here - https://www.rbi.org.in/Scripts/query.aspx )Or Through the Lead District Manager (LDM) (find the address and the email of the LDM of your district here - https://www.standupmitra.in/LDMS#NoBack)</t>
  </si>
  <si>
    <t>C11-P0026</t>
  </si>
  <si>
    <t>Or Apply Through Portal: www.standupmitra.in</t>
  </si>
  <si>
    <t>C11-P0027</t>
  </si>
  <si>
    <t>Process:</t>
  </si>
  <si>
    <t>C11-P0028</t>
  </si>
  <si>
    <t>The first step is to visit the official portal of StandUp India at: https://www.standupmitra.in/Login/Register</t>
  </si>
  <si>
    <t>C11-P0029</t>
  </si>
  <si>
    <t>Enter the full details of the business location.</t>
  </si>
  <si>
    <t>en.applicationProcess[0].process[3].children[1]</t>
  </si>
  <si>
    <t>C11-P0030</t>
  </si>
  <si>
    <t>Select the category between SC, ST, Woman, and whether the stake held is 51% or higher.</t>
  </si>
  <si>
    <t>C11-P0031</t>
  </si>
  <si>
    <t>Select the nature of the proposed business; the loan amount desired description of the business, the details of the premises, etc.</t>
  </si>
  <si>
    <t>en.applicationProcess[0].process[3].children[3]</t>
  </si>
  <si>
    <t>C11-P0032</t>
  </si>
  <si>
    <t>Populate the fields with past business experience, including tenure.</t>
  </si>
  <si>
    <t>en.applicationProcess[0].process[3].children[4]</t>
  </si>
  <si>
    <t>C11-P0033</t>
  </si>
  <si>
    <t>Select the need for hand-holding is required.</t>
  </si>
  <si>
    <t>en.applicationProcess[0].process[3].children[5]</t>
  </si>
  <si>
    <t>C11-P0034</t>
  </si>
  <si>
    <t>Enter all the personal details sought, which include the name of the enterprise and the constitution.</t>
  </si>
  <si>
    <t>en.applicationProcess[0].process[3].children[6]</t>
  </si>
  <si>
    <t>C11-P0035</t>
  </si>
  <si>
    <t>The last step is to select the register button to complete the process.</t>
  </si>
  <si>
    <t>en.applicationProcess[0].process[3].children[7]</t>
  </si>
  <si>
    <t>C11-P0036</t>
  </si>
  <si>
    <t>Once you have completed registration, you are eligible to initiate the StandUp India Loan Application process with the respective financial institution for the officials to contact you for completing the StandUp India Loan Process and requisite formalities.</t>
  </si>
  <si>
    <t>C12-P0052</t>
  </si>
  <si>
    <t>For State Level and Primary Level Organizations</t>
  </si>
  <si>
    <t>C12-P0053</t>
  </si>
  <si>
    <t>Step 1: Prepare Claim Documentation</t>
  </si>
  <si>
    <t>C12-P0054</t>
  </si>
  <si>
    <t>Compile sales bills/invoices, yarn purchase bills, and average sales turnover details for the last 3 years ensuring Goods and Services Tax compliance.</t>
  </si>
  <si>
    <t>C12-P0055</t>
  </si>
  <si>
    <t>Step 2: Complete Application Form</t>
  </si>
  <si>
    <t>C12-P0056</t>
  </si>
  <si>
    <t>Fill the prescribed proforma (Annexure - B8) with all required details including sales data and beneficiary information.</t>
  </si>
  <si>
    <t>C12-P0057</t>
  </si>
  <si>
    <t>Step 3: Submit to State Government</t>
  </si>
  <si>
    <t>C12-P0058</t>
  </si>
  <si>
    <t>Submit the completed Marketing Incentive claim to the concerned State Government with all supporting documents.</t>
  </si>
  <si>
    <t>C12-P0059</t>
  </si>
  <si>
    <t>Step 4: State Government Verification</t>
  </si>
  <si>
    <t>C12-P0060</t>
  </si>
  <si>
    <t>State Government will verify claims, ensure matching contribution availability, and complete prescribed certificates (Annexure - B9).</t>
  </si>
  <si>
    <t>C12-P0061</t>
  </si>
  <si>
    <t>Step 5: State Level Project Committee Recommendation</t>
  </si>
  <si>
    <t>C12-P0062</t>
  </si>
  <si>
    <t>Obtain recommendations from State Level Project Committee for the Marketing Incentive claims.</t>
  </si>
  <si>
    <t>C12-P0063</t>
  </si>
  <si>
    <t>Step 6: State Government Consolidation</t>
  </si>
  <si>
    <t>C12-P0064</t>
  </si>
  <si>
    <t>State Government prepares consolidated statement, sanction order for state share release, and certificate as per Annexure - B10.</t>
  </si>
  <si>
    <t>C12-P0065</t>
  </si>
  <si>
    <t>Step 7: Nodal Agency Identification</t>
  </si>
  <si>
    <t>C12-P0066</t>
  </si>
  <si>
    <t>State Government identifies suitable nodal agency for fund aggregation and onward release to eligible agencies.</t>
  </si>
  <si>
    <t>C12-P0067</t>
  </si>
  <si>
    <t>Step 8: Forward to Development Commissioner (Handlooms)</t>
  </si>
  <si>
    <t>C12-P0068</t>
  </si>
  <si>
    <t>State Government forwards verified claims to Office of Development Commissioner (Handlooms) with all required documentation.</t>
  </si>
  <si>
    <t>C12-P0069</t>
  </si>
  <si>
    <t>Step 9: Central Government Processing</t>
  </si>
  <si>
    <t>C12-P0070</t>
  </si>
  <si>
    <t>Office of Development Commissioner (Handlooms) processes claims and releases Central Government share to identified Nodal Agency.</t>
  </si>
  <si>
    <t>C12-P0071</t>
  </si>
  <si>
    <t>Step 10: Fund Distribution</t>
  </si>
  <si>
    <t>C12-P0072</t>
  </si>
  <si>
    <t>Nodal Agency releases amount to eligible handloom agencies and their member weavers through Direct Benefit Transfer within 7 days of receipt.</t>
  </si>
  <si>
    <t>C12-P0073</t>
  </si>
  <si>
    <t>For National Level Handloom Organizations</t>
  </si>
  <si>
    <t>C12-P0074</t>
  </si>
  <si>
    <t>Step 1: Direct Application Preparation</t>
  </si>
  <si>
    <t>C12-P0075</t>
  </si>
  <si>
    <t>Prepare Marketing Incentive claim with all supporting documents and prescribed proforma (Annexure - B8).</t>
  </si>
  <si>
    <t>C12-P0076</t>
  </si>
  <si>
    <t>Step 2: Submit to Development Commissioner (Handlooms)</t>
  </si>
  <si>
    <t>en.applicationProcess[0].process[25]</t>
  </si>
  <si>
    <t>C12-P0077</t>
  </si>
  <si>
    <t>Submit claims directly to Office of Development Commissioner (Handlooms) with complete documentation.</t>
  </si>
  <si>
    <t>C12-P0078</t>
  </si>
  <si>
    <t>Step 3: Central Government Processing</t>
  </si>
  <si>
    <t>en.applicationProcess[0].process[27]</t>
  </si>
  <si>
    <t>C12-P0079</t>
  </si>
  <si>
    <t>Office of Development Commissioner (Handlooms) processes and approves claims for National Level Organizations.</t>
  </si>
  <si>
    <t>C12-P0080</t>
  </si>
  <si>
    <t>Step 4: Direct Release</t>
  </si>
  <si>
    <t>en.applicationProcess[0].process[29]</t>
  </si>
  <si>
    <t>C12-P0081</t>
  </si>
  <si>
    <t>Marketing Incentive assistance released directly to National Level Handloom Organizations by Government of India.</t>
  </si>
  <si>
    <t>C13-P0047</t>
  </si>
  <si>
    <t>Visit the website of the bank you wish to apply for the kisan credit card scheme.</t>
  </si>
  <si>
    <t>C13-P0048</t>
  </si>
  <si>
    <t>From the list of options, choose the Kisan Credit Card.</t>
  </si>
  <si>
    <t>C13-P0049</t>
  </si>
  <si>
    <t>On clicking the option of ‘Apply’, the website will redirect you to the application page.</t>
  </si>
  <si>
    <t>C13-P0050</t>
  </si>
  <si>
    <t>Fill the form with the required details and click on ‘Submit’.</t>
  </si>
  <si>
    <t>C13-P0051</t>
  </si>
  <si>
    <t>On doing so, an application reference number will be sent. If you are eligible, the bank will get back to you for the further process within 3-4 working days.</t>
  </si>
  <si>
    <t>C13-P0052</t>
  </si>
  <si>
    <t>Offline applications can be done by visiting the branch of the bank of your choice or by downloading the application form from the website of the bank as well.</t>
  </si>
  <si>
    <t>C13-P0053</t>
  </si>
  <si>
    <t>The applicant can visit the branch and begin the application process with the help of the bank representative.</t>
  </si>
  <si>
    <t>C14-P0039</t>
  </si>
  <si>
    <t>Step 1: Visit the Official Website of "Pradhan Mantri Fasal Bima Yojana".</t>
  </si>
  <si>
    <t>C14-P0040</t>
  </si>
  <si>
    <t>Step 2: At the top right corner of the homepage, click "Farmer Corner".</t>
  </si>
  <si>
    <t>C14-P0041</t>
  </si>
  <si>
    <t>In the popup window, click "Guest Farmer". You will be taken to the Online Registration Form.</t>
  </si>
  <si>
    <t>C14-P0042</t>
  </si>
  <si>
    <t>*If already registered, skip to Step: 4.</t>
  </si>
  <si>
    <t>C14-P0043</t>
  </si>
  <si>
    <t>Step 3: In the Registration Form, fill in the following mandatory fields (marked with a red asterisk):</t>
  </si>
  <si>
    <t>C14-P0044</t>
  </si>
  <si>
    <t>"FARMER DETAILS" Section: Full Name, Passbook Name, Relationship, Relative Name, Mobile No., Age, Caste Category, Gender, Farmer Type, Farmer Category,</t>
  </si>
  <si>
    <t>C14-P0045</t>
  </si>
  <si>
    <t>"RESIDENTIAL DETAILS" Section: State, District, Sub District, Residential Village/ Town, Address, PIN Code</t>
  </si>
  <si>
    <t>C14-P0046</t>
  </si>
  <si>
    <t>"FARMER ID" Section: ID Type, ID No,</t>
  </si>
  <si>
    <t>C14-P0047</t>
  </si>
  <si>
    <t>"ACCOUNT DETAILS" Section: IFSC, Bank Name, Branch Name, Savings Bank A/C No., Confirm Savings Bank A/C No..</t>
  </si>
  <si>
    <t>C14-P0048</t>
  </si>
  <si>
    <t>At the bottom of the registration form, fill in the Captcha Code and click "Create User".</t>
  </si>
  <si>
    <t>C14-P0049</t>
  </si>
  <si>
    <t>Step 4: Upon successful registration, click "Farmer Corner (Apply for Crop Insurance Yourself)".</t>
  </si>
  <si>
    <t>C14-P0050</t>
  </si>
  <si>
    <t>In the popup window, click "Login for Farmer". You will be taken to the Login Page.</t>
  </si>
  <si>
    <t>C14-P0051</t>
  </si>
  <si>
    <t>https://pmfby.gov.in/farmerLogin</t>
  </si>
  <si>
    <t>C14-P0052</t>
  </si>
  <si>
    <t>Step 5: On the Login Page, provide your Mobile Number, fill the Captcha Code, then click "Request for OTP". Enter the OTP received on your registered Mobile Number, and click "Submit". You will be taken to the "Farmer Application Form".</t>
  </si>
  <si>
    <t>C14-P0053</t>
  </si>
  <si>
    <t>Step 6: Fill in all the mandatory fields of the Application Form and upload all the mandatory documents in the specified format and size.</t>
  </si>
  <si>
    <t>C14-P0054</t>
  </si>
  <si>
    <t>Click "Preview" to carefully review all the information provided and the uploaded documents. Click "Submit" to submit your application. You'll receive a confirmation message.</t>
  </si>
  <si>
    <t>C14-P0055</t>
  </si>
  <si>
    <t>Step 7: In the popup window, the following options will be displayed: "Pay Later" and "Make Payment". Select "Pay Later" if you intend to pay for the insurance at a later stage. Else, select "Make Payment".</t>
  </si>
  <si>
    <t>C14-P0056</t>
  </si>
  <si>
    <t>Step 8: Upon successful payment, you may print the receipt of the payment.</t>
  </si>
  <si>
    <t>C14-P0057</t>
  </si>
  <si>
    <t>Track Your Application</t>
  </si>
  <si>
    <t>en.applicationProcess[0].process[18].children[0]</t>
  </si>
  <si>
    <t>C14-P0058</t>
  </si>
  <si>
    <t>You can track the application status on the PMFBY website through the ‘Application Status’ option on the home page.</t>
  </si>
  <si>
    <t>C14-P0059</t>
  </si>
  <si>
    <t>Step 1: The interested applicant should visit the nearest participating bank or insurance office, and request the prescribed format of the application form from the staff.</t>
  </si>
  <si>
    <t>C14-P0060</t>
  </si>
  <si>
    <t>Step 2: In the application form, fill in all the mandatory fields, paste the passport-sized photograph (sign across, if required), and attach copies of all the mandatory documents (self-attest, if required).</t>
  </si>
  <si>
    <t>C14-P0061</t>
  </si>
  <si>
    <t>Step 3: Submit the duly filled and signed application form to the staff, along with the attached copies of the documents. Pay the applicable premium amount at the office.</t>
  </si>
  <si>
    <t>C14-P0062</t>
  </si>
  <si>
    <t>Step 4: You will be provided with an application reference number which you can use to track the status of your application.</t>
  </si>
  <si>
    <t>C14-P0063</t>
  </si>
  <si>
    <t>en.applicationProcess[1].process[4].children[0]</t>
  </si>
  <si>
    <t>C14-P0064</t>
  </si>
  <si>
    <t>en.applicationProcess[1].process[5]</t>
  </si>
  <si>
    <t>C14-P0065</t>
  </si>
  <si>
    <t>Step 1: Visit your nearest Common Service Centre (CSC). CSCs are government-authorized centres that provide various services to citizens.</t>
  </si>
  <si>
    <t>en.applicationProcess[2].process[0]</t>
  </si>
  <si>
    <t>C14-P0066</t>
  </si>
  <si>
    <t>Step 2: Inform the Village Level Entrepreneur (VLE) at the CSC that you intend to apply for PMFBY. Inform the VLE if you need assistance/guidance with the application or if you want the VLE to apply for the scheme on your behalf.</t>
  </si>
  <si>
    <t>en.applicationProcess[2].process[1]</t>
  </si>
  <si>
    <t>C14-P0067</t>
  </si>
  <si>
    <t>Step 3: Provide the VLE with the information on the mandatory fields and soft copies of the required documents.</t>
  </si>
  <si>
    <t>en.applicationProcess[2].process[2]</t>
  </si>
  <si>
    <t>C14-P0068</t>
  </si>
  <si>
    <t>Step 4: Upon successful submission of your application, pay the applicable premium amount to the VLE. The premium amount may vary depending on the crop, area, and other factors.</t>
  </si>
  <si>
    <t>en.applicationProcess[2].process[3]</t>
  </si>
  <si>
    <t>C14-P0069</t>
  </si>
  <si>
    <t>Step 5: Receive an acknowledgement receipt from the VLE as proof of application submission.</t>
  </si>
  <si>
    <t>en.applicationProcess[2].process[4]</t>
  </si>
  <si>
    <t>C14-P0070</t>
  </si>
  <si>
    <t>en.applicationProcess[2].process[5].children[0]</t>
  </si>
  <si>
    <t>C14-P0071</t>
  </si>
  <si>
    <t>en.applicationProcess[2].process[6]</t>
  </si>
  <si>
    <t>C14-P0072</t>
  </si>
  <si>
    <t>* Keep copies of all documents submitted and the acknowledgement receipt for future reference.</t>
  </si>
  <si>
    <t>en.applicationProcess[2].process[7]</t>
  </si>
  <si>
    <t>C14-P0073</t>
  </si>
  <si>
    <t>* Note down the contact details of the CSC centre for any queries or assistance.</t>
  </si>
  <si>
    <t>en.applicationProcess[2].process[8]</t>
  </si>
  <si>
    <t>C15-P0032</t>
  </si>
  <si>
    <t>Procedure for Applying</t>
  </si>
  <si>
    <t>C15-P0033</t>
  </si>
  <si>
    <t>Step-1: The candidates fulfilling the eligibility conditions are required to apply online on the National Scholarship Portal after initiation of the application process and notice to be published on the UGC website.</t>
  </si>
  <si>
    <t>C15-P0034</t>
  </si>
  <si>
    <t>Step-2: The host institution where the candidate is studying is required to verify the online</t>
  </si>
  <si>
    <t>C15-P0035</t>
  </si>
  <si>
    <t>application.</t>
  </si>
  <si>
    <t>C15-P0036</t>
  </si>
  <si>
    <t>Step-3: It is expected from the institutions where students have taken admitted in the first year of PG course, that no tuition fees will be charged by the institute to girl students to pursue PG degree courses in Universities/Colleges/Institutions</t>
  </si>
  <si>
    <t>C15-P0037</t>
  </si>
  <si>
    <t>Notes</t>
  </si>
  <si>
    <t>C15-P0038</t>
  </si>
  <si>
    <t>1. Applications will be invited once a year on the National e-Scholarship Portal of the Government of India. 2. Short notifications will also be uploaded on the UGC website.</t>
  </si>
  <si>
    <t>C15-P0039</t>
  </si>
  <si>
    <t>3. Incomplete applications will be summarily rejected. Only verified online applications will be considered for the award of scholarship.</t>
  </si>
  <si>
    <t>C15-P0040</t>
  </si>
  <si>
    <t>4. Affidavit regarding Single girl child status may be uploaded as per format given in Annexure-II.</t>
  </si>
  <si>
    <t>C15-P0041</t>
  </si>
  <si>
    <t>5. Joining report as per Annexure-I has to be uploaded.</t>
  </si>
  <si>
    <t>C16-P0027</t>
  </si>
  <si>
    <t>Step 1: The interest Subsidy shall be linked with the existing Educational Loan Scheme of the Indian Banks Association (IBA) and restricted to students enrolled for courses at Master, M.Phil and PhD levels.</t>
  </si>
  <si>
    <t>C16-P0028</t>
  </si>
  <si>
    <t>Step 2: The Nodal Bank will lay down the detailed procedure for processing and sanctioning interest subsidies to eligible students in consultation with the Ministry.</t>
  </si>
  <si>
    <t>C16-P0029</t>
  </si>
  <si>
    <t>Step 3: The Recommendatory Committee headed by the Joint Secretary in charge of the Backward Classes Division with representatives of the Finance Division, a representative of Nodal Bank and the concerned Director/Deputy Secretary as convener will examine and recommend the applications for the award of interest subsidy on a quarterly basis.</t>
  </si>
  <si>
    <t>C17-P0019</t>
  </si>
  <si>
    <t>Submission of Bank Account Details</t>
  </si>
  <si>
    <t>en.applicationProcess[0].process[0].children[0].children[0]</t>
  </si>
  <si>
    <t>C17-P0020</t>
  </si>
  <si>
    <t>Patient need to submit his/her Aadhaar-linked savings bank account to TB health provider.</t>
  </si>
  <si>
    <t>C17-P0021</t>
  </si>
  <si>
    <t>Supporting documents like a Aadhaar number, passbook, canceled cheque, or bank statement must be collected.</t>
  </si>
  <si>
    <t>en.applicationProcess[0].process[0].children[1].children[1]</t>
  </si>
  <si>
    <t>C17-P0022</t>
  </si>
  <si>
    <t>If Patient don't have a bank account:</t>
  </si>
  <si>
    <t>en.applicationProcess[0].process[0].children[1].children[2]</t>
  </si>
  <si>
    <t>C17-P0023</t>
  </si>
  <si>
    <t>Open a new account (e.g., via Jan Dhan Yojana/India Post Payments Bank).</t>
  </si>
  <si>
    <t>en.applicationProcess[0].process[0].children[1].children[3].children[0].children[0]</t>
  </si>
  <si>
    <t>C17-P0024</t>
  </si>
  <si>
    <t>Alternatively, Patient may nominate a family member’s account with a written consent (standard format available in the manual).</t>
  </si>
  <si>
    <t>en.applicationProcess[0].process[0].children[1].children[3].children[0].children[1]</t>
  </si>
  <si>
    <t>C17-P0025</t>
  </si>
  <si>
    <t>Registration in Nikshay</t>
  </si>
  <si>
    <t>en.applicationProcess[0].process[0].children[2].children[0]</t>
  </si>
  <si>
    <t>C17-P0026</t>
  </si>
  <si>
    <t>Patient bank details will be entered by the TB health staff into the Nikshay system.</t>
  </si>
  <si>
    <t>en.applicationProcess[0].process[0].children[3].children[0]</t>
  </si>
  <si>
    <t>C17-P0027</t>
  </si>
  <si>
    <t>Ensure Patient account is unique—no two beneficiaries can use the same bank account.</t>
  </si>
  <si>
    <t>en.applicationProcess[0].process[0].children[3].children[1]</t>
  </si>
  <si>
    <t>C17-P0028</t>
  </si>
  <si>
    <t>Nikshay will automatically send the bank details to PFMS for validation.</t>
  </si>
  <si>
    <t>en.applicationProcess[0].process[0].children[3].children[2]</t>
  </si>
  <si>
    <t>C17-P0029</t>
  </si>
  <si>
    <t>Bank Account Validation via PFMS</t>
  </si>
  <si>
    <t>en.applicationProcess[0].process[0].children[4].children[0]</t>
  </si>
  <si>
    <t>C17-P0030</t>
  </si>
  <si>
    <t>Once validated:</t>
  </si>
  <si>
    <t>en.applicationProcess[0].process[0].children[5].children[0]</t>
  </si>
  <si>
    <t>C17-P0031</t>
  </si>
  <si>
    <t>A PFMS Beneficiary ID is assigned.</t>
  </si>
  <si>
    <t>en.applicationProcess[0].process[0].children[5].children[1].children[0].children[0]</t>
  </si>
  <si>
    <t>C17-P0032</t>
  </si>
  <si>
    <t>Patient status in Nikshay changes to “Validated”.</t>
  </si>
  <si>
    <t>en.applicationProcess[0].process[0].children[5].children[1].children[0].children[1]</t>
  </si>
  <si>
    <t>C17-P0033</t>
  </si>
  <si>
    <t>If rejected:</t>
  </si>
  <si>
    <t>en.applicationProcess[0].process[0].children[5].children[2]</t>
  </si>
  <si>
    <t>C17-P0034</t>
  </si>
  <si>
    <t>Patient will receive an SMS asking his/her to contact the health staff to correct the bank details.</t>
  </si>
  <si>
    <t>en.applicationProcess[0].process[0].children[5].children[3].children[0].children[0]</t>
  </si>
  <si>
    <t>C18-P0040</t>
  </si>
  <si>
    <t>Step 1: Identify Nearest Pradhan Mantri Surakshit Matritva Abhiyan Facility</t>
  </si>
  <si>
    <t>C18-P0041</t>
  </si>
  <si>
    <t>The pregnant woman should visit the Official Portal of PMSMA or download the 'PMSMA' mobile application to find their nearest PMSMA facility using the 'Nearest Facility' search feature.</t>
  </si>
  <si>
    <t>C18-P0042</t>
  </si>
  <si>
    <t>Step 2: Visit on Designated Day</t>
  </si>
  <si>
    <t>C18-P0043</t>
  </si>
  <si>
    <t>The beneficiary must visit the identified government health facility (Primary Health Centre, Community Health Centre, District Hospital, or urban health facility) on the 9th of every month. If the 9th falls on Sunday or holiday, services are provided on the next working day.</t>
  </si>
  <si>
    <t>C18-P0044</t>
  </si>
  <si>
    <t>Step 3: Registration at Facility</t>
  </si>
  <si>
    <t>C18-P0045</t>
  </si>
  <si>
    <t>Upon reaching the facility, the pregnant woman should register herself at the PMSMA counter or reception desk by providing basic identity information and contact details.</t>
  </si>
  <si>
    <t>C18-P0046</t>
  </si>
  <si>
    <t>Step 4: Medical Consultation and Examination</t>
  </si>
  <si>
    <t>C18-P0047</t>
  </si>
  <si>
    <t>The beneficiary will receive comprehensive antenatal care services including medical consultation with Obstetrics and Gynaecology specialists, Radiologists, or Physicians as per the minimum package of services defined under the scheme.</t>
  </si>
  <si>
    <t>C18-P0048</t>
  </si>
  <si>
    <t>Step 5: Investigation and Tests</t>
  </si>
  <si>
    <t>C18-P0049</t>
  </si>
  <si>
    <t>Required medical investigations, tests, and screening procedures will be conducted as per the standardized protocol for 2nd and 3rd trimester pregnant women under the single window system.</t>
  </si>
  <si>
    <t>C18-P0050</t>
  </si>
  <si>
    <t>Step 6: Medicine Distribution</t>
  </si>
  <si>
    <t>C18-P0051</t>
  </si>
  <si>
    <t>The beneficiary will receive prescribed medicines including Iron Folic Acid tablets, calcium supplements, and other necessary medications free of cost from the facility pharmacy.</t>
  </si>
  <si>
    <t>C18-P0052</t>
  </si>
  <si>
    <t>Step 7: Risk Assessment and Follow-up</t>
  </si>
  <si>
    <t>C18-P0053</t>
  </si>
  <si>
    <t>Healthcare providers will assess pregnancy risk factors and if identified as high-risk, a red sticker will be placed on the Mother and Child Protection card with necessary follow-up instructions.</t>
  </si>
  <si>
    <t>C18-P0054</t>
  </si>
  <si>
    <t>Step 8: Next Visit Scheduling</t>
  </si>
  <si>
    <t>C18-P0055</t>
  </si>
  <si>
    <t>The healthcare provider will provide information about the next visit date (9th of following month) and any interim care requirements or emergency contact procedures.</t>
  </si>
  <si>
    <t>C18-P0056</t>
  </si>
  <si>
    <t>*The beneficiary is advised to maintain their Mother and Child Protection card and keep track of visit dates for continuous care throughout pregnancy.</t>
  </si>
  <si>
    <t>C18-P0057</t>
  </si>
  <si>
    <t>Grievance Redressal / Help &amp; Support</t>
  </si>
  <si>
    <t>C18-P0058</t>
  </si>
  <si>
    <t>National Portal: https://pmsma.nhp.gov.in/.</t>
  </si>
  <si>
    <t>C18-P0059</t>
  </si>
  <si>
    <t>Toll Free Number: 18001801104.</t>
  </si>
  <si>
    <t>C18-P0060</t>
  </si>
  <si>
    <t>Department: Ministry of Health &amp; Family Welfare, Government of India.</t>
  </si>
  <si>
    <t>C18-P0061</t>
  </si>
  <si>
    <t>Local Contact: District Health Officer or Chief Medical Officer of respective district.</t>
  </si>
  <si>
    <t>en.applicationProcess[0].process[22]</t>
  </si>
  <si>
    <t>C18-P0062</t>
  </si>
  <si>
    <t>Escalation: State Health Mission to National Health Mission.</t>
  </si>
  <si>
    <t>C19-P0014</t>
  </si>
  <si>
    <t>There is no application process for this scheme. PM POSHAN is equally applicable to all children who are studying in Government and Government – aided schools.</t>
  </si>
  <si>
    <t>C20-P0010</t>
  </si>
  <si>
    <t>Applicant must visit the official website.</t>
  </si>
  <si>
    <t>C20-P0011</t>
  </si>
  <si>
    <t>Click on "Apply Now" under the Youth Hostel scheme.</t>
  </si>
  <si>
    <t>C20-P0012</t>
  </si>
  <si>
    <t>Select the user type and scheme name.</t>
  </si>
  <si>
    <t>C20-P0013</t>
  </si>
  <si>
    <t>Now fill out the require details.</t>
  </si>
  <si>
    <t>C20-P0014</t>
  </si>
  <si>
    <t>Upload the recent photograph.</t>
  </si>
  <si>
    <t>C20-P0015</t>
  </si>
  <si>
    <t>Give the consent for the Aadhaar to use as biometric and KYC .</t>
  </si>
  <si>
    <t>C21-P0085</t>
  </si>
  <si>
    <t>Step 1: Survey and Notification</t>
  </si>
  <si>
    <t>C21-P0086</t>
  </si>
  <si>
    <t>The State/Union Territory Government must first conduct a district-wise survey of existing homes and upload the details of Gap Districts or Districts of having insufficient capacity onto the E-anudaan Portal.</t>
  </si>
  <si>
    <t>C21-P0087</t>
  </si>
  <si>
    <t>If the State/Union Territory Government records that it is unable to establish the Home on its own, the Central Government publishes an open notification inviting applications with wide publicity.</t>
  </si>
  <si>
    <t>C21-P0088</t>
  </si>
  <si>
    <t>Step 2: Submission of Proposal</t>
  </si>
  <si>
    <t>C21-P0089</t>
  </si>
  <si>
    <t>New Proposals: All fresh proposals for project sanction must be submitted online on the E-anudaan portal in the prescribed proforma along with relevant documents within the stipulated timeline.</t>
  </si>
  <si>
    <t>C21-P0090</t>
  </si>
  <si>
    <t>On-going/Renewal Proposals: Applications for the release of grants must be made in the prescribed proforma along with relevant documents and the Utilization Certificate of expenditure from the previous Financial Year before April 30th each year.</t>
  </si>
  <si>
    <t>C21-P0091</t>
  </si>
  <si>
    <t>Step 3: Verification and Approval</t>
  </si>
  <si>
    <t>C21-P0092</t>
  </si>
  <si>
    <t>District Level Authentication: Once uploaded, the proposal is made available to the Central Ministry and the District Administration/State Government level for examination. The District Collector (or representative) is required to authenticate all certificates submitted by the applicant.</t>
  </si>
  <si>
    <t>C21-P0093</t>
  </si>
  <si>
    <t>Recommendation: District Administration/State Government shall recommend New/Fresh proposals, along with Inspection reports, by June 15th each year.</t>
  </si>
  <si>
    <t>en.applicationProcess[0].process[5].children[1]</t>
  </si>
  <si>
    <t>C21-P0094</t>
  </si>
  <si>
    <t>Screening and Sanction: The Screening Committee meeting is held by June 20th each year to assess and recommend new proposals based on fund availability. After approval by the Secretary, Department of Social Justice and Empowerment and concurrence of the Finance Division, sanction orders are issued by the programme division in one lot by June 25th each year.</t>
  </si>
  <si>
    <t>C21-P0095</t>
  </si>
  <si>
    <t>Step 4: Fund Disbursement</t>
  </si>
  <si>
    <t>C21-P0096</t>
  </si>
  <si>
    <t>First Instalment Release: Grants should be released before June 30th each year. The total annual grant is released in two equal half-yearly instalments.</t>
  </si>
  <si>
    <t>C21-P0097</t>
  </si>
  <si>
    <t>Recurring Grant Calculation: Recurring Grant-in-aid is calculated based on the number of days of attendance of beneficiaries, using a contactless IT system that seamlessly ports data into the E-anudaan portal.</t>
  </si>
  <si>
    <t>en.applicationProcess[0].process[7].children[1]</t>
  </si>
  <si>
    <t>C21-P0098</t>
  </si>
  <si>
    <t>Second Instalment Release: The second half-yearly instalment (balance based on attendance) is released before December 31st each year, only after the inspection report of the State Government, Central Ministry officers, or the Project Monitoring Unit is received.</t>
  </si>
  <si>
    <t>C22-P0023</t>
  </si>
  <si>
    <t>Step 1: The applicant must visit the designated District Facilitation Centres housed within the Common Service Centers of the selected districts to seek legal assistance. The designated Nyaya Mitra actively identifies pending cases through the National Judicial Data Grid and reaches out to the affected parties to initiate support.</t>
  </si>
  <si>
    <t>C22-P0024</t>
  </si>
  <si>
    <t>Step 2: The applicant must interact with the Nyaya Mitra to undergo a critical analysis of their pending case and understand the specific bottlenecks causing the judicial delay. The Nyaya Mitra then provides necessary legal advice and explores practical solutions in coordination with relevant government departments.</t>
  </si>
  <si>
    <t>C22-P0025</t>
  </si>
  <si>
    <t>Step 3: The applicant must follow the guidance of the Nyaya Mitra to connect with the District Legal Services Authority, Common Service Centers Tele Law, or other civil society organizations. Cases identified as suitable are systematically referred to Lok Adalats by the Nyaya Mitra for prioritized and expedited dispute resolution.</t>
  </si>
  <si>
    <t>C22-P0026</t>
  </si>
  <si>
    <t>Place of Work</t>
  </si>
  <si>
    <t>C22-P0027</t>
  </si>
  <si>
    <t>The sitting space for the Nyaya Mitra placed at the High Court will be allocated by the respective High Court.</t>
  </si>
  <si>
    <t>C22-P0028</t>
  </si>
  <si>
    <t>The Nyaya Mitra will be provided sitting space either at the District Legal Services Authority or the District Court, and no clerical support will be provided.</t>
  </si>
  <si>
    <t>C23-P0011</t>
  </si>
  <si>
    <t>For the application process, please approach the nearest Nari Adalat with your concern. They will guide you through the necessary steps and provide further assistance.</t>
  </si>
  <si>
    <t>C23-P0012</t>
  </si>
  <si>
    <t>The Scheme is being run in 50 Gram Panchayats Each in 11 Districts (Nalbari, Darrang, Morigaon, Dhubri, Udalguri, South Salmara, Goalpara, Kamrup, Barpeta, Tamulpur, and Baksa) of Assam and 2 Districts (Kupwara and Baramulla) of Jammu and Kashmir on pilot basis.</t>
  </si>
  <si>
    <t>C24-P0039</t>
  </si>
  <si>
    <t>C24-P0040</t>
  </si>
  <si>
    <t>Step 01: The call for applications for SERB-N PDF will be notified through the website www.serbonline.in and https://serb.gov.in/</t>
  </si>
  <si>
    <t>C24-P0041</t>
  </si>
  <si>
    <t>Step 02: The application form along with a research proposal highlighting the objectives of the research work to be undertaken should be submitted online through the website www.serbonline.in</t>
  </si>
  <si>
    <t>C24-P0042</t>
  </si>
  <si>
    <t>Step 03: Applicants should first register on the online website, click here to register</t>
  </si>
  <si>
    <t>C24-P0043</t>
  </si>
  <si>
    <t>Step 04: After login, applicants are required to fill all the mandatory fields in the Profile Detail section under User Profile. which includes Bio-data, Photos, Institute Address, etc.</t>
  </si>
  <si>
    <t>C24-P0044</t>
  </si>
  <si>
    <t>Step 05: Please ensure that your proposed Mentor is registered into the system by following the same procedure. After login, the Mentor is required to fill all the mandatory fields in the Profile Detail section under User Profile. which includes Bio-data, Photo, Institute Address, etc.</t>
  </si>
  <si>
    <t>en.applicationProcess[0].process[1].children[4]</t>
  </si>
  <si>
    <t>C24-P0045</t>
  </si>
  <si>
    <t>Step 06: Details including Project Title (max 500 characters), Project summary (max 3000 characters), Keywords (max 6), Objectives of the project (max 1500 characters), Expected output and outcome of the proposal (max 1500 characters) should be provided online at the time of submission of the application.</t>
  </si>
  <si>
    <t>en.applicationProcess[0].process[1].children[5]</t>
  </si>
  <si>
    <t>C24-P0046</t>
  </si>
  <si>
    <t>Step 07: Work Methodology and Research plan has to be uploaded in a single PDF file not more than 3 pages (max 10 MB).</t>
  </si>
  <si>
    <t>en.applicationProcess[0].process[1].children[6]</t>
  </si>
  <si>
    <t>C24-P0047</t>
  </si>
  <si>
    <t>Note 01: Please ensure that your proposed Mentor is registered into the system by following the same procedure as PI. After login, the Mentor is required to fill all the mandatory fields in the Profile Detail section under User Profile which includes Bio-data, Photo, Institute Address, etc.</t>
  </si>
  <si>
    <t>en.applicationProcess[0].process[1].children[7]</t>
  </si>
  <si>
    <t>C24-P0048</t>
  </si>
  <si>
    <t>Note 02: Applicants of NPDF can submit their proposal only once in a calendar year in any of these schemes.</t>
  </si>
  <si>
    <t>en.applicationProcess[0].process[1].children[8]</t>
  </si>
  <si>
    <t>C24-P0049</t>
  </si>
  <si>
    <t>Selection Process:</t>
  </si>
  <si>
    <t>en.applicationProcess[0].process[1].children[9].children[0]</t>
  </si>
  <si>
    <t>C24-P0050</t>
  </si>
  <si>
    <t>The selection will be based on the recommendations of an Expert Committee that will be constituted by the Board. If required, the applicants may be called for personal interviews.</t>
  </si>
  <si>
    <t>en.applicationProcess[0].process[1].children[10]</t>
  </si>
  <si>
    <t>C24-P0051</t>
  </si>
  <si>
    <t>Termination of the Fellowship:</t>
  </si>
  <si>
    <t>en.applicationProcess[0].process[1].children[11].children[0]</t>
  </si>
  <si>
    <t>C24-P0052</t>
  </si>
  <si>
    <t>If any fellow wishes to terminate the fellowship, he/she shall inform the SERB through the mentor and host institute immediately. The implementing institute should not incur any expenditure from the date of termination of the project or the date of resignation of the PI. The institute will also arrange for the submission of the documents mentioned above.</t>
  </si>
  <si>
    <t>en.applicationProcess[0].process[1].children[12].children[0]</t>
  </si>
  <si>
    <t>C24-P0053</t>
  </si>
  <si>
    <t>SERB reserves the right to terminate the Fellowship at any stage if it is convinced that appropriate progress is not being made or the grant has not been utilized properly.</t>
  </si>
  <si>
    <t>en.applicationProcess[0].process[1].children[12].children[1]</t>
  </si>
  <si>
    <t>C24-P0054</t>
  </si>
  <si>
    <t>en.applicationProcess[0].process[1].children[13]</t>
  </si>
  <si>
    <t>C25-P0044</t>
  </si>
  <si>
    <t>Registration Process:</t>
  </si>
  <si>
    <t>C25-P0045</t>
  </si>
  <si>
    <t>Step 01: The proposal submission is open throughout the year.</t>
  </si>
  <si>
    <t>C25-P0046</t>
  </si>
  <si>
    <t>Step 02: The proposal format is available at https://dst.gov.in/, https://onlinedst.gov.in/ and https://online-wosa.gov.in/ under WISE-KIRAN Division.</t>
  </si>
  <si>
    <t>C25-P0047</t>
  </si>
  <si>
    <t>Step 03: Log on to https://onlinedst.gov.in/ to access the home page of the “DST e-PMS Portal”.</t>
  </si>
  <si>
    <t>C25-P0048</t>
  </si>
  <si>
    <t>Step 04: Click on “New PI Registration” and fill in the requisite details for New user registration. In the ‘Personal Information’ section, fill- department, Institute, and Institute Address as per the Host Institute identified for the WIDUSHI programme.</t>
  </si>
  <si>
    <t>C25-P0049</t>
  </si>
  <si>
    <t>Step 05: After logging-in, click on the “Submit proposal” option and then “Initiate New Proposal”. Search the programme by Division Name or Call By Programme/Scheme.</t>
  </si>
  <si>
    <t>C25-P0050</t>
  </si>
  <si>
    <t>Step 06: Select the Programme/Scheme name (WIDUSHI) and then click on “Start Submission”. Select the category and fill in all the information as required in the form.</t>
  </si>
  <si>
    <t>C25-P0051</t>
  </si>
  <si>
    <t>Step 07: After filling in all the particulars, preview your details before the final submission of the application form by clicking on the “Preview” button. The preview page will display all the facts/ particulars that you have mentioned. If there is something that you wish to update, go back and correct the information, or else proceed with the filled details by clicking on the “Submit” button to finally push data into the server.</t>
  </si>
  <si>
    <t>C25-P0052</t>
  </si>
  <si>
    <t>Step 08: Candidates are advised to carefully fill and verify the details filled in the online application themselves as no change will be possible/ entertained after clicking the FINAL SUBMIT BUTTON.</t>
  </si>
  <si>
    <t>C25-P0053</t>
  </si>
  <si>
    <t>en.applicationProcess[0].process[0].children[9].children[0]</t>
  </si>
  <si>
    <t>C25-P0054</t>
  </si>
  <si>
    <t>The project proposals received will be screened and the Principal Investigator (PI) of ‘screened-in’ proposals will be called for presentation before Programme Advisory Committee for final recommendation. The final decision of DST will be communicated to the applicants only after obtaining due administrative and financial approvals.</t>
  </si>
  <si>
    <t>en.applicationProcess[0].process[0].children[10]</t>
  </si>
  <si>
    <t>C25-P0055</t>
  </si>
  <si>
    <t>For detailed information:</t>
  </si>
  <si>
    <t>en.applicationProcess[0].process[0].children[11].children[0]</t>
  </si>
  <si>
    <t>C25-P0056</t>
  </si>
  <si>
    <t>•	Please refer WIDUSHI Guidelines at www.dst.gov.in and online-wosa.gov.in. For further clarification email enquiry-wosdst@gov.in.</t>
  </si>
  <si>
    <t>en.applicationProcess[0].process[0].children[12]</t>
  </si>
  <si>
    <t>C26-P0026</t>
  </si>
  <si>
    <t>Step 01: The call for proposals will be notified through the website www.serbonline.in and www.serb.gov.in</t>
  </si>
  <si>
    <t>C26-P0027</t>
  </si>
  <si>
    <t>Step 02: Applicant(s) should first register on the online website.  Click here to register</t>
  </si>
  <si>
    <t>C26-P0028</t>
  </si>
  <si>
    <t>Step 03: After login, the applicant(s) are required to fill all the mandatory fields in the Profile Detail section under User Profile, which includes Bio-data, Photo, and Institute Address, etc.</t>
  </si>
  <si>
    <t>C26-P0029</t>
  </si>
  <si>
    <t>Step 04: Summary of the project proposal; Project Title (max 500 characters), Abstract of the proposed work (max 3000 characters), Keywords (max 6), Objectives of the project (max 1500 characters), Expected output and outcome of the proposal (max 1500 characters), have to be entered at the time of proposal submission.</t>
  </si>
  <si>
    <t>C26-P0030</t>
  </si>
  <si>
    <t>Step 05: Other relevant information of the proposal must be uploaded in a single PDF file not more than 10 MB as other technical documents (OTD).</t>
  </si>
  <si>
    <t>C26-P0031</t>
  </si>
  <si>
    <t>Note: The proposals will be evaluated through peer review processes as per SERB guidelines.</t>
  </si>
  <si>
    <t>C27-P0038</t>
  </si>
  <si>
    <t>Step 01: Register/Login</t>
  </si>
  <si>
    <t>C27-P0039</t>
  </si>
  <si>
    <t>Visit the SIDH Portal (https://www.skillindiadigital.gov.in/), register as a Learner/Participant (Candidate) or log in if already registered, and complete e-KYC using your personal details.</t>
  </si>
  <si>
    <t>C27-P0040</t>
  </si>
  <si>
    <t>Step 02:Profile Setup</t>
  </si>
  <si>
    <t>C27-P0041</t>
  </si>
  <si>
    <t>Create your account password/PIN, verify your mobile number via OTP, and ensure all profile details (name, date of birth, and contact information) are accurate and updated.</t>
  </si>
  <si>
    <t>C27-P0042</t>
  </si>
  <si>
    <t>Step 03:Explore Schemes &amp; Courses</t>
  </si>
  <si>
    <t>C27-P0043</t>
  </si>
  <si>
    <t>Access your dashboard and search for PM VIKAS and job roles. Use filters such as scheme, mode, and sector to find suitable courses or batches.</t>
  </si>
  <si>
    <t>C27-P0044</t>
  </si>
  <si>
    <t>Step 04:Show Interest / Apply for a Batch</t>
  </si>
  <si>
    <t>C27-P0045</t>
  </si>
  <si>
    <t>Choose a batch for your preferred job role and submit your interest or application. You may select up to five batches, which will be reviewed by the training partner /training centre.</t>
  </si>
  <si>
    <t>C27-P0046</t>
  </si>
  <si>
    <t>Step 05:Finalise Enrolment &amp; Status</t>
  </si>
  <si>
    <t>C27-P0047</t>
  </si>
  <si>
    <t>After approval from the training partner / training centre, accept the invitation through your portal to confirm enrolment. Track your application status under the “Applications” section.</t>
  </si>
  <si>
    <t>C28-P0062</t>
  </si>
  <si>
    <t>Enrolment will be undertaken through an online centralized system for all three services with specialized rallies and campus interviews from recognized technical institutes such as Industrial Training Institutes and National Skills Qualifications Framework, among others.</t>
  </si>
  <si>
    <t>C28-P0063</t>
  </si>
  <si>
    <t>Enrolment will be based on an ‘All India All Class’ basis.</t>
  </si>
  <si>
    <t>en.applicationProcess[0].process[0].children[0].children[1]</t>
  </si>
  <si>
    <t>C28-P0064</t>
  </si>
  <si>
    <t>The candidates will be recruited as per the existing pattern of selection into the Armed Forces.</t>
  </si>
  <si>
    <t>C28-P0065</t>
  </si>
  <si>
    <t>Indian Army: Official Website</t>
  </si>
  <si>
    <t>C28-P0066</t>
  </si>
  <si>
    <t>Indian Navy: Official Website</t>
  </si>
  <si>
    <t>en.applicationProcess[0].process[0].children[2].children[1]</t>
  </si>
  <si>
    <t>C28-P0067</t>
  </si>
  <si>
    <t>Indian Air Force: Official Website</t>
  </si>
  <si>
    <t>en.applicationProcess[0].process[0].children[2].children[2]</t>
  </si>
  <si>
    <t>C29-P0016</t>
  </si>
  <si>
    <t>C29-P0017</t>
  </si>
  <si>
    <t>C29-P0018</t>
  </si>
  <si>
    <t>C29-P0019</t>
  </si>
  <si>
    <t>C29-P0020</t>
  </si>
  <si>
    <t>C29-P0021</t>
  </si>
  <si>
    <t>C29-P0022</t>
  </si>
  <si>
    <t>C29-P0023</t>
  </si>
  <si>
    <t>C29-P0024</t>
  </si>
  <si>
    <t>C29-P0025</t>
  </si>
  <si>
    <t>C29-P0026</t>
  </si>
  <si>
    <t>C29-P0027</t>
  </si>
  <si>
    <t>C29-P0028</t>
  </si>
  <si>
    <t>C29-P0029</t>
  </si>
  <si>
    <t>C29-P0030</t>
  </si>
  <si>
    <t>C30-P0037</t>
  </si>
  <si>
    <t>Application for specific projects should be sent in the prescribed Proforma For financial assistance under the scheme to assist for college to facilitate higher Education for Person (HEPSN) Scheme on Page number 6 along with the College Development proposal.</t>
  </si>
  <si>
    <t>C30-P0038</t>
  </si>
  <si>
    <t>Procedure for release of grant</t>
  </si>
  <si>
    <t>C30-P0039</t>
  </si>
  <si>
    <t xml:space="preserve">Component 1. </t>
  </si>
  <si>
    <t>C30-P0040</t>
  </si>
  <si>
    <t xml:space="preserve">Honorarium to the coordinator and other budgetary provisions @ Rs.50,000/- per year will be released for the 1st year after approval of the proposal. Subsequent grants will be released on the basis of an audited utilization certificate and statement of expenditure. </t>
  </si>
  <si>
    <t>C30-P0041</t>
  </si>
  <si>
    <t>Component 2.</t>
  </si>
  <si>
    <t>C30-P0042</t>
  </si>
  <si>
    <t xml:space="preserve"> The grant will be released upon receipt of detailed plans and estimate as per UGC building guidelines. </t>
  </si>
  <si>
    <t>C30-P0043</t>
  </si>
  <si>
    <t>Component 3.</t>
  </si>
  <si>
    <t>C30-P0044</t>
  </si>
  <si>
    <t xml:space="preserve"> 90% of the grant allocated will be released as 1st installment and the remaining 10% on a reimbursement basis, upon receipt of the audited statement of expenditure and utilization certificate. </t>
  </si>
  <si>
    <t>C31-P0040</t>
  </si>
  <si>
    <t>Application Procedure:</t>
  </si>
  <si>
    <t>C31-P0041</t>
  </si>
  <si>
    <t>The application may be made online through using the Registration/login Page of "Culture Scheme Monitoring System (CSMS)" on the website of the Ministry of Culture under the heading of "MOC Schemes Application".</t>
  </si>
  <si>
    <t>C31-P0042</t>
  </si>
  <si>
    <t>Selection of Applicants for Award of Artists Pension:</t>
  </si>
  <si>
    <t>C31-P0043</t>
  </si>
  <si>
    <t>Step 01: The applications of eligible artists found to be complete in all respects will be placed before Expert Committee constituted by the Ministry of Culture under the Scheme after getting physical inspection/verification of the applicants done by officer(s) of the Ministry of Culture or one of the organizations of Ministry of Culture.</t>
  </si>
  <si>
    <t>C31-P0044</t>
  </si>
  <si>
    <t>Step 02: The Expert Committee will consider the applications in terms of extant guidelines of the Scheme and recommend the names of deserving candidates for the award of Artists' Pension solely on merit considering the financial position and eminence etc. of the applicant artist.</t>
  </si>
  <si>
    <t>C31-P0045</t>
  </si>
  <si>
    <t>Step 03: The recommendations of the Expert Committee are to be examined by the Administration Division with reference to the Scheme guidelines and the rules of the Govt. as also the availability of funds under the Scheme to facilitate an appropriate decision by the Competent Authority.</t>
  </si>
  <si>
    <t>C31-P0046</t>
  </si>
  <si>
    <t>Step 04: The cases of all the recommended candidates will be submitted finally for getting approval of the Competent Authority which will be one level above the Chairperson of the Expert Committee. Before the release of financial assistance to the approved candidates, the concurrence of the Internal Finance Division shall be obtained.</t>
  </si>
  <si>
    <t>C31-P0047</t>
  </si>
  <si>
    <t>Disbursement of artist's pension:</t>
  </si>
  <si>
    <t>C31-P0048</t>
  </si>
  <si>
    <t>Monthly Artist Pension to the approved existing beneficiaries (i.e. pensioner) and new artists to be included in the beneficiaries list subsequent to the recommendation of the Expert Committee and thereafter approval of the Competent Authority, will be disbursed by the Ministry of Culture through Public Financial Management System (PFMS)/Direct Benefit Transfer(DBT) or through Service Provider (appointed by Ministry of Culture for disbursement of Artists Pension) directly into their bank account subject to receiving the following documents mandatorily online on the email of Artistes Pension Section of the Ministry i.e. documents.moc@gmail.com or artistspension.moc@gmail.com and after examination/scrutiny, the same are found to be in order:</t>
  </si>
  <si>
    <t>C31-P0049</t>
  </si>
  <si>
    <t>Every Year in November, the Digital Life Certificate (DLC) of the beneficiary is processed through the Jeevan Pramaan Portal (https://jeevanpramaan.gov.in) by using necessary information like Aadhaar number, Mobile number, and Pension Payment Order (PPO) displayed by the Ministry on its website [Till the time the Aadhaar Card is made mandatory by the Government for an individual residing in the State of Assam, Meghalaya, and Jammu &amp; Kashmir, they may submit a colored scanned copy of their original Life Certificate]; and</t>
  </si>
  <si>
    <t>en.applicationProcess[0].process[1].children[8].children[0]</t>
  </si>
  <si>
    <t>C31-P0050</t>
  </si>
  <si>
    <t>Every Five (05) Years, a Coloured scanned copy of the original Income Certificate in the prescribed format is issued by the concerned Competent Authority of the States/UTs. The beneficiaries will have to furnish any other requisite information/document(s) as sought by the Ministry from time to time. In case the requisite documents sought by the Ministry are not received from a beneficiary, the pension will not be released to him/her. Further, if any discrepancy is found in the documents furnished by the beneficiary, the pension may not be released or stopped forthwith till such time the discrepancy is rectified.</t>
  </si>
  <si>
    <t>en.applicationProcess[0].process[1].children[8].children[1]</t>
  </si>
  <si>
    <t>C31-P0051</t>
  </si>
  <si>
    <t>Renewal of financial assistance to existing beneficiaries:</t>
  </si>
  <si>
    <t>en.applicationProcess[0].process[1].children[9]</t>
  </si>
  <si>
    <t>C31-P0052</t>
  </si>
  <si>
    <t>Subject to the above provisions the recurring monthly allowance sanctioned under the Scheme to the existing beneficiaries shall be for such period as may be determined by the Central Government and/or may be continued on a year-to-year basis on receipt of Digital Life Certificate (DLC) and Income Certificate from them.</t>
  </si>
  <si>
    <t>C31-P0053</t>
  </si>
  <si>
    <t>Discontinuance of allowance:</t>
  </si>
  <si>
    <t>en.applicationProcess[0].process[1].children[11]</t>
  </si>
  <si>
    <t>C31-P0054</t>
  </si>
  <si>
    <t>If the financial means of a recipient improve beyond ₹4000/- (Rupees four thousand only) per month or annual income of ₹48,000/- (Rupees forty-eight thousand only) [This excludes artiste pension assistance amount already getting by a beneficiary from the Government (i.e. concerned State Govt./UT Administration and/or Ministry of Culture)], allowance under the Scheme will be discontinued forthwith without any notice to the recipient. The government may also at its discretion terminate the allowance after giving three months' notice to the recipient.</t>
  </si>
  <si>
    <t>en.applicationProcess[0].process[1].children[12]</t>
  </si>
  <si>
    <t>C31-P0055</t>
  </si>
  <si>
    <t>Any recipient may also relinquish his/her right to receive allowance by giving written notice to the Government. In such cases, the allowance will be discontinued with effect from the date of his/ her letter of relinquish.</t>
  </si>
  <si>
    <t>C31-P0056</t>
  </si>
  <si>
    <t>Contact Details:</t>
  </si>
  <si>
    <t>en.applicationProcess[0].process[1].children[14]</t>
  </si>
  <si>
    <t>C31-P0057</t>
  </si>
  <si>
    <t>Section Officer, 210, IInd, ‘D’Block, Puratatva Bhawan, G.P.O. Complex, I.N.A. New Delhi-110023. : (011)-24642165.</t>
  </si>
  <si>
    <t>en.applicationProcess[0].process[1].children[15].children[0]</t>
  </si>
  <si>
    <t>C31-P0058</t>
  </si>
  <si>
    <t>Manager (P &amp; GS), Life Insurance Corporation of India (LIC), 6th &amp; 7th Floor, Jeevan Parkash, 25, Kasturba Gandhi Marg, New Delhi- 110001.</t>
  </si>
  <si>
    <t>en.applicationProcess[0].process[1].children[15].children[1]</t>
  </si>
  <si>
    <t>C31-P0059</t>
  </si>
  <si>
    <t>Contact Nos. for Enquiries: 23708275, 23705953, Fax No. 23350832, Email: bo_g103[at]licindia[dot]com</t>
  </si>
  <si>
    <t>en.applicationProcess[0].process[1].children[15].children[2]</t>
  </si>
  <si>
    <t>C31-P0060</t>
  </si>
  <si>
    <t>The hard copy of the duly filled-in application form for the award of Artists' Pension along with all the necessary enclosures as mentioned in the application form may be sent to the following address through respective State Government/UT Administrations with their recommendations in the prescribed format- "The Director, South Central Zonal Cultural Centre, 56/1, Civil Lines, Opposite MLA’s Hostel, Nagpur, Maharashtra - 440001"</t>
  </si>
  <si>
    <t>en.applicationProcess[1].process[0].children[0].children[0]</t>
  </si>
  <si>
    <t>C31-P0061</t>
  </si>
  <si>
    <t>All entries in the application form should be legible and filled in clearly. Each page of the application and enclosures should be serially numbered and signed by the applicant. Further, the page number of the relevant document should clearly be indicated on the checklist.</t>
  </si>
  <si>
    <t>en.applicationProcess[1].process[0].children[0].children[1]</t>
  </si>
  <si>
    <t>C32-P0056</t>
  </si>
  <si>
    <t>Step 1: Download the prescribed application form (Refer Page No. 5 ).</t>
  </si>
  <si>
    <t>C32-P0057</t>
  </si>
  <si>
    <t>Step 2: Fill in the application form with accurate details.</t>
  </si>
  <si>
    <t>C32-P0058</t>
  </si>
  <si>
    <t>Step 3: Attach a certificate of participation or medal-winning as proof of eligibility, attested by the Registrar or Principal of your institution.</t>
  </si>
  <si>
    <t>C32-P0059</t>
  </si>
  <si>
    <t>Step 4: Verify the form and attached documents for completeness and accuracy.</t>
  </si>
  <si>
    <t>C32-P0060</t>
  </si>
  <si>
    <t>Step 5: Submit the completed application form and required documents to the designated authority.</t>
  </si>
  <si>
    <t>C33-P0015</t>
  </si>
  <si>
    <t>Interested and eligible applicants may send their applications in the prescribed format along with all required documents to the following address: The Under Secretary (AEI Section), Department of Heavy Industry, Udyog Bhavan, Room No 428, New Delhi 110011, Tel: 011-23061490</t>
  </si>
  <si>
    <t>C33-P0016</t>
  </si>
  <si>
    <t>The applicant would inform DHI about the purchase of the vehicle and the Registration number of the vehicle to the Department of Heavy Industry within a period of 30 days from the date of registration of the vehicle.</t>
  </si>
  <si>
    <t>C33-P0017</t>
  </si>
  <si>
    <t>Step 1: Home Page</t>
  </si>
  <si>
    <t>C33-P0018</t>
  </si>
  <si>
    <t>Visit the official website at https://dhigecs.heavyindustry.gov.in/ using any web browser or device.</t>
  </si>
  <si>
    <t>C33-P0019</t>
  </si>
  <si>
    <t>Step 2: Login and Registration</t>
  </si>
  <si>
    <t>C33-P0020</t>
  </si>
  <si>
    <t>If you are not registered, click the "REGISTER" button on the home page. Follow the registration process, which includes providing your full name, valid email ID, mobile number, and Aadhar number. An OTP will be sent to your registered mobile number for verification. You will also need to specify if you have a UDID number. If you do, provide the UDID number and validate it.</t>
  </si>
  <si>
    <t>C33-P0021</t>
  </si>
  <si>
    <t>Step 3: Create Password</t>
  </si>
  <si>
    <t>C33-P0022</t>
  </si>
  <si>
    <t>Create a password that meets the specified criteria (at least one lowercase letter, one uppercase letter, one number, one special character, and a minimum length of 8 characters). Confirm your password and enter the captcha code. Agree to the terms and conditions, and click "REGISTER."</t>
  </si>
  <si>
    <t>C33-P0023</t>
  </si>
  <si>
    <t>Step 4: Activate Your Account</t>
  </si>
  <si>
    <t>en.applicationProcess[1].process[6].children[0]</t>
  </si>
  <si>
    <t>C33-P0024</t>
  </si>
  <si>
    <t>Check your registered email for a 4-digit OTP and click the provided activation link. Enter the OTP to activate your account.</t>
  </si>
  <si>
    <t>en.applicationProcess[1].process[7]</t>
  </si>
  <si>
    <t>C33-P0025</t>
  </si>
  <si>
    <t>Step 5: User Dashboard</t>
  </si>
  <si>
    <t>en.applicationProcess[1].process[8].children[0]</t>
  </si>
  <si>
    <t>C33-P0026</t>
  </si>
  <si>
    <t>After successful registration and activation, log in to the site using your email ID and the password you created. You'll be directed to the User Dashboard, where you can fill in your information. Save your filled information by clicking the "Draft" button and proceed to the next steps.</t>
  </si>
  <si>
    <t>en.applicationProcess[1].process[9]</t>
  </si>
  <si>
    <t>C33-P0027</t>
  </si>
  <si>
    <t>Step 6: Application Submission</t>
  </si>
  <si>
    <t>en.applicationProcess[1].process[10].children[0]</t>
  </si>
  <si>
    <t>C33-P0028</t>
  </si>
  <si>
    <t>Complete all mandatory fields marked with an asterisk (*) in the User Dashboard. Click "Next" to proceed and continue to fill in additional mandatory fields on the subsequent page (SCR-11). Once all information is filled, click "Final Submit."</t>
  </si>
  <si>
    <t>en.applicationProcess[1].process[11]</t>
  </si>
  <si>
    <t>C33-P0029</t>
  </si>
  <si>
    <t>Step 7: Check Application Status</t>
  </si>
  <si>
    <t>en.applicationProcess[1].process[12].children[0]</t>
  </si>
  <si>
    <t>C33-P0030</t>
  </si>
  <si>
    <t>Visit the Application Status page (SCR-12) to track the progress of your GST Exemption Certificate application. When your status shows "Approved," you can click "Download Certificate" to access your certificate.</t>
  </si>
  <si>
    <t>C33-P0031</t>
  </si>
  <si>
    <t>Step 8: Update Vehicle Details</t>
  </si>
  <si>
    <t>en.applicationProcess[1].process[14].children[0]</t>
  </si>
  <si>
    <t>C33-P0032</t>
  </si>
  <si>
    <t>After purchasing a vehicle, it's mandatory to update your vehicle details. Click on "Update Vehicle Details" as displayed in SCR-14. Provide your vehicle number and the date of purchase.</t>
  </si>
  <si>
    <t>C33-P0033</t>
  </si>
  <si>
    <t>Step 9: Request Form for OEM/Company</t>
  </si>
  <si>
    <t>en.applicationProcess[1].process[16].children[0]</t>
  </si>
  <si>
    <t>C33-P0034</t>
  </si>
  <si>
    <t>If the OEM/Company or model of your vehicle is not listed, you can request to add new entries. Click "Add New OEM/Company Request" and provide the relevant information as shown in SCR-15.</t>
  </si>
  <si>
    <t>en.applicationProcess[1].process[17]</t>
  </si>
  <si>
    <t>C34-P0015</t>
  </si>
  <si>
    <t>C34-P0016</t>
  </si>
  <si>
    <t>C34-P0017</t>
  </si>
  <si>
    <t>C34-P0018</t>
  </si>
  <si>
    <t>C34-P0019</t>
  </si>
  <si>
    <t>C34-P0020</t>
  </si>
  <si>
    <t>C34-P0021</t>
  </si>
  <si>
    <t>C34-P0022</t>
  </si>
  <si>
    <t>C34-P0023</t>
  </si>
  <si>
    <t>C34-P0024</t>
  </si>
  <si>
    <t>C34-P0025</t>
  </si>
  <si>
    <t>C34-P0026</t>
  </si>
  <si>
    <t>C35-P0052</t>
  </si>
  <si>
    <t>Prior Approval:</t>
  </si>
  <si>
    <t>C35-P0053</t>
  </si>
  <si>
    <t>Step 01: The TSP/SG/UT shall obtain Prior Approval from the Ministry of Tourism, Government of India, before undertaking a tour overseas.</t>
  </si>
  <si>
    <t>C35-P0054</t>
  </si>
  <si>
    <t>Step 02: The applicants download the prior approval application form Annexure-I.</t>
  </si>
  <si>
    <t>C35-P0055</t>
  </si>
  <si>
    <t>Step 03: In the application form, fill in all the mandatory fields, and attach copies of all the mandatory documents (self-attest, if required).</t>
  </si>
  <si>
    <t>C35-P0056</t>
  </si>
  <si>
    <t>Step 04: Submit the duly filled and signed application form at least 21 days before the tour to the Assistant Director General (Overseas Marketing) via email at mda-tourism@gov.in.</t>
  </si>
  <si>
    <t>C35-P0057</t>
  </si>
  <si>
    <t>Reimbursement Claims:</t>
  </si>
  <si>
    <t>C35-P0058</t>
  </si>
  <si>
    <t>After undertaking the tourism promotional activity/tour abroad for which Prior Approval had been accorded by the Ministry of Tourism the Tourism Service Provider / State Govt./ UT Administration will apply to reimbursement/claim.</t>
  </si>
  <si>
    <t>C35-P0059</t>
  </si>
  <si>
    <t>Step 01: The applicants download the claim application form Annexure-II, III &amp; IV.</t>
  </si>
  <si>
    <t>C35-P0060</t>
  </si>
  <si>
    <t>Step 02: In the application form, fill in all the mandatory fields, and attach copies of all the mandatory documents (self-attest, if required).</t>
  </si>
  <si>
    <t>C35-P0061</t>
  </si>
  <si>
    <t>Step 03: Submit the duly filled and signed application form within 45 days of completion of the activity to the Assistant Director General (Overseas Marketing), Ministry of Tourism via email at mda-tourism@gov.in.</t>
  </si>
  <si>
    <t>C35-P0062</t>
  </si>
  <si>
    <t>NOTE: Submission of claims in physical form will not be accepted.</t>
  </si>
  <si>
    <t>C36-P0020</t>
  </si>
  <si>
    <t>Procedure to Apply</t>
  </si>
  <si>
    <t>C36-P0021</t>
  </si>
  <si>
    <t>The application should be sent at least eight weeks prior to the date of presentation of the research paper through email at inaehq@inae.in and hard copy as well at the following address:</t>
  </si>
  <si>
    <t>C36-P0022</t>
  </si>
  <si>
    <t>Executive Director Indian National Academy of Engineering (INAE) Unit No 604-609</t>
  </si>
  <si>
    <t>C36-P0023</t>
  </si>
  <si>
    <t>6th Floor, Tower A, SPAZE I-Tech Park, Sector-49, Sohna Road, Gurgaon - 122 018</t>
  </si>
  <si>
    <t>C36-P0024</t>
  </si>
  <si>
    <t>Phone: 0124-4239480 Fax: 0124-4239481</t>
  </si>
  <si>
    <t>C36-P0025</t>
  </si>
  <si>
    <t>Website: www.inae.in</t>
  </si>
  <si>
    <t>C37-P0019</t>
  </si>
  <si>
    <t>The citizens need not apply to this scheme.</t>
  </si>
  <si>
    <t>C38-P0011</t>
  </si>
  <si>
    <t>Through Bank:</t>
  </si>
  <si>
    <t>C38-P0012</t>
  </si>
  <si>
    <t>Step 1: Visit your bank branch where you hold an account.</t>
  </si>
  <si>
    <t>C38-P0013</t>
  </si>
  <si>
    <t>Step 2:Carry a copy of your Aadhaar card along with the original for verification.</t>
  </si>
  <si>
    <t>C38-P0014</t>
  </si>
  <si>
    <t>Step 3:Request the bank staff to link your Aadhaar number with your bank account.</t>
  </si>
  <si>
    <t>C38-P0015</t>
  </si>
  <si>
    <t>Step 4:Fill out the Aadhaar linking form provided by the bank and submit it along with a copy of your Aadhaar card.</t>
  </si>
  <si>
    <t>C38-P0016</t>
  </si>
  <si>
    <t>Step 5: The bank will notify you upon successful linking.</t>
  </si>
  <si>
    <t>C38-P0017</t>
  </si>
  <si>
    <t>Through LPG Distributor:</t>
  </si>
  <si>
    <t>C38-P0018</t>
  </si>
  <si>
    <t>Step 1: Visit your LPG distributor's office.</t>
  </si>
  <si>
    <t>C38-P0019</t>
  </si>
  <si>
    <t>Step 2: Carry a copy of your Aadhaar card and the original for verification.</t>
  </si>
  <si>
    <t>C38-P0020</t>
  </si>
  <si>
    <t>Step 3: Provide your LPG Consumer Number and request Aadhaar linking.</t>
  </si>
  <si>
    <t>C38-P0021</t>
  </si>
  <si>
    <t>Step 4: Fill out the Aadhaar linking form provided by the distributor and submit it along with a copy of your Aadhaar card.</t>
  </si>
  <si>
    <t>C38-P0022</t>
  </si>
  <si>
    <t>Step 5: You will be notified once the linking process is completed successfully.</t>
  </si>
  <si>
    <t>C38-P0023</t>
  </si>
  <si>
    <t xml:space="preserve">Note: </t>
  </si>
  <si>
    <t>en.applicationProcess[0].process[12].children[0]</t>
  </si>
  <si>
    <t>C38-P0024</t>
  </si>
  <si>
    <t>If the applicant does not link their Aadhaar Number to their Bank Account and LPG Consumer Number within 3 months, they will need to purchase cylinders at the market price. Subsidies will no longer be available without Aadhaar linkage.</t>
  </si>
  <si>
    <t>en.applicationProcess[0].process[12].children[1]</t>
  </si>
  <si>
    <t>C39-P0040</t>
  </si>
  <si>
    <t>C39-P0042</t>
  </si>
  <si>
    <t>Accessing The Portal And Submitting Baseline Data</t>
  </si>
  <si>
    <t>C39-P0043</t>
  </si>
  <si>
    <t>The applicant must access the official Management Information System portal developed for Atal Bhujal Yojana to enter the required baseline data. The designated community resource persons must regularly feed the collected groundwater level, rainfall, and water quality data into the digital application to facilitate accurate water budgeting.</t>
  </si>
  <si>
    <t>C39-P0044</t>
  </si>
  <si>
    <t>C39-P0046</t>
  </si>
  <si>
    <t>Submitting The Water Security Plan For Approval</t>
  </si>
  <si>
    <t>en.applicationProcess[0].process[2].children[2]</t>
  </si>
  <si>
    <t>C39-P0047</t>
  </si>
  <si>
    <t>The applicant must convene a community meeting to review the water budget and pass a formal resolution approving the finalized Water Security Plan. The applicant must then submit the approved Water Security Plan to the District Program Management Unit for further review, allocation, and action.</t>
  </si>
  <si>
    <t>C39-P0048</t>
  </si>
  <si>
    <t>C39-P0050</t>
  </si>
  <si>
    <t>District And State Level Consolidation</t>
  </si>
  <si>
    <t>en.applicationProcess[0].process[4].children[2]</t>
  </si>
  <si>
    <t>C39-P0051</t>
  </si>
  <si>
    <t>The District Program Management Unit must consolidate and validate the submitted plans at the district level before forwarding the recommendations to the State Program Management Unit. The State Program Management Unit must review the state-level plans and submit them to the State Level Steering Committee for final budget allocation, convergence mapping, and approval.</t>
  </si>
  <si>
    <t>C39-P0052</t>
  </si>
  <si>
    <t>C39-P0053</t>
  </si>
  <si>
    <t>A dedicated online Grievance Redressal Mechanism has been developed and integrated with the Management Information System for the early resolution of complaints. The applicants can utilize the official Toll-Free Number (011-1800110121) allocated for the immediate registration and redressal of grievances and complaints.</t>
  </si>
  <si>
    <t>M05-P0046</t>
  </si>
  <si>
    <t>Step 1: Request a hard copy of the format of the application form for the scheme from the concerned authority at your school/college.</t>
  </si>
  <si>
    <t>M05-P0047</t>
  </si>
  <si>
    <t>M05-P0048</t>
  </si>
  <si>
    <t>Step 3: Submit the duly filled and signed application form along with the documents to the concerned authority at your school/college.</t>
  </si>
  <si>
    <t>M05-P0049</t>
  </si>
  <si>
    <t>Step 4: Acquire the receipt/acknowledgment of the successful submission of the application form from the concerned authority at your school/college.</t>
  </si>
  <si>
    <t>M06-P0016</t>
  </si>
  <si>
    <t>Step 1: Visit the Child Welfare Committee, and request a hard copy of the format of the application form for the scheme from the concerned authority.</t>
  </si>
  <si>
    <t>M06-P0017</t>
  </si>
  <si>
    <t>M06-P0018</t>
  </si>
  <si>
    <t>Step 3: Submit the duly filled and signed application form along with the documents at the office of the concerned Child Welfare Committee.</t>
  </si>
  <si>
    <t>M06-P0019</t>
  </si>
  <si>
    <t>Step 4: Acquire the receipt/acknowledgment of the successful submission of the application form from the office.</t>
  </si>
  <si>
    <t>M07-P0019</t>
  </si>
  <si>
    <t>Step 1: Take the format of the application form from the District Office of LIDCOM.</t>
  </si>
  <si>
    <t>M07-P0020</t>
  </si>
  <si>
    <t>Step 2: Fill in all the mandatory fields, paste the passport-sized photograph (signed across), and attach all the (self-attested) mandatory documents.</t>
  </si>
  <si>
    <t>M07-P0021</t>
  </si>
  <si>
    <t>Step 3: Submit the duly filled and signed application form along with the documents to the District Office.</t>
  </si>
  <si>
    <t>M07-P0022</t>
  </si>
  <si>
    <t>Step 4: Acquire the receipt/acknowledgment of the successful submission of the application form from the District Office.</t>
  </si>
  <si>
    <t>M08-P0021</t>
  </si>
  <si>
    <t>Step 1: The interested applicant should visit (during office hours) the District Office of  Leather Industries Development Corporation of Maharashtra (LIDCOM), and request the hard copy of the prescribed format of the application form from the concerned authority.</t>
  </si>
  <si>
    <t>M08-P0022</t>
  </si>
  <si>
    <t>Step 2: In the application form, fill in all the mandatory fields, paste the passport-sized photograph (signed across, if required), and attach copies of all the mandatory documents (self-attest, if required).</t>
  </si>
  <si>
    <t>M08-P0023</t>
  </si>
  <si>
    <t>Step 3: Submit the duly filled and signed application form along with the documents, within the prescribed period (if any), to the District Office of  Leather Industries Development Corporation of Maharashtra (LIDCOM).</t>
  </si>
  <si>
    <t>M08-P0024</t>
  </si>
  <si>
    <t>Step 4: Request a receipt or acknowledgement from the concerned authority to whom the application has been submitted. Ensure that the receipt contains essential details such as the date and time of submission, and a unique identification number (if applicable).</t>
  </si>
  <si>
    <t>M08-P0025</t>
  </si>
  <si>
    <t>NOTE: Ensure that the application is submitted within the prescribed period, if any.</t>
  </si>
  <si>
    <t>M09-P0013</t>
  </si>
  <si>
    <t>Step 1: The interested applicant should visit (during office hours) the District Office of LIDCOM and request the hard copy of the prescribed format of the application form from the concerned authority.</t>
  </si>
  <si>
    <t>M09-P0014</t>
  </si>
  <si>
    <t>M09-P0015</t>
  </si>
  <si>
    <t>Step 3: Submit the duly filled and signed application form along with the documents, within the prescribed period (if any), to the District Office of LIDCOM.</t>
  </si>
  <si>
    <t>M09-P0016</t>
  </si>
  <si>
    <t>M09-P0017</t>
  </si>
  <si>
    <t>M10-P0018</t>
  </si>
  <si>
    <t>Step 1: Visit the District Social Welfare Office, and request a hard copy of the format of the application form for the scheme from the concerned authority.</t>
  </si>
  <si>
    <t>M10-P0019</t>
  </si>
  <si>
    <t>M10-P0020</t>
  </si>
  <si>
    <t>Step 3: Submit the duly filled and signed application form along with the documents to the Assistant Commissioner, District Social Welfare Office.</t>
  </si>
  <si>
    <t>M10-P0021</t>
  </si>
  <si>
    <t>Step 4: Acquire the receipt/acknowledgment of the successful submission of the application form from the District Social Welfare Office.</t>
  </si>
  <si>
    <t>M11-P0018</t>
  </si>
  <si>
    <t>M11-P0019</t>
  </si>
  <si>
    <t>M11-P0020</t>
  </si>
  <si>
    <t>M11-P0021</t>
  </si>
  <si>
    <t>M12-P0022</t>
  </si>
  <si>
    <t>Step 1: The interested applicant should visit (during office hours) one of the following officers and request a hard copy of the prescribed format of the application form from the concerned authority -</t>
  </si>
  <si>
    <t>M12-P0023</t>
  </si>
  <si>
    <t>Assistant Commissioner, Social Welfare Office</t>
  </si>
  <si>
    <t>M12-P0024</t>
  </si>
  <si>
    <t>Project Director, District Rural Development Agency</t>
  </si>
  <si>
    <t>M12-P0025</t>
  </si>
  <si>
    <t>District Council / Municipal Commissioner</t>
  </si>
  <si>
    <t>M12-P0026</t>
  </si>
  <si>
    <t>M12-P0027</t>
  </si>
  <si>
    <t>Step 3: Submit the duly filled and signed application form along with the documents, within the prescribed period (if any), to the concerned authority.</t>
  </si>
  <si>
    <t>M12-P0028</t>
  </si>
  <si>
    <t>M12-P0029</t>
  </si>
  <si>
    <t>M13-P0029</t>
  </si>
  <si>
    <t>Step 01: Self Registration on PMKISAN Portal</t>
  </si>
  <si>
    <t>M13-P0030</t>
  </si>
  <si>
    <t>Step 02: Verification of eligibility of registered beneficiary.</t>
  </si>
  <si>
    <t>M13-P0031</t>
  </si>
  <si>
    <t>Step 03: Approval at Taluka Nodal Officer level.</t>
  </si>
  <si>
    <t>M13-P0032</t>
  </si>
  <si>
    <t>Step 04: Approval at District Nodal Officer level.</t>
  </si>
  <si>
    <t>M13-P0033</t>
  </si>
  <si>
    <t>Step 05: Final Approval at State Nodal Officer level.</t>
  </si>
  <si>
    <t>M13-P0034</t>
  </si>
  <si>
    <t>Note : - No need of approval at district and state level in case of direct registration at TNO login.</t>
  </si>
  <si>
    <t>M14-P0038</t>
  </si>
  <si>
    <t>Step 01:  Fill online application on portal https://maha-cmegp.gov.in</t>
  </si>
  <si>
    <t>M14-P0039</t>
  </si>
  <si>
    <t>Step 02: District level Scrutiny and Coordination Sub-Committee (DLSCC) constituted under the Chairmanship of respective GM, DICs will scrutinize the applications and prepare a primary list of eligible applicants.</t>
  </si>
  <si>
    <t>M14-P0040</t>
  </si>
  <si>
    <t>Step 03: primary eligible applicants list will be approved by DLTFC and then forwarded to bank.</t>
  </si>
  <si>
    <t>M14-P0041</t>
  </si>
  <si>
    <t>Step 04: Bank Sanctioning &amp;  Entrepreneurship Development Programme (EDP)  training &amp;  Disbursment</t>
  </si>
  <si>
    <t>M14-P0042</t>
  </si>
  <si>
    <t>Step 05: Subsidy claim by Bank to GM</t>
  </si>
  <si>
    <t>M14-P0043</t>
  </si>
  <si>
    <t>Step 06: Approval of claim by HO and disbursement of margin money viz. nodal bank</t>
  </si>
  <si>
    <t>M14-P0044</t>
  </si>
  <si>
    <t>Step 07: completion of three successful years of activity and following the timely repayment schedule as informed by the bank, the margin money in the form of grant-in-aid will be re-appropriated in the applicant’s loan account after confirmation / necessary validation from GM, DIC.</t>
  </si>
  <si>
    <t>M15-P0025</t>
  </si>
  <si>
    <t>Application Link: https://dbt.mahapocra.gov.in</t>
  </si>
  <si>
    <t>M15-P0026</t>
  </si>
  <si>
    <t>Step 01: Registration</t>
  </si>
  <si>
    <t>M15-P0027</t>
  </si>
  <si>
    <t>Step 02: Application</t>
  </si>
  <si>
    <t>M15-P0028</t>
  </si>
  <si>
    <t>Step 03: Pre-sanction by Agriculture officer</t>
  </si>
  <si>
    <t>M15-P0029</t>
  </si>
  <si>
    <t>Step 04: Work completion by farmer</t>
  </si>
  <si>
    <t>M15-P0030</t>
  </si>
  <si>
    <t>Step 05: Payment request by farmer</t>
  </si>
  <si>
    <t>M15-P0031</t>
  </si>
  <si>
    <t>Step 06: Payment approval by the project</t>
  </si>
  <si>
    <t>M15-P0032</t>
  </si>
  <si>
    <t>Step 07: Payment disbursement in Aadhaar linked bank account of the beneficiary farmer</t>
  </si>
  <si>
    <t>M16-P0013</t>
  </si>
  <si>
    <t>Step-1: The interested applicant downloads the application form from the MBOCWW official website.</t>
  </si>
  <si>
    <t>M16-P0014</t>
  </si>
  <si>
    <t>Step-2: In the application form, fill in all the mandatory fields, and attach copies of all the mandatory documents (self-attest, if required).</t>
  </si>
  <si>
    <t>M16-P0015</t>
  </si>
  <si>
    <t>Step-3: Submit the duly filled and signed application form along with the documents to the Labor Commissioner / Government Labor Officer.</t>
  </si>
  <si>
    <t>M16-P0016</t>
  </si>
  <si>
    <t>Step-4: Request a receipt or acknowledgment from the concerned authority to whom the application has been submitted. Ensure that the receipt contains essential details such as the date and time of submission, and a unique identification number (if applicable).</t>
  </si>
  <si>
    <t>M17-P0014</t>
  </si>
  <si>
    <t>M17-P0015</t>
  </si>
  <si>
    <t>M17-P0016</t>
  </si>
  <si>
    <t>M17-P0017</t>
  </si>
  <si>
    <t>M18-P0019</t>
  </si>
  <si>
    <t>Step 1: Visit the Official Website of Mahadbt Portal.</t>
  </si>
  <si>
    <t>M18-P0020</t>
  </si>
  <si>
    <t>Step 2: Click on "New Applicant Registration". Register using your Name, Mobile Number, and Email ID. Create a Username and Password. Your Mobile Number and Email ID will be verified via OTP.</t>
  </si>
  <si>
    <t>M18-P0021</t>
  </si>
  <si>
    <t>Note: The username should contain only alphabets and numbers. The username should be greater than 4 characters and less than 15 characters.</t>
  </si>
  <si>
    <t>M18-P0022</t>
  </si>
  <si>
    <t>Note: Password Length should be a minimum of 8 characters and a maximum of 20 characters. Password must contain at least 1 UpperCase Alphabet, 1 Lowercase Alphabet, 1 Number, and 1 Special Character.</t>
  </si>
  <si>
    <t>M18-P0023</t>
  </si>
  <si>
    <t>Step 3: Now visit to Login Page and log in using your Username and Password. You will be directed to Home Page.</t>
  </si>
  <si>
    <t>M18-P0024</t>
  </si>
  <si>
    <t>In the left pane, click "Aadhaar Bank Link" to link your Aadhaar with your Bank Account.</t>
  </si>
  <si>
    <t>M18-P0025</t>
  </si>
  <si>
    <t>Step 4: In the left pane, click "Profile". Fill in all the mandatory details and upload the mandatory documents (Personal Details, Address Information, Other Information, Current Course, Past Qualification, and Hostel Details). Click "Save".</t>
  </si>
  <si>
    <t>M18-P0026</t>
  </si>
  <si>
    <t>Step 5: In the left pane, click "All Schemes". A list of schemes will appear. Click on "Training of Motor Driving To VJNT, SBC &amp; OBCS.</t>
  </si>
  <si>
    <t>M18-P0027</t>
  </si>
  <si>
    <t>Step 6: Fill in all the additional information and upload the mandatory documents. Click "Submit" to submit your application. A pop-up will appear, displaying your Application ID. Save the Application ID for future reference. Click "OK".</t>
  </si>
  <si>
    <t>M18-P0028</t>
  </si>
  <si>
    <t>Optional: You can track the status of your application (Under Scrutiny / Approved / Rejected / Fund Disbursed) by clicking on "My Applied Scheme History" in the left pane.</t>
  </si>
  <si>
    <t>M19-P0030</t>
  </si>
  <si>
    <t>M19-P0031</t>
  </si>
  <si>
    <t>Step 01: The interested applicant visit the official website.</t>
  </si>
  <si>
    <t>M19-P0032</t>
  </si>
  <si>
    <t>Step 02: Select "Applicant Login" and click on "Create Account."</t>
  </si>
  <si>
    <t>M19-P0033</t>
  </si>
  <si>
    <t>Step 03: Complete the registration form with the following details: Full Name as per Aadhaar, Mobile No, Password, Confirm Password, District, Taluka, Village, Municipal Corporation / Council, Authorized Person &amp; Accept Terms and Conditions.</t>
  </si>
  <si>
    <t>M19-P0034</t>
  </si>
  <si>
    <t>Step 04: Enter the Captcha code and click "Sign-up." You will receive an OTP.</t>
  </si>
  <si>
    <t>M19-P0035</t>
  </si>
  <si>
    <t>Step 05: Enter the OTP and the Captcha code again.</t>
  </si>
  <si>
    <t>M19-P0036</t>
  </si>
  <si>
    <t>Step 06: Click "Verify the OTP" to receive a message confirming that your login was successful.</t>
  </si>
  <si>
    <t>M19-P0037</t>
  </si>
  <si>
    <t>M19-P0038</t>
  </si>
  <si>
    <t>Step 01: Log in to the portal using your Mobile number, Password, and Captcha to log in.</t>
  </si>
  <si>
    <t>M19-P0039</t>
  </si>
  <si>
    <t>Step 02: Click on "Application of Mukhyamantri - Majhi Ladki Bahin Yojana" and enter your Aadhaar Number and Captcha.</t>
  </si>
  <si>
    <t>M19-P0040</t>
  </si>
  <si>
    <t>Step 03: Click on "Valid Aadhaar" and complete the registration form with the applicant's name, bank details, and permanent address.</t>
  </si>
  <si>
    <t>M19-P0041</t>
  </si>
  <si>
    <t>Step 04: Upload relevant documents such as an Aadhaar card, Domicile certificate, Ration card, etc.</t>
  </si>
  <si>
    <t>M19-P0042</t>
  </si>
  <si>
    <t>Step 05: Click "Submit" to receive your application ID via SMS.</t>
  </si>
  <si>
    <t>M19-P0043</t>
  </si>
  <si>
    <t>Check the Status:</t>
  </si>
  <si>
    <t>M19-P0044</t>
  </si>
  <si>
    <t>M19-P0045</t>
  </si>
  <si>
    <t>Step 02: Click on "Applications Made Earlier" to view the status of your applications.</t>
  </si>
  <si>
    <t>M20-P0063</t>
  </si>
  <si>
    <t>Step 1: The interested applicant should visit the  any Govt./Pvt. network hospital in State, and request the hard copy of the prescribed format of the application form from the concerned authority.</t>
  </si>
  <si>
    <t>M20-P0064</t>
  </si>
  <si>
    <t>M20-P0065</t>
  </si>
  <si>
    <t>Step 3: Submit the duly filled and signed application form along with the documents, within the prescribed period (if any), to the authority.</t>
  </si>
  <si>
    <t>M20-P0066</t>
  </si>
  <si>
    <t>M20-P0067</t>
  </si>
  <si>
    <t>M20-P0068</t>
  </si>
  <si>
    <t>Note 1:</t>
  </si>
  <si>
    <t>en.applicationProcess[0].process[0].children[5].children[0].children[0]</t>
  </si>
  <si>
    <t>M20-P0069</t>
  </si>
  <si>
    <t xml:space="preserve"> The claim settlement module along with electronic clearance and the payment gateway will be part of the workflow in the State Health Assurance Society (SHAS) portal and will be operated by the Insurer.</t>
  </si>
  <si>
    <t>en.applicationProcess[0].process[0].children[5].children[0].children[1]</t>
  </si>
  <si>
    <t>M20-P0070</t>
  </si>
  <si>
    <t>Note 2:</t>
  </si>
  <si>
    <t>en.applicationProcess[0].process[0].children[5].children[1].children[0]</t>
  </si>
  <si>
    <t>M20-P0071</t>
  </si>
  <si>
    <t xml:space="preserve"> The reports will be available for scrutiny on the State Health Assurance Society (SHAS) </t>
  </si>
  <si>
    <t>en.applicationProcess[0].process[0].children[5].children[1].children[1]</t>
  </si>
  <si>
    <t>M20-P0072</t>
  </si>
  <si>
    <t>en.applicationProcess[0].process[0].children[5].children[1].children[2].children[0]</t>
  </si>
  <si>
    <t>M21-P0020</t>
  </si>
  <si>
    <t>Registration Process for Candidate:</t>
  </si>
  <si>
    <t>M21-P0021</t>
  </si>
  <si>
    <t>Go to the official CMYKPY website for job seeker registration and click on “Intern Login”.</t>
  </si>
  <si>
    <t>M21-P0022</t>
  </si>
  <si>
    <t>Use your Aadhaar number as the username for your account.</t>
  </si>
  <si>
    <t>M21-P0023</t>
  </si>
  <si>
    <t>Fill in your full name, date of birth, gender, email, and mobile number.</t>
  </si>
  <si>
    <t>M21-P0024</t>
  </si>
  <si>
    <t>Create a secure password and confirm it.</t>
  </si>
  <si>
    <t>M21-P0025</t>
  </si>
  <si>
    <t>After completing all required fields, submit the registration form to finish the process.</t>
  </si>
  <si>
    <t>M21-P0026</t>
  </si>
  <si>
    <t>Log In Process:</t>
  </si>
  <si>
    <t>M21-P0027</t>
  </si>
  <si>
    <t>Fill Your Aadhar Number as a User Name and Password.</t>
  </si>
  <si>
    <t>M21-P0028</t>
  </si>
  <si>
    <t>Complete your profile details, and fill in the personal, address, qualification, and bank details.</t>
  </si>
  <si>
    <t>M21-P0029</t>
  </si>
  <si>
    <t>Upload the photo, qualification document, birth certificate, etc.</t>
  </si>
  <si>
    <t>M21-P0030</t>
  </si>
  <si>
    <t>Click on “Submit” and apply for the job.</t>
  </si>
  <si>
    <t>en.applicationProcess[0].process[4].children[3]</t>
  </si>
  <si>
    <t>Applicant document requirements</t>
  </si>
  <si>
    <t>Full source list where provided. Missing sections are explicit gaps; document alternatives and stage conditions need review.</t>
  </si>
  <si>
    <t>Passage / row ID</t>
  </si>
  <si>
    <t>Applicant document / source text</t>
  </si>
  <si>
    <t>Source context</t>
  </si>
  <si>
    <t>Applicability / completeness</t>
  </si>
  <si>
    <t>C01-DOC-EMPTY</t>
  </si>
  <si>
    <t>Not stated in captured section</t>
  </si>
  <si>
    <t>No document requirement inferred.</t>
  </si>
  <si>
    <t>C02-DOC-EMPTY</t>
  </si>
  <si>
    <t>C03-P0031</t>
  </si>
  <si>
    <t>Source document text 1/1. Conditional applicability not yet encoded.</t>
  </si>
  <si>
    <t>C03-P0032</t>
  </si>
  <si>
    <t>Savings Bank Account Number along with IFSC Code ( Bank Passbook or Cheque Leaf/book or copy of bank statement as evidence of bank account).</t>
  </si>
  <si>
    <t>C04-P0030</t>
  </si>
  <si>
    <t>KYC details are fetched from active Bank/Post Office Savings account.</t>
  </si>
  <si>
    <t>C05-P0023</t>
  </si>
  <si>
    <t>C05-P0024</t>
  </si>
  <si>
    <t>Savings Bank Account Passbook / Jan-Dhan Account Passbook</t>
  </si>
  <si>
    <t>C05-P0025</t>
  </si>
  <si>
    <t>Mobile Number</t>
  </si>
  <si>
    <t>C05-P0026</t>
  </si>
  <si>
    <t>Self-Certification (At the time of enrollment)</t>
  </si>
  <si>
    <t>C05-P0027</t>
  </si>
  <si>
    <t>Any other documents as required</t>
  </si>
  <si>
    <t>C06-P0009</t>
  </si>
  <si>
    <t>Death Certificate of husband – With the name of the surviving wife(widow).</t>
  </si>
  <si>
    <t>C06-P0010</t>
  </si>
  <si>
    <t>BPL Card.</t>
  </si>
  <si>
    <t>C06-P0011</t>
  </si>
  <si>
    <t>Age Proof - For age, the birth certificate or school certificate may be relied on. In their absence ration card and EPIC may be considered. If there is no valid document, any Medical Officer of any government hospital may be authorized to issue the age certificate.</t>
  </si>
  <si>
    <t>M01-P0020</t>
  </si>
  <si>
    <t>Aadhaar Card.</t>
  </si>
  <si>
    <t>M01-P0021</t>
  </si>
  <si>
    <t>2-Passport Sized Photograph (Signed Across).</t>
  </si>
  <si>
    <t>M01-P0022</t>
  </si>
  <si>
    <t>Residential Certificate / Domicile Certificate of the State of Maharashtra.</t>
  </si>
  <si>
    <t>M01-P0023</t>
  </si>
  <si>
    <t>Details of the Bank Account (Bank Name, Branch Name, Address, IFSC, etc).</t>
  </si>
  <si>
    <t>M01-P0024</t>
  </si>
  <si>
    <t>Any other document required by the District Social Welfare Office.</t>
  </si>
  <si>
    <t>M01-P0025</t>
  </si>
  <si>
    <t>Medical Certificate OR Certificate of Incapacity/Disease (issued by the Civil Surgeon and Medical Superintendent of the Government Hospital) (In the case of major illness)</t>
  </si>
  <si>
    <t>M01-P0026</t>
  </si>
  <si>
    <t>Proof of Age</t>
  </si>
  <si>
    <t>M01-P0027</t>
  </si>
  <si>
    <t>Income Certificate / BPL Card of the Family</t>
  </si>
  <si>
    <t>M01-P0028</t>
  </si>
  <si>
    <t>Disability Certificate</t>
  </si>
  <si>
    <t>M01-P0029</t>
  </si>
  <si>
    <t>Transgender Certificate (in case the applicant is Transgender)</t>
  </si>
  <si>
    <t>M01-P0030</t>
  </si>
  <si>
    <t>Marriage Certificate, and Death Certificate of Husband (in the case of Widow applicants)</t>
  </si>
  <si>
    <t>M02-P0010</t>
  </si>
  <si>
    <t>M02-P0011</t>
  </si>
  <si>
    <t>M02-P0012</t>
  </si>
  <si>
    <t>Proof of Age.</t>
  </si>
  <si>
    <t>M02-P0013</t>
  </si>
  <si>
    <t>Income Certificate / BPL Card of the Family (if applicable)</t>
  </si>
  <si>
    <t>M02-P0014</t>
  </si>
  <si>
    <t>M02-P0015</t>
  </si>
  <si>
    <t>M02-P0016</t>
  </si>
  <si>
    <t>M03-P0010</t>
  </si>
  <si>
    <t>M04-P0007</t>
  </si>
  <si>
    <t>C07-P0028</t>
  </si>
  <si>
    <t>Filled application</t>
  </si>
  <si>
    <t>C07-P0029</t>
  </si>
  <si>
    <t>Details of your work</t>
  </si>
  <si>
    <t>C07-P0030</t>
  </si>
  <si>
    <t>Proof your work helped people/environment</t>
  </si>
  <si>
    <t>C07-P0031</t>
  </si>
  <si>
    <t>Documents (papers, patents, etc.)</t>
  </si>
  <si>
    <t>C07-P0032</t>
  </si>
  <si>
    <t>Clean record certificate</t>
  </si>
  <si>
    <t>C08-P0029</t>
  </si>
  <si>
    <t>Application Stage Documents</t>
  </si>
  <si>
    <t>C08-P0030</t>
  </si>
  <si>
    <t>Letter Intimating Willingness to Market Organic Fertilizers.</t>
  </si>
  <si>
    <t>C08-P0031</t>
  </si>
  <si>
    <t>Purchasing Agreement for Supply of Fermented Organic Manure, Liquid Fermented Organic Manure, or Phosphate Rich Organic Manure (Required if marketing through Fertilizer Marketing Companies).</t>
  </si>
  <si>
    <t>C08-P0032</t>
  </si>
  <si>
    <t>Details of Fertilizer Marketing Companies Document (Annexure-I).</t>
  </si>
  <si>
    <t>C08-P0033</t>
  </si>
  <si>
    <t>Details of Organic Fertilizer Manufacturer Document (Annexure-II).</t>
  </si>
  <si>
    <t>C08-P0034</t>
  </si>
  <si>
    <t>Tax Identification Number Certificate of the Company.</t>
  </si>
  <si>
    <t>C08-P0035</t>
  </si>
  <si>
    <t>Permanent Account Number Card of the Company.</t>
  </si>
  <si>
    <t>C08-P0036</t>
  </si>
  <si>
    <t>Bank Account Details (Account Number, Indian Financial System Code, Name of Account Holder, Address of the Bank).</t>
  </si>
  <si>
    <t>C08-P0037</t>
  </si>
  <si>
    <t>Galvanizing Organic Bio-Agro Resources Dhan Portal Registration Certificate.</t>
  </si>
  <si>
    <t>C08-P0038</t>
  </si>
  <si>
    <t>Benefit Disbursal Documents</t>
  </si>
  <si>
    <t>C08-P0039</t>
  </si>
  <si>
    <t>Quantity Certificate for Organic Fertilizers (Proforma 'B1-MDA').</t>
  </si>
  <si>
    <t>C08-P0040</t>
  </si>
  <si>
    <t>Quality Certificate for Organic Fertilizers (Proforma 'B2-MDA').</t>
  </si>
  <si>
    <t>C08-P0041</t>
  </si>
  <si>
    <t>Quality Test Report from a Government Notified Laboratory or National Accreditation Board for Testing and Calibration Laboratories Accredited Private Laboratory.</t>
  </si>
  <si>
    <t>C08-P0042</t>
  </si>
  <si>
    <t>Proforma for Claiming Payment of Market Development Assistance (Annexure) with the Digital Signature of the Chartered Accountant or Statutory Auditor and the Authorized Officer.</t>
  </si>
  <si>
    <t>C08-P0043</t>
  </si>
  <si>
    <t>Verification and Audit Documents</t>
  </si>
  <si>
    <t>C08-P0044</t>
  </si>
  <si>
    <t>Stock Registers Showing Opening Balance, Production, Quantity Dispatched, and Closing Balance.</t>
  </si>
  <si>
    <t>C08-P0045</t>
  </si>
  <si>
    <t>Daily Report of Production and Stock Authenticated by the Production Manager.</t>
  </si>
  <si>
    <t>C08-P0046</t>
  </si>
  <si>
    <t>Dispatch and Stock Transfer Advice Serially Numbered and Signed by the Sales Manager.</t>
  </si>
  <si>
    <t>C08-P0047</t>
  </si>
  <si>
    <t>Dispatch Instructions Issued from Headquarters.</t>
  </si>
  <si>
    <t>C08-P0048</t>
  </si>
  <si>
    <t>Gate Passes Bearing Printed Serial Numbers.</t>
  </si>
  <si>
    <t>C08-P0049</t>
  </si>
  <si>
    <t>Register of Gate Passes Issued.</t>
  </si>
  <si>
    <t>C08-P0050</t>
  </si>
  <si>
    <t>Register of Dispatches.</t>
  </si>
  <si>
    <t>C08-P0051</t>
  </si>
  <si>
    <t>Sales Invoices Serially Numbered and Supported by Warehouse Delivery Notes.</t>
  </si>
  <si>
    <t>C08-P0052</t>
  </si>
  <si>
    <t>Sales Day Book.</t>
  </si>
  <si>
    <t>C08-P0053</t>
  </si>
  <si>
    <t>Delivery Challan Signed by the Receiver in Confirmation of Receipt.</t>
  </si>
  <si>
    <t>C08-P0054</t>
  </si>
  <si>
    <t>Stock Register of Raw Materials Purchased and Consumed.</t>
  </si>
  <si>
    <t>C09-P0045</t>
  </si>
  <si>
    <t>Required During Application/Submission Stage</t>
  </si>
  <si>
    <t>C09-P0046</t>
  </si>
  <si>
    <t>Proof Of Residence (Issued By Sub-Divisional Magistrate (SDM)/District Magistrate (DM) Or A Copy Of Ration Card Or Any Other Document Regarding Proof Of Residence).</t>
  </si>
  <si>
    <t>C09-P0047</t>
  </si>
  <si>
    <t>Copy Of Aadhaar Card.</t>
  </si>
  <si>
    <t>C09-P0048</t>
  </si>
  <si>
    <t>Documentary Proof Of Prior Work (Video, Photo, Press Coverage, etc.).</t>
  </si>
  <si>
    <t>C09-P0049</t>
  </si>
  <si>
    <t>No Objection Certificate (From Head of Institute/Organization, on institution’s letterhead, for Students and Working Innovators).</t>
  </si>
  <si>
    <t>C09-P0050</t>
  </si>
  <si>
    <t>Commitment Letter From Institution (Committing that the project will be taken to its logical conclusion by the student/concerned faculty, for Students).</t>
  </si>
  <si>
    <t>C09-P0051</t>
  </si>
  <si>
    <t>Copy Of The Latest Income Tax Returns Filed (If Applicant Is An Income Tax Payer).</t>
  </si>
  <si>
    <t>C09-P0052</t>
  </si>
  <si>
    <t>List Of Equipment/Instruments, Etc. With Their Respective Costs In A Separate Annexure (Required if an essential equipment purchase is proposed).</t>
  </si>
  <si>
    <t>C09-P0053</t>
  </si>
  <si>
    <t>Details Of Work Done On Innovation So Far (Including Literature Survey/Patent Search, Development Work Done, etc.).</t>
  </si>
  <si>
    <t>C09-P0054</t>
  </si>
  <si>
    <t>Brief Write-Up Giving Broad Details Of The Original Idea/Invention/Intellectual Property Rights/Know How Available.</t>
  </si>
  <si>
    <t>C09-P0055</t>
  </si>
  <si>
    <t>Proposed Costs And Time Frame For The Project (Including Justification For Cost Estimation).</t>
  </si>
  <si>
    <t>C09-P0056</t>
  </si>
  <si>
    <t>Activity Details/Work Plan With Monitorable Milestones.</t>
  </si>
  <si>
    <t>C09-P0057</t>
  </si>
  <si>
    <t>Details Of End Product/Process/Output (Including Targeted Specifications, Performance Requirements/Standards).</t>
  </si>
  <si>
    <t>C09-P0058</t>
  </si>
  <si>
    <t>Referees (Two Numbers With Complete Address, Phone Number And E-Mail Identification).</t>
  </si>
  <si>
    <t>C09-P0059</t>
  </si>
  <si>
    <t>Required Prior To Grants-in-aid Release</t>
  </si>
  <si>
    <t>C09-P0060</t>
  </si>
  <si>
    <t>Signed "Terms &amp; Conditions" Document.</t>
  </si>
  <si>
    <t>C09-P0061</t>
  </si>
  <si>
    <t>Required At Project Closure</t>
  </si>
  <si>
    <t>C09-P0062</t>
  </si>
  <si>
    <t>Project Completion Report.</t>
  </si>
  <si>
    <t>C10-P0025</t>
  </si>
  <si>
    <t>Aadhaar Card or other government-issued identity proof</t>
  </si>
  <si>
    <t>C10-P0026</t>
  </si>
  <si>
    <t>Age proof document</t>
  </si>
  <si>
    <t>C10-P0027</t>
  </si>
  <si>
    <t>Khadi artisan card or Khadi Institution registration certificate</t>
  </si>
  <si>
    <t>C10-P0028</t>
  </si>
  <si>
    <t>Bank account details</t>
  </si>
  <si>
    <t>C10-P0029</t>
  </si>
  <si>
    <t>Caste certificate (if applicable)</t>
  </si>
  <si>
    <t>C10-P0030</t>
  </si>
  <si>
    <t>BPL certificate (if applicable)</t>
  </si>
  <si>
    <t>C10-P0031</t>
  </si>
  <si>
    <t>Project proposal or work-shed details (if required)</t>
  </si>
  <si>
    <t>C11-P0008</t>
  </si>
  <si>
    <t>Proof of Identity: Voter’s ID Card / Passport / Driving License / PAN Card / Signature identification from present bankers of proprietor, partner of director ( if a company)</t>
  </si>
  <si>
    <t>C11-P0009</t>
  </si>
  <si>
    <t>Proof of Residence: Recent telephone bills, electricity bill, property tax receipt /Passport / voter’s ID Card of Proprietor, partner of Director (if a company)</t>
  </si>
  <si>
    <t>C11-P0010</t>
  </si>
  <si>
    <t>Proof of Business Address</t>
  </si>
  <si>
    <t>C11-P0011</t>
  </si>
  <si>
    <t>Proof that the applicant is not a defaulter in any Bank / Financial Institution</t>
  </si>
  <si>
    <t>C11-P0012</t>
  </si>
  <si>
    <t>Memorandum and articles of association of the Company / Partnership Deed of partners etc.</t>
  </si>
  <si>
    <t>C11-P0013</t>
  </si>
  <si>
    <t>Assets and liabilities statement of promoters and guarantors along with latest income tax returns.</t>
  </si>
  <si>
    <t>C11-P0014</t>
  </si>
  <si>
    <t>Rent Agreement (if business premises on rent) and clearance from pollution control board if applicable.</t>
  </si>
  <si>
    <t>C11-P0015</t>
  </si>
  <si>
    <t>SSI / MSME registration (if applicable)</t>
  </si>
  <si>
    <t>C11-P0016</t>
  </si>
  <si>
    <t>Projected balance sheets for the next two years in case of working capital limits and for the period of the loan in case of term loan.</t>
  </si>
  <si>
    <t>C11-P0017</t>
  </si>
  <si>
    <t>Photocopies of lease deeds/ title deeds of all the properties being offered as primary and collateral securities.</t>
  </si>
  <si>
    <t>C11-P0018</t>
  </si>
  <si>
    <t>Documents to establish whether the applicant belongs to SC/ST Category, wherever applicable.</t>
  </si>
  <si>
    <t>C11-P0019</t>
  </si>
  <si>
    <t>Certificate of incorporation from ROC to establish whether majority stake holding in the company is in the hands of a person who belongs to SC/ST/Woman category.</t>
  </si>
  <si>
    <t>C11-P0020</t>
  </si>
  <si>
    <t>For cases with exposure above ₹ 25 Lakhs:</t>
  </si>
  <si>
    <t>C11-P0021</t>
  </si>
  <si>
    <t>Profile of the unit (includes names of promoters, other directors in the company, the activity being undertaken addresses of all offices and plants, shareholding pattern etc.</t>
  </si>
  <si>
    <t>C11-P0022</t>
  </si>
  <si>
    <t>Last three years balance sheets of the Associate / Group Companies (if any).</t>
  </si>
  <si>
    <t>C11-P0023</t>
  </si>
  <si>
    <t>Project report (for the proposed project if term funding is required) containing details of the machinery to be acquired, from whom to be acquired, price, names of suppliers, financial details like capacity of machines, capacity of utilization assumed, production, sales, projected profit and loss and balance sheets for the tenor of the loan, the details of labour, staff to be hired, basis of assumption of such financial details etc.</t>
  </si>
  <si>
    <t>C11-P0024</t>
  </si>
  <si>
    <t>Manufacturing process if applicable, major profile of executives in the company, any tie-ups, details about raw material used and their suppliers, details about the buyers, details about major-competitors and the company’s strength and weaknesses as compared to their competitors etc.</t>
  </si>
  <si>
    <t>C12-P0033</t>
  </si>
  <si>
    <t>At Application Stage</t>
  </si>
  <si>
    <t>C12-P0034</t>
  </si>
  <si>
    <t>Sales Bills/invoices for Handloom Products (Goods and Services Tax Compliant),</t>
  </si>
  <si>
    <t>C12-P0035</t>
  </si>
  <si>
    <t>Yarn Purchase Bills (Goods and Services Tax Compliant).</t>
  </si>
  <si>
    <t>C12-P0036</t>
  </si>
  <si>
    <t>Average Sales Turnover Details of Handloom Products for the Last 3 Years.</t>
  </si>
  <si>
    <t>C12-P0037</t>
  </si>
  <si>
    <t>Handloom Mark or India Handloom Brand Usage Documentation.</t>
  </si>
  <si>
    <t>C12-P0038</t>
  </si>
  <si>
    <t>Final Transaction Proof of Product Sale to Consumer.</t>
  </si>
  <si>
    <t>C12-P0039</t>
  </si>
  <si>
    <t>For State Government Processing</t>
  </si>
  <si>
    <t>C12-P0040</t>
  </si>
  <si>
    <t>Certificate as Per Prescribed Proforma (Annexure - B9) for Each Individual Claim.</t>
  </si>
  <si>
    <t>C12-P0041</t>
  </si>
  <si>
    <t>Consolidated Statement of All Claims.</t>
  </si>
  <si>
    <t>C12-P0042</t>
  </si>
  <si>
    <t>Recommendations of State Level Project Committee.</t>
  </si>
  <si>
    <t>C12-P0043</t>
  </si>
  <si>
    <t>Sanction Order for Release of State Share.</t>
  </si>
  <si>
    <t>C12-P0044</t>
  </si>
  <si>
    <t>Documentary Proof of Amount Transferred to Beneficiaries.</t>
  </si>
  <si>
    <t>C12-P0045</t>
  </si>
  <si>
    <t>Certificate as Per Prescribed Proforma (Annexure - B10).</t>
  </si>
  <si>
    <t>C12-P0046</t>
  </si>
  <si>
    <t>Identification of Suitable Nodal Agency for Fund Aggregation and Release.</t>
  </si>
  <si>
    <t>C12-P0047</t>
  </si>
  <si>
    <t>At Verification Stage</t>
  </si>
  <si>
    <t>C12-P0048</t>
  </si>
  <si>
    <t>Utilization Certificate From Nodal Agency.</t>
  </si>
  <si>
    <t>C12-P0049</t>
  </si>
  <si>
    <t>Certificate Of Direct Benefit Transfer Release Within 7 Days.</t>
  </si>
  <si>
    <t>C12-P0050</t>
  </si>
  <si>
    <t>Details Of Beneficiaries (State Share And Government Of India Share) Uploaded In Public Domain.</t>
  </si>
  <si>
    <t>C12-P0051</t>
  </si>
  <si>
    <t>NOTE: All sales bills/invoices and yarn purchase bills must be Goods and Services Tax compliant for claiming Marketing Incentive.</t>
  </si>
  <si>
    <t>C13-P0039</t>
  </si>
  <si>
    <t>Application Form.</t>
  </si>
  <si>
    <t>C13-P0040</t>
  </si>
  <si>
    <t>Two Passport Size Photographs.</t>
  </si>
  <si>
    <t>C13-P0041</t>
  </si>
  <si>
    <t>ID proof such as Driving License / Aadhar Card / Voter Identity Card / Passport.</t>
  </si>
  <si>
    <t>C13-P0042</t>
  </si>
  <si>
    <t>Address Proof such as Driving License, Aadhar Card.</t>
  </si>
  <si>
    <t>C13-P0043</t>
  </si>
  <si>
    <t>Proof of landholding duly certified by the revenue authorities.</t>
  </si>
  <si>
    <t>C13-P0044</t>
  </si>
  <si>
    <t>Cropping pattern (Crops grown) with acreage.</t>
  </si>
  <si>
    <t>C13-P0045</t>
  </si>
  <si>
    <t>Security documents for loan limit above Rs.1.60 lakhs / Rs.3.00 lakhs, as applicable.</t>
  </si>
  <si>
    <t>C13-P0046</t>
  </si>
  <si>
    <t>Any other document as per sanction.</t>
  </si>
  <si>
    <t>C14-P0033</t>
  </si>
  <si>
    <t>Passport–sized Photograph</t>
  </si>
  <si>
    <t>C14-P0034</t>
  </si>
  <si>
    <t>Passbook</t>
  </si>
  <si>
    <t>C14-P0035</t>
  </si>
  <si>
    <t>Identity Proof (Aadhaar Card/PAN Card/Voter ID/Bank Passbook with Photo, Kisan Photo Book/NREGA Job Card)</t>
  </si>
  <si>
    <t>C14-P0036</t>
  </si>
  <si>
    <t>Address Proof (Aadhaar Card/PAN Card/Voter ID/Electricity Bill/Bank Passbook with Photo).</t>
  </si>
  <si>
    <t>C14-P0037</t>
  </si>
  <si>
    <t>Evidence of Land records, as per the State Records of Right (RoR), Land Possession Certificate (LPC), and other applicable agreements, contracts notified or permitted by the state.</t>
  </si>
  <si>
    <t>C14-P0038</t>
  </si>
  <si>
    <t>Declaration about the crop sown/intended to be sown.</t>
  </si>
  <si>
    <t>C15-P0022</t>
  </si>
  <si>
    <t>To be submitted by the Student</t>
  </si>
  <si>
    <t>C15-P0023</t>
  </si>
  <si>
    <t>1. Aadhaar Card</t>
  </si>
  <si>
    <t>C15-P0024</t>
  </si>
  <si>
    <t>2. Proof of admission into a recognized Master’s degree course in an institute located in India and recognized by the UGC.</t>
  </si>
  <si>
    <t>C15-P0025</t>
  </si>
  <si>
    <t>3. Joining report (as per format given in Annexure-I)</t>
  </si>
  <si>
    <t>C15-P0026</t>
  </si>
  <si>
    <t>4. Affidavit regarding Single girl child status (as per format given in Annexure-II)</t>
  </si>
  <si>
    <t>C15-P0027</t>
  </si>
  <si>
    <t>5. Copy of the Bank Passbook</t>
  </si>
  <si>
    <t>C15-P0028</t>
  </si>
  <si>
    <t>6. Birth Certificate or Class 10th Marksheet</t>
  </si>
  <si>
    <t>C15-P0029</t>
  </si>
  <si>
    <t>To be submitted by the Institution</t>
  </si>
  <si>
    <t>C15-P0030</t>
  </si>
  <si>
    <t>1. A progress Report after the completion of the first year along with the percentage of marks obtained by the candidates needs to be submitted by the institution.</t>
  </si>
  <si>
    <t>C15-P0031</t>
  </si>
  <si>
    <t>2. Funds Utilization Certificate also needs to be submitted by the Institution Authorities after completion of the First Year.</t>
  </si>
  <si>
    <t>C16-P0020</t>
  </si>
  <si>
    <t>Passport Sized Photograph</t>
  </si>
  <si>
    <t>C16-P0021</t>
  </si>
  <si>
    <t>Aadhaar Number</t>
  </si>
  <si>
    <t>C16-P0022</t>
  </si>
  <si>
    <t>Proof of Educational Qualification</t>
  </si>
  <si>
    <t>C16-P0023</t>
  </si>
  <si>
    <t>Bonafide Certificate</t>
  </si>
  <si>
    <t>C16-P0024</t>
  </si>
  <si>
    <t>For the candidate applying under the OBC category, the OBC Caste certificate in the prescribed Performa issued by the competent authority.</t>
  </si>
  <si>
    <t>C16-P0025</t>
  </si>
  <si>
    <t>Income certificate produced by the student for availing Educational Loan viz. ITR/Form 16/Audited Accounts/Income certificate issued by the authority of the State Government/UT Administration.</t>
  </si>
  <si>
    <t>C16-P0026</t>
  </si>
  <si>
    <t>Details of the Aadhaar-linked Bank Account.</t>
  </si>
  <si>
    <t>C17-P0005</t>
  </si>
  <si>
    <t>Bank Account Proof</t>
  </si>
  <si>
    <t>C17-P0006</t>
  </si>
  <si>
    <t>Photocopy of bank passbook (showing account holder name, account number, and IFSC)</t>
  </si>
  <si>
    <t>C17-P0007</t>
  </si>
  <si>
    <t>Cancelled cheque</t>
  </si>
  <si>
    <t>C17-P0008</t>
  </si>
  <si>
    <t>Recent bank statement.</t>
  </si>
  <si>
    <t>C17-P0009</t>
  </si>
  <si>
    <t>Note: The account must be a savings bank account, active, and preferably Aadhaar-linked.</t>
  </si>
  <si>
    <t>C17-P0010</t>
  </si>
  <si>
    <t>Aadhaar Document (Optional but Recommended)</t>
  </si>
  <si>
    <t>C17-P0011</t>
  </si>
  <si>
    <t>Copy of Aadhaar Card (if available)</t>
  </si>
  <si>
    <t>C17-P0012</t>
  </si>
  <si>
    <t>If Aadhaar is not available, you should:</t>
  </si>
  <si>
    <t>C17-P0013</t>
  </si>
  <si>
    <t>Apply for Aadhaar and submit a copy of the acknowledgement receipt</t>
  </si>
  <si>
    <t>C17-P0014</t>
  </si>
  <si>
    <t>Consent/Declaration Form (Only in specific cases)</t>
  </si>
  <si>
    <t>C17-P0015</t>
  </si>
  <si>
    <t>If you wish to receive benefits in a family member’s bank account:</t>
  </si>
  <si>
    <t>C17-P0016</t>
  </si>
  <si>
    <t>A written consent/authorization form is required (format provided in the annexure of the manual).</t>
  </si>
  <si>
    <t>C17-P0017</t>
  </si>
  <si>
    <t>If you refuse to receive DBT benefits:</t>
  </si>
  <si>
    <t>C17-P0018</t>
  </si>
  <si>
    <t>A signed declaration to forego benefits must be submitted.</t>
  </si>
  <si>
    <t>C18-P0027</t>
  </si>
  <si>
    <t>At Health Facility Visit</t>
  </si>
  <si>
    <t>C18-P0028</t>
  </si>
  <si>
    <t>Mother And Child Protection Card (If Available).</t>
  </si>
  <si>
    <t>C18-P0029</t>
  </si>
  <si>
    <t>Aadhaar Card Or Any Government Issued Identity Proof.</t>
  </si>
  <si>
    <t>C18-P0030</t>
  </si>
  <si>
    <t>Previous Medical Records (If Any).</t>
  </si>
  <si>
    <t>C18-P0031</t>
  </si>
  <si>
    <t>Antenatal Care Records From Previous Visits.</t>
  </si>
  <si>
    <t>C18-P0032</t>
  </si>
  <si>
    <t>Prescription Slips From Previous Consultations (If Applicable).</t>
  </si>
  <si>
    <t>C18-P0033</t>
  </si>
  <si>
    <t>For Registration at Facility</t>
  </si>
  <si>
    <t>C18-P0034</t>
  </si>
  <si>
    <t>Address Proof (Ration Card/Voter Identity Card/Utility Bills).</t>
  </si>
  <si>
    <t>C18-P0035</t>
  </si>
  <si>
    <t>Mobile Number For Communication.</t>
  </si>
  <si>
    <t>C18-P0036</t>
  </si>
  <si>
    <t>Emergency Contact Details.</t>
  </si>
  <si>
    <t>C18-P0037</t>
  </si>
  <si>
    <t>Optional Documents</t>
  </si>
  <si>
    <t>C18-P0038</t>
  </si>
  <si>
    <t>Bank Account Details (For Direct Benefit Transfer if applicable in future).</t>
  </si>
  <si>
    <t>C18-P0039</t>
  </si>
  <si>
    <t>Husband's Identity Proof (If Required by Local Guidelines).</t>
  </si>
  <si>
    <t>C19-P0013</t>
  </si>
  <si>
    <t>No documents are required for availing the benefits of this scheme.</t>
  </si>
  <si>
    <t>C20-P0007</t>
  </si>
  <si>
    <t>Completed YHAI membership application form</t>
  </si>
  <si>
    <t>C20-P0008</t>
  </si>
  <si>
    <t>Passport size photograph</t>
  </si>
  <si>
    <t>C20-P0009</t>
  </si>
  <si>
    <t>Proof of identity, such as a copy of your passport, driver's license, or Aadhaar card</t>
  </si>
  <si>
    <t>C21-P0058</t>
  </si>
  <si>
    <t>Organizational/Legal Documents</t>
  </si>
  <si>
    <t>C21-P0059</t>
  </si>
  <si>
    <t>Certified Copy of the Registration Certificate Under Societies Registration Act, 1860 Or Charitable Trust Act Etc.</t>
  </si>
  <si>
    <t>C21-P0060</t>
  </si>
  <si>
    <t>Non-Governmental Organization Memorandum of Association (MOA).</t>
  </si>
  <si>
    <t>C21-P0061</t>
  </si>
  <si>
    <t>Valid Registration Certificate for the Project (License From the District Authorities).</t>
  </si>
  <si>
    <t>C21-P0062</t>
  </si>
  <si>
    <t>Copies of Rules, Aims, And Objectives of the Organization.</t>
  </si>
  <si>
    <t>C21-P0063</t>
  </si>
  <si>
    <t>List of Management/Managing Committee Members.</t>
  </si>
  <si>
    <t>C21-P0064</t>
  </si>
  <si>
    <t>Valid Managing Committee Details of the Project.</t>
  </si>
  <si>
    <t>C21-P0065</t>
  </si>
  <si>
    <t>Copy of Permanent Account Number (PAN) Card of the Organization.</t>
  </si>
  <si>
    <t>C21-P0066</t>
  </si>
  <si>
    <t>Bond Execution, Rule 231(2) &amp; 3 (Required for Implementing Agencies, Not Quasi-Government Institutions, Central Autonomous Organisations, Or Institutions With Government-Approved Budgets).</t>
  </si>
  <si>
    <t>C21-P0067</t>
  </si>
  <si>
    <t>Financial and Annual Reporting Documents</t>
  </si>
  <si>
    <t>C21-P0068</t>
  </si>
  <si>
    <t>Annual Report for the Year for Which Grant-In-Aid Is Sought.</t>
  </si>
  <si>
    <t>C21-P0069</t>
  </si>
  <si>
    <t>Annual Report for Last Two Years (If Non-Governmental Organization).</t>
  </si>
  <si>
    <t>C21-P0070</t>
  </si>
  <si>
    <t>Audited Statement of Accounts (Income-Expenditure Statement, Receipt-Payment Statement, Balance Sheet, Audit Report of Chartered Accountant).</t>
  </si>
  <si>
    <t>C21-P0071</t>
  </si>
  <si>
    <t>Audited Accounts of Previous Year (Required If Current Year Grant-In-Aid Is Proposed).</t>
  </si>
  <si>
    <t>C21-P0072</t>
  </si>
  <si>
    <t>Utilization Certificate Duly Certified By Chartered Accountant for Previous Recurring Grant-In-Aid As Per Rule 238 of General Financial Rules (GFR) (Required for Renewal/On-Going Proposals).</t>
  </si>
  <si>
    <t>C21-P0073</t>
  </si>
  <si>
    <t>Budget Estimates for the Proposed Year Is Uploaded.</t>
  </si>
  <si>
    <t>C21-P0074</t>
  </si>
  <si>
    <t>Budget Estimate Details (Item Wise Recurring &amp; Non-Recurring Expenditure).</t>
  </si>
  <si>
    <t>C21-P0075</t>
  </si>
  <si>
    <t>Bank Authorization Letter.</t>
  </si>
  <si>
    <t>C21-P0076</t>
  </si>
  <si>
    <t>Project Specific Documents</t>
  </si>
  <si>
    <t>C21-P0077</t>
  </si>
  <si>
    <t>Staff List Along With Their Requisite Qualification In the Prescribed Format.</t>
  </si>
  <si>
    <t>C21-P0078</t>
  </si>
  <si>
    <t>List of Beneficiaries.</t>
  </si>
  <si>
    <t>C21-P0079</t>
  </si>
  <si>
    <t>Notarized Rent/Lease Agreement If Rented Building.</t>
  </si>
  <si>
    <t>C21-P0080</t>
  </si>
  <si>
    <t>Satisfactory Certificate From All Beneficiaries (Required for Renewal/On-Going Proposals).</t>
  </si>
  <si>
    <t>C21-P0081</t>
  </si>
  <si>
    <t>Rural Area Certificate From Competent Authority (May Be Uploaded In Case of Centre Located In Rural Area, Along With Rent Agreement).</t>
  </si>
  <si>
    <t>C21-P0082</t>
  </si>
  <si>
    <t>State/Union Territory Annual Action Plan (For State Government Proposals).</t>
  </si>
  <si>
    <t>C21-P0083</t>
  </si>
  <si>
    <t>Affirmative Statement Regarding Implementation of Expenditure, Audit and Tender (EAT) Module and Opening of Corresponding Code (For State Government Proposals).</t>
  </si>
  <si>
    <t>C21-P0084</t>
  </si>
  <si>
    <t>Confirmations of the Compliance of Instructions Issued By Public Financial Management System (PFMS) Division (For State Government Proposals).</t>
  </si>
  <si>
    <t>C22-P0017</t>
  </si>
  <si>
    <t>*The following list of documents has been inferred from the eligibility criteria.</t>
  </si>
  <si>
    <t>C22-P0018</t>
  </si>
  <si>
    <t>Proof of Retirement as a Judicial Officer or Executive Officer.</t>
  </si>
  <si>
    <t>C22-P0019</t>
  </si>
  <si>
    <t>Proof of Legal Experience or Legal Background.</t>
  </si>
  <si>
    <t>C22-P0020</t>
  </si>
  <si>
    <t>Pending Case Details and Case History from the National Judicial Data Grid.</t>
  </si>
  <si>
    <t>C22-P0021</t>
  </si>
  <si>
    <t>Proof of Socio-Economic Status or Income Certificate.</t>
  </si>
  <si>
    <t>C22-P0022</t>
  </si>
  <si>
    <t>Valid Identity Proof of the Applicant.</t>
  </si>
  <si>
    <t>C23-P0010</t>
  </si>
  <si>
    <t>As required/directed by the authority.</t>
  </si>
  <si>
    <t>C24-P0030</t>
  </si>
  <si>
    <t>Bio-data (under user profile section)</t>
  </si>
  <si>
    <t>C24-P0031</t>
  </si>
  <si>
    <t>Age Proof Certificate</t>
  </si>
  <si>
    <t>C24-P0032</t>
  </si>
  <si>
    <t>Qualification Certificate</t>
  </si>
  <si>
    <t>C24-P0033</t>
  </si>
  <si>
    <t>Category Certificate (in case of Age Relaxation)</t>
  </si>
  <si>
    <t>C24-P0034</t>
  </si>
  <si>
    <t>Undertaking Certificate by the applicant</t>
  </si>
  <si>
    <t>C24-P0035</t>
  </si>
  <si>
    <t>Endorsement Certificate from the Mentor &amp; Host Institute</t>
  </si>
  <si>
    <t>C24-P0036</t>
  </si>
  <si>
    <t>Short CV of the mentor (see online portal for its format)</t>
  </si>
  <si>
    <t>C24-P0037</t>
  </si>
  <si>
    <t>CV of Mentor</t>
  </si>
  <si>
    <t>C24-P0038</t>
  </si>
  <si>
    <t>Plagiarism undertaking</t>
  </si>
  <si>
    <t>C25-P0032</t>
  </si>
  <si>
    <t>Identity proof i.e. Aadhaar Card, PAN Card</t>
  </si>
  <si>
    <t>C25-P0033</t>
  </si>
  <si>
    <t>SC/ ST/ OBC/PH Certificate (if claiming age relaxation)</t>
  </si>
  <si>
    <t>C25-P0034</t>
  </si>
  <si>
    <t>Educational certificates</t>
  </si>
  <si>
    <t>C25-P0035</t>
  </si>
  <si>
    <t>Proof of age</t>
  </si>
  <si>
    <t>C25-P0036</t>
  </si>
  <si>
    <t>Proof of research experience</t>
  </si>
  <si>
    <t>C25-P0037</t>
  </si>
  <si>
    <t>List/details of publications</t>
  </si>
  <si>
    <t>C25-P0038</t>
  </si>
  <si>
    <t>Details of Scholarships, Medals, Fellowships, Awards, Distinctions or Honors received during academic career</t>
  </si>
  <si>
    <t>C25-P0039</t>
  </si>
  <si>
    <t>Detailed Bio-data of Principal Investigator and Co-Investigator including last 5 year’s publications in cited journals.</t>
  </si>
  <si>
    <t>C25-P0040</t>
  </si>
  <si>
    <t>Details of the R&amp;D Project</t>
  </si>
  <si>
    <t>C25-P0041</t>
  </si>
  <si>
    <t>Certification by the Head of the Institute</t>
  </si>
  <si>
    <t>C25-P0042</t>
  </si>
  <si>
    <t>Certificate from the Investigator</t>
  </si>
  <si>
    <t>C25-P0043</t>
  </si>
  <si>
    <t>Any other relevant information</t>
  </si>
  <si>
    <t>C26-P0014</t>
  </si>
  <si>
    <t>1.	Passport size photograph</t>
  </si>
  <si>
    <t>C26-P0015</t>
  </si>
  <si>
    <t>2.	Biodata of the applicant (under the user profile section)</t>
  </si>
  <si>
    <t>C26-P0016</t>
  </si>
  <si>
    <t>3.	Other technical details of the proposal</t>
  </si>
  <si>
    <t>C26-P0017</t>
  </si>
  <si>
    <t>4.	Certificate from the Investigator</t>
  </si>
  <si>
    <t>C26-P0018</t>
  </si>
  <si>
    <t>5.	Endorsement certificate from the Head of Parent Institution</t>
  </si>
  <si>
    <t>C26-P0019</t>
  </si>
  <si>
    <t>6.	Endorsement Letter from the Head of the host Institution</t>
  </si>
  <si>
    <t>C26-P0020</t>
  </si>
  <si>
    <t>7.	CV of the Mentor</t>
  </si>
  <si>
    <t>C26-P0021</t>
  </si>
  <si>
    <t>8.	Category certificate</t>
  </si>
  <si>
    <t>C26-P0022</t>
  </si>
  <si>
    <t>9.	Age proof certificate</t>
  </si>
  <si>
    <t>C26-P0023</t>
  </si>
  <si>
    <t>10.	Joining report</t>
  </si>
  <si>
    <t>C26-P0024</t>
  </si>
  <si>
    <t>11.	Mandatory 90 days attendance certificate by the end of the financial year</t>
  </si>
  <si>
    <t>C26-P0025</t>
  </si>
  <si>
    <t>12.	Plagiarism undertaking</t>
  </si>
  <si>
    <t>C27-P0035</t>
  </si>
  <si>
    <t>1)	Aadhaar card and aadhar linked bank account.</t>
  </si>
  <si>
    <t>C27-P0036</t>
  </si>
  <si>
    <t>2)	EWS Certificate for non-minority candidates.</t>
  </si>
  <si>
    <t>C27-P0037</t>
  </si>
  <si>
    <t>3)     Educational Qualification in line with the training programme being applied for.</t>
  </si>
  <si>
    <t>C28-P0054</t>
  </si>
  <si>
    <t>Proof of Identity i.e. Aadhaar Card</t>
  </si>
  <si>
    <t>C28-P0055</t>
  </si>
  <si>
    <t>Proof of Address</t>
  </si>
  <si>
    <t>C28-P0056</t>
  </si>
  <si>
    <t>Proof of Highest Educational Qualifications</t>
  </si>
  <si>
    <t>C28-P0057</t>
  </si>
  <si>
    <t>Proof of Medical Category</t>
  </si>
  <si>
    <t>C28-P0058</t>
  </si>
  <si>
    <t>Passport-size photograph</t>
  </si>
  <si>
    <t>C28-P0059</t>
  </si>
  <si>
    <t>Domicile Certificate</t>
  </si>
  <si>
    <t>C28-P0060</t>
  </si>
  <si>
    <t>The applicants will have to submit a written pledge that they were not involved in the violent protests against the Agnipath scheme.</t>
  </si>
  <si>
    <t>C28-P0061</t>
  </si>
  <si>
    <t>Note: The list of documents required is tentative, the ministry shall release the complete list of the required documents in the public domain in the future.</t>
  </si>
  <si>
    <t>C29-P0011</t>
  </si>
  <si>
    <t>BPL Card</t>
  </si>
  <si>
    <t>C29-P0012</t>
  </si>
  <si>
    <t>Aadhaar card</t>
  </si>
  <si>
    <t>C29-P0013</t>
  </si>
  <si>
    <t>C29-P0014</t>
  </si>
  <si>
    <t>Disability certificate:- Disability certificate (80% and More) issued from Chief Medical Officer, Community Health Centre or Primary Health Centre will be accepted.</t>
  </si>
  <si>
    <t>C29-P0015</t>
  </si>
  <si>
    <t>Passport Size Photographs.</t>
  </si>
  <si>
    <t>C30-P0029</t>
  </si>
  <si>
    <t>C30-P0030</t>
  </si>
  <si>
    <t>C30-P0031</t>
  </si>
  <si>
    <t>Residential Certificate.</t>
  </si>
  <si>
    <t>C30-P0032</t>
  </si>
  <si>
    <t>Disability Certificate.</t>
  </si>
  <si>
    <t>C30-P0033</t>
  </si>
  <si>
    <t>C30-P0034</t>
  </si>
  <si>
    <t>Proof of the Latest Educational Qualification (Passing Certificate or Marksheet)</t>
  </si>
  <si>
    <t>C30-P0035</t>
  </si>
  <si>
    <t>Bonafide Certificate from the School/College</t>
  </si>
  <si>
    <t>C30-P0036</t>
  </si>
  <si>
    <t>Any other document required by the College or the District Social Welfare Office.</t>
  </si>
  <si>
    <t>C31-P0022</t>
  </si>
  <si>
    <t>A recent (not older than six months) clear &amp; colored passport-size photograph of the applicant to be affixed on the specified place in the application form;</t>
  </si>
  <si>
    <t>C31-P0023</t>
  </si>
  <si>
    <t>Self-attested copy of any one document from the following listed documents for address proof:- Aadhaar Card issued by Unique Identification Authority of India(UIDAI); Elector’s photo identity card; Passport; Driving License; Electricity Bill; Landline telephone or broadband connection bill; Water Bill; Consumer gas connection card or book or piped gas bill; Bank account statement, Domicile certificate issued by the Government; Passport of the spouse; Post office passbook having an address of the applicant; Property registration document</t>
  </si>
  <si>
    <t>C31-P0024</t>
  </si>
  <si>
    <t>Self-attested copy of any one document from the following listed documents for proof of Date of Birth:- Aadhaar Card issued by UIDAI; PAN Card, Elector’s photo identity card; Passport; Driving License; Birth Certificate issued by the Municipal Authority or any office authorized to issue Birth and Death Certificate by the Registrar of Birth and Deaths; Marriage certificate issued by Registrar of Marriages; Matriculation/10th class certificate or mark sheet of recognized Board; Domicile certificate issued by the Government.</t>
  </si>
  <si>
    <t>C31-P0025</t>
  </si>
  <si>
    <t>Self-attested copy of Aadhaar Card issued by UIDAI.</t>
  </si>
  <si>
    <t>C31-P0026</t>
  </si>
  <si>
    <t>Original copy of Income Certificate in the prescribed format [Annexure-II(A)] issued by the Competent Authority of the State/UTs concerned.</t>
  </si>
  <si>
    <t>C31-P0027</t>
  </si>
  <si>
    <t>Copies of relevant documents which support the applicant’s contributions made in the field of Art, Culture, etc., or awards, recognition, or distinction received by the applicant from Central/State Government/Union Territory or any prominent Literary or Arts Society.</t>
  </si>
  <si>
    <t>C31-P0028</t>
  </si>
  <si>
    <t>Duly filled-in and signed prescribed Bank Authorization letter (Annexure-IV) which is verified &amp; signed by the Manager of the concerned Bank (in original).</t>
  </si>
  <si>
    <t>C31-P0029</t>
  </si>
  <si>
    <t>Recommendation letter obtained from the Culture Department of the concerned Stated Government/UT Administrations in the prescribed format [Part-II of the Application Form (Appendix)].</t>
  </si>
  <si>
    <t>C31-P0030</t>
  </si>
  <si>
    <t>In case of pension to the spouse in case of death of beneficiary:</t>
  </si>
  <si>
    <t>C31-P0031</t>
  </si>
  <si>
    <t>Copy of death certificate of the late beneficiary in original or self-attested;</t>
  </si>
  <si>
    <t>C31-P0032</t>
  </si>
  <si>
    <t>Documentary proof to support that the late beneficiary was getting artistes pension;</t>
  </si>
  <si>
    <t>C31-P0033</t>
  </si>
  <si>
    <t>Legal heir certificate in the prescribed proforma issued by the Competent Authority and an affidavit from SDM or 1st Class Magistrate in proforma;</t>
  </si>
  <si>
    <t>C31-P0034</t>
  </si>
  <si>
    <t>Self-attested copy of the Digital Life Certificate (DLC) of the spouse processed through Jeevan Pramaan Portal https://jeevanpramaan.gov.in</t>
  </si>
  <si>
    <t>C31-P0035</t>
  </si>
  <si>
    <t>Self-attested copy of the latest Income Certificate of the spouse in the prescribed format [Annexure-II(A)] issued by the concerned Competent Authority of the States/UTs[Annexure-II(B)];</t>
  </si>
  <si>
    <t>C31-P0036</t>
  </si>
  <si>
    <t>Self-attested copy of Aadhaar Card of spouse issued by UIDAI;</t>
  </si>
  <si>
    <t>C31-P0037</t>
  </si>
  <si>
    <t>Self-attested copy of any document in support of address proof of the spouse.</t>
  </si>
  <si>
    <t>C31-P0038</t>
  </si>
  <si>
    <t>An undertaking that he/she is not getting financial assistance under other Schemes of the Ministry of Culture or other Ministry/Department of Central Government for the same purpose.</t>
  </si>
  <si>
    <t>C31-P0039</t>
  </si>
  <si>
    <t>Bank Authorization Letter in the prescribed format (Annexure-IV)</t>
  </si>
  <si>
    <t>C32-P0047</t>
  </si>
  <si>
    <t>To Be Submitted by the Candidate through University/College -</t>
  </si>
  <si>
    <t>C32-P0048</t>
  </si>
  <si>
    <t>1. The candidate is required to submit an application in the prescribed format for availing of the scholarship.</t>
  </si>
  <si>
    <t>C32-P0049</t>
  </si>
  <si>
    <t>2. A Certificate of the participation/medal winner as per the eligibility mentioned above as proof (Attested By Registrar/Principal).</t>
  </si>
  <si>
    <t>C32-P0050</t>
  </si>
  <si>
    <t>To Be Submitted by the concerned University/College/Institution to the UGC -</t>
  </si>
  <si>
    <t>C32-P0051</t>
  </si>
  <si>
    <t>Every year University/Institution will submit a complete statement of the following:</t>
  </si>
  <si>
    <t>C32-P0052</t>
  </si>
  <si>
    <t>1. Statement giving the names of the students selected for the scholarship along with their receipt of the scholarship amount.</t>
  </si>
  <si>
    <t>C32-P0053</t>
  </si>
  <si>
    <t>2. Progress Report to be submitted after the completion of the first year in terms of sports performance and academics.</t>
  </si>
  <si>
    <t>C32-P0054</t>
  </si>
  <si>
    <t>3. Utilization certificate for the previous grant released.</t>
  </si>
  <si>
    <t>C32-P0055</t>
  </si>
  <si>
    <t>4. A certificate giving justification for the continuance of the scholarship issued by the Director/Head of the Department duly forwarded by the Registrar/Principal.</t>
  </si>
  <si>
    <t>C33-P0008</t>
  </si>
  <si>
    <t>Aadhar Card</t>
  </si>
  <si>
    <t>C33-P0009</t>
  </si>
  <si>
    <t>PAN Card</t>
  </si>
  <si>
    <t>C33-P0010</t>
  </si>
  <si>
    <t>Unique Disability ID card (UDID) (issued by the Ministry of Social Justice and Empowerment, Govt. of India) or Disability certificate (issued by Central Govt./State Govt./District Govt. bearing the proper signature and seal of the issuing authority wherein their name and registration no. should be mentioned)</t>
  </si>
  <si>
    <t>C33-P0011</t>
  </si>
  <si>
    <t>Income Tax Return filed for the last three years.</t>
  </si>
  <si>
    <t>C33-P0012</t>
  </si>
  <si>
    <t>Self-Declaration stating that he has not availed this concession in the last five years and he will not dispose of the vehicle after availing the GST concession for a period of 5 years from the date of purchase in the prescribed format placed in Annexure C.</t>
  </si>
  <si>
    <t>C33-P0013</t>
  </si>
  <si>
    <t>Details of the Vehicle Model they intend to purchase along with the name of the dealer from whom the vehicle will be purchased and the name of RTO, where the vehicle will be registered.</t>
  </si>
  <si>
    <t>C33-P0014</t>
  </si>
  <si>
    <t>NOTE: If a person does not have either of the medical certificates as referred above, then duly-filled annexure B is required with the signature and countersignature of orthopaedic doctor and civil surgeon rank officers respectively with their seal indicating their name and registration number.</t>
  </si>
  <si>
    <t>C34-P0010</t>
  </si>
  <si>
    <t>Organization registration certificate</t>
  </si>
  <si>
    <t>C34-P0011</t>
  </si>
  <si>
    <t>Energy consumption data/report</t>
  </si>
  <si>
    <t>C34-P0012</t>
  </si>
  <si>
    <t>Proof of energy-saving initiatives</t>
  </si>
  <si>
    <t>C34-P0013</t>
  </si>
  <si>
    <t>Supporting documents or reports</t>
  </si>
  <si>
    <t>C34-P0014</t>
  </si>
  <si>
    <t>Any other papers asked by the Awards team.</t>
  </si>
  <si>
    <t>C35-P0043</t>
  </si>
  <si>
    <t>For Prior Approval:</t>
  </si>
  <si>
    <t>C35-P0044</t>
  </si>
  <si>
    <t>Proof of TSP approval by Ministry of Tourism or State/UT Tourism Department.</t>
  </si>
  <si>
    <t>C35-P0045</t>
  </si>
  <si>
    <t>Declaration/Undertaking of no investigation or debarment.</t>
  </si>
  <si>
    <t>C35-P0046</t>
  </si>
  <si>
    <t>FEE certificate certified by a Chartered Accountant.</t>
  </si>
  <si>
    <t>C35-P0047</t>
  </si>
  <si>
    <t>For Reimbursement:</t>
  </si>
  <si>
    <t>C35-P0048</t>
  </si>
  <si>
    <t>Financial assistance details of the past three years.</t>
  </si>
  <si>
    <t>C35-P0049</t>
  </si>
  <si>
    <t>Air tickets and boarding passes or passport pages with immigration stamps.</t>
  </si>
  <si>
    <t>C35-P0050</t>
  </si>
  <si>
    <t>Tour report (maximum 250 words).</t>
  </si>
  <si>
    <t>C35-P0051</t>
  </si>
  <si>
    <t>Original receipts and proof of payments for air tickets, booth setup, participation fees, and lodging.</t>
  </si>
  <si>
    <t>C36-P0012</t>
  </si>
  <si>
    <t>Curriculum Vitae containing the Date of Birth and Age, Awards, Scholarships, Educational Qualification, Research Experience, and List of Publications.</t>
  </si>
  <si>
    <t>C36-P0013</t>
  </si>
  <si>
    <t>Passport Size Photograph.</t>
  </si>
  <si>
    <t>C36-P0014</t>
  </si>
  <si>
    <t>A copy of the Letter of Acceptance from the organizers of the event.</t>
  </si>
  <si>
    <t>C36-P0015</t>
  </si>
  <si>
    <t>Abstract/Full text of paperas submitted for the event.</t>
  </si>
  <si>
    <t>C36-P0016</t>
  </si>
  <si>
    <t>A brief on the Project Impact of the paper presented.</t>
  </si>
  <si>
    <t>C36-P0017</t>
  </si>
  <si>
    <t>A brief on Expected Outcome from the paper presented.</t>
  </si>
  <si>
    <t>C36-P0018</t>
  </si>
  <si>
    <t>A scanned copy of the Certificate by the student.</t>
  </si>
  <si>
    <t>C36-P0019</t>
  </si>
  <si>
    <t>A scanned copy of the Endorsement by the Head of the Institution.</t>
  </si>
  <si>
    <t>C37-P0018</t>
  </si>
  <si>
    <t>There are no document requirements for this scheme.</t>
  </si>
  <si>
    <t>C38-P0007</t>
  </si>
  <si>
    <t>Form 1 -  Submit a copy of the Aadhaar letter to the LPG distributor or bank</t>
  </si>
  <si>
    <t>C38-P0008</t>
  </si>
  <si>
    <t>Form 2 - Aadhaar letter, in addition to residential proof, to be submitted to the LPG distributor</t>
  </si>
  <si>
    <t>C38-P0009</t>
  </si>
  <si>
    <t>Form 3 -  A copy of a current refill slip consisting of a 17-digit LPG ID number</t>
  </si>
  <si>
    <t>C38-P0010</t>
  </si>
  <si>
    <t>Form 4 - A copy of a bank passbook's front page and a canceled cheque</t>
  </si>
  <si>
    <t>C39-P0029</t>
  </si>
  <si>
    <t>At The Application And Planning Stage</t>
  </si>
  <si>
    <t>C39-P0030</t>
  </si>
  <si>
    <t>Demographic Data And Beneficiary Census Report.</t>
  </si>
  <si>
    <t>C39-P0031</t>
  </si>
  <si>
    <t>Gram Panchayat Level Water Budget Document.</t>
  </si>
  <si>
    <t>C39-P0032</t>
  </si>
  <si>
    <t>Gram Panchayat Level Water Security Plan.</t>
  </si>
  <si>
    <t>C39-P0033</t>
  </si>
  <si>
    <t>Gram Sabha Resolution Approving The Water Security Plan.</t>
  </si>
  <si>
    <t>C39-P0034</t>
  </si>
  <si>
    <t>Record Of Minutes Of Community-Level Meetings.</t>
  </si>
  <si>
    <t>C39-P0035</t>
  </si>
  <si>
    <t>Attendance Sheets Of The Gram Sabha (Ensuring At Least 20 Percent Women Members).</t>
  </si>
  <si>
    <t>C39-P0036</t>
  </si>
  <si>
    <t>At The Benefit Disbursal And Monitoring Stage</t>
  </si>
  <si>
    <t>C39-P0037</t>
  </si>
  <si>
    <t>Audited Financial Statements Of The Gram Panchayat.</t>
  </si>
  <si>
    <t>C39-P0038</t>
  </si>
  <si>
    <t>Monthly Expenditure Statements With Supporting Documentation.</t>
  </si>
  <si>
    <t>C39-P0039</t>
  </si>
  <si>
    <t>Utilization Certificates For The Received Scheme Funds.</t>
  </si>
  <si>
    <t>M05-P0036</t>
  </si>
  <si>
    <t>M05-P0037</t>
  </si>
  <si>
    <t>M05-P0038</t>
  </si>
  <si>
    <t>M05-P0039</t>
  </si>
  <si>
    <t>M05-P0040</t>
  </si>
  <si>
    <t>M05-P0041</t>
  </si>
  <si>
    <t>M05-P0042</t>
  </si>
  <si>
    <t>Proof of Passing Class 10th.</t>
  </si>
  <si>
    <t>M05-P0043</t>
  </si>
  <si>
    <t>M05-P0044</t>
  </si>
  <si>
    <t>Proof of Pursuance of a Post-Matric Qualification (Fee Receipt, etc)</t>
  </si>
  <si>
    <t>M05-P0045</t>
  </si>
  <si>
    <t>Any other document required by the School/College or the District Social Welfare Office.</t>
  </si>
  <si>
    <t>M06-P0009</t>
  </si>
  <si>
    <t>M06-P0010</t>
  </si>
  <si>
    <t>M06-P0011</t>
  </si>
  <si>
    <t>Proof of Age (Birth Certificate, etc).</t>
  </si>
  <si>
    <t>M06-P0012</t>
  </si>
  <si>
    <t>M06-P0013</t>
  </si>
  <si>
    <t>M06-P0014</t>
  </si>
  <si>
    <t>M06-P0015</t>
  </si>
  <si>
    <t>Any other document required by the Child Welfare Committee.</t>
  </si>
  <si>
    <t>M07-P0010</t>
  </si>
  <si>
    <t>M07-P0011</t>
  </si>
  <si>
    <t>Proof of Age (Birth Certificate, Marksheet of Class 10th/12th, etc)</t>
  </si>
  <si>
    <t>M07-P0012</t>
  </si>
  <si>
    <t>2-Passport Sized Photograph (Signed Across)</t>
  </si>
  <si>
    <t>M07-P0013</t>
  </si>
  <si>
    <t>M07-P0014</t>
  </si>
  <si>
    <t>Proof of being a Roadside Cobbler (issued by the Gram Panchayat),</t>
  </si>
  <si>
    <t>M07-P0015</t>
  </si>
  <si>
    <t>Income Certificate issued by an Authorised Govt.Officer.</t>
  </si>
  <si>
    <t>M07-P0016</t>
  </si>
  <si>
    <t>Caste Certificate issued by an Authorised Govt.Officer.</t>
  </si>
  <si>
    <t>M07-P0017</t>
  </si>
  <si>
    <t>M07-P0018</t>
  </si>
  <si>
    <t>Any other document required by the District Office of LIDCOM.</t>
  </si>
  <si>
    <t>M08-P0013</t>
  </si>
  <si>
    <t>Completed application form from the LIDCOM District Office.</t>
  </si>
  <si>
    <t>M08-P0014</t>
  </si>
  <si>
    <t>Recent passport-size photograph.</t>
  </si>
  <si>
    <t>M08-P0015</t>
  </si>
  <si>
    <t>Valid Income Certificate (issued by an authorized government officer).</t>
  </si>
  <si>
    <t>M08-P0016</t>
  </si>
  <si>
    <t>Caste Certificate (Charmakar Community).</t>
  </si>
  <si>
    <t>M08-P0017</t>
  </si>
  <si>
    <t>Proof of Residence (Maharashtra).</t>
  </si>
  <si>
    <t>M08-P0018</t>
  </si>
  <si>
    <t>7/12 Land Extract:</t>
  </si>
  <si>
    <t>M08-P0019</t>
  </si>
  <si>
    <t>Applicant’s name, joint name with husband, or husband’s name (with affidavit) for agricultural loans.</t>
  </si>
  <si>
    <t>M08-P0020</t>
  </si>
  <si>
    <t>Knowledge or experience proof relevant to the proposed business/project.</t>
  </si>
  <si>
    <t>M09-P0012</t>
  </si>
  <si>
    <t>The applicant must provide an income and caste certificate issued by an authorized government officer.</t>
  </si>
  <si>
    <t>M10-P0011</t>
  </si>
  <si>
    <t>M10-P0012</t>
  </si>
  <si>
    <t>Proof of Age (Birth Certificate, Marksheet of Class 10th/12th, etc).</t>
  </si>
  <si>
    <t>M10-P0013</t>
  </si>
  <si>
    <t>M10-P0014</t>
  </si>
  <si>
    <t>M10-P0015</t>
  </si>
  <si>
    <t>M10-P0016</t>
  </si>
  <si>
    <t>M10-P0017</t>
  </si>
  <si>
    <t>M11-P0010</t>
  </si>
  <si>
    <t>M11-P0011</t>
  </si>
  <si>
    <t>M11-P0012</t>
  </si>
  <si>
    <t>M11-P0013</t>
  </si>
  <si>
    <t>M11-P0014</t>
  </si>
  <si>
    <t>M11-P0015</t>
  </si>
  <si>
    <t>Income Certificate.</t>
  </si>
  <si>
    <t>M11-P0016</t>
  </si>
  <si>
    <t>M11-P0017</t>
  </si>
  <si>
    <t>M12-P0016</t>
  </si>
  <si>
    <t>Residential / Domicile Certificate.</t>
  </si>
  <si>
    <t>M12-P0017</t>
  </si>
  <si>
    <t>Caste Certificate.</t>
  </si>
  <si>
    <t>M12-P0018</t>
  </si>
  <si>
    <t>M12-P0019</t>
  </si>
  <si>
    <t>Address Proof.</t>
  </si>
  <si>
    <t>M12-P0020</t>
  </si>
  <si>
    <t>Identity Card.</t>
  </si>
  <si>
    <t>M12-P0021</t>
  </si>
  <si>
    <t>Passport Size Photo.</t>
  </si>
  <si>
    <t>M13-P0024</t>
  </si>
  <si>
    <t>1.	Aadhar Card,</t>
  </si>
  <si>
    <t>M13-P0025</t>
  </si>
  <si>
    <t>2.	7/12,</t>
  </si>
  <si>
    <t>M13-P0026</t>
  </si>
  <si>
    <t>3.	8-A,</t>
  </si>
  <si>
    <t>M13-P0027</t>
  </si>
  <si>
    <t>4.	Ferfar,</t>
  </si>
  <si>
    <t>M13-P0028</t>
  </si>
  <si>
    <t>5.	Ration card etc</t>
  </si>
  <si>
    <t>M14-P0027</t>
  </si>
  <si>
    <t>1)	Passport size photo</t>
  </si>
  <si>
    <t>M14-P0028</t>
  </si>
  <si>
    <t>2)	Aadhar card</t>
  </si>
  <si>
    <t>M14-P0029</t>
  </si>
  <si>
    <t>3)	Domicile certificate</t>
  </si>
  <si>
    <t>M14-P0030</t>
  </si>
  <si>
    <t>4)	Educational cetifiacate</t>
  </si>
  <si>
    <t>M14-P0031</t>
  </si>
  <si>
    <t>5)	Undertaking form</t>
  </si>
  <si>
    <t>M14-P0032</t>
  </si>
  <si>
    <t>6)	Project profile</t>
  </si>
  <si>
    <t>M14-P0033</t>
  </si>
  <si>
    <t>7)	Caste certificate(If applicable)</t>
  </si>
  <si>
    <t>M14-P0034</t>
  </si>
  <si>
    <t>8)	Special categary certificate(If applicable)</t>
  </si>
  <si>
    <t>M14-P0035</t>
  </si>
  <si>
    <t>9)	Pan card</t>
  </si>
  <si>
    <t>M14-P0036</t>
  </si>
  <si>
    <t>10)	Populatuion certificate (Only for rural applicant)</t>
  </si>
  <si>
    <t>M14-P0037</t>
  </si>
  <si>
    <t>11)	Clearance /approved certificate (bank)(If Working capital is zero for project cost more than 5 lac)</t>
  </si>
  <si>
    <t>M15-P0019</t>
  </si>
  <si>
    <t>1)	Aadhaar Number</t>
  </si>
  <si>
    <t>M15-P0020</t>
  </si>
  <si>
    <t>2)	Land details – 8A &amp; 7/12 extract</t>
  </si>
  <si>
    <t>M15-P0021</t>
  </si>
  <si>
    <t>3)	Cast certificate (for applicants from SC ST communities)</t>
  </si>
  <si>
    <t>M15-P0022</t>
  </si>
  <si>
    <t>4)	Landless certificate (for landless farmers &amp; labourers)</t>
  </si>
  <si>
    <t>M15-P0023</t>
  </si>
  <si>
    <t>5)	Death certificate of husband (for Widows)</t>
  </si>
  <si>
    <t>M15-P0024</t>
  </si>
  <si>
    <t>6)	Divorce certificate (for divorcee female)</t>
  </si>
  <si>
    <t>M16-P0006</t>
  </si>
  <si>
    <t>Passport-size Photo.</t>
  </si>
  <si>
    <t>M16-P0007</t>
  </si>
  <si>
    <t>M16-P0008</t>
  </si>
  <si>
    <t>Identity Card of Maharashtra Building and Other Construction Workers Welfare Board.</t>
  </si>
  <si>
    <t>M16-P0009</t>
  </si>
  <si>
    <t>Bank Passbook.</t>
  </si>
  <si>
    <t>M16-P0010</t>
  </si>
  <si>
    <t>Medical Certificate (issued by competent medical authorities about serious illness).</t>
  </si>
  <si>
    <t>M16-P0011</t>
  </si>
  <si>
    <t>Medical Treatment Papers.</t>
  </si>
  <si>
    <t>M16-P0012</t>
  </si>
  <si>
    <t>Proof of Residence (One of Aadhaar Card/Passport/Driving Licence/Ration Sheet/Last Month's Electricity Bill/Gram Panchayat Certificate).</t>
  </si>
  <si>
    <t>M17-P0008</t>
  </si>
  <si>
    <t>M17-P0009</t>
  </si>
  <si>
    <t>M17-P0010</t>
  </si>
  <si>
    <t>M17-P0011</t>
  </si>
  <si>
    <t>M17-P0012</t>
  </si>
  <si>
    <t>M17-P0013</t>
  </si>
  <si>
    <t>M18-P0010</t>
  </si>
  <si>
    <t>Aadhaar Number.</t>
  </si>
  <si>
    <t>M18-P0011</t>
  </si>
  <si>
    <t>Proof of Identity.</t>
  </si>
  <si>
    <t>M18-P0012</t>
  </si>
  <si>
    <t>Proof of Age (Birth Certificate).</t>
  </si>
  <si>
    <t>M18-P0013</t>
  </si>
  <si>
    <t>Proof of Address.</t>
  </si>
  <si>
    <t>M18-P0014</t>
  </si>
  <si>
    <t>Domicile Certificate of Maharashtra.</t>
  </si>
  <si>
    <t>M18-P0015</t>
  </si>
  <si>
    <t>Caste Certificate VJNT or SBC Community (duly signed by an authorized Revenue Officer, not below the rank of Tehsildar).</t>
  </si>
  <si>
    <t>M18-P0016</t>
  </si>
  <si>
    <t>Marksheet of the Latest Educational Qualification.</t>
  </si>
  <si>
    <t>M18-P0017</t>
  </si>
  <si>
    <t>Bank Account Details.</t>
  </si>
  <si>
    <t>M18-P0018</t>
  </si>
  <si>
    <t>Passport-sized Photograph.</t>
  </si>
  <si>
    <t>M19-P0022</t>
  </si>
  <si>
    <t>Photograph of the Beneficiary Woman</t>
  </si>
  <si>
    <t>M19-P0023</t>
  </si>
  <si>
    <t>M19-P0024</t>
  </si>
  <si>
    <t>Domicile Certificate (If the Domicile Certificate is not available, any one of the following can be submitted: Ration Card issued before 15 years, Voter ID card issued before 15 years, Birth Certificate, or School Leaving Certificate).</t>
  </si>
  <si>
    <t>M19-P0025</t>
  </si>
  <si>
    <t>For Women Born Abroad (Submit the Husband's Ration Card issued before 15 years, Voter ID card issued before 15 years, Birth Certificate, School Leaving Certificate, or Domicile Certificate).</t>
  </si>
  <si>
    <t>M19-P0026</t>
  </si>
  <si>
    <t>Income Certificate (Not required if the woman has a Yellow or Orange Ration Card. Required if the woman has a White Ration Card or no Ration Card).</t>
  </si>
  <si>
    <t>M19-P0027</t>
  </si>
  <si>
    <t>Marriage Certificate (If your name is not listed on the Ration Card and you are newly married, your husband’s Ration Card can be used as proof of income)</t>
  </si>
  <si>
    <t>M19-P0028</t>
  </si>
  <si>
    <t>Bank Account Details (account should be Aadhaar-linked)</t>
  </si>
  <si>
    <t>M19-P0029</t>
  </si>
  <si>
    <t>Affirmation Letter</t>
  </si>
  <si>
    <t>M20-P0048</t>
  </si>
  <si>
    <t>List of valid photo ID proofs to be accepted along with document of eligible criteria:</t>
  </si>
  <si>
    <t>M20-P0049</t>
  </si>
  <si>
    <t>1. Aadhaar Card or Aadhaar Registration Slip with a photo of the beneficiary. An Aadhaar Card would be insisted upon as an identification document and in the absence of an Aadhaar card/number; any document that is accepted for issuance of an Aadhaar card will also be accepted.</t>
  </si>
  <si>
    <t>M20-P0050</t>
  </si>
  <si>
    <t>2. Pan Card</t>
  </si>
  <si>
    <t>M20-P0051</t>
  </si>
  <si>
    <t>3. Voter ID</t>
  </si>
  <si>
    <t>M20-P0052</t>
  </si>
  <si>
    <t>4. Driving License</t>
  </si>
  <si>
    <t>M20-P0053</t>
  </si>
  <si>
    <t>5. School/College Id</t>
  </si>
  <si>
    <t>M20-P0054</t>
  </si>
  <si>
    <t>6. Passport</t>
  </si>
  <si>
    <t>M20-P0055</t>
  </si>
  <si>
    <t>7. Freedom Fighter ID card</t>
  </si>
  <si>
    <t>M20-P0056</t>
  </si>
  <si>
    <t>8. Health Card of RGJAY / MJPJAY</t>
  </si>
  <si>
    <t>M20-P0057</t>
  </si>
  <si>
    <t>9. Handicap Certificate</t>
  </si>
  <si>
    <t>M20-P0058</t>
  </si>
  <si>
    <t>10. Nationalized Bank Passbook with Photo</t>
  </si>
  <si>
    <t>M20-P0059</t>
  </si>
  <si>
    <t>11. Senior citizen card issued by the Central Government or State Government</t>
  </si>
  <si>
    <t>M20-P0060</t>
  </si>
  <si>
    <t>12. Defense ex-servicemen card issued by Sainik Board</t>
  </si>
  <si>
    <t>M20-P0061</t>
  </si>
  <si>
    <t>13. Marine Fishery Identity card (Issued by Ministry of Agriculture / Fisheries Department Government of Maharashtra).</t>
  </si>
  <si>
    <t>M20-P0062</t>
  </si>
  <si>
    <t>14. Any photo ID proof issued by the Government of Maharashtra/ Government of India</t>
  </si>
  <si>
    <t>M21-P0013</t>
  </si>
  <si>
    <t>Passport-size Photograph</t>
  </si>
  <si>
    <t>M21-P0014</t>
  </si>
  <si>
    <t>M21-P0015</t>
  </si>
  <si>
    <t>Bank Passbook or Cancelled Cheque</t>
  </si>
  <si>
    <t>M21-P0016</t>
  </si>
  <si>
    <t>Living Certificate</t>
  </si>
  <si>
    <t>M21-P0017</t>
  </si>
  <si>
    <t>Birth Certificate</t>
  </si>
  <si>
    <t>M21-P0018</t>
  </si>
  <si>
    <t>Education Certificate</t>
  </si>
  <si>
    <t>M21-P0019</t>
  </si>
  <si>
    <t>Domicile Certificate or SSC Passing Certificate</t>
  </si>
  <si>
    <t>Source passages for RAG and schema testing</t>
  </si>
  <si>
    <t>Exact source text retained. Reassemble continuation parts in order before chunking; metadata is not a policy approval.</t>
  </si>
  <si>
    <t>Part</t>
  </si>
  <si>
    <t>Parts</t>
  </si>
  <si>
    <t>Source text</t>
  </si>
  <si>
    <t>Review state</t>
  </si>
  <si>
    <t>Source node type</t>
  </si>
  <si>
    <t>C01-P0001</t>
  </si>
  <si>
    <t>Details</t>
  </si>
  <si>
    <t>en.schemeContent.detailedDescription[0]</t>
  </si>
  <si>
    <t>Pradhan Mantri Jeevan Jyoti Bima Yojana (PMJJBY) is an insurance scheme offering life insurance cover for death due to any reason. It is a one-year cover, renewable from year to year. The scheme is offered by banks/post offices and administered through life insurance companies. All individuals who are account holders of participating banks/ post office in the age group of 18 to 50 years are entitled to join.</t>
  </si>
  <si>
    <t>Unreviewed publication text</t>
  </si>
  <si>
    <t>paragraph</t>
  </si>
  <si>
    <t>C01-P0002</t>
  </si>
  <si>
    <t>Benefits</t>
  </si>
  <si>
    <t>en.schemeContent.benefits[0].children[0]</t>
  </si>
  <si>
    <t>PMJJBY offers one- year term life cover of ₹ 2.00 Lakh to all the subscribers in the age group of 18-50 years.</t>
  </si>
  <si>
    <t>list_item</t>
  </si>
  <si>
    <t>C01-P0003</t>
  </si>
  <si>
    <t>en.schemeContent.benefits[0].children[1]</t>
  </si>
  <si>
    <t>It covers death due to any reason.</t>
  </si>
  <si>
    <t>C01-P0004</t>
  </si>
  <si>
    <t>en.schemeContent.benefits[0].children[2]</t>
  </si>
  <si>
    <t>Premium payable is ₹ 436/- per annum per subscriber, to be auto debited from the subscriber’s bank/post office account.</t>
  </si>
  <si>
    <t>C01-P0005</t>
  </si>
  <si>
    <t>C01-P0006</t>
  </si>
  <si>
    <t>Application process</t>
  </si>
  <si>
    <t>C01-P0011</t>
  </si>
  <si>
    <t>faqs.en.faqs[0]</t>
  </si>
  <si>
    <t>How do I pay the premium for PMJJBY?
The premium will be deducted from the account holder’s bank / Post office account through ‘auto debit’ facility.</t>
  </si>
  <si>
    <t>faq</t>
  </si>
  <si>
    <t>C01-P0012</t>
  </si>
  <si>
    <t>faqs.en.faqs[1]</t>
  </si>
  <si>
    <t>What is the validity of the insurance cover in PMJJBY?
Coverage under PMJJBY is valid for one year from 1st June to 31st May on payment of annual premium.</t>
  </si>
  <si>
    <t>C01-P0013</t>
  </si>
  <si>
    <t>faqs.en.faqs[2]</t>
  </si>
  <si>
    <t>Is delayed enrolment for prospective cover  possible under this scheme?
Yes. 
Delayed enrolment for prospective cover is possible on payment of premium as described below – 
a)	For enrolment in June, July and August – Full Annual Premium of Rs.436/- is payable.
b)  	For enrolment in September, October, and November –premium of Rs. 342/- is payable
c)	    For enrolment in December, January and February –premium of Rs. 228/- is payable.
d)	For enrolment in March, April and May –premium of    Rs. 114/- is payable.</t>
  </si>
  <si>
    <t>C01-P0014</t>
  </si>
  <si>
    <t>faqs.en.faqs[3]</t>
  </si>
  <si>
    <t>If I decide to exit the scheme, is there any possibility that I can rejoin at a later point of time?
Yes.
One can enroll again under the same conditions of eligibility stipulated in the Scheme.</t>
  </si>
  <si>
    <t>C01-P0015</t>
  </si>
  <si>
    <t>faqs.en.faqs[4]</t>
  </si>
  <si>
    <t>Who will offer / administer the scheme?
The scheme would be offered / administered through Insurance   companies willing to offer the product with necessary approvals on similar terms, in collaboration with participating Banks. Participating banks will be free to engage any such insurance company for implementing the scheme for their subscribers.</t>
  </si>
  <si>
    <t>C01-P0016</t>
  </si>
  <si>
    <t>faqs.en.faqs[5]</t>
  </si>
  <si>
    <t>What is the minimum eligibility to subscribe to PMJJBY?
All savings bank account holders in the age 18 to 50 years in participating banks will be entitled to join. 
In case of multiple bank accounts held by an individual in one or different banks, the person would be eligible to join the scheme through one saving bank account only.</t>
  </si>
  <si>
    <t>C01-P0017</t>
  </si>
  <si>
    <t>faqs.en.faqs[6]</t>
  </si>
  <si>
    <t>Who would be the Master policy holder for the scheme?
Participating Banks/ Post Offices will be the Master policy holders.</t>
  </si>
  <si>
    <t>C01-P0018</t>
  </si>
  <si>
    <t>faqs.en.faqs[7]</t>
  </si>
  <si>
    <t>Are NRIs eligible for coverage under PMJJBY?
Any NRI having an eligible bank account with a bank branch located in India is eligible for purchase of PMJJBY cover subject to fulfilment of the terms and conditions relating to the scheme. However, in case a claim arises, the claim benefit will be paid to the beneficiary/ nominee only in Indian currency.</t>
  </si>
  <si>
    <t>C01-P0019</t>
  </si>
  <si>
    <t>faqs.en.faqs[8]</t>
  </si>
  <si>
    <t>Does the PMJJBY cover death resulting from natural calamities such as earthquake, flood and other convulsions of nature? What about coverage from suicide / murder?
Yes, all these events are covered under PMJJBY.</t>
  </si>
  <si>
    <t>C01-P0020</t>
  </si>
  <si>
    <t>faqs.en.faqs[9]</t>
  </si>
  <si>
    <t>What are the changes in the terms of insurance coverage applicable to new subscribers?
For subscribers enrolling for the first time on or after 1st June 2016, insurance benefit shall not be available for death (due to any cause other than accident) occurring during the first 30 days from the date of enrolment into the scheme. Death due to accidental causes will be covered from day one of insurance coverage.</t>
  </si>
  <si>
    <t>C01-P0021</t>
  </si>
  <si>
    <t>faqs.en.faqs[10]</t>
  </si>
  <si>
    <t>How do I access the Claim Form for PMJJBY?
The claim forms can be accessed from the link - https://www.jansuraksha.gov.in/Files/PMJJBY/English/ClaimForm.pdf</t>
  </si>
  <si>
    <t>C02-P0001</t>
  </si>
  <si>
    <t>An Accident Insurance Scheme offering accidental death and disability cover for death or disability on account of an accident.</t>
  </si>
  <si>
    <t>C02-P0002</t>
  </si>
  <si>
    <t>Premium:</t>
  </si>
  <si>
    <t>en.schemeContent.detailedDescription[1]</t>
  </si>
  <si>
    <t>C02-P0003</t>
  </si>
  <si>
    <t>en.schemeContent.detailedDescription[2]</t>
  </si>
  <si>
    <t>Rs.20/- per annum per member. The premium will be deducted from the account holder’s bank / Post office account through ‘auto debit’ facility on or before 1st June of each annual coverage period under the scheme.</t>
  </si>
  <si>
    <t>C02-P0004</t>
  </si>
  <si>
    <t>Coverage Duration:</t>
  </si>
  <si>
    <t>en.schemeContent.detailedDescription[3]</t>
  </si>
  <si>
    <t>C02-P0005</t>
  </si>
  <si>
    <t>en.schemeContent.detailedDescription[4]</t>
  </si>
  <si>
    <t>Coverage under PMJJBY is valid for one year from 1st June to 31st May on payment of annual premium.</t>
  </si>
  <si>
    <t>C02-P0006</t>
  </si>
  <si>
    <t>Accident cover assurance termination:</t>
  </si>
  <si>
    <t>en.schemeContent.detailedDescription[5]</t>
  </si>
  <si>
    <t>C02-P0007</t>
  </si>
  <si>
    <t>en.schemeContent.detailedDescription[6]</t>
  </si>
  <si>
    <t>The accident cover of the member shall terminate / be restricted accordingly on any of the following events:</t>
  </si>
  <si>
    <t>C02-P0008</t>
  </si>
  <si>
    <t>en.schemeContent.detailedDescription[7]</t>
  </si>
  <si>
    <t>•	On attaining age 70 years (age nearer birth day).</t>
  </si>
  <si>
    <t>C02-P0009</t>
  </si>
  <si>
    <t>en.schemeContent.detailedDescription[8]</t>
  </si>
  <si>
    <t>•	Closure of account with the Bank or insufficiency of balance to keep the insurance in force.</t>
  </si>
  <si>
    <t>C02-P0010</t>
  </si>
  <si>
    <t>en.schemeContent.detailedDescription[9]</t>
  </si>
  <si>
    <t>In case a member is covered under PMSBY through more than one account and premium is received by insurance company inadvertently, insurance cover will be restricted to Rs. 2 lakh.</t>
  </si>
  <si>
    <t>C02-P0011</t>
  </si>
  <si>
    <t>On Death- the Nominee shall get Rs. 2 Lakhs.</t>
  </si>
  <si>
    <t>C02-P0012</t>
  </si>
  <si>
    <t>Total and irrecoverable loss of both eyes or loss of use of both hands or feet or loss of sight of one eye and loss of use of hand or foot-  Subscriber shall get Rs. 2 Lakhs.</t>
  </si>
  <si>
    <t>C02-P0013</t>
  </si>
  <si>
    <t>Total and irrecoverable loss of sight of one eye or loss of use of one hand or foot –subscriber shall get Rs. 1 Lakh.</t>
  </si>
  <si>
    <t>C02-P0014</t>
  </si>
  <si>
    <t>C02-P0022</t>
  </si>
  <si>
    <t>Is There Any Provision For Reimbursement of Hospitalization expenses following accident Resulting In Death Or Disablement? 
No.</t>
  </si>
  <si>
    <t>C02-P0023</t>
  </si>
  <si>
    <t>Who Can Claim Insurance Benefit In Case Of Death Of The Bank Account Holder Who Gave The Enrolment Form? 
In case of death of the Account holder who enrolled in the scheme, claim can be filed by the nominee/appointee as per the enrolment form or by the legal heir/s in case there is no nomination made by the subscriber bank account holder.</t>
  </si>
  <si>
    <t>C02-P0024</t>
  </si>
  <si>
    <t>What Is The Mode Of Payment Of The Claim Amount? 
Disability Claim will be credited in the bank account of the insured bank account holder. Death claims will be remitted to the bank account of the nominee / legal heir(s).</t>
  </si>
  <si>
    <t>C02-P0025</t>
  </si>
  <si>
    <t>Will The Family Get Insurance Benefit If The Account Holder Commits Suicide? 
No.</t>
  </si>
  <si>
    <t>C02-P0026</t>
  </si>
  <si>
    <t>Is It Necessary To Report Accidents To Police And Obtain FIR For Claiming Benefits Under The Policy?
In case of incidents like Road, Rail and similar vehicular accidents, drowning, death involving any crime etc., the accident should be reported to police. In case of incidents like snake bite, fall from tree etc., the cause should be supported by immediate hospital record.</t>
  </si>
  <si>
    <t>C02-P0027</t>
  </si>
  <si>
    <t>If The Insured Is Missing And Death Is Not Confirmed, Will The Legal Heirs Get Benefit Of Insurance?
PMSBY covers deaths confirmed by documentary evidence to have been caused by accident.</t>
  </si>
  <si>
    <t>C02-P0028</t>
  </si>
  <si>
    <t>What Benefit Will Be Payable if A Person Suffers Partial Disability Without Irrecoverable Loss Of Sight Of One Eye Or Loss Of Use Of One Hand Or Foot?
No benefit will be payable.</t>
  </si>
  <si>
    <t>C02-P0029</t>
  </si>
  <si>
    <t>Can An Account Holder Get Claim From More Than One Bank Where He Has Enrolled And Premium Has Been Debited?
No. The insured/ Nominee shall be eligible for one claim only.</t>
  </si>
  <si>
    <t>C02-P0030</t>
  </si>
  <si>
    <t>Can A Individual Join PMSBY From Multiple Bank Accounts?
No. In case of multiple bank accounts held by an individual in one or different banks, the person would be eligible to join the scheme through one bank/post office account only.</t>
  </si>
  <si>
    <t>C02-P0031</t>
  </si>
  <si>
    <t>What Is The Minimum And Maximum Age Limit For Entry Into This Scheme? 
Individuals aged between 18 years (completed) and 70 years (age nearer birthday) are eligible for this scheme.</t>
  </si>
  <si>
    <t>C02-P0032</t>
  </si>
  <si>
    <t>How Will The Premium Be Paid?
The premium will be deducted from the account holder’s bank / Post office account through ‘auto debit’ as per the consent given on enrolment.</t>
  </si>
  <si>
    <t>C02-P0033</t>
  </si>
  <si>
    <t>faqs.en.faqs[11]</t>
  </si>
  <si>
    <t>Can Eligible Individuals Who Fail To Join The Scheme In The Initial Year Join In Subsequent Years? 
Yes, on payment of premium through auto-debit. New eligible entrants in future years can also join accordingly.</t>
  </si>
  <si>
    <t>C02-P0034</t>
  </si>
  <si>
    <t>faqs.en.faqs[12]</t>
  </si>
  <si>
    <t>Can Individuals Who Leave The Scheme Rejoin?
Individuals who exit the scheme at any point may re-join the scheme in future years by paying the annual premium, subject to conditions that may be laid down.</t>
  </si>
  <si>
    <t>C02-P0035</t>
  </si>
  <si>
    <t>faqs.en.faqs[13]</t>
  </si>
  <si>
    <t>Will This Cover Be In Addition To Cover Under Any Other Insurance Scheme The Subscriber May Be Covered Under?  
Yes.</t>
  </si>
  <si>
    <t>C02-P0036</t>
  </si>
  <si>
    <t>faqs.en.faqs[14]</t>
  </si>
  <si>
    <t>Does The PMSBY Cover Death / Disability Resulting From Natural Calamities Such As Earthquake, Flood And Other Convulsions Of Nature? What about coverage of suicide / murder?
Natural calamities being in the nature of accidents, any death / disability (as defined under PMSBY) resulting from such natural calamities is also covered under PMSBY. While death due to suicide is not covered, that from murder is covered</t>
  </si>
  <si>
    <t>C02-P0037</t>
  </si>
  <si>
    <t>faqs.en.faqs[15]</t>
  </si>
  <si>
    <t>Can All Holders Of A Joint Bank Account Join The Scheme Through The Said Account? 
In case of a joint account, all holders of the said account can join the scheme provided they satisfy its eligibility criteria and pay the premium at the rate of Rs.20 per person, per annum through auto-debit.</t>
  </si>
  <si>
    <t>C02-P0038</t>
  </si>
  <si>
    <t>faqs.en.faqs[16]</t>
  </si>
  <si>
    <t>Which Bank Accounts Are Eligible For Subscribing To PMSBY? 
All bank/post office account holders other than institutional account holders are eligible for subscribing to PMSBY scheme.</t>
  </si>
  <si>
    <t>C02-P0039</t>
  </si>
  <si>
    <t>faqs.en.faqs[17]</t>
  </si>
  <si>
    <t>Are NRIs Eligible For Coverage Under PMSBY?
Any NRI having an eligible bank account with a bank branch located in India is eligible for purchase of PMSBY cover through this account subject to fulfilment of the terms and conditions relating to the scheme. However, in cases of a claim , the claim benefit will be paid to the beneficiary/ nominee only in Indian currency.</t>
  </si>
  <si>
    <t>C03-P0001</t>
  </si>
  <si>
    <t>en.schemeContent.detailedDescription[0].children[0]</t>
  </si>
  <si>
    <t>"Pradhan Mantri Kisan Maandhan Yojana" by the Department of Agriculture &amp; Farmers Welfare, Government of India is a government scheme meant for old age protection and social security of Small and Marginal Farmers (SMF). All Small and Marginal Farmers having cultivable landholding up to 2 hectares falling in the age group of 18 to 40 years, whose names appear in the land records of States/UTs as on 01.08.2019, are eligible to get benefits under the scheme.</t>
  </si>
  <si>
    <t>C03-P0002</t>
  </si>
  <si>
    <t>en.schemeContent.detailedDescription[0].children[1]</t>
  </si>
  <si>
    <t>Under this scheme, the farmers would receive a minimum assured pension of ₹,3000/- per month after attaining the age of 60 years and if the farmer dies, the spouse of the farmer shall be entitled to receive 50% of the pension as family pension. Family pension is applicable only to the spouse.</t>
  </si>
  <si>
    <t>C03-P0003</t>
  </si>
  <si>
    <t>Monthly Pension Benefit:</t>
  </si>
  <si>
    <t>C03-P0004</t>
  </si>
  <si>
    <t>en.schemeContent.benefits[1].children[0].children[0]</t>
  </si>
  <si>
    <t>The subscriber will receive a minimum assured pension of ₹ 3,000/- per month after attaining the age of 60 years.</t>
  </si>
  <si>
    <t>C03-P0005</t>
  </si>
  <si>
    <t>Family Pension Benefit:</t>
  </si>
  <si>
    <t>en.schemeContent.benefits[2].children[0]</t>
  </si>
  <si>
    <t>C03-P0006</t>
  </si>
  <si>
    <t>en.schemeContent.benefits[3].children[0].children[0]</t>
  </si>
  <si>
    <t>In case of death of the subscriber, the spouse will receive 50% of the pension amount as family pension.</t>
  </si>
  <si>
    <t>C03-P0007</t>
  </si>
  <si>
    <t>en.schemeContent.benefits[3].children[1].children[0]</t>
  </si>
  <si>
    <t>Family pension is applicable only to the spouse.</t>
  </si>
  <si>
    <t>C03-P0008</t>
  </si>
  <si>
    <t>Government Matching Contribution:</t>
  </si>
  <si>
    <t>en.schemeContent.benefits[4].children[0]</t>
  </si>
  <si>
    <t>C03-P0009</t>
  </si>
  <si>
    <t>en.schemeContent.benefits[5].children[0].children[0]</t>
  </si>
  <si>
    <t>The Government of India will contribute an amount equal to the subscriber’s monthly contribution to the pension fund.</t>
  </si>
  <si>
    <t>C03-P0010</t>
  </si>
  <si>
    <t>Disablement Benefit:</t>
  </si>
  <si>
    <t>en.schemeContent.benefits[6].children[0]</t>
  </si>
  <si>
    <t>C03-P0011</t>
  </si>
  <si>
    <t>en.schemeContent.benefits[7].children[0].children[0].children[0].children[0]</t>
  </si>
  <si>
    <t>If the subscriber becomes permanently disabled before the age of 60 years, the spouse can continue the scheme by paying contributions or exit by receiving the subscriber’s contribution with interest.</t>
  </si>
  <si>
    <t>C03-P0012</t>
  </si>
  <si>
    <t>en.schemeContent.benefits[7].children[0].children[0].children[0].children[1]</t>
  </si>
  <si>
    <t>Exit Benefits:</t>
  </si>
  <si>
    <t>C03-P0013</t>
  </si>
  <si>
    <t>en.schemeContent.benefits[7].children[0].children[0].children[0].children[2]</t>
  </si>
  <si>
    <t>If the subscriber exits within 10 years, only the subscriber’s contribution will be refunded with savings bank interest.</t>
  </si>
  <si>
    <t>C03-P0014</t>
  </si>
  <si>
    <t>en.schemeContent.benefits[7].children[0].children[0].children[0].children[3]</t>
  </si>
  <si>
    <t>If the subscriber exits after 10 years but before 60 years, the subscriber’s contribution will be refunded with accumulated interest or savings bank interest, whichever is higher.</t>
  </si>
  <si>
    <t>C03-P0015</t>
  </si>
  <si>
    <t>en.schemeContent.benefits[7].children[0].children[0].children[0].children[4]</t>
  </si>
  <si>
    <t>If the subscriber dies before 60 years, the spouse can continue the scheme or exit with a refund of the subscriber’s contribution with interest.</t>
  </si>
  <si>
    <t>C03-P0016</t>
  </si>
  <si>
    <t>en.schemeContent.benefits[7].children[0].children[0].children[0].children[5]</t>
  </si>
  <si>
    <t>After the death of both subscriber and spouse, the corpus will be credited back to the pension fund.</t>
  </si>
  <si>
    <t>C03-P0017</t>
  </si>
  <si>
    <t>C03-P0018</t>
  </si>
  <si>
    <t>C03-P0019</t>
  </si>
  <si>
    <t>C03-P0020</t>
  </si>
  <si>
    <t>C03-P0021</t>
  </si>
  <si>
    <t>C03-P0022</t>
  </si>
  <si>
    <t>C03-P0023</t>
  </si>
  <si>
    <t>C03-P0024</t>
  </si>
  <si>
    <t>C03-P0025</t>
  </si>
  <si>
    <t>C03-P0026</t>
  </si>
  <si>
    <t>C03-P0027</t>
  </si>
  <si>
    <t>C03-P0028</t>
  </si>
  <si>
    <t>C03-P0029</t>
  </si>
  <si>
    <t>C03-P0030</t>
  </si>
  <si>
    <t>documents.en.documents_required[0].children[0].children[0]</t>
  </si>
  <si>
    <t>documents.en.documents_required[0].children[0].children[1]</t>
  </si>
  <si>
    <t>C03-P0044</t>
  </si>
  <si>
    <t>What is "Pradhan Mantri Kisan Maandhan Yojana (PMKMY)"?
PMKMY is a voluntary and contributory pension scheme launched by the Government of India to provide old-age security to small and marginal farmers.</t>
  </si>
  <si>
    <t>C03-P0045</t>
  </si>
  <si>
    <t>Who is eligible to join PMKMY?
Small and marginal farmers aged between 18 and 40 years with cultivable landholding up to 2 hectares are eligible to enroll in the scheme.</t>
  </si>
  <si>
    <t>C03-P0046</t>
  </si>
  <si>
    <t>What pension benefit is provided under PMKMY?
After attaining the age of 60 years, beneficiaries receive a guaranteed monthly pension of ₹3,000/-.</t>
  </si>
  <si>
    <t>C03-P0047</t>
  </si>
  <si>
    <t>C03-P0048</t>
  </si>
  <si>
    <t>C03-P0049</t>
  </si>
  <si>
    <t>How much contribution is required from farmers?
The contribution depends on the age at entry and ranges from ₹55/- to ₹200/- per month.</t>
  </si>
  <si>
    <t>C03-P0050</t>
  </si>
  <si>
    <t>Does the Government contribute to the scheme?
Yes, the Government of India makes an equal matching contribution to the farmer’s contribution.</t>
  </si>
  <si>
    <t>C03-P0051</t>
  </si>
  <si>
    <t>What happens if the beneficiary dies during the scheme period?
If the beneficiary dies before the pension age, the spouse can continue the scheme by paying the remaining contributions.</t>
  </si>
  <si>
    <t>C03-P0052</t>
  </si>
  <si>
    <t>What happens if the beneficiary dies after starting pension?
After the death of the pensioner, the spouse is entitled to receive 50% of the pension as a family pension.</t>
  </si>
  <si>
    <t>C03-P0053</t>
  </si>
  <si>
    <t>Can a beneficiary exit the scheme?
Yes, beneficiaries can voluntarily exit the scheme before the age of 60 years under specified conditions.</t>
  </si>
  <si>
    <t>C03-P0054</t>
  </si>
  <si>
    <t>What happens if the beneficiary exits before 10 years?
If the beneficiary exits before completing 10 years, only the farmer’s contribution along with savings bank interest will be returned.</t>
  </si>
  <si>
    <t>C03-P0055</t>
  </si>
  <si>
    <t>What happens if the beneficiary exits after 10 years but before 60 years?
If the exit is after 10 years, the beneficiary can receive either the farmer’s contribution with interest or the accumulated pension fund, whichever is higher.</t>
  </si>
  <si>
    <t>C03-P0056</t>
  </si>
  <si>
    <t>How can farmers enroll in the scheme?
Farmers can enroll through Common Service Centres (CSCs).</t>
  </si>
  <si>
    <t>C03-P0057</t>
  </si>
  <si>
    <t>Can farmers receiving PM-KISAN benefits join PMKMY?
Yes, farmers receiving PM-KISAN benefits can also join PMKMY, and their PM-KISAN benefit can be used for contribution payment.</t>
  </si>
  <si>
    <t>C04-P0001</t>
  </si>
  <si>
    <t>Atal Pension Yojana (APY) is an old age income security scheme for a   savings account holder in the  age group of 18-40 years who is not an income tax-payee. The scheme helps in addressing the longevity risks among the workers in the unorganized sector and encourages the workers to voluntarily save for their retirement.</t>
  </si>
  <si>
    <t>C04-P0002</t>
  </si>
  <si>
    <t>en.schemeContent.detailedDescription[1].children[0]</t>
  </si>
  <si>
    <t>Focus of APY</t>
  </si>
  <si>
    <t>text</t>
  </si>
  <si>
    <t>C04-P0003</t>
  </si>
  <si>
    <t>en.schemeContent.detailedDescription[2].children[0]</t>
  </si>
  <si>
    <t>The scheme is mainly targeted at the poor, the under-privileged and workers in the  unorganized sector.</t>
  </si>
  <si>
    <t>C04-P0004</t>
  </si>
  <si>
    <t>en.schemeContent.detailedDescription[3].children[0]</t>
  </si>
  <si>
    <t>APY Subscriber Contribution Chart -</t>
  </si>
  <si>
    <t>C04-P0005</t>
  </si>
  <si>
    <t>C04-P0006</t>
  </si>
  <si>
    <t>en.schemeContent.detailedDescription[5].children[0]</t>
  </si>
  <si>
    <t xml:space="preserve">Charges and fees and overdue interest under APY: </t>
  </si>
  <si>
    <t>C04-P0007</t>
  </si>
  <si>
    <t>en.schemeContent.detailedDescription[6].children[0]</t>
  </si>
  <si>
    <t>The charges and fees and the overdue interest for non-payment or delayed payment of prescribed contribution amount shall be levied on the subscribers of APY. These charges and their method of application shall be prescribed by PFRDA from time to time, in consultation with the Central Government.</t>
  </si>
  <si>
    <t>C04-P0008</t>
  </si>
  <si>
    <t>en.schemeContent.detailedDescription[6].children[1].children[0]</t>
  </si>
  <si>
    <t>Raising Grievance Under APY</t>
  </si>
  <si>
    <t>C04-P0009</t>
  </si>
  <si>
    <t>en.schemeContent.detailedDescription[6].children[2]</t>
  </si>
  <si>
    <t>A subscriber can raise grievance anytime free of cost from anywhere by visiting: www.npscra.nsdl.co.in</t>
  </si>
  <si>
    <t>C04-P0010</t>
  </si>
  <si>
    <t>en.schemeContent.detailedDescription[6].children[3]</t>
  </si>
  <si>
    <t>&gt;&gt;Home &gt;&gt; select: NPS-Lite or through CGMS Subscriber raising the grievance will be allotted a token number against the grievance raised. Subscriber may check the status of the grievance under “Check the status of Grievance / Enquiry already registered”.</t>
  </si>
  <si>
    <t>C04-P0011</t>
  </si>
  <si>
    <t>en.schemeContent.benefits[0].children[0].children[0]</t>
  </si>
  <si>
    <t>Upon exit on attaining 60 years</t>
  </si>
  <si>
    <t>C04-P0012</t>
  </si>
  <si>
    <t>The subscriber shall receive the following three benefits on attaining the age of 60:</t>
  </si>
  <si>
    <t>C04-P0013</t>
  </si>
  <si>
    <t>(i) Guaranteed minimum pension amount: Each subscriber under APY shall receive a  guaranteed minimum pension of Rs. 1000/- per month or Rs. 2000/- per month or Rs. 3000/- per month or Rs. 4000/- per month or Rs. 5000/- per month, after the age of 60 years until death.</t>
  </si>
  <si>
    <t>C04-P0014</t>
  </si>
  <si>
    <t>en.schemeContent.benefits[0].children[3]</t>
  </si>
  <si>
    <t>(ii) Guaranteed minimum pension amount to the spouse: After the subscriber’s demise, the spouse of the subscriber shall be entitled to receive the same pension amount as that of the subscriber,until death.</t>
  </si>
  <si>
    <t>C04-P0015</t>
  </si>
  <si>
    <t>en.schemeContent.benefits[0].children[4]</t>
  </si>
  <si>
    <t>(iii) Return of the pension wealth to the nominee of the subscriber: After the demise of both the subscriber and the spouse, the nominee of the subscriber shall be entitled to receive the pension wealth, as accumulated till the  subscriber's age of 60 years.</t>
  </si>
  <si>
    <t>C04-P0016</t>
  </si>
  <si>
    <t>en.schemeContent.benefits[0].children[5]</t>
  </si>
  <si>
    <t>Contributions to the Atal Pension Yojana (APY) are  eligible for tax benefits similar to the National Pension System (NPS) under section 80CCD(1).</t>
  </si>
  <si>
    <t>C04-P0017</t>
  </si>
  <si>
    <t>en.schemeContent.benefits[0].children[6].children[0]</t>
  </si>
  <si>
    <t xml:space="preserve">Voluntary exit (Exit before 60 Years of age): </t>
  </si>
  <si>
    <t>C04-P0018</t>
  </si>
  <si>
    <t>en.schemeContent.benefits[0].children[7]</t>
  </si>
  <si>
    <t>The subscriber shall  be refunded only the contributions made by him to APY alongwith the net actual accrued income earned on his contributions (after deducting the account maintenance charges).</t>
  </si>
  <si>
    <t>C04-P0019</t>
  </si>
  <si>
    <t>en.schemeContent.benefits[0].children[8]</t>
  </si>
  <si>
    <t>However, in case of subscribers who joined the scheme before 31st March 2016 and have received the Government Co-Contribution,  shall not receive the same including the   accrued  income earned thereon.</t>
  </si>
  <si>
    <t>C04-P0020</t>
  </si>
  <si>
    <t>en.schemeContent.benefits[0].children[9].children[0]</t>
  </si>
  <si>
    <t>For death before 60 years</t>
  </si>
  <si>
    <t>C04-P0021</t>
  </si>
  <si>
    <t>en.schemeContent.benefits[0].children[10]</t>
  </si>
  <si>
    <t>Option 1: In case of death of the subscriber before 60 years, option will be available to the spouse of the subscriber to continue contribution in the APY account of the subscriber, which can be maintained in the spouse’s name, for the remaining vesting period, till the original subscriber would have attained the age of 60 years. The spouse of the subscriber shall be entitled to receive the same pension amount as the subscriber until death of the spouse. Such APY account and pension amount would be in addition even if the spouse has his/her APY account and pension amount in own name.</t>
  </si>
  <si>
    <t>C04-P0022</t>
  </si>
  <si>
    <t>en.schemeContent.benefits[1]</t>
  </si>
  <si>
    <t>Option 2: The entire accumulated pension corpus till date under APY will be returned to the spouse / nominee.</t>
  </si>
  <si>
    <t>C04-P0023</t>
  </si>
  <si>
    <t>C04-P0024</t>
  </si>
  <si>
    <t>C04-P0025</t>
  </si>
  <si>
    <t>C04-P0026</t>
  </si>
  <si>
    <t>C04-P0027</t>
  </si>
  <si>
    <t>C04-P0028</t>
  </si>
  <si>
    <t>documents.en.documents_required[0]</t>
  </si>
  <si>
    <t>C04-P0058</t>
  </si>
  <si>
    <t>When will I receive my Pension? 
Age Of Start Of Pension is  60 Years.</t>
  </si>
  <si>
    <t>C04-P0059</t>
  </si>
  <si>
    <t>I am a  Swavalamban subscriber. Can I still, apply for APY? 
Eligible Swavalamban Subscribers may be migrated to APY.</t>
  </si>
  <si>
    <t>C04-P0060</t>
  </si>
  <si>
    <t>Is it required to furnish nomination while joining the scheme?  
Yes.</t>
  </si>
  <si>
    <t>C04-P0061</t>
  </si>
  <si>
    <t>Is there any provision of default nominee or blood relation?  
If the subscriber is unmarried they can nominate any other person as nominee and they have to provide spouse details after marriage. If married, the spouse will be the default nominee. The Aadhaar details of spouse and nominees may be provided.</t>
  </si>
  <si>
    <t>C04-P0062</t>
  </si>
  <si>
    <t>What will happen if the contribution gets delayed? 
Subscriber will be charged overdue interest for the delayed period in case the APY contribution gets delayed beyond the due date.</t>
  </si>
  <si>
    <t>C04-P0063</t>
  </si>
  <si>
    <t>How will I know the status of my contribution?  
The periodical information to the subscribers regarding activation of PRAN, balance in the account, contribution credits etc. will be intimated to APY subscribers by way of SMS alerts on the registered mobile number or can be accessed through mobile/APY app launched by NSDL. The subscriber will also be receiving physical statement of account once in a financial year at their registered address.</t>
  </si>
  <si>
    <t>C04-P0064</t>
  </si>
  <si>
    <t>Whether Aadhaar Number is compulsory for joining the scheme?
It is not mandatory as of now.</t>
  </si>
  <si>
    <t>C04-P0065</t>
  </si>
  <si>
    <t>Whether an employee of Central/State Government or Public Sector Undertaking and/or a NPS subscriber can subscribe to APY?
APY is open to all citizens of India who have a savings bank account. The minimum age of joining APY is 18 years and maximum age is 40 years.
Provided that from 1st Oct 2022, any citizen who is or has been an income tax payer, shall not be eligible to join APY.</t>
  </si>
  <si>
    <t>C04-P0066</t>
  </si>
  <si>
    <t>Can I open APY Account without savings bank account? 
No, the savings bank account/ post office savings bank account is mandatory for joining APY.</t>
  </si>
  <si>
    <t>C04-P0067</t>
  </si>
  <si>
    <t>If I have completed 40 years, can I join Atal Pension Yojana?  
A person can join APY till his/ her 40th birthday. For example, if person ‘X’ becomes 40 years old on 1st January 2023, then, he/she is eligible to join APY till 1st January 2023 and becomes ineligible from 2nd January 2023 to join the scheme.</t>
  </si>
  <si>
    <t>C05-P0001</t>
  </si>
  <si>
    <t>The scheme "Pradhan Mantri Shram Yogi Maan-dhan" was launched by the Ministry of Labour and Employment, Government of India, and the scheme aims to ensure old age protection for unorganised workers. The scheme provides a minimum assured pension of ₹3,000/- per month after attaining the age of 60 years and a family pension amounting to 50% of the pension for the spouse. The applicant must be an unorganised worker in the entry age group of 18 to 40 years with a monthly income of ₹15,000/- or less, and must make regular age-specific monthly contributions. The fund manager of the scheme is Life Insurance Corporation of India and enrolment is being done through Common Services Centres.</t>
  </si>
  <si>
    <t>C05-P0002</t>
  </si>
  <si>
    <t>Financial Assistance</t>
  </si>
  <si>
    <t>C05-P0003</t>
  </si>
  <si>
    <t>en.schemeContent.benefits[1].children[0]</t>
  </si>
  <si>
    <t>A minimum assured pension of ₹3,000/- per month is provided to the subscriber after attaining the age of 60 years.</t>
  </si>
  <si>
    <t>C05-P0004</t>
  </si>
  <si>
    <t>en.schemeContent.benefits[1].children[1]</t>
  </si>
  <si>
    <t>A matching contribution is provided by the Central Government on a 50:50 basis, where an equal amount to the subscriber's age-specific contribution (ranging from ₹55/- to ₹200/-) is credited to the pension account.</t>
  </si>
  <si>
    <t>C05-P0005</t>
  </si>
  <si>
    <t>NOTE:</t>
  </si>
  <si>
    <t>C05-P0006</t>
  </si>
  <si>
    <t>en.schemeContent.benefits[3].children[0]</t>
  </si>
  <si>
    <t>During the receipt of the pension, if the subscriber dies: The spouse of the beneficiary shall be entitled to receive a family pension equal to 50% of the pension received by the beneficiary.</t>
  </si>
  <si>
    <t>C05-P0007</t>
  </si>
  <si>
    <t>en.schemeContent.benefits[3].children[1]</t>
  </si>
  <si>
    <t>If a beneficiary has given regular contributions and died due to any cause before the age of 60 years: Their spouse will be entitled to join and continue the scheme subsequently by continuing payment of regular contributions on behalf of the spouse.</t>
  </si>
  <si>
    <t>C05-P0008</t>
  </si>
  <si>
    <t>en.schemeContent.benefits[3].children[2]</t>
  </si>
  <si>
    <t>If a beneficiary has given regular contributions and died due to any cause before the age of 60 years, and the spouse decides to exit: The beneficiary's contribution along with accumulated interest as actually earned by the fund or at the savings bank interest rate (whichever is higher) will be returned.</t>
  </si>
  <si>
    <t>C05-P0009</t>
  </si>
  <si>
    <t>en.schemeContent.benefits[3].children[3]</t>
  </si>
  <si>
    <t>If the subscriber exits the scheme within a period of less than 10 years: The beneficiary's share of contribution only will be returned to them with the savings bank interest rate.</t>
  </si>
  <si>
    <t>C05-P0010</t>
  </si>
  <si>
    <t>en.schemeContent.benefits[3].children[4]</t>
  </si>
  <si>
    <t>If the subscriber exits after a period of 10 years or more but before the superannuation age of 60 years: The beneficiary's share of contribution along with accumulated interest as actually earned by the fund or at the savings bank interest rate, whichever is higher, will be returned.</t>
  </si>
  <si>
    <t>C05-P0011</t>
  </si>
  <si>
    <t>en.schemeContent.benefits[3].children[5]</t>
  </si>
  <si>
    <t>Both voluntary and involuntary exits from the scheme are permitted only after completion of three years from the date of enrolment in the scheme.</t>
  </si>
  <si>
    <t>C05-P0012</t>
  </si>
  <si>
    <t>C05-P0013</t>
  </si>
  <si>
    <t>C05-P0014</t>
  </si>
  <si>
    <t>C05-P0015</t>
  </si>
  <si>
    <t>C05-P0016</t>
  </si>
  <si>
    <t>C05-P0017</t>
  </si>
  <si>
    <t>C05-P0018</t>
  </si>
  <si>
    <t>C05-P0019</t>
  </si>
  <si>
    <t>C05-P0020</t>
  </si>
  <si>
    <t>C05-P0021</t>
  </si>
  <si>
    <t>C05-P0022</t>
  </si>
  <si>
    <t>documents.en.documents_required[0].children[0]</t>
  </si>
  <si>
    <t>documents.en.documents_required[0].children[1]</t>
  </si>
  <si>
    <t>documents.en.documents_required[0].children[2]</t>
  </si>
  <si>
    <t>documents.en.documents_required[0].children[3]</t>
  </si>
  <si>
    <t>documents.en.documents_required[0].children[4]</t>
  </si>
  <si>
    <t>C05-P0052</t>
  </si>
  <si>
    <t>Am I required to be within a certain age bracket in order to successfully enroll for these upcoming retirement benefits, and if so, what are those specific age limits that apply?
You must be between 18 and 40 years of age at the time of entry to be eligible for enrollment.</t>
  </si>
  <si>
    <t>C05-P0053</t>
  </si>
  <si>
    <t>Is there any specific maximum earning limit placed on my current monthly wages to qualify for this initiative aimed at assisting unorganized sector laborers with their future security?
Your monthly income must be strictly ₹15,000/- or below to participate.</t>
  </si>
  <si>
    <t>C05-P0054</t>
  </si>
  <si>
    <t>Suppose I am currently making active contributions to the Employees' Provident Fund Organization through my workplace; will I still be permitted to register for these particular financial benefits?
Individuals who hold membership in the Employees' Provident Fund Organization are excluded and cannot enroll.</t>
  </si>
  <si>
    <t>C05-P0055</t>
  </si>
  <si>
    <t>As part of the mandatory enrollment process and identity verification, what specific national identification document must I definitely possess before visiting the Common Services Centre to apply?
You must hold a valid Aadhaar card to successfully register and verify your identity.</t>
  </si>
  <si>
    <t>C05-P0056</t>
  </si>
  <si>
    <t>What specific type of employment category must I belong to, such as a street vendor or a construction laborer, to be considered eligible for this old-age protection initiative?
You must be actively engaged as an unorganized worker, which includes occupations like home-based workers, cobblers, rickshaw pullers, and agricultural laborers, among others.</t>
  </si>
  <si>
    <t>C05-P0057</t>
  </si>
  <si>
    <t>If a portion of my annual earnings reaches a level where I am required to file returns and pay income taxes to the government, am I still allowed to participate?
Anyone who is currently an income tax payer is strictly excluded from participating and receiving these benefits.</t>
  </si>
  <si>
    <t>C05-P0058</t>
  </si>
  <si>
    <t>If I already hold an active retirement account under the National Pension Scheme managed by the government, does that status affect my ability to join this additional protective measure?
Holding a membership in the National Pension Scheme automatically disqualifies you from being able to register.</t>
  </si>
  <si>
    <t>C05-P0059</t>
  </si>
  <si>
    <t>To ensure that my monthly financial contributions are correctly processed through the automated debit system, what specific type of financial account do I need to maintain?
You are required to hold either a Savings Bank Account or a Jan Dhan account, along with its specific Indian Financial System Code.</t>
  </si>
  <si>
    <t>C05-P0060</t>
  </si>
  <si>
    <t>Would an individual who is formally employed by a registered company within the organized sector be granted permission to seek enrollment and avail the associated financial advantages?
Workers engaged in the organized sector are strictly not eligible to apply for or receive benefits.</t>
  </si>
  <si>
    <t>C05-P0061</t>
  </si>
  <si>
    <t>In the event that my current employer provides me with medical and cash benefits under the Employees' State Insurance Corporation scheme, am I still considered an eligible applicant?
Membership in the Employees' State Insurance Corporation scheme makes you entirely ineligible to participate.</t>
  </si>
  <si>
    <t>C05-P0062</t>
  </si>
  <si>
    <t>In order to receive timely updates, short message service alerts, and actively manage my registration profile, what specific personal electronic device am I required to own?
You must possess a working mobile phone to receive important notifications and activation messages regarding your account.</t>
  </si>
  <si>
    <t>C05-P0063</t>
  </si>
  <si>
    <t>Are there any mandatory schooling certificates, college degrees, or minimum educational qualifications that I must present to the authorities to prove my eligibility to join this initiative?
There are absolutely no minimum educational qualifications required to register and become a beneficiary.</t>
  </si>
  <si>
    <t>C05-P0064</t>
  </si>
  <si>
    <t>If I am already registered as an active beneficiary under the Atal Pension Yojana program, will I be restricted from submitting an application to join this particular initiative as well?
You are completely allowed to enroll in this initiative even if you are concurrently subscribed to the Atal Pension Yojana, provided you meet all other criteria.</t>
  </si>
  <si>
    <t>C05-P0065</t>
  </si>
  <si>
    <t>In cases where my state government already provides me with certain welfare benefits specifically designed for unorganized laborers, am I still permitted to sign up for this national program?
You can indeed avail the benefits of this initiative even if you are receiving benefits from state-level unorganized worker programs, assuming you meet the basic eligibility criteria.</t>
  </si>
  <si>
    <t>C06-P0001</t>
  </si>
  <si>
    <t>Indira Gandhi National Widow Pension Scheme (IGNWPS) is implemented by Ministry of Rural Development, Government of India. It is a non-contributory pension scheme to provide social security to widows of poor family (BPL)  of the society.</t>
  </si>
  <si>
    <t>C06-P0002</t>
  </si>
  <si>
    <t>en.schemeContent.benefits[0]</t>
  </si>
  <si>
    <t>A pension of Rs.300/- per month is provided to Widows between 40 years and 79 years. For persons who are 80 years and above the pension is Rs.500/- per month.</t>
  </si>
  <si>
    <t>C06-P0003</t>
  </si>
  <si>
    <t>C06-P0004</t>
  </si>
  <si>
    <t>C06-P0005</t>
  </si>
  <si>
    <t>C06-P0006</t>
  </si>
  <si>
    <t>C06-P0007</t>
  </si>
  <si>
    <t>C06-P0008</t>
  </si>
  <si>
    <t>C06-P0027</t>
  </si>
  <si>
    <t>What are different modes of receiving Pension?
One can receive pension amount in Bank Account, Post Office Account, Postal Money Order or in hand cash.</t>
  </si>
  <si>
    <t>C06-P0028</t>
  </si>
  <si>
    <t>Who will disburse in hand cash?
In hand cash will be disbursed by Pension Disbursement Authority of respective Sub District/Municipal Area. One can select the pension disbursement authority while filling online application form on UMANG.</t>
  </si>
  <si>
    <t>C06-P0029</t>
  </si>
  <si>
    <t>What Is The Eligibility For Getting Pension Under IGNWPS?
The eligibility criteria under Indira Gandhi National Widow Pension Scheme (IGNWPS) is:-
1. The applicant must be a widow in the age group of 40-79 years.
2. The applicant should belong to a household living below the poverty line according to the criteria prescribed by the Govt. of India</t>
  </si>
  <si>
    <t>M01-P0001</t>
  </si>
  <si>
    <t>The "Sanjay Gandhi Niradhar Grant Scheme" is a scheme by the Department of Social Justice &amp; Special Assistance, Govt. of Maharashtra. In this scheme, financial assistance of ₹600/- per month is given if there is only one beneficiary in the eligible family, and ₹900/- per month if there is more than one beneficiary in a family. In order to be eligible for this scheme, the name should be in the list of BPL families or the annual income of the family should be less than or equal to ₹ 21,000/-. Only citizens who are permanent residents of the state of Maharashtra are eligible to apply for this scheme. This scheme is 100% funded by the Govt. of Maharashtra.</t>
  </si>
  <si>
    <t>M01-P0002</t>
  </si>
  <si>
    <t>Financial assistance of ₹ 600/- per month, if there is one beneficiary in the eligible family.</t>
  </si>
  <si>
    <t>M01-P0003</t>
  </si>
  <si>
    <t>Financial assistance of ₹ 900/- per month, if there is more than one beneficiary in the eligible family.</t>
  </si>
  <si>
    <t>M01-P0004</t>
  </si>
  <si>
    <t>M01-P0005</t>
  </si>
  <si>
    <t>M01-P0006</t>
  </si>
  <si>
    <t>M01-P0007</t>
  </si>
  <si>
    <t>M01-P0008</t>
  </si>
  <si>
    <t>M01-P0009</t>
  </si>
  <si>
    <t>M01-P0010</t>
  </si>
  <si>
    <t>M01-P0011</t>
  </si>
  <si>
    <t>M01-P0012</t>
  </si>
  <si>
    <t>M01-P0013</t>
  </si>
  <si>
    <t>M01-P0014</t>
  </si>
  <si>
    <t>M01-P0015</t>
  </si>
  <si>
    <t>M01-P0016</t>
  </si>
  <si>
    <t>M01-P0017</t>
  </si>
  <si>
    <t>M01-P0018</t>
  </si>
  <si>
    <t>M01-P0019</t>
  </si>
  <si>
    <t>documents.en.documents_required[0].children[5]</t>
  </si>
  <si>
    <t>documents.en.documents_required[0].children[6]</t>
  </si>
  <si>
    <t>documents.en.documents_required[0].children[7]</t>
  </si>
  <si>
    <t>documents.en.documents_required[0].children[8]</t>
  </si>
  <si>
    <t>documents.en.documents_required[0].children[9]</t>
  </si>
  <si>
    <t>documents.en.documents_required[0].children[10]</t>
  </si>
  <si>
    <t>M01-P0059</t>
  </si>
  <si>
    <t>How Much Shall Be The Maximum Amount Of Financial Assistance In Case There Is Only One Beneficiary In The Family?
The maximum amount of financial assistance shall be ₹600/- per month in case there is only one beneficiary in the family.</t>
  </si>
  <si>
    <t>M01-P0060</t>
  </si>
  <si>
    <t>How Much Shall Be The Maximum Amount Of Financial Assistance In Case There Is More Than One Beneficiary In The Family?
The maximum amount of financial assistance shall be ₹900/- per month in case there is more than one beneficiary in the family.</t>
  </si>
  <si>
    <t>M01-P0061</t>
  </si>
  <si>
    <t>Can Only Families Who Are Below Poverty Line Apply To This Scheme?
Yes, in order to be eligible for this scheme, the family should be Below Poverty Line (BPL).</t>
  </si>
  <si>
    <t>M01-P0062</t>
  </si>
  <si>
    <t>Where Can I Find The Scheme Guidelines In Marathi?
Yes, you can find the Marathi version of the Scheme Guidelines at this link - 
https://static.s3waas.gov.in/s3db85e2590b6109813dafa101ceb2faeb/uploads/2018/03/2018030785.pdf</t>
  </si>
  <si>
    <t>M01-P0063</t>
  </si>
  <si>
    <t>Can Orphan Children Also Apply?
Yes, Orphan Children can also apply to this scheme.</t>
  </si>
  <si>
    <t>M01-P0064</t>
  </si>
  <si>
    <t>What Is The Full Form Of BPL?
The full form of BPL is "Below Poverty Line".</t>
  </si>
  <si>
    <t>M01-P0065</t>
  </si>
  <si>
    <t>Can The Women Who Are Not Divorced But Are In The Process Of Divorce Also Apply?
Yes, women who are not divorced but are in the process of divorce also apply to this scheme.</t>
  </si>
  <si>
    <t>M01-P0066</t>
  </si>
  <si>
    <t>Does This Scheme Accept Applications From Transgenders?
Yes, Transgenders too can apply to this scheme.</t>
  </si>
  <si>
    <t>M01-P0067</t>
  </si>
  <si>
    <t>My Husband Is Suffering From Sickle Cell Disease. Is He Eligible To Apply To This Scheme?
Yes, the scheme accepts applications from persons with Sickle Cell Disease.</t>
  </si>
  <si>
    <t>M01-P0068</t>
  </si>
  <si>
    <t>Does This Scheme Accept Only Offlines Applications?
This scheme accepts offline as well as online applications.</t>
  </si>
  <si>
    <t>M01-P0069</t>
  </si>
  <si>
    <t>From Where Can I Get The Hard Copy Of The Format Of The Application Form?
The hard copy of the format of the application form can be received from the Collector's Office / Tahsildar Sanjay Gandhi Yojana / Talathi Office.</t>
  </si>
  <si>
    <t>M01-P0070</t>
  </si>
  <si>
    <t>What Is The URL Of The Official Portal Of Aaple Sarkar (Maha DBT)?
The URL of the Official Portal of Aaple Sarkar (Maha DBT) is: https://aaplesarkar.mahaonline.gov.in/</t>
  </si>
  <si>
    <t>M01-P0071</t>
  </si>
  <si>
    <t>What Is The Hindi Translation Of "Aaple Sarkar"?
The Hindi Translation of "Aaple Sarkar" is "Aapki Sarkar".</t>
  </si>
  <si>
    <t>M01-P0072</t>
  </si>
  <si>
    <t>Where Can I Find The Registration Manual For Online Application Through Aaple Sarkar (Maha DBT)?
The Registration Manual can be found at this link: https://aaplesarkar.mahaonline.gov.in/pdf/UM_AS_Reg.pdf</t>
  </si>
  <si>
    <t>M01-P0073</t>
  </si>
  <si>
    <t>What Are The Objectives Of This Scheme?
The objective of this scheme is to encourage students with disability (SwDs) to complete their pre-matric education.</t>
  </si>
  <si>
    <t>M01-P0074</t>
  </si>
  <si>
    <t>Can All Students From Maharashtra Apply To This Scheme?
Only students with disability (SwDs) who are domiciled in the state of Maharashtra can apply to this scheme.</t>
  </si>
  <si>
    <t>M01-P0075</t>
  </si>
  <si>
    <t>How Will My Mobile Number And Email ID Be Verified?
The Mobile Number and Email ID of the applicant will be verified via One Time Password (OTP).</t>
  </si>
  <si>
    <t>M01-P0076</t>
  </si>
  <si>
    <t>During The Registration On The 'Aaple Sarkar' Portal, What Are The Mandatory Details To Be Provided In The "Applicant Detail" Section?
In the "Applicant Detail" section, fill in the following mandatory fields: Salutation, Full Name(English), Full Name(Marathi), Father's Salutation, Father's Name (English), Father's Name(Marathi), Date of Birth, Age, Gender, Occupation.</t>
  </si>
  <si>
    <t>M01-P0077</t>
  </si>
  <si>
    <t>faqs.en.faqs[18]</t>
  </si>
  <si>
    <t>During The Registration On The 'Aaple Sarkar' Portal, What Are The Mandatory Details To Be Provided In The "Applicant's Address" Section?
In the "Applicant's Address" section, fill in the following mandatory fields: Address (English), Address (Marathi), Street (English), Street (Marathi), Section (English), Section (Marathi), Building (English), Building (Marathi), Landmark (English), Landmark (Marathi), District, Taluka, Village, Pincode</t>
  </si>
  <si>
    <t>M01-P0078</t>
  </si>
  <si>
    <t>faqs.en.faqs[19]</t>
  </si>
  <si>
    <t>During The Registration On The 'Aaple Sarkar' Portal, What Are The Mandatory Details To Be Provided In The "Mobile No. &amp; Username Verification" Section?
In the "Mobile No. &amp; Username Verification" section, fill in the following mandatory fields: 10-digit Mobile Number (to be verified via OTP), PAN No, User Name, Email ID (to be verified via OTP), Password, and Confirm Password.</t>
  </si>
  <si>
    <t>M01-P0079</t>
  </si>
  <si>
    <t>faqs.en.faqs[20]</t>
  </si>
  <si>
    <t>What Should Be The File Size Of The Photograph To Be Uploaded?
The file size of the photograph that is to be uploaded should fall between 5 KB to 20 KB.</t>
  </si>
  <si>
    <t>M01-P0080</t>
  </si>
  <si>
    <t>faqs.en.faqs[21]</t>
  </si>
  <si>
    <t>What Should Be The Format Of The Photograph To Be Uploaded?
The format of the photograph to be uploaded should be JPEG.</t>
  </si>
  <si>
    <t>M01-P0081</t>
  </si>
  <si>
    <t>faqs.en.faqs[22]</t>
  </si>
  <si>
    <t>How Much Should Be The Width &amp; Height Of The Photograph?
The width should be 160 pixels. The height should fall between 200 to 212 pixels.</t>
  </si>
  <si>
    <t>M01-P0082</t>
  </si>
  <si>
    <t>faqs.en.faqs[23]</t>
  </si>
  <si>
    <t>What Documents Are Acceptable As Proof Of Identity For The Purpose Of Applying To This Scheme?
The following documents are acceptable as Proof of Identity: PAN Card, Voter ID Card (POI), Passport (POI), Aadhaar Card (POI), Driving License (POI), Government / Semi-Government ID, Proof MNREGA Job Card, RSBY Card.</t>
  </si>
  <si>
    <t>M01-P0083</t>
  </si>
  <si>
    <t>faqs.en.faqs[24]</t>
  </si>
  <si>
    <t>What Documents Are Acceptable As Proof Of Address For The Purpose Of Applying To This Scheme?
The following documents are acceptable as Proof of Address: Ration Card Passport (POA), Aadhaar Card (POA), Driving License (POA), Voter ID Card (POA), Extracts of 7/12 and 8 A, Property Tax Receipt, Property Agreement Copy, Water Bill, Electricity Bill, Telephone Bill, Rent Receipt.</t>
  </si>
  <si>
    <t>M01-P0084</t>
  </si>
  <si>
    <t>faqs.en.faqs[25]</t>
  </si>
  <si>
    <t>What Should Be The Format, And The File Size Of The Proof Of Identity, And The Proof Of Address Document?
The format should be JPEG/ PDF, and the file size should be between 75 KB to 256 KB.</t>
  </si>
  <si>
    <t>M01-P0085</t>
  </si>
  <si>
    <t>faqs.en.faqs[26]</t>
  </si>
  <si>
    <t>Are Orthopedically Handicapped Persons Also Covered In This Scheme?
Yes, this scheme also covers Orthopedically Handicapped Persons.</t>
  </si>
  <si>
    <t>M01-P0086</t>
  </si>
  <si>
    <t>faqs.en.faqs[27]</t>
  </si>
  <si>
    <t>Is The Residential Certificate / Domicile Certificate Of The State Of Maharashtra, A Mandatory Document For This Scheme?
Yes, the Residential Certificate / Domicile Certificate of the State of Maharashtra is a mandatory document for this scheme.</t>
  </si>
  <si>
    <t>M01-P0087</t>
  </si>
  <si>
    <t>faqs.en.faqs[28]</t>
  </si>
  <si>
    <t>What Is The Full Form Of SJSA?
The full form of SJSA is "Social Justice &amp; Special Assistance".</t>
  </si>
  <si>
    <t>M01-P0088</t>
  </si>
  <si>
    <t>faqs.en.faqs[29]</t>
  </si>
  <si>
    <t>Is This A State Funded Or A Centrally Funded Scheme?
This is a 100% State Funded scheme.</t>
  </si>
  <si>
    <t>M01-P0089</t>
  </si>
  <si>
    <t>faqs.en.faqs[30]</t>
  </si>
  <si>
    <t>Is There Any Application Fee?
No, the entire application process is entirely free of cost.</t>
  </si>
  <si>
    <t>M01-P0090</t>
  </si>
  <si>
    <t>faqs.en.faqs[31]</t>
  </si>
  <si>
    <t>Is There Any Compensation For The Delay In The Disbursal Of The Scheme Benefits?
No, there is no such mention in the scheme guidelines.</t>
  </si>
  <si>
    <t>M01-P0091</t>
  </si>
  <si>
    <t>faqs.en.faqs[32]</t>
  </si>
  <si>
    <t>How Do I Know If A Field In The Application Form Is Mandatory?
The mandatory fields have an asterisk (*) mark at the end.</t>
  </si>
  <si>
    <t>M01-P0092</t>
  </si>
  <si>
    <t>faqs.en.faqs[33]</t>
  </si>
  <si>
    <t>Can Applicants From The Neighboring States Gujarat, Madhya Pradesh, Chhattisgarh, Telangana, Etc Also Apply To This Scheme?
No, only the citizens who are permanent residents of the state of Maharashtra are eligible to apply.</t>
  </si>
  <si>
    <t>M01-P0093</t>
  </si>
  <si>
    <t>faqs.en.faqs[34]</t>
  </si>
  <si>
    <t>Where Can I Find The URL To The Website Of The Dept. Of Social Justice &amp; Special Assistance?
The URL to the official website of the Department of Social Justice &amp; Special Assistance, Government of Maharashtra is - https://sjsa.maharashtra.gov.in/</t>
  </si>
  <si>
    <t>M01-P0094</t>
  </si>
  <si>
    <t>faqs.en.faqs[35]</t>
  </si>
  <si>
    <t>What Is The Address Of The Department Of Social Justice &amp; Special Assistance, Government Of Maharashtra?
The address of the Department of Social Justice &amp; Special Assistance, Government of Maharashtra is: 437, Shankar Sheth Rd, Police Colony, Swargate, Pune, Maharashtra 411042</t>
  </si>
  <si>
    <t>M01-P0095</t>
  </si>
  <si>
    <t>faqs.en.faqs[36]</t>
  </si>
  <si>
    <t>Where Can I Find The Addresses Of The District Social Welfare Offices?
The addresses of the District Social Welfare Offices can be found at - https://sjsa.maharashtra.gov.in/en/contacts</t>
  </si>
  <si>
    <t>M01-P0096</t>
  </si>
  <si>
    <t>faqs.en.faqs[37]</t>
  </si>
  <si>
    <t>Where Can I Post My Grievances Related To This Scheme?
You can post your grievances at the Grievance Redressal Portal by the Govt. of Maharashtra: https://grievances.maharashtra.gov.in/en</t>
  </si>
  <si>
    <t>M02-P0001</t>
  </si>
  <si>
    <t>The "Shravanbal Seva State Pension Scheme" is a Pension Scheme by the Department of Social Justice &amp; Special Assistance, Govt. of Maharashtra. In this scheme, a monthly pension of ₹ 600/- is provided to destitute persons in the state of Maharashtra. Only citizens who are permanent residents of the state of Maharashtra are eligible to apply for this scheme. This scheme is 100% funded by the Govt. of Maharashtra.</t>
  </si>
  <si>
    <t>M02-P0002</t>
  </si>
  <si>
    <t>₹ 600/- per month is given to each beneficiary.</t>
  </si>
  <si>
    <t>M02-P0003</t>
  </si>
  <si>
    <t>en.schemeContent.benefits[2]</t>
  </si>
  <si>
    <t>Group (A): The destitute men and women who are 65 years or above in age, and whose family is listed as "Below Poverty Line", are provided a monthly pension of ₹ 600/-. In this pension, ₹ 200/- per month is provided under Indira Gandhi Old Age Pension Scheme (Central Govt.), and ₹ 400/- per month under Shravan Bal State Pension Scheme.</t>
  </si>
  <si>
    <t>M02-P0004</t>
  </si>
  <si>
    <t>en.schemeContent.benefits[4]</t>
  </si>
  <si>
    <t>Group (B): The destitute men and women who are 65 years or above in age, whose family is not listed as "Below Poverty Line", and whose annual family income is less than or equal to ₹ 21,000 are provided a monthly pension of ₹ 600/- entirely by the Shravan Bal State Pension Scheme.</t>
  </si>
  <si>
    <t>M02-P0005</t>
  </si>
  <si>
    <t>M02-P0006</t>
  </si>
  <si>
    <t>M02-P0007</t>
  </si>
  <si>
    <t>M02-P0008</t>
  </si>
  <si>
    <t>M02-P0009</t>
  </si>
  <si>
    <t>M02-P0045</t>
  </si>
  <si>
    <t>What Is The Amount Of Pension Provided To Destitute Men And Women Through This Scheme?
A monthly pension of ₹ 600/- is provided to destitute men and women in the state of Maharashtra.</t>
  </si>
  <si>
    <t>M02-P0046</t>
  </si>
  <si>
    <t>Which Type Of Pensioners Come Under Group (A) Of This Scheme?
Group (A): The destitute men and women who are 65 years or above in age, and whose family is listed as "Below Poverty Line", are provided a monthly pension of ₹ 600/-. In this pension, ₹ 200/- per month is provided under Indira Gandhi Old Age Pension Scheme (Central Govt.), and ₹ 400/- per month under Shravan Bal State Pension Scheme.</t>
  </si>
  <si>
    <t>M02-P0047</t>
  </si>
  <si>
    <t>Which Type Of Pensioners Come Under Group (B) Of This Scheme?
Group (B): The destitute men and women who are 65 years or above in age, whose family is not listed as "Below Poverty Line", and whose annual family income is less than or equal to ₹ 21,000 are provided a monthly pension of ₹ 600/- entirely by the Shravan Bal State Pension Scheme.</t>
  </si>
  <si>
    <t>M02-P0048</t>
  </si>
  <si>
    <t>What Are The Income Criteria For Group (B) Of This Scheme?
The total annual family income of the family of the applicant should be less than or equal to ₹ 21,000.</t>
  </si>
  <si>
    <t>M02-P0049</t>
  </si>
  <si>
    <t>What Is The Age Criteria For This Scheme?
The applicant should be 65 years or above in age.</t>
  </si>
  <si>
    <t>M02-P0050</t>
  </si>
  <si>
    <t>For How Long Should The Applicant Should Be A Domicile / Permanent Resident Of The State Of Maharashtra In Order To Be Eligible For This Scheme?
The applicant should be a domicile / permanent resident of the state of Maharashtra for at least 15 years.</t>
  </si>
  <si>
    <t>M02-P0051</t>
  </si>
  <si>
    <t>Where Can I Find The Scheme Guidelines In Marathi?
Yes, you can find the Marathi version of the Scheme Guidelines at this link - 
https://cdn.s3waas.gov.in/s317e62166fc8586dfa4d1bc0e1742c08b/uploads/2018/03/2018031988.pdf</t>
  </si>
  <si>
    <t>M02-P0052</t>
  </si>
  <si>
    <t>M02-P0053</t>
  </si>
  <si>
    <t>M02-P0054</t>
  </si>
  <si>
    <t>M02-P0055</t>
  </si>
  <si>
    <t>M02-P0056</t>
  </si>
  <si>
    <t>M02-P0057</t>
  </si>
  <si>
    <t>M02-P0058</t>
  </si>
  <si>
    <t>M02-P0059</t>
  </si>
  <si>
    <t>M02-P0060</t>
  </si>
  <si>
    <t>M02-P0061</t>
  </si>
  <si>
    <t>M02-P0062</t>
  </si>
  <si>
    <t>M02-P0063</t>
  </si>
  <si>
    <t>M02-P0064</t>
  </si>
  <si>
    <t>M02-P0065</t>
  </si>
  <si>
    <t>M02-P0066</t>
  </si>
  <si>
    <t>M02-P0067</t>
  </si>
  <si>
    <t>M02-P0068</t>
  </si>
  <si>
    <t>M02-P0069</t>
  </si>
  <si>
    <t>M02-P0070</t>
  </si>
  <si>
    <t>Can I Reapply To This Scheme If I Am Already Availing The Benefits Of This Scheme?
No, you can not reapply to this scheme if you already have availed of its benefits.</t>
  </si>
  <si>
    <t>M02-P0071</t>
  </si>
  <si>
    <t>M02-P0072</t>
  </si>
  <si>
    <t>M02-P0073</t>
  </si>
  <si>
    <t>M02-P0074</t>
  </si>
  <si>
    <t>M02-P0075</t>
  </si>
  <si>
    <t>M02-P0076</t>
  </si>
  <si>
    <t>M02-P0077</t>
  </si>
  <si>
    <t>M02-P0078</t>
  </si>
  <si>
    <t>M02-P0079</t>
  </si>
  <si>
    <t>M03-P0001</t>
  </si>
  <si>
    <t>reviewed_extract</t>
  </si>
  <si>
    <t>M03-P0002</t>
  </si>
  <si>
    <t>M03-P0003</t>
  </si>
  <si>
    <t>M03-P0004</t>
  </si>
  <si>
    <t>M03-P0005</t>
  </si>
  <si>
    <t>M03-P0006</t>
  </si>
  <si>
    <t>M03-P0007</t>
  </si>
  <si>
    <t>M03-P0008</t>
  </si>
  <si>
    <t>M03-P0009</t>
  </si>
  <si>
    <t>earlier_review.documents</t>
  </si>
  <si>
    <t>M03-P0012</t>
  </si>
  <si>
    <t>earlier_review.benefits</t>
  </si>
  <si>
    <t>M04-P0001</t>
  </si>
  <si>
    <t>M04-P0002</t>
  </si>
  <si>
    <t>M04-P0003</t>
  </si>
  <si>
    <t>M04-P0004</t>
  </si>
  <si>
    <t>M04-P0005</t>
  </si>
  <si>
    <t>M04-P0006</t>
  </si>
  <si>
    <t>M04-P0009</t>
  </si>
  <si>
    <t>C07-P0001</t>
  </si>
  <si>
    <t>The Rashtriya Krishi Vigyan Puraskar under Indian Council of Agricultural Research (ICAR),Ministry of Agriculture &amp; Farmers Welfare, Government of India, recognizes and honors scientists and technical personnel who have made outstanding contributions in agriculture, agricultural education, extension, and allied sciences. This includes the development of new processes, products, tools, technologies, and innovative practices that enhance agricultural productivity and sustainability in India.</t>
  </si>
  <si>
    <t>C07-P0002</t>
  </si>
  <si>
    <t>Fields Covered:</t>
  </si>
  <si>
    <t>C07-P0003</t>
  </si>
  <si>
    <t>The awards are categorized under three main streams, each covering the following four fields:</t>
  </si>
  <si>
    <t>C07-P0004</t>
  </si>
  <si>
    <t>Crops &amp; Horticultural Sciences</t>
  </si>
  <si>
    <t>C07-P0005</t>
  </si>
  <si>
    <t>en.schemeContent.detailedDescription[3].children[1]</t>
  </si>
  <si>
    <t>Natural Resources Management &amp; Agricultural Engineering</t>
  </si>
  <si>
    <t>C07-P0006</t>
  </si>
  <si>
    <t>en.schemeContent.detailedDescription[3].children[2]</t>
  </si>
  <si>
    <t>Animal &amp; Fisheries Sciences</t>
  </si>
  <si>
    <t>C07-P0007</t>
  </si>
  <si>
    <t>en.schemeContent.detailedDescription[3].children[3]</t>
  </si>
  <si>
    <t>Social Sciences</t>
  </si>
  <si>
    <t>C07-P0008</t>
  </si>
  <si>
    <t>Award Categories &amp; Number of Awardees:</t>
  </si>
  <si>
    <t>C07-P0009</t>
  </si>
  <si>
    <t>Innovation &amp; Technology in Agriculture &amp; Allied Sciences – 4 awardees</t>
  </si>
  <si>
    <t>C07-P0010</t>
  </si>
  <si>
    <t>en.schemeContent.detailedDescription[5].children[1]</t>
  </si>
  <si>
    <t>Research in Agriculture &amp; Allied Sciences – 4 awardees</t>
  </si>
  <si>
    <t>C07-P0011</t>
  </si>
  <si>
    <t>en.schemeContent.detailedDescription[5].children[2]</t>
  </si>
  <si>
    <t>Outstanding Interdisciplinary Team Research in Agriculture, Agricultural Education, Extension &amp; Allied Sciences – 1 awardee</t>
  </si>
  <si>
    <t>C07-P0012</t>
  </si>
  <si>
    <t>en.schemeContent.detailedDescription[5].children[3]</t>
  </si>
  <si>
    <t>Outstanding Woman Scientist in Agriculture, Agricultural Education, Extension &amp; Allied Sciences – 1 awardee</t>
  </si>
  <si>
    <t>C07-P0013</t>
  </si>
  <si>
    <t>en.schemeContent.detailedDescription[5].children[4]</t>
  </si>
  <si>
    <t>Outstanding Young Scientist in Agriculture &amp; Allied Sciences – 4 awardees</t>
  </si>
  <si>
    <t>C07-P0014</t>
  </si>
  <si>
    <t>i. In the Award Ceremony, the Awardees shall be presented a Sanad (certificate) signed by the Hon'ble Union Minister (Agriculture &amp; Farmers Welfare) &amp; President, ICAR. A commemorative brochure, containing the citation and photograph of the awardees shall also be released on the day of the ceremony.</t>
  </si>
  <si>
    <t>C07-P0015</t>
  </si>
  <si>
    <t>ii. The decoration to such persons who are not able to attend the award ceremony due to personal reasons (including indisposition, preoccupation, etc.) shall be deemed to have been conferred. No other person (including the spouse/next of kin) should be allowed to receive the award on behalf of the absentee awardee except in posthumous cases.</t>
  </si>
  <si>
    <t>C07-P0016</t>
  </si>
  <si>
    <t>C07-P0017</t>
  </si>
  <si>
    <t>C07-P0018</t>
  </si>
  <si>
    <t>C07-P0019</t>
  </si>
  <si>
    <t>C07-P0020</t>
  </si>
  <si>
    <t>C07-P0021</t>
  </si>
  <si>
    <t>C07-P0022</t>
  </si>
  <si>
    <t>C07-P0023</t>
  </si>
  <si>
    <t>C07-P0024</t>
  </si>
  <si>
    <t>C07-P0025</t>
  </si>
  <si>
    <t>C07-P0026</t>
  </si>
  <si>
    <t>C07-P0027</t>
  </si>
  <si>
    <t>C07-P0045</t>
  </si>
  <si>
    <t>What is Rashtriya Krishi Vigyan Puraskar (RKVP)?
It is an award given to agricultural scientists and professionals for outstanding contributions in agriculture and allied sciences.</t>
  </si>
  <si>
    <t>C07-P0046</t>
  </si>
  <si>
    <t>What type of work is considered for the award?
The applicant’s work must include research, innovation, or extension activities with proven impact on society, economy, or environment.</t>
  </si>
  <si>
    <t>C07-P0047</t>
  </si>
  <si>
    <t>Is there any minimum experience required?
No, the applicant can apply at any stage of their career as no minimum service period is required.</t>
  </si>
  <si>
    <t>C07-P0048</t>
  </si>
  <si>
    <t>Can a person apply more than once in a year?
No, the applicant can submit only one application for one contribution in a year.</t>
  </si>
  <si>
    <t>C07-P0049</t>
  </si>
  <si>
    <t>How many members are allowed in a team?
The applicant can be part of a team of up to 5 members (or minimum 3 for interdisciplinary category).</t>
  </si>
  <si>
    <t>C07-P0050</t>
  </si>
  <si>
    <t>Can the same person apply in multiple categories?
No, the applicant can apply in only one category.</t>
  </si>
  <si>
    <t>C07-P0051</t>
  </si>
  <si>
    <t>Who can nominate the applicant?
The applicant can be nominated by institutions, government bodies, or can also self-nominate.</t>
  </si>
  <si>
    <t>C07-P0052</t>
  </si>
  <si>
    <t>What happens if the awardee cannot attend the ceremony?
The award is still considered given, but no one else can receive it on their behalf (except in posthumous cases).</t>
  </si>
  <si>
    <t>C07-P0053</t>
  </si>
  <si>
    <t>How long is the application valid?
The applicant’s application is valid for one year only and is not carried forward.</t>
  </si>
  <si>
    <t>C08-P0001</t>
  </si>
  <si>
    <t>The scheme "Market Development Assistance" was launched by the Ministry of Chemicals &amp; Fertilizers, Department of Fertilizers, and the scheme aims to promote organic fertilizers produced at plants under the umbrella Galvanizing Organic Bio-Agro Resources Dhan initiative covering various Bio-Gas and Compressed Bio-Gas support schemes. The scheme provides Market Development Assistance at ₹1,500/- per Metric Tonne for the sale of Fermented Organic Manure, Liquid Fermented Organic Manure, and enriched Phosphate Rich Organic Manure, along with gap funding for research from a corpus of ₹3,60,00,00,000/-. The applicant must register their manufacturing units on the Galvanizing Organic Bio-Agro Resources Dhan portal and market the fertilizers in conformity with the Fertilizer Control Order specifications.</t>
  </si>
  <si>
    <t>C08-P0002</t>
  </si>
  <si>
    <t>Market Development Assistance of ₹1,500/- per Metric Tonne is provided for the sale of Fermented Organic Manure, Liquid Fermented Organic Manure, and enriched Phosphate Rich Organic Manure.</t>
  </si>
  <si>
    <t>C08-P0003</t>
  </si>
  <si>
    <t>A corpus of ₹3,60,00,00,000/- is available for research gap funding, to be utilized only by Central and State Research Institutes or non-private fertilizer cooperatives.</t>
  </si>
  <si>
    <t>C08-P0004</t>
  </si>
  <si>
    <t>The total budget outlay for the scheme is ₹14,51,82,00,000/- for three years from Financial Year 2023-24 to Financial Year 2025-26.</t>
  </si>
  <si>
    <t>C08-P0005</t>
  </si>
  <si>
    <t>Disbursal</t>
  </si>
  <si>
    <t>C08-P0006</t>
  </si>
  <si>
    <t>Assistance is provided only for the quantity sold through Point of Sale machines.</t>
  </si>
  <si>
    <t>C08-P0007</t>
  </si>
  <si>
    <t>en.schemeContent.benefits[2].children[1]</t>
  </si>
  <si>
    <t>Assistance claims must be generated through the Integrated Fertilizer Management System portal using Direct Benefit Transfer.</t>
  </si>
  <si>
    <t>C08-P0008</t>
  </si>
  <si>
    <t>en.schemeContent.benefits[2].children[2]</t>
  </si>
  <si>
    <t>Claims must be submitted within two months of the sale of the organic fertilizers.</t>
  </si>
  <si>
    <t>C08-P0009</t>
  </si>
  <si>
    <t>Conditions</t>
  </si>
  <si>
    <t>C08-P0010</t>
  </si>
  <si>
    <t>Marketing entities must print the Maximum Retail Price along with applicable Market Development Assistance on the bags clearly.</t>
  </si>
  <si>
    <t>C08-P0011</t>
  </si>
  <si>
    <t>en.schemeContent.benefits[4].children[1]</t>
  </si>
  <si>
    <t>Any State subsidy provided on the organic fertilizers must be passed on to the farmers in terms of a lower Maximum Retail Price.</t>
  </si>
  <si>
    <t>C08-P0012</t>
  </si>
  <si>
    <t>en.schemeContent.benefits[4].children[2]</t>
  </si>
  <si>
    <t>Each bag must display its constituents as given in the Fertilizer Control Order, the marketing entities' names, the manufacturer's name, and shelf-life.</t>
  </si>
  <si>
    <t>C08-P0013</t>
  </si>
  <si>
    <t>en.schemeContent.benefits[4].children[3]</t>
  </si>
  <si>
    <t>Marketing entities must ensure that any sale above the printed net Maximum Retail Price is avoided, as it is punishable under the Essential Commodities Act.</t>
  </si>
  <si>
    <t>C08-P0014</t>
  </si>
  <si>
    <t>C08-P0015</t>
  </si>
  <si>
    <t>C08-P0016</t>
  </si>
  <si>
    <t>C08-P0017</t>
  </si>
  <si>
    <t>C08-P0018</t>
  </si>
  <si>
    <t>C08-P0019</t>
  </si>
  <si>
    <t>C08-P0020</t>
  </si>
  <si>
    <t>C08-P0021</t>
  </si>
  <si>
    <t>C08-P0022</t>
  </si>
  <si>
    <t>C08-P0023</t>
  </si>
  <si>
    <t>C08-P0024</t>
  </si>
  <si>
    <t>C08-P0025</t>
  </si>
  <si>
    <t>C08-P0026</t>
  </si>
  <si>
    <t>C08-P0027</t>
  </si>
  <si>
    <t>C08-P0028</t>
  </si>
  <si>
    <t>documents.en.documents_required[1].children[0]</t>
  </si>
  <si>
    <t>documents.en.documents_required[1].children[1]</t>
  </si>
  <si>
    <t>documents.en.documents_required[1].children[2]</t>
  </si>
  <si>
    <t>documents.en.documents_required[1].children[3]</t>
  </si>
  <si>
    <t>documents.en.documents_required[1].children[4]</t>
  </si>
  <si>
    <t>documents.en.documents_required[1].children[5]</t>
  </si>
  <si>
    <t>documents.en.documents_required[1].children[6]</t>
  </si>
  <si>
    <t>documents.en.documents_required[1].children[7]</t>
  </si>
  <si>
    <t>documents.en.documents_required[2].children[0]</t>
  </si>
  <si>
    <t>documents.en.documents_required[3].children[0]</t>
  </si>
  <si>
    <t>documents.en.documents_required[3].children[1]</t>
  </si>
  <si>
    <t>documents.en.documents_required[3].children[2]</t>
  </si>
  <si>
    <t>documents.en.documents_required[3].children[3]</t>
  </si>
  <si>
    <t>documents.en.documents_required[4].children[0]</t>
  </si>
  <si>
    <t>documents.en.documents_required[5].children[0]</t>
  </si>
  <si>
    <t>documents.en.documents_required[5].children[1]</t>
  </si>
  <si>
    <t>documents.en.documents_required[5].children[2]</t>
  </si>
  <si>
    <t>documents.en.documents_required[5].children[3]</t>
  </si>
  <si>
    <t>documents.en.documents_required[5].children[4]</t>
  </si>
  <si>
    <t>documents.en.documents_required[5].children[5]</t>
  </si>
  <si>
    <t>documents.en.documents_required[5].children[6]</t>
  </si>
  <si>
    <t>documents.en.documents_required[5].children[7]</t>
  </si>
  <si>
    <t>documents.en.documents_required[5].children[8]</t>
  </si>
  <si>
    <t>documents.en.documents_required[5].children[9]</t>
  </si>
  <si>
    <t>documents.en.documents_required[5].children[10]</t>
  </si>
  <si>
    <t>C08-P0076</t>
  </si>
  <si>
    <t>To be eligible to receive the financial assistance for promoting organic fertilizers, what specific online registration must I complete beforehand?
You must register your Bio-Gas or Compressed Bio-Gas units on the unified Galvanizing Organic Bio-Agro Resources Dhan portal managed by the Department of Drinking Water and Sanitation.</t>
  </si>
  <si>
    <t>C08-P0077</t>
  </si>
  <si>
    <t>If I want to ensure my organic manure qualifies for the monetary support, where should I get the mandatory quality testing conducted?
Quality testing must be ensured at laboratories notified by the Government or private laboratories accredited by the National Accreditation Board for Testing and Calibration Laboratories.</t>
  </si>
  <si>
    <t>C08-P0078</t>
  </si>
  <si>
    <t>I represent a private fertilizer cooperative and want to apply for the research and development financial support; am I eligible to access this specific funding?
No, the ₹3,60,00,00,000/- corpus for research and gap funding can only be utilized by Central or State Research Institutes and non-private fertilizer cooperatives.</t>
  </si>
  <si>
    <t>C08-P0079</t>
  </si>
  <si>
    <t>Which exact types of organic fertilizers must my manufacturing plant produce to be considered eligible for the financial support of ₹1,500/- per Metric Tonne?
You must produce Fermented Organic Manure, Liquid Fermented Organic Manure, or enriched Phosphate Rich Organic Manure as by-products of your registered plants.</t>
  </si>
  <si>
    <t>C08-P0080</t>
  </si>
  <si>
    <t>After getting my fertilizer products tested at an accredited laboratory, who must validate the resulting quality test report before I can proceed?
The quality test report must be validated by the State Agriculture Department or the State Energy Development Agency before they can issue the required certification.</t>
  </si>
  <si>
    <t>C08-P0081</t>
  </si>
  <si>
    <t>What are my ongoing obligations regarding the documentation and maintenance of operational records once I am selected to receive the promotional funding?
You are required to maintain permanent records in continuity year after year and make them available for audit or verification when requested by authorized agencies.</t>
  </si>
  <si>
    <t>C08-P0082</t>
  </si>
  <si>
    <t>How must I execute the sales of my eligible organic manure products to ensure I can successfully claim the financial disbursement later?
The financial support is permitted only for the precise quantity of fertilizers that are successfully sold to farmers through official Point of Sale machines.</t>
  </si>
  <si>
    <t>C08-P0083</t>
  </si>
  <si>
    <t>Once I have successfully sold my approved organic manure products, within what precise timeframe must I submit my claim to receive the monetary benefit?
You are required to generate and submit your direct benefit transfer claims within exactly two months from the month the product was sold.</t>
  </si>
  <si>
    <t>C08-P0084</t>
  </si>
  <si>
    <t>When packaging my approved organic manure for retail sale, what specific pricing and promotional details am I legally required to print on the bags?
You must clearly print the Maximum Retail Price along with the applicable promotional assistance amount on each package to ensure complete transparency for the buyers.</t>
  </si>
  <si>
    <t>C08-P0085</t>
  </si>
  <si>
    <t>If my manufacturing entity chooses to market the organic manure exclusively in packed form, how frequently must the quality testing be conducted?
When marketing your products in a packed format, you must ensure that a quality test is meticulously carried out for every single batch produced.</t>
  </si>
  <si>
    <t>C08-P0086</t>
  </si>
  <si>
    <t>Apart from the pricing details, what other mandatory manufacturing and product information must be visibly displayed on every bag of the eligible manure?
Each bag must prominently display its constituents, the names of the marketing entities, the manufacturer's name, and the product's exact shelf-life.</t>
  </si>
  <si>
    <t>C08-P0087</t>
  </si>
  <si>
    <t>Under which specific national initiatives or programs must my biogas plant be supported to ensure I meet the core manufacturing eligibility criteria?
Your plant must be supported under initiatives like the Sustainable Alternative Towards Affordable Transportation, the Waste to Energy programme, or the Swachh Bharat Mission.</t>
  </si>
  <si>
    <t>C08-P0088</t>
  </si>
  <si>
    <t>What specific national regulatory standards must my manufactured organic manure products adhere to in order to qualify for the promotional funding?
Your products must be in strict conformity with the quality specifications mentioned in the Fertilizer Control Order of 1985, along with any subsequent amendments.</t>
  </si>
  <si>
    <t>C08-P0089</t>
  </si>
  <si>
    <t>What specific types of business operations or corporate entities are formally permitted to apply for the promotional funding for organic fertilizers?
Manufacturing-cum-marketing entities, Compressed Bio-Gas operators, Bio-gas operators, marketers, distributors, and established Fertilizer Marketing Companies are formally eligible to participate.</t>
  </si>
  <si>
    <t>C09-P0001</t>
  </si>
  <si>
    <t>The scheme "Promoting Innovations In Individuals, Start-Ups And Micro, Small And Medium Enterprises (PRISM)" was launched by the Department of Scientific and Industrial Research, Ministry of Science and Technology, Government of India. The scheme aims to promote innovations in individuals, start-ups and micro, small and medium enterprises. The scheme provides support for Individual Innovator Proposals under Phase-I, Category II, focusing on Fabrication of Working Model/Process Know-how/Testing &amp; Trial/Patenting/Technology Transfer. Key features include comparatively more rigorous demonstrability of original idea/invention/know-how in the form of working prototype/processes and its testing and trial/patenting/technology transfer. The scheme is implemented by the Department of Scientific and Industrial Research (DSIR). The applications for this scheme are accepted by submission to the nearest TePP Outreach cum Cluster Innovation Centres (TOCICs) or directly to the Department of</t>
  </si>
  <si>
    <t xml:space="preserve"> Scientific and Industrial Research.</t>
  </si>
  <si>
    <t>C09-P0002</t>
  </si>
  <si>
    <t>The maximum support under Category II is ₹20,00,000/- or 90% of the approved project cost, whichever is lower. The approved project cost must be more than ₹5,00,000/- and up to ₹35,00,000/-.</t>
  </si>
  <si>
    <t>C09-P0003</t>
  </si>
  <si>
    <t>Eligible Components for Support</t>
  </si>
  <si>
    <t>C09-P0004</t>
  </si>
  <si>
    <t>Research and Development/Design Engineering/Consultancy charges.</t>
  </si>
  <si>
    <t>C09-P0005</t>
  </si>
  <si>
    <t>Rental charges for laboratory/workshop facilities.</t>
  </si>
  <si>
    <t>C09-P0006</t>
  </si>
  <si>
    <t>Essential equipment that cannot be taken on rent (reasons for purchase must be given).</t>
  </si>
  <si>
    <t>C09-P0007</t>
  </si>
  <si>
    <t>Raw material/spares/consumables cost.</t>
  </si>
  <si>
    <t>C09-P0008</t>
  </si>
  <si>
    <t>Fabrication/synthesis charges.</t>
  </si>
  <si>
    <t>C09-P0009</t>
  </si>
  <si>
    <t>Manpower cost of technical assistants, not exceeding 20% of the approved project cost.</t>
  </si>
  <si>
    <t>C09-P0010</t>
  </si>
  <si>
    <t>en.schemeContent.benefits[3].children[6]</t>
  </si>
  <si>
    <t>Testing and trials.</t>
  </si>
  <si>
    <t>C09-P0011</t>
  </si>
  <si>
    <t>en.schemeContent.benefits[3].children[7]</t>
  </si>
  <si>
    <t>Travel cost, not exceeding 5% of the approved project cost.</t>
  </si>
  <si>
    <t>C09-P0012</t>
  </si>
  <si>
    <t>en.schemeContent.benefits[3].children[8]</t>
  </si>
  <si>
    <t>Patent filing (actual fee paid to the patent office).</t>
  </si>
  <si>
    <t>C09-P0013</t>
  </si>
  <si>
    <t>en.schemeContent.benefits[3].children[9]</t>
  </si>
  <si>
    <t>Process know-how development.</t>
  </si>
  <si>
    <t>C09-P0014</t>
  </si>
  <si>
    <t>en.schemeContent.benefits[3].children[10]</t>
  </si>
  <si>
    <t>Proposals involving scientifically characterizing or testing the efficacy and toxicity of herbal formulations.</t>
  </si>
  <si>
    <t>C09-P0015</t>
  </si>
  <si>
    <t>Exclusions from Support</t>
  </si>
  <si>
    <t>C09-P0016</t>
  </si>
  <si>
    <t>en.schemeContent.benefits[5].children[0]</t>
  </si>
  <si>
    <t>Innovator’s salary.</t>
  </si>
  <si>
    <t>C09-P0017</t>
  </si>
  <si>
    <t>en.schemeContent.benefits[5].children[1]</t>
  </si>
  <si>
    <t>Rental expenses for use of own facilities.</t>
  </si>
  <si>
    <t>C09-P0018</t>
  </si>
  <si>
    <t>C09-P0019</t>
  </si>
  <si>
    <t>en.schemeContent.benefits[7].children[0]</t>
  </si>
  <si>
    <t>The first release is based on milestones/deliverables projected in the project proposals and as recommended by the PRISM Advisory and Screening Committee (PASC).</t>
  </si>
  <si>
    <t>C09-P0020</t>
  </si>
  <si>
    <t>en.schemeContent.benefits[7].children[1]</t>
  </si>
  <si>
    <t>Subsequent releases are based on the assessment of the progress of the project by the Project Review Committee (PRC).</t>
  </si>
  <si>
    <t>C09-P0021</t>
  </si>
  <si>
    <t>en.schemeContent.benefits[8].children[0]</t>
  </si>
  <si>
    <t>C09-P0022</t>
  </si>
  <si>
    <t>en.schemeContent.benefits[9].children[0]</t>
  </si>
  <si>
    <t>The applicant has to sign "Terms &amp; Conditions" prior to the actual release of grants-in-aid.</t>
  </si>
  <si>
    <t>C09-P0023</t>
  </si>
  <si>
    <t>en.schemeContent.benefits[9].children[1]</t>
  </si>
  <si>
    <t>The approved projects will be monitored by the TePP Outreach cum Cluster Innovation Centre/other network partners, including technical expert(s).</t>
  </si>
  <si>
    <t>C09-P0024</t>
  </si>
  <si>
    <t>en.schemeContent.benefits[9].children[2]</t>
  </si>
  <si>
    <t>The TePP Outreach cum Cluster Innovation Centres will be periodically reporting project status to the Department of Scientific and Industrial Research at an interval of 3 months.</t>
  </si>
  <si>
    <t>C09-P0025</t>
  </si>
  <si>
    <t>en.schemeContent.benefits[9].children[3]</t>
  </si>
  <si>
    <t>The Project Review Committees, consisting of external experts, will meet at least once in nine months to review the progress of the project.</t>
  </si>
  <si>
    <t>C09-P0026</t>
  </si>
  <si>
    <t>en.schemeContent.benefits[9].children[4]</t>
  </si>
  <si>
    <t>For student innovators, the institution will be responsible for final completion of the project in case the Innovator leaves the Institute/Organization without completion of the project.</t>
  </si>
  <si>
    <t>C09-P0027</t>
  </si>
  <si>
    <t>C09-P0028</t>
  </si>
  <si>
    <t>C09-P0029</t>
  </si>
  <si>
    <t>C09-P0030</t>
  </si>
  <si>
    <t>C09-P0031</t>
  </si>
  <si>
    <t>C09-P0032</t>
  </si>
  <si>
    <t>C09-P0033</t>
  </si>
  <si>
    <t>C09-P0034</t>
  </si>
  <si>
    <t>C09-P0035</t>
  </si>
  <si>
    <t>C09-P0036</t>
  </si>
  <si>
    <t>C09-P0037</t>
  </si>
  <si>
    <t>C09-P0038</t>
  </si>
  <si>
    <t>C09-P0039</t>
  </si>
  <si>
    <t>C09-P0040</t>
  </si>
  <si>
    <t>C09-P0041</t>
  </si>
  <si>
    <t>C09-P0042</t>
  </si>
  <si>
    <t>C09-P0043</t>
  </si>
  <si>
    <t>C09-P0044</t>
  </si>
  <si>
    <t>documents.en.documents_required[1].children[8]</t>
  </si>
  <si>
    <t>documents.en.documents_required[1].children[9]</t>
  </si>
  <si>
    <t>documents.en.documents_required[1].children[10]</t>
  </si>
  <si>
    <t>documents.en.documents_required[1].children[11]</t>
  </si>
  <si>
    <t>documents.en.documents_required[1].children[12]</t>
  </si>
  <si>
    <t>documents.en.documents_required[6].children[0]</t>
  </si>
  <si>
    <t>documents.en.documents_required[7].children[0]</t>
  </si>
  <si>
    <t>C09-P0113</t>
  </si>
  <si>
    <t>If the user wishes to proceed with fundamental scientific investigations that have no immediate commercial value, will such a proposal be accepted for evaluation?
Proposals dedicated entirely to basic scientific research which lack immediate commercial implications are explicitly excluded and will not be accepted for consideration.</t>
  </si>
  <si>
    <t>C09-P0114</t>
  </si>
  <si>
    <t>What is the highest percentage of the total approved project expenditure that the funding authority can provide as financial assistance under this category?
The maximum financial assistance provided is ₹20,00,000/- or 90% of the approved project cost, whichever of these two amounts is lower.</t>
  </si>
  <si>
    <t>C09-P0115</t>
  </si>
  <si>
    <t>What types of innovation activities are primarily eligible for support under Category II, focusing on demonstrable outcomes rather than research?
Support covers the Fabrication of Working Model, Process Know-how, Testing &amp; Trial, Patenting, or Technology Transfer, which demand rigorous demonstrability of the original idea.</t>
  </si>
  <si>
    <t>C09-P0116</t>
  </si>
  <si>
    <t>When submitting a proposal that has been mentored by external agencies other than the designated TePP Outreach cum Cluster Innovation Centres, what submission route must be followed?
Proposals scouted and documented by other agencies must still be routed through the nearest TePP Outreach cum Cluster Innovation Centre and include an evaluation by the assisting agency.</t>
  </si>
  <si>
    <t>C09-P0117</t>
  </si>
  <si>
    <t>As a student applying for innovation support, what specific documentation is required from the head of my educational institution to be eligible for consideration?
Students must provide a 'No Objection Certificate’ signed by the head of their institution, written on the institution’s official letter-head, along with the main application.</t>
  </si>
  <si>
    <t>C09-P0118</t>
  </si>
  <si>
    <t>What are the minimum and maximum financial limits set for the total estimated costs of the proposed invention project to qualify for this particular phase of support?
The overall project cost must fall within the range of more than ₹5,00,000/- and up to ₹35,00,000/- to meet the stipulated financial criteria for the proposal.</t>
  </si>
  <si>
    <t>C09-P0119</t>
  </si>
  <si>
    <t>Are there any limitations placed on the cost allocated specifically for hiring technical assistants or other related manpower within the project budget?
Yes, the manpower cost intended for technical assistants is capped and must not exceed 20% of the total approved cost for the innovation project.</t>
  </si>
  <si>
    <t>C09-P0120</t>
  </si>
  <si>
    <t>If I am currently employed by an organization and wish to seek support for my innovative idea, what formal approval must I obtain from my employer?
Individuals working in organizations must furnish a mandatory ‘No Objection Certificate’ from their employer when applying for support under the Promoting Innovations In Individuals, Start-Ups and Micro, Small and Medium Enterprises scheme.</t>
  </si>
  <si>
    <t>C09-P0121</t>
  </si>
  <si>
    <t>If the project solely involves developing new software applications without any embedded physical component, will the proposal be considered eligible for funding?
Proposals focused exclusively on software development are not accepted for consideration under the Promoting Innovations In Individuals, Start-Ups and Micro, Small and Medium Enterprises scheme.</t>
  </si>
  <si>
    <t>C09-P0122</t>
  </si>
  <si>
    <t>Is there a spending restriction concerning the costs incurred for travel while executing the project activities and attending necessary meetings or trials?
Yes, the total travel cost must be based on actual expenses incurred but is restricted to an amount not exceeding 5% of the total approved project cost.</t>
  </si>
  <si>
    <t>C09-P0123</t>
  </si>
  <si>
    <t>What is the residency and intellectual property requirement that applicants must fulfill to be considered eligible for this governmental scheme?
The applicant must definitively be an Indian Citizen and must possess either a genuine innovative idea or a demonstrable invention.</t>
  </si>
  <si>
    <t>C09-P0124</t>
  </si>
  <si>
    <t>If the primary objective of the proposal is only to register a patent for an existing invention, is this activity alone sufficient to qualify for the scheme's support?
No, proposals involving only patenting are generally not accepted; however, patenting is eligible if it is combined with parallel prototype development.</t>
  </si>
  <si>
    <t>C09-P0125</t>
  </si>
  <si>
    <t>Which specific project expenses, related to personnel and facility usage, are explicitly designated as ineligible to receive financial support?
Support cannot be granted for the innovator’s personal salary or for covering rental expenses related to the use of facilities already owned by the applicant.</t>
  </si>
  <si>
    <t>C09-P0126</t>
  </si>
  <si>
    <t>What specific sectors or technology intensive areas should I focus my innovation on to gain a preference during the proposal evaluation process?
Proposals are preferably focused on sectors such as Green Technology, Clean Energy, Affordable healthcare, Water &amp; sewage management, or Industrially utilizable smart materials.</t>
  </si>
  <si>
    <t>C10-P0001</t>
  </si>
  <si>
    <t>The scheme "Khadi Vikas Yojana" is an umbrella scheme under "Khadi Gramodyog Vikas Yojana" and has been implemented by the Khadi and Village Industries Commission (KVIC), Ministry of Micro, Small and Medium Enterprises (MSME), Governemnt of India. It aims to support Khadi institutions and artisans by providing financial assistance, infrastructure development, interest subsidy, and marketing support. The scheme offers subsidies on Khadi production, reduces the interest burden on bank loans, facilitates the construction of worksheds for artisans, strengthens existing weak Khadi institutions, and enhances marketing infrastructure, including the renovation and modernization of sales outlets. Additionally, the scheme supports quality assurance initiatives, exhibitions, science and technology interventions, and the establishment of Centres of Excellence for Khadi</t>
  </si>
  <si>
    <t>C10-P0002</t>
  </si>
  <si>
    <t>Assistance provided under different components of Scheme:</t>
  </si>
  <si>
    <t>C10-P0003</t>
  </si>
  <si>
    <t>Modified Market Development Assistance (MMDA):</t>
  </si>
  <si>
    <t>C10-P0004</t>
  </si>
  <si>
    <t>en.schemeContent.benefits[2].children[0].children[0]</t>
  </si>
  <si>
    <t>Subsidy @ 35% on Prime Cost for Cotton/Muslin, Wool and Polyvastra and @ 20% on Prime Cost for Silk Khadi</t>
  </si>
  <si>
    <t>C10-P0005</t>
  </si>
  <si>
    <t>Interest Subsidy Eligibility Certificate Scheme (ISEC):</t>
  </si>
  <si>
    <t>C10-P0006</t>
  </si>
  <si>
    <t>en.schemeContent.benefits[2].children[2].children[0]</t>
  </si>
  <si>
    <t>Khadi Institution is required to pay only 4% interest rate. The difference between the actual Interest charged by the Bank and 4% is borne by the KVIC as “Interest Subsidy”.</t>
  </si>
  <si>
    <t>C10-P0007</t>
  </si>
  <si>
    <t>Work-shed Scheme for Khadi Artisans:</t>
  </si>
  <si>
    <t>en.schemeContent.benefits[3]</t>
  </si>
  <si>
    <t>C10-P0008</t>
  </si>
  <si>
    <t>en.schemeContent.benefits[4].children[0].children[0]</t>
  </si>
  <si>
    <t>Individual workshed (20 Sq. mtrs): ₹1,20,000/- or 75% of the cost of workshed including toilet (90% for NER), whichever is less.</t>
  </si>
  <si>
    <t>C10-P0009</t>
  </si>
  <si>
    <t>en.schemeContent.benefits[4].children[0].children[1]</t>
  </si>
  <si>
    <t>Group workshed (10 Sq. mtrs per artisans): ₹80,000 or 75% of the cost of the workshed including toilet (90% for NER), whichever is less.</t>
  </si>
  <si>
    <t>C10-P0010</t>
  </si>
  <si>
    <t>Strengthening Infrastructure of Existing Weak Khadi Institutions and Assistance for Marketing Infrastructure:</t>
  </si>
  <si>
    <t>en.schemeContent.benefits[5]</t>
  </si>
  <si>
    <t>C10-P0011</t>
  </si>
  <si>
    <t>en.schemeContent.benefits[6].children[0].children[0]</t>
  </si>
  <si>
    <t>Financial assistance for revival of khadi institution with ceiling limit of ₹15.00 lakh(Capital Expenditure +working fund).</t>
  </si>
  <si>
    <t>C10-P0012</t>
  </si>
  <si>
    <t>en.schemeContent.benefits[6].children[0].children[1]</t>
  </si>
  <si>
    <t>Financial assistance under Marketing Infrastructure for renovation of departmental sales outlets of KVIC /KVIB and institutional sales with the ceiling limit of ₹25.00 lakh.</t>
  </si>
  <si>
    <t>C10-P0013</t>
  </si>
  <si>
    <t>Other Components:</t>
  </si>
  <si>
    <t>en.schemeContent.benefits[6].children[1]</t>
  </si>
  <si>
    <t>C10-P0014</t>
  </si>
  <si>
    <t>en.schemeContent.benefits[6].children[2].children[0]</t>
  </si>
  <si>
    <t>Centre of Excellence for Khadi</t>
  </si>
  <si>
    <t>C10-P0015</t>
  </si>
  <si>
    <t>en.schemeContent.benefits[6].children[2].children[1]</t>
  </si>
  <si>
    <t>Khadi Quality Assurance</t>
  </si>
  <si>
    <t>C10-P0016</t>
  </si>
  <si>
    <t>en.schemeContent.benefits[6].children[2].children[2]</t>
  </si>
  <si>
    <t>Marketing(Exhibition)</t>
  </si>
  <si>
    <t>C10-P0017</t>
  </si>
  <si>
    <t>en.schemeContent.benefits[6].children[2].children[3]</t>
  </si>
  <si>
    <t>Science &amp; Technology (S&amp;T)</t>
  </si>
  <si>
    <t>C10-P0018</t>
  </si>
  <si>
    <t>C10-P0019</t>
  </si>
  <si>
    <t>C10-P0020</t>
  </si>
  <si>
    <t>C10-P0021</t>
  </si>
  <si>
    <t>C10-P0022</t>
  </si>
  <si>
    <t>C10-P0023</t>
  </si>
  <si>
    <t>C10-P0024</t>
  </si>
  <si>
    <t>C10-P0038</t>
  </si>
  <si>
    <t>What is Khadi Vikas Yojana (KGVY)?
Khadi Vikas Yojana is a Government of India scheme implemented by the Khadi and Village Industries Commission (KVIC) to promote Khadi production, improve artisan livelihoods, strengthen Khadi institutions, and expand marketing and exports of Khadi products.</t>
  </si>
  <si>
    <t>C10-P0039</t>
  </si>
  <si>
    <t>What financial assistance is provided under the scheme?
The scheme provides production subsidy under Modified Market Development Assistance (MMDA), interest subsidy through the Interest Subsidy Eligibility Certificate (ISEC), assistance for worksheds, revival of weak institutions, and support for marketing infrastructure.</t>
  </si>
  <si>
    <t>C10-P0040</t>
  </si>
  <si>
    <t>What is Modified Market Development Assistance (MMDA)?
MMDA provides subsidy of 35% on the prime cost for Cotton, Muslin, Wool, and Polyvastra Khadi, and 20% for Silk Khadi, helping institutions reduce production costs and increase artisan wages.</t>
  </si>
  <si>
    <t>C10-P0041</t>
  </si>
  <si>
    <t>What is the ISEC scheme under KGVY?
Under the Interest Subsidy Eligibility Certificate (ISEC) scheme, Khadi institutions pay only 4% interest on bank loans, while the remaining interest is borne by KVIC as a subsidy.</t>
  </si>
  <si>
    <t>C10-P0042</t>
  </si>
  <si>
    <t>What support is given for worksheds?
The scheme provides financial assistance for individual and group worksheds for Khadi artisans, including toilets, to improve working conditions and productivity, with higher assistance for the North Eastern Region.</t>
  </si>
  <si>
    <t>C10-P0043</t>
  </si>
  <si>
    <t>Is there support for weak Khadi institutions?
Yes, financial assistance up to ₹15 lakh is provided for the revival of existing weak Khadi institutions, covering capital expenditure and working capital requirements.</t>
  </si>
  <si>
    <t>C10-P0044</t>
  </si>
  <si>
    <t>Does the scheme support marketing infrastructure?
The scheme supports renovation and modernization of departmental and institutional sales outlets, with financial assistance up to ₹25 lakh, to improve product display and customer outreach.</t>
  </si>
  <si>
    <t>C10-P0045</t>
  </si>
  <si>
    <t>Are there any additional components under the scheme?
Yes, the scheme includes support for Khadi quality assurance, exhibitions, science and technology initiatives, and the establishment of Centres of Excellence for Khadi.</t>
  </si>
  <si>
    <t>C10-P0046</t>
  </si>
  <si>
    <t>What is the age limit for applicants?
Applicants must be between 18 and 55 years of age and must possess valid identity proof such as an Aadhaar card or other government-issued ID.</t>
  </si>
  <si>
    <t>C10-P0047</t>
  </si>
  <si>
    <t>Can more than one person from a family apply?
No, only one person from one family is eligible to receive assistance under Khadi Vikas Yojana.</t>
  </si>
  <si>
    <t>C11-P0001</t>
  </si>
  <si>
    <t>A scheme by Ministry of Finance for financing SC/ST and/or Women Entrepreneurs by facilitating bank loans for setting up a greenfield project  enterprise in manufacturing, services, trading sector and activities allied to agriculture. The objective of this scheme is to facilitate bank loans between Rs. 10 lakh and Rs. 1 Crore to at least one Scheduled Caste (SC) or Scheduled Tribe (ST) borrower and at least one woman borrower per bank branch for setting up a greenfield enterprise. In case of non-individual enterprises, at least 51% of the shareholding and controlling stake should be held by either an SC/ST or Woman entrepreneur.</t>
  </si>
  <si>
    <t>C11-P0002</t>
  </si>
  <si>
    <t>Facilitation of composite loan (inclusive of term loan and working capital) between ₹10 Lakhs and ₹100 Lakhs. Rupay debit card to be issued for convenience of the borrower.</t>
  </si>
  <si>
    <t>C11-P0003</t>
  </si>
  <si>
    <t>The web portal by SIDBI provides hand-holding support through a network of agencies engaged in training, skill development, mentoring, project report preparation, application filling, work shed / utility support services, subsidy schemes etc.</t>
  </si>
  <si>
    <t>C11-P0004</t>
  </si>
  <si>
    <t>C11-P0005</t>
  </si>
  <si>
    <t>C11-P0006</t>
  </si>
  <si>
    <t>C11-P0007</t>
  </si>
  <si>
    <t>documents.en.documents_required[0].children[11]</t>
  </si>
  <si>
    <t>documents.en.documents_required[1]</t>
  </si>
  <si>
    <t>documents.en.documents_required[2].children[1]</t>
  </si>
  <si>
    <t>documents.en.documents_required[2].children[2]</t>
  </si>
  <si>
    <t>documents.en.documents_required[2].children[3]</t>
  </si>
  <si>
    <t>C11-P0037</t>
  </si>
  <si>
    <t>What is the nature and size of the loan under the Stand-Up India Scheme?
Composite loan (inclusive of term loan and working capital) between 10 lakh and up to 100 lakh representing up to 85% of the project cost would be eligible.</t>
  </si>
  <si>
    <t>C11-P0038</t>
  </si>
  <si>
    <t>How much will be the interest rate for the loan?
The rate of interest would be lowest applicable rate of the bank for that category (rating category) not to exceed (base rate (MCLR) + 3%+ tenor premium).</t>
  </si>
  <si>
    <t>C11-P0039</t>
  </si>
  <si>
    <t>By when am I expected to repay the loan?
The loan is repayable in 7 years with a maximum moratorium period of 18 months.</t>
  </si>
  <si>
    <t>C11-P0040</t>
  </si>
  <si>
    <t>Who are the eligible lending institutions for extending loans under the Scheme?
All branches of Scheduled Commercial Banks located across the country.</t>
  </si>
  <si>
    <t>C11-P0041</t>
  </si>
  <si>
    <t>What is Hand-holding Support?
Any new entrepreneur requires guidance in his endeavor to set up his or her business enterprise starting from training to filling up loan applications as per bank requirements.</t>
  </si>
  <si>
    <t>C11-P0042</t>
  </si>
  <si>
    <t>How do I get hand-holding support?
You may navigate through the portal or seek assistance from the nearest branch of a Scheduled Commercial Bank  to help you identify the nature of hand-holding support required.</t>
  </si>
  <si>
    <t>C11-P0043</t>
  </si>
  <si>
    <t>What are the activities for which Stand-Up India loan is provided ?
Stand-Up India loan may be provided to entrepreneurs for engaging in manufacturing, trading, services sectors including activities allied to agriculture.</t>
  </si>
  <si>
    <t>C11-P0044</t>
  </si>
  <si>
    <t>What are the activities allied to agriculture ?
Under the Stand Up India loan, activities allied to agriculture include pisciculture, beekeeping, poultry, livestock, rearing, grading, sorting, aggregation  agro-industries,  dairy, fishery, agri-clinic and agri-business centres, food and agro processing etc.</t>
  </si>
  <si>
    <t>C11-P0045</t>
  </si>
  <si>
    <t>What is the purpose of the loan under “Stand-Up India” Scheme?
The scheme is for setting up a new enterprise in manufacturing, trading,  services sector or activities allied to agriculture   by SC/ST and Women entrepreneur.</t>
  </si>
  <si>
    <t>C11-P0046</t>
  </si>
  <si>
    <t xml:space="preserve"> What is the Difference between Stand-Up India Scheme and Start Up India Scheme?
Stand-Up India Scheme is intended to support SC/ST and Women entrepreneurs to set up green field projects through bank branches in India while Start Up India Scheme aims to boost innovative and technology led enterprises for new/existing enterprises.</t>
  </si>
  <si>
    <t>C12-P0001</t>
  </si>
  <si>
    <t>The scheme "Marketing Incentive" under the "Handloom Marketing Assistance" Component of the National Handloom Development Programme by the Ministry of Textiles, Government of India, aims to develop and promote marketing channels in domestic and export markets in a holistic and integrated manner to bring greater visibility to the sector and ensure commensurate remuneration to weavers. The scheme provides Marketing Incentive calculated at 10% on average sales of handloom products of the last 3 years with maximum caps of ₹1,00,00,000/- for state level organizations and ₹15,00,000/- lakh for primary societies, equally shared between State Government and Central Government except for National Level Handloom Organizations where entire assistance is borne by Government of India. The scheme is implemented by the Office of Development Commissioner (Handlooms) under Ministry of Textiles with applications accepted through prescribed proformas and State Government recommendations.</t>
  </si>
  <si>
    <t>C12-P0002</t>
  </si>
  <si>
    <t>Financial Assistance Structure</t>
  </si>
  <si>
    <t>C12-P0003</t>
  </si>
  <si>
    <t>Marketing Incentive Rate: 10% on average sales of handloom products of the last 3 years.</t>
  </si>
  <si>
    <t>C12-P0004</t>
  </si>
  <si>
    <t>State Level Organizations: Maximum ₹100.00 lakh (Central Government share).</t>
  </si>
  <si>
    <t>C12-P0005</t>
  </si>
  <si>
    <t>en.schemeContent.benefits[1].children[2]</t>
  </si>
  <si>
    <t>Primary Level Organizations: Maximum ₹15.00 lakh (Central Government share).</t>
  </si>
  <si>
    <t>C12-P0006</t>
  </si>
  <si>
    <t>Category-wise Maximum Caps</t>
  </si>
  <si>
    <t>C12-P0007</t>
  </si>
  <si>
    <t>State Level Organizations (Handloom Corporations, Apex Cooperative Societies, National Level Handloom Organizations): ₹1,00,00,000/- Central Government share.</t>
  </si>
  <si>
    <t>C12-P0008</t>
  </si>
  <si>
    <t>Primary Handloom Weavers Cooperative Societies, Producer Companies, Self Help Groups, Joint Liability Groups, Federations and Other Eligible Handloom Entities: ₹15,00,000/- Central Government share.</t>
  </si>
  <si>
    <t>C12-P0009</t>
  </si>
  <si>
    <t>Financial Assistance Sharing</t>
  </si>
  <si>
    <t>C12-P0010</t>
  </si>
  <si>
    <t>General Cases: 50:50 sharing between Government of India and State Government.</t>
  </si>
  <si>
    <t>C12-P0011</t>
  </si>
  <si>
    <t>National Level Handloom Organizations/Societies: Entire assistance borne by Government of India.</t>
  </si>
  <si>
    <t>C12-P0012</t>
  </si>
  <si>
    <t>en.schemeContent.benefits[5].children[2]</t>
  </si>
  <si>
    <t>Benefit Distribution: 10% benefits shared equally between Organizations and Member Weavers through Direct Benefit Transfer.</t>
  </si>
  <si>
    <t>C12-P0013</t>
  </si>
  <si>
    <t>Mode and Frequency of Disbursement</t>
  </si>
  <si>
    <t>C12-P0014</t>
  </si>
  <si>
    <t>Marketing Incentive will be given maximum for 3 years during the scheme period of 5 years.</t>
  </si>
  <si>
    <t>C12-P0015</t>
  </si>
  <si>
    <t>en.schemeContent.benefits[8].children[1]</t>
  </si>
  <si>
    <t>Release through Direct Benefit Transfer mechanism.</t>
  </si>
  <si>
    <t>C12-P0016</t>
  </si>
  <si>
    <t>en.schemeContent.benefits[8].children[2]</t>
  </si>
  <si>
    <t>Nodal Agency must release amount to eligible handloom agencies and their member weavers within 7 days of receipt.</t>
  </si>
  <si>
    <t>C12-P0017</t>
  </si>
  <si>
    <t>Conditions for Availment/Continuation</t>
  </si>
  <si>
    <t>C12-P0018</t>
  </si>
  <si>
    <t>en.schemeContent.benefits[10].children[0]</t>
  </si>
  <si>
    <t>Amount to be used towards activities that attract consumers to gear up overall sales of handloom goods.</t>
  </si>
  <si>
    <t>C12-P0019</t>
  </si>
  <si>
    <t>en.schemeContent.benefits[10].children[1]</t>
  </si>
  <si>
    <t>Enable handloom agencies to adjust prices towards increasing cost competitiveness, improve designs, and invest in infrastructure.</t>
  </si>
  <si>
    <t>C12-P0020</t>
  </si>
  <si>
    <t>en.schemeContent.benefits[10].children[2]</t>
  </si>
  <si>
    <t>State Government recommendation subject to matching contribution by concerned State Government.</t>
  </si>
  <si>
    <t>C12-P0021</t>
  </si>
  <si>
    <t>en.schemeContent.benefits[10].children[3]</t>
  </si>
  <si>
    <t>Claims must be Goods and Services Tax compliant.</t>
  </si>
  <si>
    <t>C12-P0022</t>
  </si>
  <si>
    <t>en.schemeContent.benefits[10].children[4]</t>
  </si>
  <si>
    <t>No similar incentive/rebate received under any other Central Government scheme.</t>
  </si>
  <si>
    <t>C12-P0023</t>
  </si>
  <si>
    <t>C12-P0024</t>
  </si>
  <si>
    <t>C12-P0025</t>
  </si>
  <si>
    <t>C12-P0026</t>
  </si>
  <si>
    <t>C12-P0027</t>
  </si>
  <si>
    <t>C12-P0028</t>
  </si>
  <si>
    <t>C12-P0029</t>
  </si>
  <si>
    <t>C12-P0030</t>
  </si>
  <si>
    <t>C12-P0031</t>
  </si>
  <si>
    <t>C12-P0032</t>
  </si>
  <si>
    <t>documents.en.documents_required[3]</t>
  </si>
  <si>
    <t>documents.en.documents_required[4].children[1]</t>
  </si>
  <si>
    <t>documents.en.documents_required[4].children[2]</t>
  </si>
  <si>
    <t>documents.en.documents_required[4].children[3]</t>
  </si>
  <si>
    <t>documents.en.documents_required[4].children[4]</t>
  </si>
  <si>
    <t>documents.en.documents_required[4].children[5]</t>
  </si>
  <si>
    <t>documents.en.documents_required[4].children[6]</t>
  </si>
  <si>
    <t>documents.en.documents_required[6]</t>
  </si>
  <si>
    <t>documents.en.documents_required[7].children[1]</t>
  </si>
  <si>
    <t>documents.en.documents_required[7].children[2]</t>
  </si>
  <si>
    <t>documents.en.documents_required[8]</t>
  </si>
  <si>
    <t>C12-P0082</t>
  </si>
  <si>
    <t>What specific types of handloom organizations are eligible to apply for marketing incentive assistance under this national development programme?
You can apply if you are a state level organization like Handloom Corporations, Apex Cooperative Societies, or National Level Handloom Organizations, or primary level entities such as Primary Handloom Weavers Cooperative Societies, Producer Companies, Self Help Groups, Joint Liability Groups, Federations, and other eligible handloom entities.</t>
  </si>
  <si>
    <t>C12-P0083</t>
  </si>
  <si>
    <t>What is the calculation method and rate for determining the marketing incentive amount I can receive under this assistance scheme?
The marketing incentive is calculated at 10% of your average sales of handloom products over the last 3 years. This percentage forms the basis for determining your eligible incentive amount.</t>
  </si>
  <si>
    <t>C12-P0084</t>
  </si>
  <si>
    <t>What are the maximum financial caps for marketing incentive assistance based on different categories of handloom organizations under this programme?
State level organizations can receive a maximum of ₹1,00,00,000/- as Central Government share, while primary level organizations are capped at ₹15,00,000/- as Central Government share.</t>
  </si>
  <si>
    <t>C12-P0085</t>
  </si>
  <si>
    <t>How is the financial assistance shared between Central Government and State Government for different categories of handloom organizations?
For general cases, there is 50:50 sharing between Government of India and State Government, while for National Level Handloom Organizations, the entire assistance is borne by Government of India without state contribution.</t>
  </si>
  <si>
    <t>C12-P0086</t>
  </si>
  <si>
    <t>What is the maximum duration for which I can receive marketing incentive assistance and how many times can I apply?
Marketing Incentive will be provided for a maximum of 3 years during the overall scheme period of 5 years, allowing limited-time support for eligible organizations.</t>
  </si>
  <si>
    <t>C12-P0087</t>
  </si>
  <si>
    <t>What essential product marking requirement must I fulfill to be eligible for marketing incentive assistance under this handloom development programme?
You must use either the Handloom Mark or India Handloom Brand for your handloom products to demonstrate authenticity and compliance with national handloom standards.</t>
  </si>
  <si>
    <t>C12-P0088</t>
  </si>
  <si>
    <t>What type of sales transactions are specifically excluded from consideration when calculating my eligible marketing incentive under this scheme?
Sales between handloom agencies, sales to government departments, sales under barter system, and sales by primary societies to apex societies or corporations are excluded from incentive calculation.</t>
  </si>
  <si>
    <t>C12-P0089</t>
  </si>
  <si>
    <t>What documentation must I provide regarding my sales turnover to support my marketing incentive claim application?
You must provide average sales turnover details of handloom products for the last 3 years along with Goods and Services Tax compliant sales bills and invoices.</t>
  </si>
  <si>
    <t>C12-P0090</t>
  </si>
  <si>
    <t>How is the marketing incentive amount distributed between the handloom organization and individual member weavers under this assistance programme?
The 10% marketing incentive benefits are shared equally between the handloom organizations and their member weavers through Direct Benefit Transfer mechanism for equitable distribution.</t>
  </si>
  <si>
    <t>C12-P0091</t>
  </si>
  <si>
    <t>What is the mandatory timeline for fund release that nodal agencies must follow after receiving marketing incentive assistance from the government?
The Nodal Agency must release the marketing incentive amount to eligible handloom agencies and their member weavers within 7 days of receiving funds from the government.</t>
  </si>
  <si>
    <t>C12-P0092</t>
  </si>
  <si>
    <t>What specific compliance requirement regarding taxation must all my sales documentation meet to qualify for marketing incentive assistance?
All your sales bills, invoices, and yarn purchase bills must be Goods and Services Tax compliant to ensure your marketing incentive claim meets the scheme requirements.</t>
  </si>
  <si>
    <t>C12-P0093</t>
  </si>
  <si>
    <t>What restriction applies regarding receiving similar financial benefits from other government schemes while applying for this marketing incentive assistance?
You cannot receive similar incentive or rebate under any other Central Government scheme, and State Government will prefer claims from agencies who have not received such duplicate benefits.</t>
  </si>
  <si>
    <t>C12-P0094</t>
  </si>
  <si>
    <t>How should National Level Handloom Organizations approach the application process differently compared to state and primary level handloom organizations?
National Level Handloom Organizations can submit their marketing incentive claims directly to the Office of Development Commissioner (Handlooms) without requiring State Government recommendations or matching contributions.</t>
  </si>
  <si>
    <t>C12-P0095</t>
  </si>
  <si>
    <t>What evidence must I provide to demonstrate that my sales represent final transactions with actual consumers rather than intermediary handloom agencies?
You must provide final transaction proof of product sale to consumers, ensuring that your sales represent genuine end-consumer purchases rather than inter-agency transactions that are excluded from incentive eligibility.RetryClaude can make mistakes. Please double-check responses.</t>
  </si>
  <si>
    <t>C13-P0001</t>
  </si>
  <si>
    <t>The KCC Scheme was introduced with the objective of providing adequate and timely credit to the farmers for their agricultural operations. The Government of India provides interest subvention of 2% and Prompt Repayment Incentive of 3% to the farmers, thus making the credit available at a very subsidized rate of 4% per annum.</t>
  </si>
  <si>
    <t>C13-P0002</t>
  </si>
  <si>
    <t>The scheme was further extended for the investment credit requirement of farmers viz. allied and non-farm activities in the year 2004 and further revisited in 2012 by a working Group under the Chairmanship of Shri T. M. Bhasin, CMD, Indian Bank with a view to simplify the scheme and facilitate issue of Electronic Kisan Credit Cards. The scheme provides broad guidelines to banks for operationalizing the KCC scheme. Implementing banks will have the discretion to adopt the same to suit institution/location-specific requirements.</t>
  </si>
  <si>
    <t>C13-P0003</t>
  </si>
  <si>
    <t>Objective / Purpose</t>
  </si>
  <si>
    <t>C13-P0004</t>
  </si>
  <si>
    <t>The Kisan Credit Card scheme aims at providing adequate and timely credit support from the banking system under a single window with the flexible and simplified procedures to the farmers for their cultivation and other needs as indicated below :</t>
  </si>
  <si>
    <t>C13-P0005</t>
  </si>
  <si>
    <t>To meet the short term credit requirements for the cultivation of crops;</t>
  </si>
  <si>
    <t>C13-P0006</t>
  </si>
  <si>
    <t>Post-harvest expenses;</t>
  </si>
  <si>
    <t>C13-P0007</t>
  </si>
  <si>
    <t>Produce marketing loan;</t>
  </si>
  <si>
    <t>C13-P0008</t>
  </si>
  <si>
    <t>Consumption requirements of farmer household;</t>
  </si>
  <si>
    <t>C13-P0009</t>
  </si>
  <si>
    <t>Working capital for maintenance of farm assets and activities allied to agriculture;</t>
  </si>
  <si>
    <t>C13-P0010</t>
  </si>
  <si>
    <t>en.schemeContent.detailedDescription[5].children[5]</t>
  </si>
  <si>
    <t>Investment credit requirement for agriculture and allied activities</t>
  </si>
  <si>
    <t>C13-P0011</t>
  </si>
  <si>
    <t>Type of Card</t>
  </si>
  <si>
    <t>C13-P0012</t>
  </si>
  <si>
    <t>en.schemeContent.detailedDescription[8].children[0]</t>
  </si>
  <si>
    <t>A magnetic stripe card with PIN (Personal Identification Number) with an ISO IIN (International Standards Organization International Identification Number) to enable access to all banks ATMs and micro ATMs</t>
  </si>
  <si>
    <t>C13-P0013</t>
  </si>
  <si>
    <t>en.schemeContent.detailedDescription[8].children[1]</t>
  </si>
  <si>
    <t>In cases where the Banks would want to utilize the centralized biometric authentication infrastructure of the UIDAI (Aadhaar authentication), debit cards with magnetic stripe and PIN with ISO IIN with biometric authentication of UIDAI can be provided.</t>
  </si>
  <si>
    <t>C13-P0014</t>
  </si>
  <si>
    <t>en.schemeContent.detailedDescription[8].children[2]</t>
  </si>
  <si>
    <t>Debit Cards with magnetic stripes and only biometric authentication can also be provided depending on the customer base of the bank. Till such time, UIDAI becomes widespread, if the banks want to get started without inter-operability using their existing centralized bio metric infrastructure, banks may do so.</t>
  </si>
  <si>
    <t>C13-P0015</t>
  </si>
  <si>
    <t>en.schemeContent.detailedDescription[8].children[3]</t>
  </si>
  <si>
    <t>Banks may choose to issue EMV (Europay, MasterCard and VISA, a global standard for the interoperation of integrated circuit cards) and RUPAY compliant chip cards with magnetic stripe and pin with ISO IIN.</t>
  </si>
  <si>
    <t>C13-P0016</t>
  </si>
  <si>
    <t>en.schemeContent.detailedDescription[8].children[4]</t>
  </si>
  <si>
    <t>Further, biometric authentication and smart cards may follow the common open standards prescribed by IDRBT and IBA. This will enable them to transact seamlessly with input dealers and also enable them to have the sales proceeds credited to their accounts when they sell their output at mandies, procurement centres, etc</t>
  </si>
  <si>
    <t>C13-P0017</t>
  </si>
  <si>
    <t>Delivery Channels :</t>
  </si>
  <si>
    <t>en.schemeContent.detailedDescription[10]</t>
  </si>
  <si>
    <t>C13-P0018</t>
  </si>
  <si>
    <t>en.schemeContent.detailedDescription[11]</t>
  </si>
  <si>
    <t>The following delivery channels shall be put in place to start with so that the Kisan Credit Card is used by the farmers to effectively transact their operations in their KCC account.</t>
  </si>
  <si>
    <t>C13-P0019</t>
  </si>
  <si>
    <t>en.schemeContent.detailedDescription[12].children[0]</t>
  </si>
  <si>
    <t>Withdrawal through ATMs / Micro ATM</t>
  </si>
  <si>
    <t>C13-P0020</t>
  </si>
  <si>
    <t>en.schemeContent.detailedDescription[12].children[1]</t>
  </si>
  <si>
    <t>Withdrawal through BCs using smart cards.</t>
  </si>
  <si>
    <t>C13-P0021</t>
  </si>
  <si>
    <t>en.schemeContent.detailedDescription[12].children[2]</t>
  </si>
  <si>
    <t>PoS machine through input dealers</t>
  </si>
  <si>
    <t>C13-P0022</t>
  </si>
  <si>
    <t>en.schemeContent.detailedDescription[12].children[3]</t>
  </si>
  <si>
    <t>Mobile Banking with IMPS capabilities / IVR</t>
  </si>
  <si>
    <t>C13-P0023</t>
  </si>
  <si>
    <t>en.schemeContent.detailedDescription[12].children[4]</t>
  </si>
  <si>
    <t>Aadhaar enabled Cards</t>
  </si>
  <si>
    <t>C13-P0024</t>
  </si>
  <si>
    <t>Fixation of credit limit/Loan amount</t>
  </si>
  <si>
    <t>C13-P0025</t>
  </si>
  <si>
    <t>The short-term limit to arrive for the first year: For farmers raising a single crop in a year: Scale of finance for the crop (as decided by District Level Technical Committee) x Extent of area cultivated + 10% of limit towards post-harvest / household/consumption requirements + 20% of limit towards repairs and maintenance expenses of farm assets + crop insurance, PAIS &amp; asset insurance.</t>
  </si>
  <si>
    <t>C13-P0026</t>
  </si>
  <si>
    <t>Limit for second &amp; subsequent year: First-year limit for crop cultivation purposes arrived at as above plus 10% of the limit towards cost escalation/increase in the scale of finance for every successive year ( 2nd, 3rd, 4th and 5th year) and estimated Term loan component for the tenure of Kisan Credit Card, i.e., five years.</t>
  </si>
  <si>
    <t>C13-P0027</t>
  </si>
  <si>
    <t>For farmers raising more than one crop in a year, the limit is to be fixed as above depending upon the crops cultivated as per the proposed cropping pattern for the first year and an additional 10% of the limit towards cost escalation/increase in the scale of finance for every successive year (2nd, 3rd, 4th and 5th year). It is assumed that the farmer adopts the same cropping pattern for the remaining four years also. In case the cropping pattern adopted by the farmer is changed in the subsequent year, the limit may be reworked.</t>
  </si>
  <si>
    <t>C13-P0028</t>
  </si>
  <si>
    <t>en.schemeContent.benefits[1].children[3]</t>
  </si>
  <si>
    <t>Term loans for investments towards land development, minor irrigation, purchase of farm equipment and allied agricultural activities. The banks may fix the quantum of credit for the term and working capital limit for agricultural and allied activities, etc., based on the unit cost of the asset/s proposed to be acquired by the farmer, the allied activities already being undertaken on the farm, the bank’s judgment on repayment capacity vis-a-vis total loan burden devolving on the farmer, including existing loan obligations.</t>
  </si>
  <si>
    <t>C13-P0029</t>
  </si>
  <si>
    <t>en.schemeContent.benefits[1].children[4]</t>
  </si>
  <si>
    <t>The long-term loan limit is based on the proposed investments during the five-year period and the bank’s perception of the repaying capacity of the farmer</t>
  </si>
  <si>
    <t>C13-P0030</t>
  </si>
  <si>
    <t>en.schemeContent.benefits[1].children[5]</t>
  </si>
  <si>
    <t>Maximum Permissible Limit: The short-term loan limit arrived for the 5th year plus the estimated long-term loan requirement will be the Maximum Permissible Limit (MPL) and treated as the Kisan Credit Card Limit.</t>
  </si>
  <si>
    <t>C13-P0031</t>
  </si>
  <si>
    <t>Fixation of Sub-limits for other than Marginal Farmers:</t>
  </si>
  <si>
    <t>en.schemeContent.benefits[1].children[6]</t>
  </si>
  <si>
    <t>C13-P0032</t>
  </si>
  <si>
    <t>Short-term loans and term loans are governed by different interest rates. Besides, at present, short-term crop loans are covered under Interest Subvention Scheme/ Prompt Repayment Incentive scheme. Further, repayment schedules and norms are different for short-term and term loans. Hence, in order to have operational and accounting convenience, the card limit is to be bifurcated into separate sub-limits for short-term cash credit limit cum savings account and term loans.</t>
  </si>
  <si>
    <t>C13-P0033</t>
  </si>
  <si>
    <t>The drawing limit for short-term cash credit should be fixed based on the cropping pattern and the amounts for crop production, repairs and maintenance of farm assets and consumption may be allowed to be drawn at the convenience of the farmer. In case the revision of the scale of finance for any year by the district-level committee exceeds the notional hike of 10% contemplated while fixing the five-year limit, a revised drawable limit may be fixed and the farmer is advised about the same. In case such revisions require the card limit itself to be enhanced (4th or 5th year), the same may be done and the farmer be so advised. For term loans, instalments may be allowed to be withdrawn based on the nature of the investment and the repayment schedule drawn as per the economic life of the proposed investments. It is to be ensured that at any point in time, the total liability should be within the drawing limit of the concerned year.</t>
  </si>
  <si>
    <t>C13-P0034</t>
  </si>
  <si>
    <t>Wherever the card limit/liability so arrived warrants additional security, the banks may take suitable collateral as per their policy.</t>
  </si>
  <si>
    <t>C13-P0035</t>
  </si>
  <si>
    <t>C13-P0036</t>
  </si>
  <si>
    <t>C13-P0037</t>
  </si>
  <si>
    <t>C13-P0038</t>
  </si>
  <si>
    <t>C13-P0054</t>
  </si>
  <si>
    <t>What is the validity period of the Kisan Credit Card? 
This validity period is 5 years. The tenure you do get depends on the type of activity you plan to use the money for</t>
  </si>
  <si>
    <t>C13-P0055</t>
  </si>
  <si>
    <t>What is the age requirement in order to apply for a Kisan Credit Card ?
You should me a minimum of 18 years of age and be a maximum age of 75 years. If you are a senior citizen, then it is mandatory to have a co-borrower who is a legal heir.</t>
  </si>
  <si>
    <t>C13-P0056</t>
  </si>
  <si>
    <t>What is the interest rate applicable on the KCC ?
The interest rate will be left to the discretion of the bank. However, according to the KCC circular dated 20 April 2012, the interest rate is 7% p.a. on short-term credit with a Rs.3 lakh upper limit on the principal amount.</t>
  </si>
  <si>
    <t>C13-P0057</t>
  </si>
  <si>
    <t>What are the type of facilities available for finance under the scheme
Kisan Credit Card &amp; Term loan</t>
  </si>
  <si>
    <t>C13-P0058</t>
  </si>
  <si>
    <t>What are the Security norms for financing under Kisan credit card
For limits upto Rs.1.60 lakh &amp; limts up to Rs.3 lakh (in case of tie up), security is the hypothecation of crops. For limits above the specified norms, mortgage of land/ or third party guarantee in addition to hypothecated crops / asset</t>
  </si>
  <si>
    <t>C13-P0059</t>
  </si>
  <si>
    <t>What are benefits provided by Govt of India to improve finance under KCC
The interest subvention @2% and prompt repayment incentive benefit @3% on KCC
loan (i.e. crop loan+ working capital loan for animal husbandry and fisheries) will be available on an overall limit of Rs. 3 lakh per annum and subject to a maximum limit of Rs. 2 lakh per farmer involved in activities only related to animal husbandry and / or fisheries.</t>
  </si>
  <si>
    <t>C14-P0001</t>
  </si>
  <si>
    <t>Launched on 18th February 2016, "Pradhan Mantri Fasal Bima Yojana" is a crop insurance scheme by the Department of Agriculture, Cooperation and Farmers’ Welfare, Ministry of Agriculture. PMFBY aims to provide financial protection to farmers against crop loss due to natural disasters (hail, drought, famine), pests, and diseases. PMFBY provides crop insurance at a cost-effective premium to all Indian farmers. PMFBY is an affordable crop insurance product implemented through a network of insurance companies and banks. The scheme covers over 50 crore farmers and provides insurance coverage for over 50 different crops.</t>
  </si>
  <si>
    <t>C14-P0002</t>
  </si>
  <si>
    <t>Objectives</t>
  </si>
  <si>
    <t>C14-P0003</t>
  </si>
  <si>
    <t>en.schemeContent.detailedDescription[0].children[2].children[0]</t>
  </si>
  <si>
    <t>To provide financial assistance and support to farmers suffering from crop damage or loss arising out of unforeseen events.</t>
  </si>
  <si>
    <t>C14-P0004</t>
  </si>
  <si>
    <t>en.schemeContent.detailedDescription[0].children[2].children[1]</t>
  </si>
  <si>
    <t>To stabilise the income of farmers and ensure continuance in farming.</t>
  </si>
  <si>
    <t>C14-P0005</t>
  </si>
  <si>
    <t>en.schemeContent.detailedDescription[0].children[2].children[2]</t>
  </si>
  <si>
    <t>To encourage the farmers to adopt modern and innovative agricultural practices.</t>
  </si>
  <si>
    <t>C14-P0006</t>
  </si>
  <si>
    <t>en.schemeContent.detailedDescription[0].children[2].children[3]</t>
  </si>
  <si>
    <t>To ensure crop diversification, and credit-worthiness of the farmers, enhance growth and competitiveness of the agriculture sector and protect the farmers from production risks.</t>
  </si>
  <si>
    <t>C14-P0007</t>
  </si>
  <si>
    <t>Affordable Premiums: The maximum premium payable by the farmer will be 2% for the Kharif food and oilseed crops. For rabi food and oilseeds crop, it is 1.5% and for yearly commercial or horticultural crops it will be 5%. The remaining premium is subsidized by the government.</t>
  </si>
  <si>
    <t>C14-P0008</t>
  </si>
  <si>
    <t>* For the farmers in North-Eastern States, Jammu, Kashmir, and Himachal Pradesh, the government also pays the entire premium.</t>
  </si>
  <si>
    <t>C14-P0009</t>
  </si>
  <si>
    <t>Comprehensive Coverage: The scheme covers natural disasters (droughts, floods), pests, and diseases. Post-harvest losses due to local risks like hailstorms and landslides are also included.</t>
  </si>
  <si>
    <t>C14-P0010</t>
  </si>
  <si>
    <t>Timely Compensation: PMFBY aims to process claims within two months of the harvest to ensure that farmers get the compensation quickly, preventing them from falling into debt traps.</t>
  </si>
  <si>
    <t>C14-P0011</t>
  </si>
  <si>
    <t>Technology-Driven Implementation: PMFBY integrates advanced technologies like satellite imaging, drones, and mobile apps for precise estimation of crop loss, ensuring accurate claim settlements.</t>
  </si>
  <si>
    <t>C14-P0012</t>
  </si>
  <si>
    <t>RISKS COVERED</t>
  </si>
  <si>
    <t>C14-P0013</t>
  </si>
  <si>
    <t>Yield Losses (Standing Crops): The Government provides this insurance coverage for yield losses that fall under the non-preventable risks, such as Natural Fire and Lightning: Storm, Hailstorm, Tornado etc.:  Flood, Inundation and Landslide;  Pests/ Diseases, etc.; Drought etc.</t>
  </si>
  <si>
    <t>C14-P0014</t>
  </si>
  <si>
    <t>Prevented Sowing: Cases may arise where most of the farmers (insured )of notified areas may want to plant or sow. In such cases, they have to bear the expenditure for that cause and are restricted from planting or sowing insured crops because of unfavourable weather conditions. These farmers will then become eligible for the indemnity claims of up to a maximum of 25% of the sum insured.</t>
  </si>
  <si>
    <t>C14-P0015</t>
  </si>
  <si>
    <t>Post-harvest Losses: The Government provides for post-harvest losses on an individual farm basis. The Government offers coverage of up to 14 days (maximum) from harvesting for crops that are stored in “cut and spread” condition. It means that the Government covers farmers who have put the crops to become sun-baked in the field after harvesting that have been destroyed due to cyclone or cyclonic rains occurred across the country.</t>
  </si>
  <si>
    <t>C14-P0016</t>
  </si>
  <si>
    <t>Localised Calamities: The Government provides for localised calamities on an individual farm basis. Risks such as loss or damage arising from identified localised hazards, such as hailstorms, landslides, and inundation impacting separated farmlands in the notified area comes under this coverage.</t>
  </si>
  <si>
    <t>C14-P0017</t>
  </si>
  <si>
    <t>C14-P0018</t>
  </si>
  <si>
    <t>C14-P0019</t>
  </si>
  <si>
    <t>C14-P0020</t>
  </si>
  <si>
    <t>C14-P0021</t>
  </si>
  <si>
    <t>C14-P0022</t>
  </si>
  <si>
    <t>C14-P0023</t>
  </si>
  <si>
    <t>C14-P0024</t>
  </si>
  <si>
    <t>C14-P0025</t>
  </si>
  <si>
    <t>C14-P0026</t>
  </si>
  <si>
    <t>C14-P0027</t>
  </si>
  <si>
    <t>C14-P0028</t>
  </si>
  <si>
    <t>C14-P0029</t>
  </si>
  <si>
    <t>C14-P0030</t>
  </si>
  <si>
    <t>C14-P0031</t>
  </si>
  <si>
    <t>C14-P0032</t>
  </si>
  <si>
    <t>C14-P0074</t>
  </si>
  <si>
    <t>I'm a tenant farmer without formal land ownership documents. Can I still apply for crop insurance under PMFBY if I can prove I cultivate the land?
Yes, tenant farmers and sharecroppers can apply with a valid land tenure agreement. You must provide evidence of your cultivation rights through state-recognized documents or agreements.</t>
  </si>
  <si>
    <t>C14-P0075</t>
  </si>
  <si>
    <t>My crops were damaged by unseasonal rains after harvesting while drying in the field. Does PMFBY cover such losses?
Coverage is available for up to 14 days post-harvest for crops kept in "cut &amp; spread" condition in the field, specifically for damage from cyclonic/unseasonal rains. You must report the damage immediately.</t>
  </si>
  <si>
    <t>C14-P0076</t>
  </si>
  <si>
    <t>What is the exact premium rate for Kharif paddy, and how is the government subsidy calculated?
Farmers pay 2% of the sum insured for Kharif food crops. The difference between the actuarial premium rate and farmer's share is jointly subsidized by Central and State governments equally.</t>
  </si>
  <si>
    <t>C14-P0077</t>
  </si>
  <si>
    <t>If a drought prevents me from sowing crops despite preparation, what percentage of compensation can I claim?
You can claim up to 25% of the sum insured under prevented sowing coverage, provided the majority of farmers in your notified area were also prevented from sowing due to adverse conditions.</t>
  </si>
  <si>
    <t>C14-P0078</t>
  </si>
  <si>
    <t>I farm in Himachal Pradesh. Do I need to pay any premium for my apple crop under PMFBY?
No, farmers in Himachal Pradesh, along with other North-Eastern states and Jammu &amp; Kashmir, receive 100% premium subsidy from the government for all notified crops.</t>
  </si>
  <si>
    <t>C14-P0079</t>
  </si>
  <si>
    <t>Can I claim compensation if my entire village faced crop damage from a landslide, but neighboring villages were unaffected?
Yes, PMFBY covers localized calamities like landslides on an individual farm basis, even if the damage is isolated to specific areas within the notified region.</t>
  </si>
  <si>
    <t>C14-P0080</t>
  </si>
  <si>
    <t>How long after reporting crop damage should I expect to receive the claim amount?
PMFBY aims to process and settle claims within two months of harvest, provided all documentation is complete and damage assessment is finalized.</t>
  </si>
  <si>
    <t>C14-P0081</t>
  </si>
  <si>
    <t>If I've taken a bank loan for farming, do I need to separately apply for PMFBY, or is it automatic?
For loanee farmers, coverage is compulsory but not automatic. You must ensure your bank has processed your PMFBY enrollment within the specified timeframe.</t>
  </si>
  <si>
    <t>C14-P0082</t>
  </si>
  <si>
    <t>What happens if I'm unable to pay the premium online due to technical issues on the last date?
You can visit a nearby CSC or bank branch to submit your premium payment. Keep proof of your online payment attempt for any deadline-related disputes.</t>
  </si>
  <si>
    <t>C14-P0083</t>
  </si>
  <si>
    <t>If I've already registered on the PMFBY portal last season, do I need to create a new registration for this season?
No, use your existing registration. However, you must submit a fresh application and premium payment for each season you want coverage.</t>
  </si>
  <si>
    <t>C14-P0084</t>
  </si>
  <si>
    <t>I discovered pest damage in my field but couldn't document it immediately due to hospitalization. Will my claim be rejected?
Report the damage as soon as possible with medical documentation of your hospitalization. Each case is evaluated based on provided evidence and circumstances.</t>
  </si>
  <si>
    <t>C14-P0085</t>
  </si>
  <si>
    <t>How can I ensure my claim isn't rejected due to wrong information if the CSC operator fills my form?
Always verify the entered details before final submission. Request a printed copy of your application form and keep the acknowledgment receipt with the application number.</t>
  </si>
  <si>
    <t>C14-P0086</t>
  </si>
  <si>
    <t>If my crop loss assessment shows 60% damage but I'm not satisfied with the evaluation, what's the grievance process?
File an appeal through the PMFBY portal or submit a written complaint to your district agriculture officer within 7 days of assessment. Include evidence supporting your claim.</t>
  </si>
  <si>
    <t>C14-P0087</t>
  </si>
  <si>
    <t>Does PMFBY cover damage from wild animals or fire caused by neighboring fields?
Natural fire is covered, but damage from wild animals isn't. For fire spreading from neighboring fields, you must provide evidence that it wasn't due to negligence.</t>
  </si>
  <si>
    <t>C15-P0001</t>
  </si>
  <si>
    <t>A scholarship scheme by the University Grants Commission for Girl students who are admitted in the first year of PG courses in any designated university or a postgraduate college, and happen to be the only girl child in the family. The amount of fellowship is ₹ 36,200/- p.a. for the full duration of a PG course. The scheme has been introduced with an aim to compensate direct costs of girl education at all levels, especially for such girls who happen to be the only girl child in their families.</t>
  </si>
  <si>
    <t>C15-P0002</t>
  </si>
  <si>
    <t>The objectives of the proposed scheme are:</t>
  </si>
  <si>
    <t>C15-P0003</t>
  </si>
  <si>
    <t>a) To support the postgraduate education of single girl children in postgraduate courses only.</t>
  </si>
  <si>
    <t>C15-P0004</t>
  </si>
  <si>
    <t>b) To recognize the value of observance of the small family norms.</t>
  </si>
  <si>
    <t>C15-P0005</t>
  </si>
  <si>
    <t>The candidates are required to apply online on National Scholarship Portal after initiation of the application process and notice to be published on the UGC website. 3,000 fresh scholarships will be awarded every year and will be paid on DBT mode on annual basis.</t>
  </si>
  <si>
    <t>C15-P0006</t>
  </si>
  <si>
    <t>Nature of Assistance Available Under the Scheme</t>
  </si>
  <si>
    <t>C15-P0007</t>
  </si>
  <si>
    <t>Amount of fellowship: ₹36,200/- per annum for a period of two years only i.e. full duration of a PG course.</t>
  </si>
  <si>
    <t>C15-P0008</t>
  </si>
  <si>
    <t>3,000 fresh scholarships will be awarded every year and will be paid on DBT mode on annual basis.</t>
  </si>
  <si>
    <t>C15-P0009</t>
  </si>
  <si>
    <t>Note</t>
  </si>
  <si>
    <t>C15-P0010</t>
  </si>
  <si>
    <t>No other additional grant will be payable in lieu of hostel charges and medical charges, etc.</t>
  </si>
  <si>
    <t>C15-P0011</t>
  </si>
  <si>
    <t>C15-P0012</t>
  </si>
  <si>
    <t>C15-P0013</t>
  </si>
  <si>
    <t>C15-P0014</t>
  </si>
  <si>
    <t>C15-P0015</t>
  </si>
  <si>
    <t>C15-P0016</t>
  </si>
  <si>
    <t>C15-P0017</t>
  </si>
  <si>
    <t>C15-P0018</t>
  </si>
  <si>
    <t>C15-P0019</t>
  </si>
  <si>
    <t>C15-P0020</t>
  </si>
  <si>
    <t>C15-P0021</t>
  </si>
  <si>
    <t>documents.en.documents_required[2]</t>
  </si>
  <si>
    <t>documents.en.documents_required[4]</t>
  </si>
  <si>
    <t>documents.en.documents_required[5]</t>
  </si>
  <si>
    <t>documents.en.documents_required[8].children[0]</t>
  </si>
  <si>
    <t>documents.en.documents_required[9]</t>
  </si>
  <si>
    <t>documents.en.documents_required[10]</t>
  </si>
  <si>
    <t>C15-P0042</t>
  </si>
  <si>
    <t>Whether The Candidate Has To Select “Scholarship” Or “Incentive” In The Type Of Scholarship For Applying Under The Scheme?
The candidate has to opt for an “incentive” to be able to apply under the scheme.</t>
  </si>
  <si>
    <t>C15-P0043</t>
  </si>
  <si>
    <t>Whether A Girl Child With A Brother In The Family Is Eligible To Be Considered Under The Scheme For Award Of Scholarship?
No, only single girl children are eligible to apply under the scheme. However, twin/ fraternal daughters are eligible to apply under this scheme.</t>
  </si>
  <si>
    <t>C15-P0044</t>
  </si>
  <si>
    <t>Whether A Candidate Who Was Within 30 Years Of Age During Admission To PG Course But Has Crossed This Limit At The Time Of Application Be Eligible To Be Considered?
Yes. The candidate applying under the scheme can apply if she is below 30 years of age as on the last date of application too.</t>
  </si>
  <si>
    <t>C15-P0045</t>
  </si>
  <si>
    <t>Can A Single Girl Child Pursuing Post Graduation Through Distance Mode Apply Under The Scheme?
No.</t>
  </si>
  <si>
    <t>C15-P0046</t>
  </si>
  <si>
    <t>After Selection, Is The Awardee Entitled For Hostel Fee Reimbursement/ HRA Or Medical Expenses?
No. The awardee is only entitled for scholarship amount. No HRA/contingency/hostel fee or medical expenses are admissible.</t>
  </si>
  <si>
    <t>C15-P0047</t>
  </si>
  <si>
    <t>Are The Awardees Eligible For Waiver Of Tuition Fee Or Its Reimbursement?
No. Tuition fee reimbursement is not permitted. However, it is expected from the institutions where student has taken admission in the first year PG course, no tuition fees will be charged by the institute from girl students to pursue PG degree course in Universities/Colleges/Institutions.</t>
  </si>
  <si>
    <t>C15-P0048</t>
  </si>
  <si>
    <t>Can Students Of Second Year Post Graduation Apply Under The Scheme?
No. The candidates who are pursuing first year postgraduate courses only can apply under the scheme.</t>
  </si>
  <si>
    <t>C15-P0049</t>
  </si>
  <si>
    <t>Can The Awardee Avail Of Any Other Scholarship Scheme During The Tenure Of This Award?
Yes. This scheme can be availed with any other scholarship scheme as this is an incentive.</t>
  </si>
  <si>
    <t>C16-P0001</t>
  </si>
  <si>
    <t>"Dr Ambedkar Central Sector Scheme of Interest Subsidy on Educational Loans for Overseas Studies for Other Backward Classes (OBCs) and Economically Backward Classes (EBCs)" is an Education Loan Scheme by the Department of Social Justice and Empowerment, Ministry of Social Justice and Empowerment.</t>
  </si>
  <si>
    <t>C16-P0002</t>
  </si>
  <si>
    <t>Implementing Agency</t>
  </si>
  <si>
    <t>C16-P0003</t>
  </si>
  <si>
    <t>The Scheme will be implemented by the Nodal Bank as per the MoU between the Banks and the Ministry of Social Justice &amp; Empowerment.</t>
  </si>
  <si>
    <t>C16-P0004</t>
  </si>
  <si>
    <t>Scope</t>
  </si>
  <si>
    <t>C16-P0005</t>
  </si>
  <si>
    <t>The scheme provides interest subsidy to the students belonging to the OBCs and EBCs on the interest payable for the period of the moratorium for the Education Loans for overseas studies to pursue approved courses of studies abroad at Masters, M.Phil. and PhD level.</t>
  </si>
  <si>
    <t>C16-P0006</t>
  </si>
  <si>
    <t>Objective</t>
  </si>
  <si>
    <t>C16-P0007</t>
  </si>
  <si>
    <t>To award interest subsidies to meritorious students belonging to the Other Backward Classes and Economically Backward Classes to provide them with better opportunities for higher education abroad and enhance their employability.</t>
  </si>
  <si>
    <t>C16-P0008</t>
  </si>
  <si>
    <t>Under the scheme, interest payable by the students availing the education loans of the IBA for the period of moratorium (i.e. course period, plus one year or six months after getting a job, whichever is earlier) as prescribed under the Education Loan Scheme of the IBA, shall be borne by the Government of India.</t>
  </si>
  <si>
    <t>C16-P0009</t>
  </si>
  <si>
    <t>For a student, the eligible loan component shall be the actual loan taken subject to a maximum of ₹ 20,00,000 for the purpose of an Interest subsidy claim.</t>
  </si>
  <si>
    <t>C16-P0010</t>
  </si>
  <si>
    <t>NOTE 1: After the period of moratorium is over, the interest on the outstanding loan amount shall be paid by the student, in accordance with the existing Educational Loan Scheme as may be amended from time to time.</t>
  </si>
  <si>
    <t>C16-P0011</t>
  </si>
  <si>
    <t>NOTE 2: The candidate will bear the Principal instalments and interest beyond the moratorium period.</t>
  </si>
  <si>
    <t>C16-P0012</t>
  </si>
  <si>
    <t>Release of Funds</t>
  </si>
  <si>
    <t>C16-P0013</t>
  </si>
  <si>
    <t>The funds will be released to the applicants on a first-come-first-served basis, subject to a maximum amount to be worked out every year based on the total budget made available that year, under the scheme.</t>
  </si>
  <si>
    <t>C16-P0014</t>
  </si>
  <si>
    <t>C16-P0015</t>
  </si>
  <si>
    <t>C16-P0016</t>
  </si>
  <si>
    <t>C16-P0017</t>
  </si>
  <si>
    <t>C16-P0018</t>
  </si>
  <si>
    <t>C16-P0019</t>
  </si>
  <si>
    <t>C16-P0030</t>
  </si>
  <si>
    <t>Is there a separate fund allocation for female students under the scheme?
Yes, at least 50% of the total allocation is reserved for female students, but it can be used for male students if there is insufficient demand from female students.</t>
  </si>
  <si>
    <t>C16-P0031</t>
  </si>
  <si>
    <t>Can the subsidy be provided for courses that are partly in India and partly abroad?
Yes, if the degree is awarded by a foreign university, the course is eligible for interest subsidy.</t>
  </si>
  <si>
    <t>C16-P0032</t>
  </si>
  <si>
    <t>Can students increase the moratorium period if they have valid reasons?
Yes, with approval from the competent authority, students can extend the moratorium period.</t>
  </si>
  <si>
    <t>C16-P0033</t>
  </si>
  <si>
    <t>Is there any central authority that monitors the scheme's performance?
Yes, the Ministry of Social Justice and Empowerment monitors the performance of the scheme.</t>
  </si>
  <si>
    <t>C16-P0034</t>
  </si>
  <si>
    <t>Are candidates from State/UT Lists eligible for the interest subsidy under the scheme?
No, only candidates from the Central List of OBCs are eligible for the interest subsidy.</t>
  </si>
  <si>
    <t>C16-P0035</t>
  </si>
  <si>
    <t>Is there a mechanism for periodic evaluation of the scheme?
Yes, the financial and physical performance of the scheme is periodically evaluated through studies conducted by reputed institutions/agencies.</t>
  </si>
  <si>
    <t>C16-P0036</t>
  </si>
  <si>
    <t>Is there any provision for minor modifications or changes in the scheme?
Yes, minor modifications or changes with no financial implications can be made by the Competent Authority.</t>
  </si>
  <si>
    <t>C16-P0037</t>
  </si>
  <si>
    <t>How is a student's eligibility for the interest subsidy determined if they are employed?
Parental income for eligibility is considered only when the student is unemployed or on sabbatical without receiving a salary.</t>
  </si>
  <si>
    <t>C16-P0038</t>
  </si>
  <si>
    <t>What happens if the student's income increases or decreases after the loan is sanctioned?
The income certificate submitted during the loan application is treated as proof of annual income, and subsequent changes do not affect eligibility.</t>
  </si>
  <si>
    <t>C16-P0039</t>
  </si>
  <si>
    <t>Are there any specific disciplines or fields covered under this scheme?
Yes, various disciplines, including Arts/Humanities/Social Sciences, Engineering, Medical, and more are covered. The list of subjects can be amended from time to time.</t>
  </si>
  <si>
    <t>C16-P0040</t>
  </si>
  <si>
    <t xml:space="preserve"> How can one access the Central List of OBCs to check eligibility?
The Central List (state-wise/UT-wise) of OBCs is available on the National Commission for Backward Classes (NCBC) website (www.ncbc.nic.in).</t>
  </si>
  <si>
    <t>C16-P0041</t>
  </si>
  <si>
    <t>What is the definition of "meritorious students" under this scheme?
Eritorious students are those who have taken admission in accredited Universities/Institutions abroad, subject to other eligibility and conditions. Priority is given to students who completed their qualifying education in a Government University/Institution before taking admission abroad.</t>
  </si>
  <si>
    <t>C16-P0042</t>
  </si>
  <si>
    <t>What is the maximum eligible loan component for interest subsidy?
The maximum eligible loan component is the actual loan taken, subject to a maximum of Rs. 20.00 lakh for the purpose of interest subsidy.</t>
  </si>
  <si>
    <t>C16-P0043</t>
  </si>
  <si>
    <t>Which agency is responsible for implementing this scheme?
The Nodal Bank implements this scheme as per the Memorandum of Understanding (MoU) between the Banks and the Ministry of Social Justice &amp; Empowerment.</t>
  </si>
  <si>
    <t>C17-P0001</t>
  </si>
  <si>
    <t>The "Nikshay Poshan Yojana", launched in 2018 by the Ministry of Health and Family Welfare, provides financial assistance of ₹1,000/- per month to each notified tuberculosis (TB) patient for nutritional support. All TB patients notified on or after 1st April 2018 and registered on the NIKSHAY portal are eligible. The scheme aims to improve treatment outcomes by addressing malnutrition and supporting patients throughout their treatment.</t>
  </si>
  <si>
    <t>C17-P0002</t>
  </si>
  <si>
    <t>Financial Incentive: An amount of ₹1,000/- per month for each notified TB patient.</t>
  </si>
  <si>
    <t>C17-P0003</t>
  </si>
  <si>
    <t>C17-P0004</t>
  </si>
  <si>
    <t>documents.en.documents_required[1].children[0].children[0]</t>
  </si>
  <si>
    <t>documents.en.documents_required[1].children[0].children[1]</t>
  </si>
  <si>
    <t>documents.en.documents_required[1].children[0].children[2]</t>
  </si>
  <si>
    <t>documents.en.documents_required[1].children[0].children[3]</t>
  </si>
  <si>
    <t>documents.en.documents_required[3].children[0].children[0]</t>
  </si>
  <si>
    <t>documents.en.documents_required[3].children[0].children[1]</t>
  </si>
  <si>
    <t>documents.en.documents_required[3].children[0].children[2]</t>
  </si>
  <si>
    <t>documents.en.documents_required[5].children[0].children[0]</t>
  </si>
  <si>
    <t>documents.en.documents_required[5].children[0].children[1].children[0].children[0]</t>
  </si>
  <si>
    <t>documents.en.documents_required[5].children[0].children[2]</t>
  </si>
  <si>
    <t>documents.en.documents_required[5].children[0].children[3].children[0].children[0]</t>
  </si>
  <si>
    <t>C17-P0035</t>
  </si>
  <si>
    <t>Who is eligible to receive the DBT benefit under the Nikshay Poshan Yojana?
Any TB patient notified in the Nikshay portal on or after 1st April 2018, whether treated in the public or private sector, is eligible. Pediatric patients are also eligible.</t>
  </si>
  <si>
    <t>C17-P0036</t>
  </si>
  <si>
    <t>What benefit will I receive under the scheme?
₹1,000 under this scheme.</t>
  </si>
  <si>
    <t>C17-P0037</t>
  </si>
  <si>
    <t>What documents are required to receive the benefit?
A copy of your bank passbook, canceled cheque, or bank statement
Aadhaar card (if available, but not mandatory)
If using a family member’s bank account, a written consent form is required.</t>
  </si>
  <si>
    <t>C17-P0038</t>
  </si>
  <si>
    <t>Can I receive the benefit if I don’t have a bank account?
Yes, but you must open a savings bank account, preferably Aadhaar-linked. Health workers can help you open an account under schemes like Jan Dhan Yojana.</t>
  </si>
  <si>
    <t>C17-P0039</t>
  </si>
  <si>
    <t>How will I receive the payment?
Once your bank account is validated by PFMS (Public Financial Management System), the amount is directly credited to your account. You’ll also get an SMS confirmation.</t>
  </si>
  <si>
    <t>C17-P0040</t>
  </si>
  <si>
    <t>How can I check if my bank details are validated?
Your health provider or treatment supporter can check the validation status in Nikshay. If your account is rejected, they will assist you in correcting it.</t>
  </si>
  <si>
    <t>C17-P0041</t>
  </si>
  <si>
    <t>What happens if I move to another district during treatment?
Your benefits will be transferred to the new district. The current district TB unit will continue processing your payments based on your updated location in Nikshay.</t>
  </si>
  <si>
    <t>C17-P0042</t>
  </si>
  <si>
    <t>Can I opt out of receiving the benefit?
Yes. If you do not wish to receive the DBT benefit, you must submit a written declaration. Your record in Nikshay will be marked as “Forego Benefits.”</t>
  </si>
  <si>
    <t>C17-P0043</t>
  </si>
  <si>
    <t>What should I do if I haven’t received the payment?
Contact your healthcare provider or treatment supporter
Call the national helpline: 1800-11-6666
Check if your bank details are validated and benefit status is approved in Nikshay</t>
  </si>
  <si>
    <t>C18-P0001</t>
  </si>
  <si>
    <t>The scheme "Pradhan Mantri Surakshit Matritva Abhiyan" was launched on 9th June 2016 by the Ministry of Health &amp; Family Welfare, Government of India, aims to provide fixed-day assured, comprehensive and quality antenatal care universally to all pregnant women (in 2nd and 3rd trimester) on the 9th of every month, addressing the critical need for standardized maternal healthcare services and reducing maternal and infant mortality rates across the country. The scheme provides assured, comprehensive and quality antenatal care, free of cost, universally to all pregnant women on the 9th of every month and includes a minimum package of antenatal care services provided by Obstetrics and Gynaecology specialists, Radiologists, and Physicians at government health facilities. The applicant must be a pregnant woman in her 2nd or 3rd trimester of pregnancy and must be willing to visit designated government health facilities on the 9th of every month for antenatal care services. The scheme is</t>
  </si>
  <si>
    <t xml:space="preserve"> implemented by the Ministry of Health &amp; Family Welfare, Government of India through National Health Mission at state and district levels and applications for this scheme are accepted both online through the Pradhan Mantri Surakshit Matritva Abhiyan portal and offline at designated government health facilities.</t>
  </si>
  <si>
    <t>C18-P0002</t>
  </si>
  <si>
    <t>Medical Services Provided</t>
  </si>
  <si>
    <t>C18-P0003</t>
  </si>
  <si>
    <t>Comprehensive Antenatal Care: Special Antenatal Care services provided by Obstetrics and Gynaecology specialists, Radiologists, and Physicians at government health facilities.</t>
  </si>
  <si>
    <t>C18-P0004</t>
  </si>
  <si>
    <t>Minimum Package of Services: A minimum package of investigations and medicines such as Iron Folic Acid and calcium supplements provided to all pregnant women attending Pradhan Mantri Surakshit Matritva Abhiyan clinics.</t>
  </si>
  <si>
    <t>C18-P0005</t>
  </si>
  <si>
    <t>High Risk Pregnancy Identification: Identification and follow-up of high risk pregnancies with red stickers added to Mother and Child Protection cards.</t>
  </si>
  <si>
    <t>C18-P0006</t>
  </si>
  <si>
    <t>Fixed Day Service: Services provided on the 9th of every month at designated facilities.</t>
  </si>
  <si>
    <t>C18-P0007</t>
  </si>
  <si>
    <t>Service Delivery Mechanism</t>
  </si>
  <si>
    <t>C18-P0008</t>
  </si>
  <si>
    <t>Single Window System: Using principles of single window system for providing investigations and medicines.</t>
  </si>
  <si>
    <t>C18-P0009</t>
  </si>
  <si>
    <t>Mobile Application Support: Mobile and web-based application to help pregnant women find their nearest Pradhan Mantri Surakshit Matritva Abhiyan facility.</t>
  </si>
  <si>
    <t>C18-P0010</t>
  </si>
  <si>
    <t>Cost: Completely free of cost to all beneficiaries.</t>
  </si>
  <si>
    <t>C18-P0011</t>
  </si>
  <si>
    <t>Coverage Areas</t>
  </si>
  <si>
    <t>C18-P0012</t>
  </si>
  <si>
    <t>Facility Types: Services provided at Government health facilities including Primary Health Centres, Community Health Centres, District Hospitals, and urban health facilities in both urban and rural areas.</t>
  </si>
  <si>
    <t>C18-P0013</t>
  </si>
  <si>
    <t>C18-P0014</t>
  </si>
  <si>
    <t>Regular attendance on the 9th of every month for antenatal check-ups.</t>
  </si>
  <si>
    <t>C18-P0015</t>
  </si>
  <si>
    <t>Compliance with medical advice and treatment prescribed by healthcare providers.</t>
  </si>
  <si>
    <t>C18-P0016</t>
  </si>
  <si>
    <t>en.schemeContent.benefits[7].children[2]</t>
  </si>
  <si>
    <t>Follow-up visits as recommended for high-risk pregnancies.</t>
  </si>
  <si>
    <t>C18-P0017</t>
  </si>
  <si>
    <t>en.schemeContent.benefits[7].children[3]</t>
  </si>
  <si>
    <t>Carrying Mother and Child Protection card during visits.</t>
  </si>
  <si>
    <t>C18-P0018</t>
  </si>
  <si>
    <t>C18-P0019</t>
  </si>
  <si>
    <t>C18-P0020</t>
  </si>
  <si>
    <t>C18-P0021</t>
  </si>
  <si>
    <t>C18-P0022</t>
  </si>
  <si>
    <t>C18-P0023</t>
  </si>
  <si>
    <t>C18-P0024</t>
  </si>
  <si>
    <t>C18-P0025</t>
  </si>
  <si>
    <t>C18-P0026</t>
  </si>
  <si>
    <t>C18-P0063</t>
  </si>
  <si>
    <t>What is the specific date each month when I can receive free antenatal care services under this maternal health program?
You can receive comprehensive antenatal care services on the 9th of every month at designated government health facilities, or the next working day if the 9th falls on Sunday or holiday.</t>
  </si>
  <si>
    <t>C18-P0064</t>
  </si>
  <si>
    <t>At what stage of my pregnancy can I start accessing the comprehensive antenatal care services provided under this national maternal health initiative?
You can access services if you are in your 2nd or 3rd trimester of pregnancy, meaning you must have completed the first trimester (beyond 12 weeks of gestation).</t>
  </si>
  <si>
    <t>C18-P0065</t>
  </si>
  <si>
    <t>What type of medical specialists will provide antenatal care services to me when I visit the designated health facility on the scheduled day?
You will receive care from Obstetrics and Gynaecology specialists, Radiologists, and Physicians as part of the comprehensive antenatal care package at government health facilities.</t>
  </si>
  <si>
    <t>C18-P0066</t>
  </si>
  <si>
    <t>How can I locate the nearest health facility participating in this monthly antenatal care program using digital resources available to pregnant women?
You can visit https://pmsma.nhp.gov.in/ or download the 'Pradhan Mantri Surakshit Matritva Abhiyan' mobile application to find your nearest facility using the 'Nearest Facility' search feature.</t>
  </si>
  <si>
    <t>C18-P0067</t>
  </si>
  <si>
    <t>What essential medicines and supplements will I receive free of cost during my monthly antenatal care visits under this program?
You will receive Iron Folic Acid tablets, calcium supplements, and other necessary medications free of cost from the facility pharmacy as per medical requirements.</t>
  </si>
  <si>
    <t>C18-P0068</t>
  </si>
  <si>
    <t>Are there any income or social criteria that would prevent me from accessing these monthly antenatal care services at government health facilities?
No, the scheme provides universal coverage regardless of income, caste, religion, or community background, ensuring all pregnant women can access these services free of cost.</t>
  </si>
  <si>
    <t>C18-P0069</t>
  </si>
  <si>
    <t>What happens if healthcare providers identify my pregnancy as high-risk during the antenatal care examination under this monthly health program?
If identified as high-risk, a red sticker will be placed on your Mother and Child Protection card with necessary follow-up instructions and priority attention for continued care.</t>
  </si>
  <si>
    <t>C18-P0070</t>
  </si>
  <si>
    <t>What is the minimum documentation required for me to register and receive antenatal care services at the designated health facility?
You need Mother and Child Protection Card (if available), Aadhaar Card or any government issued identity proof, and previous medical records, with minimal documentation to ensure universal access.</t>
  </si>
  <si>
    <t>C18-P0071</t>
  </si>
  <si>
    <t>When was this national maternal health program launched and which government ministry is responsible for its implementation across the country?
The scheme was launched on 9th June 2016 by the Ministry of Health &amp; Family Welfare, Government of India, implemented through National Health Mission at state and district levels.</t>
  </si>
  <si>
    <t>C18-P0072</t>
  </si>
  <si>
    <t>What types of government health facilities participate in providing these monthly antenatal care services under this comprehensive maternal health initiative?
Services are provided at Primary Health Centres, Community Health Centres, District Hospitals, and urban health facilities in both urban and rural areas across the country.</t>
  </si>
  <si>
    <t>C18-P0073</t>
  </si>
  <si>
    <t>What specific medical investigations and screening procedures will be conducted during my monthly antenatal care visits under this standardized healthcare program?
Required medical investigations, tests, and screening procedures will be conducted as per standardized protocol for 2nd and 3rd trimester pregnant women under the single window system.</t>
  </si>
  <si>
    <t>C18-P0074</t>
  </si>
  <si>
    <t>How can I access help or support if I face any issues or have complaints regarding the antenatal care services provided under this program?
You can contact the National Portal at https://pmsma.nhp.gov.in/, call toll free number 18001801104, or contact your District Health Officer or Chief Medical Officer for assistance.</t>
  </si>
  <si>
    <t>C18-P0075</t>
  </si>
  <si>
    <t>What happens if I miss my scheduled monthly visit on the 9th and can I still receive antenatal care services later in the month?
While services are specifically provided on the 9th of every month (or next working day), you should contact your facility to inquire about makeup arrangements or wait for the next scheduled date.</t>
  </si>
  <si>
    <t>C18-P0076</t>
  </si>
  <si>
    <t>What system is used to ensure efficient delivery of investigations and medicines during my antenatal care visits at the designated health facilities?
The program uses principles of single window system for providing investigations and medicines, ensuring streamlined service delivery to all pregnant women attending the clinics.</t>
  </si>
  <si>
    <t>C19-P0001</t>
  </si>
  <si>
    <t>PM POSHAN is a centrally sponsored scheme by the Department of School Education &amp; Literacy, Ministry of Education. Under this scheme, one hot cooked meal will be provided to the children studying in Government and Government – aided schools. The Scheme is implemented across the country covering all the eligible children without any discrimination of gender and social class.</t>
  </si>
  <si>
    <t>C19-P0002</t>
  </si>
  <si>
    <t>The main objectives of the PM POSHAN Abhiyaan are to address two of the pressing problems for the majority of children in India, viz. hunger and education by improving the nutritional status of eligible children in Government and Government-aided schools as well as encouraging poor children, belonging to disadvantaged sections, to attend school more regularly and help them concentrate on classroom activities.</t>
  </si>
  <si>
    <t>C19-P0003</t>
  </si>
  <si>
    <t>POSHAN Abhiyaan is one of the many schemes under the umbrella scheme "Integrated Child Development Services Scheme (ICDS)". ICDS also includes Anganwadi Services Scheme, Pradhan Mantri Matru Vandana Yojana, and Scheme for Adolescent Girls.</t>
  </si>
  <si>
    <t>C19-P0004</t>
  </si>
  <si>
    <t>Nutrition norm per child per day:</t>
  </si>
  <si>
    <t>C19-P0005</t>
  </si>
  <si>
    <t>Primary: Calorie – 450; Protein - 12 gms</t>
  </si>
  <si>
    <t>C19-P0006</t>
  </si>
  <si>
    <t>Upper Primary: Calorie – 700; Protein - 20 gms</t>
  </si>
  <si>
    <t>C19-P0007</t>
  </si>
  <si>
    <t>Food norms per child per day:</t>
  </si>
  <si>
    <t>C19-P0008</t>
  </si>
  <si>
    <t>Primary: Food grains - 100 gms; Pulses - 20 gms; Vegetables - 50 gms; Oil &amp; fat - 5 gms, Salt &amp; condiments - As per need.</t>
  </si>
  <si>
    <t>C19-P0009</t>
  </si>
  <si>
    <t>Upper Primary: Food grains - 150 gms; Pulses - 30 gms; Vegetables - 75 gms; Oil &amp; fat – 7.5 gms, Salt &amp; condiments - As per need.</t>
  </si>
  <si>
    <t>C19-P0010</t>
  </si>
  <si>
    <t>en.schemeContent.benefits[6]</t>
  </si>
  <si>
    <t>Under the Scheme, there is the provision of hot cooked meals to children of pre-schools or Bal Vatika (before class I) in primary schools also in addition to the 11.80 crore children of classes I to VIII studying in 11.20 lakh schools.</t>
  </si>
  <si>
    <t>C19-P0011</t>
  </si>
  <si>
    <t>C19-P0012</t>
  </si>
  <si>
    <t>C19-P0015</t>
  </si>
  <si>
    <t>What is PM POSHAN Scheme?
PM POSHAN is a centrally sponsored scheme by the Ministry of Education that provides hot cooked meals to children studying in Government and Government-aided schools to improve their nutritional status and encourage regular school attendance.</t>
  </si>
  <si>
    <t>C19-P0016</t>
  </si>
  <si>
    <t>Who is eligible to benefit from PM POSHAN?
All children studying in:
Pre-school (Bal Vatika) within primary schools
Class 1 to Class 8
in Government or Government-aided schools are eligible. There is no need to apply for the scheme.</t>
  </si>
  <si>
    <t>C19-P0017</t>
  </si>
  <si>
    <t>What kind of meals are provided under this scheme?
The scheme provides one hot cooked meal per school day that meets specific calorie and protein norms. The meal includes food grains, pulses, vegetables, oil/fat, and condiments.</t>
  </si>
  <si>
    <t>C19-P0018</t>
  </si>
  <si>
    <t>What are the nutrition norms per child per day under PM POSHAN?
Primary (Class 1–5):
Calories: 450 kcal
Protein: 12 grams
Upper Primary (Class 6–8):
Calories: 700 kcal
Protein: 20 grams</t>
  </si>
  <si>
    <t>C19-P0019</t>
  </si>
  <si>
    <t>What are the food quantity norms per child per day?
Primary:
Food grains: 100 g
Pulses: 20 g
Vegetables: 50 g
Oil &amp; fat: 5 g
Upper Primary:
Food grains: 150 g
Pulses: 30 g
Vegetables: 75 g
Oil &amp; fat: 7.5 g
(Salt &amp; condiments as per need)</t>
  </si>
  <si>
    <t>C19-P0020</t>
  </si>
  <si>
    <t>Is there any discrimination based on caste, religion, or gender under PM POSHAN?
No. The scheme is universal and inclusive, and benefits are provided to all eligible children without any discrimination.</t>
  </si>
  <si>
    <t>C19-P0021</t>
  </si>
  <si>
    <t>Is there an application process for this scheme?
No application is required. All eligible children automatically receive the benefits as part of their school program.</t>
  </si>
  <si>
    <t>C19-P0022</t>
  </si>
  <si>
    <t>What is the objective of PM POSHAN Scheme?
The scheme aims to:
Enhance nutrition for school children
Encourage school attendance
Improve concentration and learning outcomes
Promote social equity through common meals</t>
  </si>
  <si>
    <t>C19-P0023</t>
  </si>
  <si>
    <t>Is this scheme part of a broader initiative?
Yes, PM POSHAN operates under the umbrella of the Integrated Child Development Services (ICDS), which includes:
Anganwadi Services Scheme
Pradhan Mantri Matru Vandana Yojana
Scheme for Adolescent Girls</t>
  </si>
  <si>
    <t>C19-P0024</t>
  </si>
  <si>
    <t>How many children and schools are covered under PM POSHAN?
The scheme benefits approximately more than 11.80 crore children across 11.20 lakh schools throughout India, making it one of the world’s largest school nutrition programs.</t>
  </si>
  <si>
    <t>C20-P0001</t>
  </si>
  <si>
    <t>The Youth Hostel Scheme is managed by the Department of Youth Affairs &amp; Sports under the Ministry of Youth Affairs &amp; Sports, Government of India. The Central Government provides financial assistance to the State Governments for the construction and maintenance of youth hostels. The State Governments are responsible for the day-to-day management of youth hostels.</t>
  </si>
  <si>
    <t>C20-P0002</t>
  </si>
  <si>
    <t>Affordable accommodation: Youth hostels offer a much cheaper alternative to hotels and guesthouses.</t>
  </si>
  <si>
    <t>C20-P0003</t>
  </si>
  <si>
    <t>Social atmosphere: Youth hostels are a great place to meet new people from all over the world.</t>
  </si>
  <si>
    <t>C20-P0004</t>
  </si>
  <si>
    <t>Cultural experience: Youth hostels are often located in places of cultural interest, giving you the opportunity to learn about the local culture and traditions.</t>
  </si>
  <si>
    <t>C20-P0005</t>
  </si>
  <si>
    <t>Flexible options: Youth hostels offer a variety of accommodation options, including dormitories, private rooms, and family rooms. You can also choose to book meals at the hostel or cook your own food.</t>
  </si>
  <si>
    <t>C20-P0006</t>
  </si>
  <si>
    <t>C20-P0016</t>
  </si>
  <si>
    <t>What is the Youth Hostel Scheme?
The Youth Hostel Scheme is a joint venture of the Central and State Governments of India to promote youth travel within the country by providing low-cost budget accommodation and facilities to students and youth groups traveling on excursions or study tours.</t>
  </si>
  <si>
    <t>C20-P0017</t>
  </si>
  <si>
    <t>Who can stay in a youth hostel?
To stay in a youth hostel, you must be a member of the Youth Hostels Association of India (YHAI). YHAI membership is open to all Indian nationals and foreign nationals residing in India. There is no age limit for YHAI membership, but individuals under the age of 18 must be accompanied by a parent or guardian when staying in a youth hostel.</t>
  </si>
  <si>
    <t>C20-P0018</t>
  </si>
  <si>
    <t>How do I become a YHAI member?
To become a YHAI member, you can visit the YHAI website or contact the YHAI office in your state. You will need to provide your personal details and pay a membership fee.</t>
  </si>
  <si>
    <t>C20-P0019</t>
  </si>
  <si>
    <t>What documents are required for YHAI membership?
1. Completed YHAI membership application form
2. Passport size photograph
3. Proof of identity, such as a copy of your passport, driver's license, or Aadhaar card</t>
  </si>
  <si>
    <t>C20-P0020</t>
  </si>
  <si>
    <t xml:space="preserve"> How do I book accommodation in a youth hostel?
1. Applicant must visit the official website. 
2. Click on "Apply Now" under the Youth Hostel scheme. 
3. Select the user type and scheme name. 
4. Now fill out the require details.
5. Upload the recent photograph. 
6. Give the consent for the Aadhaar to use as biometric and KYC .</t>
  </si>
  <si>
    <t>C20-P0021</t>
  </si>
  <si>
    <t>How much does it cost to stay in a youth hostel?
The cost of staying in a youth hostel varies depending on the location of the hostel and the type of accommodation you choose. Dormitory beds are typically the most affordable option, while private rooms are more expensive</t>
  </si>
  <si>
    <t>C20-P0022</t>
  </si>
  <si>
    <t>Are there any age restrictions for staying in a youth hostel?
There is no age limit for YHAI membership, but individuals under the age of 18 must be accompanied by a parent or guardian when staying in a youth hostel.</t>
  </si>
  <si>
    <t>C20-P0023</t>
  </si>
  <si>
    <t>What are the benefits of staying in a youth hostel?
1. Affordable accommodation
2. Social atmosphere
3. Cultural experience
4. Flexible options</t>
  </si>
  <si>
    <t>C21-P0001</t>
  </si>
  <si>
    <t>The scheme "AVYAY - National Action Plan for Senior Citizens: Health and Shelter for Senior Citizens" was launched by the Department of Social Justice and Empowerment, Ministry of Social Justice and Empowerment, Govt. of India. The scheme is a component of the umbrella scheme " Atal Vayo Abhyuday Yojana (AVYAY)". The scheme aims to improve the quality of life of Senior Citizens, particularly those who are indigent, by providing basic amenities like shelter, food, medical care and entertainment opportunities. The scheme provides financial assistance for projects such as the maintenance of Senior Citizen Homes (popularly known as Old Age Homes), Continuous Care Homes, Regional Resource and Training Centres (RRTCs), Mobile Medicare Units, and Physiotherapy Clinics under its two sub-schemes: the Integrated Programme for Senior Citizens (IPSrC) and the State Action Plan for Senior Citizens (SAPSrC).</t>
  </si>
  <si>
    <t>C21-P0002</t>
  </si>
  <si>
    <t>Grant-in-Aid (GIA) for Senior Citizen Homes (25 beneficiaries)</t>
  </si>
  <si>
    <t>C21-P0003</t>
  </si>
  <si>
    <t>Annual recurring expenditure grants are provided based on the classification of the city (X, Y, or Z), ranging from ₹25,04,355/- (X Category) to ₹24,38,355/- (Z Category).</t>
  </si>
  <si>
    <t>C21-P0004</t>
  </si>
  <si>
    <t>Grant-in-Aid (GIA) for Senior Citizen Homes (50 beneficiaries/50 elderly women only)</t>
  </si>
  <si>
    <t>C21-P0005</t>
  </si>
  <si>
    <t>Annual recurring expenditure grants range from ₹42,11,228/- (X Category) to ₹41,12,228/- (Z Category).</t>
  </si>
  <si>
    <t>C21-P0006</t>
  </si>
  <si>
    <t>Grant-in-Aid (GIA) for Continuous Care Homes (minimum 20 beneficiaries)</t>
  </si>
  <si>
    <t>C21-P0007</t>
  </si>
  <si>
    <t>Annual recurring expenditure grants range from ₹30,77,310/- (X Category) to ₹30,11,310/- (Z Category).</t>
  </si>
  <si>
    <t>C21-P0008</t>
  </si>
  <si>
    <t>Non-Recurring Grant for Senior Citizen Homes (25 indigent)</t>
  </si>
  <si>
    <t>C21-P0009</t>
  </si>
  <si>
    <t>en.schemeContent.benefits[7]</t>
  </si>
  <si>
    <t>A grant of ₹3,09,105/- is admissible every five years, which includes the cost of Closed-Circuit Television (CCTV) cameras and website development charges.</t>
  </si>
  <si>
    <t>C21-P0010</t>
  </si>
  <si>
    <t>Non-Recurring Grant for Senior Citizen Homes (50 indigent)</t>
  </si>
  <si>
    <t>en.schemeContent.benefits[8]</t>
  </si>
  <si>
    <t>C21-P0011</t>
  </si>
  <si>
    <t>en.schemeContent.benefits[9]</t>
  </si>
  <si>
    <t>A grant of ₹4,12,140/- is admissible every five years.</t>
  </si>
  <si>
    <t>C21-P0012</t>
  </si>
  <si>
    <t>Non-Recurring Grant for Continuous Care Homes (20 indigent)</t>
  </si>
  <si>
    <t>en.schemeContent.benefits[10]</t>
  </si>
  <si>
    <t>C21-P0013</t>
  </si>
  <si>
    <t>en.schemeContent.benefits[11]</t>
  </si>
  <si>
    <t>A grant of ₹3,09,105/- is admissible every five years.</t>
  </si>
  <si>
    <t>C21-P0014</t>
  </si>
  <si>
    <t>Funeral Expenses</t>
  </si>
  <si>
    <t>en.schemeContent.benefits[12]</t>
  </si>
  <si>
    <t>C21-P0015</t>
  </si>
  <si>
    <t>en.schemeContent.benefits[13]</t>
  </si>
  <si>
    <t>Reimbursement of funeral expenses is provided at ₹10,000/- per person or the actual expenses incurred, whichever is less, in case of the demise of any inmate.</t>
  </si>
  <si>
    <t>C21-P0016</t>
  </si>
  <si>
    <t>State Action Plan for Senior Citizens (SAPSrC) Funding</t>
  </si>
  <si>
    <t>en.schemeContent.benefits[14]</t>
  </si>
  <si>
    <t>C21-P0017</t>
  </si>
  <si>
    <t>en.schemeContent.benefits[15]</t>
  </si>
  <si>
    <t>Financial support equivalent to 90% of the project cost is provided for admissible programmes proposed under State Action Plans.</t>
  </si>
  <si>
    <t>C21-P0018</t>
  </si>
  <si>
    <t>en.schemeContent.benefits[17].children[0]</t>
  </si>
  <si>
    <t>Disbursal Mode, Frequency, and Conditions</t>
  </si>
  <si>
    <t>C21-P0019</t>
  </si>
  <si>
    <t>en.schemeContent.benefits[18].children[0]</t>
  </si>
  <si>
    <t>Grant-in-aid is provided through the E-anudaan portal and the Public Financial Management System (PFMS)/Expenditure, Audit and Tender (EAT) module.</t>
  </si>
  <si>
    <t>C21-P0020</t>
  </si>
  <si>
    <t>en.schemeContent.benefits[18].children[1]</t>
  </si>
  <si>
    <t>The total annual grant is released in two equal half-yearly instalments.</t>
  </si>
  <si>
    <t>C21-P0021</t>
  </si>
  <si>
    <t>Conditions for Disbursement</t>
  </si>
  <si>
    <t>en.schemeContent.benefits[19]</t>
  </si>
  <si>
    <t>C21-P0022</t>
  </si>
  <si>
    <t>en.schemeContent.benefits[20].children[0]</t>
  </si>
  <si>
    <t>Recurring Grant-in-aid for Senior Citizen Homes is based on the number of days of attendance of beneficiaries as recorded through a contactless Information Technology (IT) system.</t>
  </si>
  <si>
    <t>C21-P0023</t>
  </si>
  <si>
    <t>en.schemeContent.benefits[20].children[1]</t>
  </si>
  <si>
    <t>The second half-yearly instalment is released only after the inspection report of the State Government, the officers of the Central Ministry, or the Project Monitoring Unit (PMU) is received.</t>
  </si>
  <si>
    <t>C21-P0024</t>
  </si>
  <si>
    <t>Conditions for Continuation</t>
  </si>
  <si>
    <t>en.schemeContent.benefits[21]</t>
  </si>
  <si>
    <t>C21-P0025</t>
  </si>
  <si>
    <t>en.schemeContent.benefits[22].children[0]</t>
  </si>
  <si>
    <t>Implementing Agencies must maintain the standards laid down in the scheme guidelines.</t>
  </si>
  <si>
    <t>C21-P0026</t>
  </si>
  <si>
    <t>en.schemeContent.benefits[22].children[1]</t>
  </si>
  <si>
    <t>Implementing Agencies must use the Expenditure, Audit and Tender (EAT) module of the Public Financial Management System (PFMS).</t>
  </si>
  <si>
    <t>C21-P0027</t>
  </si>
  <si>
    <t>en.schemeContent.benefits[22].children[2]</t>
  </si>
  <si>
    <t>Implementing Agencies must provide live streaming of the institution's functioning via Closed-Circuit Television (CCTV) cameras on their websites/E-anudaan website.</t>
  </si>
  <si>
    <t>C21-P0028</t>
  </si>
  <si>
    <t>en.schemeContent.benefits[22].children[3]</t>
  </si>
  <si>
    <t>The assistance provided is subject to the Implementing Agency maintaining the institution in the manner prescribed in the guidelines and standards.</t>
  </si>
  <si>
    <t>C21-P0029</t>
  </si>
  <si>
    <t>C21-P0030</t>
  </si>
  <si>
    <t>C21-P0031</t>
  </si>
  <si>
    <t>C21-P0032</t>
  </si>
  <si>
    <t>C21-P0033</t>
  </si>
  <si>
    <t>C21-P0034</t>
  </si>
  <si>
    <t>C21-P0035</t>
  </si>
  <si>
    <t>C21-P0036</t>
  </si>
  <si>
    <t>C21-P0037</t>
  </si>
  <si>
    <t>C21-P0038</t>
  </si>
  <si>
    <t>C21-P0039</t>
  </si>
  <si>
    <t>C21-P0040</t>
  </si>
  <si>
    <t>C21-P0041</t>
  </si>
  <si>
    <t>C21-P0042</t>
  </si>
  <si>
    <t>C21-P0043</t>
  </si>
  <si>
    <t>C21-P0044</t>
  </si>
  <si>
    <t>C21-P0045</t>
  </si>
  <si>
    <t>C21-P0046</t>
  </si>
  <si>
    <t>C21-P0047</t>
  </si>
  <si>
    <t>C21-P0048</t>
  </si>
  <si>
    <t>C21-P0049</t>
  </si>
  <si>
    <t>C21-P0050</t>
  </si>
  <si>
    <t>C21-P0051</t>
  </si>
  <si>
    <t>C21-P0052</t>
  </si>
  <si>
    <t>C21-P0053</t>
  </si>
  <si>
    <t>C21-P0054</t>
  </si>
  <si>
    <t>C21-P0055</t>
  </si>
  <si>
    <t>C21-P0056</t>
  </si>
  <si>
    <t>C21-P0057</t>
  </si>
  <si>
    <t>documents.en.documents_required[3].children[4]</t>
  </si>
  <si>
    <t>documents.en.documents_required[3].children[5]</t>
  </si>
  <si>
    <t>documents.en.documents_required[3].children[6]</t>
  </si>
  <si>
    <t>documents.en.documents_required[3].children[7]</t>
  </si>
  <si>
    <t>C21-P0099</t>
  </si>
  <si>
    <t>What are the minimum requirements regarding organizational history concerning both registration and actual work experience in the social sector?
The Voluntary Organization must have been registered for a minimum of two years and must demonstrate a track record of at least two years' experience operating in the social sector when submitting the application for the grant.</t>
  </si>
  <si>
    <t>C21-P0100</t>
  </si>
  <si>
    <t>If my project focuses on individuals with severe health needs, what specific age-related conditions make senior citizens eligible for Continuous Care Homes?
Senior Citizens who are seriously ill requiring continuous nursing care, or those afflicted specifically with Alzheimer's disease or Dementia, are the target beneficiaries eligible for Continuous Care Homes.</t>
  </si>
  <si>
    <t>C21-P0101</t>
  </si>
  <si>
    <t>Can any non-governmental entity that possesses its own distinct legal status submit a proposal for financial support, or are there limitations on their type?
Any public body or institution that holds a legal status of its own is eligible to apply for assistance under the guidelines set forth, provided they meet all other stipulated criteria.</t>
  </si>
  <si>
    <t>C21-P0102</t>
  </si>
  <si>
    <t>What is the highest level of priority given among applying agencies that are seeking grant-in-aid assistance for senior care projects?
The highest priority for selection is assigned to Self Help Groups of senior citizens, followed by Corporate Social Responsibility Foundations and Start-ups focusing on elderly care.</t>
  </si>
  <si>
    <t>C21-P0103</t>
  </si>
  <si>
    <t>If I intend to provide services through a project, is it acceptable for the bank account to be held solely in the name of the Non-Governmental Organization?
No, the bank account used by the Non-Governmental Organization or Voluntary Organization for receiving the assistance must be maintained and operated jointly.</t>
  </si>
  <si>
    <t>C21-P0104</t>
  </si>
  <si>
    <t>If the proposed project involves establishing a new physiotherapy clinic, can I expect to receive a grant-in-aid under the State Action Plan for Senior Citizens sub-scheme?
No Grant-in-Aid will be released for starting new Physiotherapy Clinics; this project type is permitted only in existing Government District Hospitals under the State Action Plan for Senior Citizens.</t>
  </si>
  <si>
    <t>C21-P0105</t>
  </si>
  <si>
    <t>If my organization is registered under the Societies Registration Act, 1860, or any equivalent state law, is this sufficient to meet the general organizational criteria?
Yes, registration under the Societies Registration Act, 1860 (XXI of 1860) or any relevant Act of the State or Union Territory qualifies your organization for applying for the grant.</t>
  </si>
  <si>
    <t>C21-P0106</t>
  </si>
  <si>
    <t>I am applying to establish a new facility for mobile medical outreach services; does this category of project receive financial assistance under the Integrated Programme for Senior Citizens?
No, the scheme explicitly states that financial assistance will not be provided to support the establishment of new Mobile Medicare Units under the Integrated Programme for Senior Citizens sub-scheme.</t>
  </si>
  <si>
    <t>C21-P0107</t>
  </si>
  <si>
    <t>What specific legal category must an applying non-governmental institution fulfill if it is registered under the Companies Act to be considered eligible for funding?
The Non-Governmental Organization must be a charitable company licensed specifically under Section 25 of the Companies Act, 1958, to meet the eligibility requirements for receiving grant-in-aid.</t>
  </si>
  <si>
    <t>C21-P0108</t>
  </si>
  <si>
    <t>If I operate a Continuous Care Home providing specialized services, what prior credible expertise must my implementing agency demonstrate to receive a grant?
To run Continuous Care Homes, the implementing agency must demonstrate a proven and credible track record in running Charitable Hospitals, Nursing Homes, Medical Institutions, or Colleges.</t>
  </si>
  <si>
    <t>C21-P0109</t>
  </si>
  <si>
    <t>What is the primary financial classification used to determine which elderly citizens are eligible for shelter and food benefits provided by the homes?
The scheme primarily targets Indigent Senior Citizens. An indigent senior citizen is defined as lacking sufficient means for self-maintenance, the determination of which is made by the concerned State Government.</t>
  </si>
  <si>
    <t>C21-P0110</t>
  </si>
  <si>
    <t>Does the Indian Red Cross Society or its regional branches qualify as an admissible implementing agency capable of applying for this financial assistance?
Yes, the Indian Red Cross Society or any of its branches are explicitly listed as eligible organizational types for receiving financial assistance under the Integrated Programme for Senior Citizens.</t>
  </si>
  <si>
    <t>C22-P0001</t>
  </si>
  <si>
    <t>The scheme "Nyaya Mitra Scheme" was launched by the Department of Justice, Ministry of Law and Justice, in April 2017, and the scheme aims to facilitate the expeditious disposal of ten to fifteen-year-old pending cases in High Courts and Subordinate Courts. The scheme provides assistance to litigants suffering due to delayed trials by actively identifying cases, offering legal advice, and referring marginalized applicants to Lok Adalats for priority resolution. The applicant must be a retired judicial or executive officer with legal experience who acts as a Nyaya Mitra to support affected individuals. The scheme is implemented by the Department of Justice, and the applications for this scheme are accepted and managed at District Facilitation Centres housed within Common Service Centers.</t>
  </si>
  <si>
    <t>C22-P0002</t>
  </si>
  <si>
    <t>Expeditious disposal of ten to fifteen-year-old pending cases in High Courts and Subordinate Courts, including matrimonial cases, accident claims, and criminal cases.</t>
  </si>
  <si>
    <t>C22-P0003</t>
  </si>
  <si>
    <t>Active identification of delayed cases through the National Judicial Data Grid.</t>
  </si>
  <si>
    <t>C22-P0004</t>
  </si>
  <si>
    <t>Provision of legal advice and connection of litigants to the District Legal Services Authority, Common Service Centers Tele Law, other government agencies, and civil society organisations.</t>
  </si>
  <si>
    <t>C22-P0005</t>
  </si>
  <si>
    <t>Referral of marginalized applicants to Lok Adalats for prioritized dispute resolution.</t>
  </si>
  <si>
    <t>C22-P0006</t>
  </si>
  <si>
    <t>Assistance towards prison reforms within the district in coordination with the district judiciary and other stakeholders.</t>
  </si>
  <si>
    <t>C22-P0007</t>
  </si>
  <si>
    <t>Critical analysis of pending cases to assist Registrar Generals and district judges in understanding bottlenecks and finding solutions.</t>
  </si>
  <si>
    <t>C22-P0008</t>
  </si>
  <si>
    <t>en.schemeContent.benefits[0].children[6]</t>
  </si>
  <si>
    <t>Coordination with state and district authorities to enable witnesses to arrive on time or within a stipulated time frame for the early disposal of cases.</t>
  </si>
  <si>
    <t>C22-P0009</t>
  </si>
  <si>
    <t>Execution of follow-up actions such as issuing notices, summons, stays, injunctions, and letters to lower courts for summoning records pursuant to court orders.</t>
  </si>
  <si>
    <t>C22-P0010</t>
  </si>
  <si>
    <t>C22-P0011</t>
  </si>
  <si>
    <t>C22-P0012</t>
  </si>
  <si>
    <t>C22-P0013</t>
  </si>
  <si>
    <t>C22-P0014</t>
  </si>
  <si>
    <t>C22-P0015</t>
  </si>
  <si>
    <t>C22-P0016</t>
  </si>
  <si>
    <t>C22-P0029</t>
  </si>
  <si>
    <t>Although the investigation of my case was completed on time, the actual trial proceedings have been drastically delayed; does this trial-specific delay make me eligible for legal aid?
Individuals who are suffering due to prolonged delays specifically during the trial phase of their legal proceedings are fully eligible to receive professional guidance and support.</t>
  </si>
  <si>
    <t>C22-P0030</t>
  </si>
  <si>
    <t>I am a retired executive officer who worked in the government sector, but I possess formal legal experience; does this combination of qualifications meet the mandatory selection criteria?
Retired government or executive officers are strictly eligible to be engaged for this role provided they possess a legal background or relevant legal experience.</t>
  </si>
  <si>
    <t>C22-P0031</t>
  </si>
  <si>
    <t>I am currently involved in a long-standing matrimonial dispute and am wondering if this specific type of personal legal matter qualifies for receiving the offered assistance?
The assistance covers various types of old, pending matters, explicitly including matrimonial cases that have remained unresolved for extended periods.</t>
  </si>
  <si>
    <t>C22-P0032</t>
  </si>
  <si>
    <t>If my long-standing legal dispute has escalated and is currently pending before a High Court, is there still a possibility that I can receive assistance to expedite its disposal?
The objective explicitly includes facilitating the expeditious disposal of older pending cases that are currently situated within the High Courts.</t>
  </si>
  <si>
    <t>C22-P0033</t>
  </si>
  <si>
    <t>Due to certain societal disadvantages and social barriers, I have been unable to secure quality legal representation for my ongoing court case; will I be considered for this support?
Litigants who cannot access adequate legal aid specifically because of social barriers are considered target beneficiaries and are fully eligible to receive the provided legal assistance.</t>
  </si>
  <si>
    <t>C22-P0034</t>
  </si>
  <si>
    <t>The legal issue I am currently entangled in is strictly criminal in nature rather than a civil dispute, so would this type of matter still qualify for the provided support?
Criminal cases are specifically included among the types of old pending cases that the engaged professionals assist the respective courts in disposing of.</t>
  </si>
  <si>
    <t>C22-P0035</t>
  </si>
  <si>
    <t>My current legal dispute has been continuously pending in the judicial system for over a decade, falling within the 10 to 15 years timeframe; am I eligible to seek speedy resolution?
Litigants whose cases have been languishing in the courts for 10 to 15 years are the primary focus for expeditious disposal and legal support.</t>
  </si>
  <si>
    <t>C22-P0036</t>
  </si>
  <si>
    <t>I am currently incarcerated and facing issues within the district prison system; does the scope of this initiative include providing any form of assistance or intervention for prison-related matters?
The engaged professionals are mandated to render assistance towards prison reforms within the district, working in coordination with the district judiciary and other stakeholders.</t>
  </si>
  <si>
    <t>C22-P0037</t>
  </si>
  <si>
    <t>My ongoing legal battle is currently being heard at the district level within a subordinate court rather than a higher appellate court; will my case still be eligible for intervention?
The initiative aims to facilitate the speedy disposal of old cases that are pending specifically within subordinate courts across the targeted districts.</t>
  </si>
  <si>
    <t>C22-P0038</t>
  </si>
  <si>
    <t>My court matter has been severely stalled because the initial police investigation took an incredibly long time to conclude, so can I get help for the hardships caused by this delay?
Assistance is actively provided to individuals who are suffering hardships as a direct result of extensive delays during the investigation stage of their legal proceedings.</t>
  </si>
  <si>
    <t>C22-P0039</t>
  </si>
  <si>
    <t>Is there a specific digital database or official platform through which the authorities will officially identify my long-pending court case to determine if I qualify for this support?
Cases are actively identified for intervention and assistance by sourcing data directly from the National Judicial Data Grid database.</t>
  </si>
  <si>
    <t>C22-P0040</t>
  </si>
  <si>
    <t>As an individual facing severe financial constraints and economic barriers, I lack the funds to hire a capable lawyer; does my financial situation make me an eligible candidate for help?
The initiative targets and supports litigants whose economic barriers prevent them from obtaining quality legal aid, ensuring they receive the necessary guidance.</t>
  </si>
  <si>
    <t>C22-P0041</t>
  </si>
  <si>
    <t>Having dedicated my career to the judiciary, I have recently retired from my post as a judicial officer, so would my professional background make me eligible to serve?
Individuals who have previously served and retired as judicial officers are expressly permitted to take up these positions to help facilitate the expeditious disposal of old cases.</t>
  </si>
  <si>
    <t>C22-P0042</t>
  </si>
  <si>
    <t>I have been waiting years for a resolution regarding a vehicular accident claim that I filed for compensation; does the current framework include provisions for helping with these specific claims?
Accident claim cases are explicitly categorized as eligible for assistance and have been successfully disposed of through the intervention of the engaged professionals.</t>
  </si>
  <si>
    <t>C23-P0001</t>
  </si>
  <si>
    <t>Nari Adalat, a component of the "Sambal" sub-scheme under Mission Shakti, it aims to provide women with an alternate Grievance Redressal Mechanism for resolving cases of petty nature (harassment, subversion, curtailment of rights or entitlements) faced by them at Gram panchayat level by negotiation, mediation, and reconciliation with mutual consent for speedy, accessible, and affordable justice. It also be used as a platform for awareness of right, entitlements, social facilitation and hand holding of women centric organizations. The component of Nari Adalat is being implemented in a phased manner on pilot basis.  The scheme is being run in 50 Gram Panchayat each in the state of Assam and UT of Jammu and Kashmir. Further it is being expanded in the 10 Gram Panchayats of Bihar and Karnataka and 5 Gram Panchayats of Andaman and Nicobar Islands.</t>
  </si>
  <si>
    <t>C23-P0002</t>
  </si>
  <si>
    <t>Nari Adalats or women collectives will be formed of committed and socially respected women chosen for that purpose. This platform will also be utilized for engaging with the public for awareness generation and getting feedback for improvement in the schemes and for effective public delivery of services. These will be provided logistic support through Gram Panchayats in convergence with the Ministry of Panchayati Raj, Ministry of Rural Development, and Common Service Centres (CSCs) run by the Ministry of Electronics and Information Technology.</t>
  </si>
  <si>
    <t>C23-P0003</t>
  </si>
  <si>
    <t>Initially, it will be launched in identified States/UTs, preferably where Elected Women Representatives (EWRs) are heading the Gram Panchayats (GPs) in Aspirational Districts. In the first year, an awareness drive regarding legal, constitutional rights and entitlements under various schemes/ programs will be undertaken. In the second year, committed and socially respected women will be identified and extensively trained in all women-related laws and schemes and a formal setup of women collectives having 7 to 11 members will be made who will address the socio, economic, and cultural issues faced by the women of that area and will provide alternative resolution to disputes by mediation and by connecting them to the duty bearers.</t>
  </si>
  <si>
    <t>C23-P0004</t>
  </si>
  <si>
    <t>en.schemeContent.detailedDescription[2].children[1]</t>
  </si>
  <si>
    <t>The members or Nyaya Sakhis will be nominated / selected by the Gram Panchayat. The Nyaya Sakhis will amongst themselves select the head of the Nari Adalat, referred to as the „Mukhya Nyaya Sakhi‟ (MNS). The MNS will be responsible for all the activities and functioning of Nari Adalat in their respective jurisdiction. The tenure of Mukhya Nyaya Sakhi will generally be of six months after which a new MNS would be selected by Nyaya Sakhi.</t>
  </si>
  <si>
    <t>C23-P0005</t>
  </si>
  <si>
    <t>1)	Accessible and affordable justice</t>
  </si>
  <si>
    <t>C23-P0006</t>
  </si>
  <si>
    <t>2)	Conflict resolution</t>
  </si>
  <si>
    <t>C23-P0007</t>
  </si>
  <si>
    <t>3)	Reconciliation</t>
  </si>
  <si>
    <t>C23-P0008</t>
  </si>
  <si>
    <t>4)	Awareness Generation</t>
  </si>
  <si>
    <t>C23-P0009</t>
  </si>
  <si>
    <t>C23-P0013</t>
  </si>
  <si>
    <t>What is the objective of the "Nari Adalat" scheme?
The scheme aims to provide a community-based platform for grievance redressal and empowerment of women.</t>
  </si>
  <si>
    <t>C23-P0014</t>
  </si>
  <si>
    <t>Who can approach the Nari Adalat?
Any woman or girl facing harassment, violence, or denial of rights can approach the Nari Adalat.</t>
  </si>
  <si>
    <t>C23-P0015</t>
  </si>
  <si>
    <t>Where is "Nari Adalat" established?
Nari Adalat is established at the Gram Panchayat level.</t>
  </si>
  <si>
    <t>C23-P0016</t>
  </si>
  <si>
    <t>What types of cases are handled?
It handles cases like domestic violence, property disputes, harassment, and social issues.</t>
  </si>
  <si>
    <t>C23-P0017</t>
  </si>
  <si>
    <t>Who are Nyaya Sakhis?
Nyaya Sakhis are trained women members of the Nari Adalat who facilitate dispute resolution.</t>
  </si>
  <si>
    <t>C23-P0018</t>
  </si>
  <si>
    <t>What is the role of Mukhya Nyaya Sakhi?
She acts as the head of the Nari Adalat and manages its functioning and records.</t>
  </si>
  <si>
    <t>C23-P0019</t>
  </si>
  <si>
    <t>How often are meetings conducted?
Meetings are generally held twice a month.</t>
  </si>
  <si>
    <t>C23-P0020</t>
  </si>
  <si>
    <t>Is there any fee to access services?
No, the services provided by Nari Adalat are free of cost.</t>
  </si>
  <si>
    <t>C23-P0021</t>
  </si>
  <si>
    <t>What support is provided apart from dispute resolution?
The scheme provides counselling, awareness, and linkage to government services.</t>
  </si>
  <si>
    <t>C23-P0022</t>
  </si>
  <si>
    <t>Can cases be referred to other authorities?
Yes, unresolved cases can be referred to police, legal services, or other institutions.</t>
  </si>
  <si>
    <t>C23-P0023</t>
  </si>
  <si>
    <t>Can Nari Adalat help in awareness of schemes?
Yes, it actively spreads awareness about government schemes and women’s rights.</t>
  </si>
  <si>
    <t>C23-P0024</t>
  </si>
  <si>
    <t>How are members of Nari Adalat selected?
Members are selected by the Gram Panchayat and confirmed by the Gram Sabha.</t>
  </si>
  <si>
    <t>C24-P0001</t>
  </si>
  <si>
    <t>The “National Post Doctoral Fellowship (N-PDF)” was launched by the Science and Engineering Research Board, Government of India to identify motivated young researchers and provide them support for doing research in frontier areas of science and engineering. The fellows will work under a mentor, and it is hoped that this training will provide them with a platform to develop as independent researchers.</t>
  </si>
  <si>
    <t>C24-P0002</t>
  </si>
  <si>
    <t>en.schemeContent.detailedDescription[0].children[1].children[0]</t>
  </si>
  <si>
    <t>Duration of fellowship:</t>
  </si>
  <si>
    <t>C24-P0003</t>
  </si>
  <si>
    <t>The fellowship is purely a temporary assignment and is tenable for a period of 2 years.</t>
  </si>
  <si>
    <t>C24-P0004</t>
  </si>
  <si>
    <t>The fellows will be entitled to receive the grants as given below:</t>
  </si>
  <si>
    <t>C24-P0005</t>
  </si>
  <si>
    <t>en.schemeContent.benefits[1].children[0].children[0].children[0]</t>
  </si>
  <si>
    <t>Sl. No.</t>
  </si>
  <si>
    <t>C24-P0006</t>
  </si>
  <si>
    <t>en.schemeContent.benefits[1].children[0].children[1].children[0]</t>
  </si>
  <si>
    <t>Budget Head</t>
  </si>
  <si>
    <t>C24-P0007</t>
  </si>
  <si>
    <t>en.schemeContent.benefits[1].children[0].children[2].children[0]</t>
  </si>
  <si>
    <t>Amount</t>
  </si>
  <si>
    <t>C24-P0008</t>
  </si>
  <si>
    <t>en.schemeContent.benefits[1].children[1].children[0].children[0]</t>
  </si>
  <si>
    <t>1</t>
  </si>
  <si>
    <t>C24-P0009</t>
  </si>
  <si>
    <t>en.schemeContent.benefits[1].children[1].children[1].children[0]</t>
  </si>
  <si>
    <t>Fellowship</t>
  </si>
  <si>
    <t>C24-P0010</t>
  </si>
  <si>
    <t>en.schemeContent.benefits[1].children[1].children[2].children[0]</t>
  </si>
  <si>
    <t>₹55,000/- per month (consolidated) and ₹35,000/- per month for candidates who have submitted the thesis but degree not awarded</t>
  </si>
  <si>
    <t>C24-P0011</t>
  </si>
  <si>
    <t>en.schemeContent.benefits[1].children[2].children[0].children[0]</t>
  </si>
  <si>
    <t>2</t>
  </si>
  <si>
    <t>C24-P0012</t>
  </si>
  <si>
    <t>en.schemeContent.benefits[1].children[2].children[1].children[0]</t>
  </si>
  <si>
    <t>Research Grant</t>
  </si>
  <si>
    <t>C24-P0013</t>
  </si>
  <si>
    <t>en.schemeContent.benefits[1].children[2].children[2].children[0]</t>
  </si>
  <si>
    <t>₹2,00,000/- per annum</t>
  </si>
  <si>
    <t>C24-P0014</t>
  </si>
  <si>
    <t>en.schemeContent.benefits[1].children[3].children[0].children[0]</t>
  </si>
  <si>
    <t>3</t>
  </si>
  <si>
    <t>C24-P0015</t>
  </si>
  <si>
    <t>en.schemeContent.benefits[1].children[3].children[1].children[0]</t>
  </si>
  <si>
    <t>Overheads</t>
  </si>
  <si>
    <t>C24-P0016</t>
  </si>
  <si>
    <t>en.schemeContent.benefits[1].children[3].children[2].children[0]</t>
  </si>
  <si>
    <t>₹1,00,000/- per annum</t>
  </si>
  <si>
    <t>C24-P0017</t>
  </si>
  <si>
    <t>Note 01: Research grants can be used for minor equipment, consumables, contingencies, and domestic travel. There is no provision for providing research personnel support under this scheme. The Fellow is expected to undertake the research objectives by himself/herself during the entire duration of the fellowship.</t>
  </si>
  <si>
    <t>C24-P0018</t>
  </si>
  <si>
    <t>Note 02: The fellows are not eligible to receive any other fellowship from any Government or Non-Governmental source during the tenure of the fellowship.</t>
  </si>
  <si>
    <t>C24-P0019</t>
  </si>
  <si>
    <t>Note 03: The fellows must seek the consent of SERB if he/she intends to be away from the implementing institute (except for field work related to the project) continuously for a period of more than eight weeks.</t>
  </si>
  <si>
    <t>C24-P0020</t>
  </si>
  <si>
    <t>en.schemeContent.benefits[2].children[3].children[0]</t>
  </si>
  <si>
    <t>Leave:</t>
  </si>
  <si>
    <t>C24-P0021</t>
  </si>
  <si>
    <t>en.schemeContent.benefits[2].children[4]</t>
  </si>
  <si>
    <t>SERB PDFs are entitled to leave as per the rules of the host institution. Participation in scientific workshops held in India or abroad will be treated as on duty. Maternity leave as per the Govt. of India instructions issued from time to time would be available to female candidates in all categories.</t>
  </si>
  <si>
    <t>C24-P0022</t>
  </si>
  <si>
    <t>C24-P0023</t>
  </si>
  <si>
    <t>C24-P0024</t>
  </si>
  <si>
    <t>C24-P0025</t>
  </si>
  <si>
    <t>C24-P0026</t>
  </si>
  <si>
    <t>C24-P0027</t>
  </si>
  <si>
    <t>C24-P0028</t>
  </si>
  <si>
    <t>C24-P0029</t>
  </si>
  <si>
    <t>C24-P0055</t>
  </si>
  <si>
    <t>Who can apply for NPDF? What are the eligibility criteria for availing the post-doctoral fellowship?
The applicant should hold Ph.D. degree in Science or Engineering or M.D or M.S degree in any area of medicine. Those who have submitted their PhD/M. D/M. S thesis and are awaiting award of the degree are also eligible to apply. Applicants should have an outstanding track record as evident from the quality of the research outputs and publications. The selection will be based on the recommendations of an Expert Committee.</t>
  </si>
  <si>
    <t>C24-P0056</t>
  </si>
  <si>
    <t>What is the age limit for availing NPDF?
The upper age limit for the fellowship is 35 years at the time of the submission of application. Age relaxation of 5 (five) years will be given to candidates belonging to SC/ST/OBC/Physically Challenged &amp; Women candidates.</t>
  </si>
  <si>
    <t>C24-P0057</t>
  </si>
  <si>
    <t>What is the amount of fellowship?Is my fellowship taxable? Is the fellowship tenable outside India?
The Fellowship amount for NPDF is ₹55,000/- per month. For those who have submitted their Ph.D. degree, ₹35,000/- per month will be offered till they are awarded the eligible degree. The fellowship is taxable under the Income Tax rules of India. The fellowship is tenable only in India and can be implemented in any of the recognized academic institutions, national laboratories and other recognized R&amp;D institutions. The host institution should provide necessary administrative and infrastructural support.</t>
  </si>
  <si>
    <t>C24-P0058</t>
  </si>
  <si>
    <t>What is the tenure of the NPDF? Can it be extended?
The fellowship is purely a temporary assignment, and is tenable initially for a period of 2 years. In exceptional cases, depending on the progress of research, the fellowship can be extended for one more year. There is no provision to extend the tenure beyond three years in any case.</t>
  </si>
  <si>
    <t>C24-P0059</t>
  </si>
  <si>
    <t>What is the upper age limit up to which the J C Bose fellowship can be availed?Can I avail the NPDF from the same institution from where I have obtained the Ph. D. degree? Can I avail other fellowship grants?
The fellowship is generally not availed at the same institution where one has obtained or worked for the PhD/M.S./M.D degree. Also, the fellowship cannot be availed with the doctoral thesis supervisor or co-supervisor as a mentor. The fellows are not eligible to receive fellowship/salary from any other Government or Non-Governmental source during the tenure of the SERB National Post-Doctoral Fellowship.</t>
  </si>
  <si>
    <t>C24-P0060</t>
  </si>
  <si>
    <t>What is the nature of support in NPDF scheme?
National Post-Doctoral Fellow will be entitled to receive grants under the following budget heads.
The fellows will be entitled to receive the grants given below:
Fellowship
(₹55,000/- per month (consolidated))
(₹35,000/ p.m. for candidates who have submitted the thesis but the degree has not yet been awarded)
Research Grant (₹2,00,000/- per annum)
Overheads (₹1,00,000/- per annum)</t>
  </si>
  <si>
    <t>C24-P0061</t>
  </si>
  <si>
    <t>When should I apply for NPDF? Can I apply for the National Post-Doctoral Fellowship (N- PDF) projects throughout the year?
The applicant must first identify the host institution and a suitable Mentor in the host institution under which the proposed research objectives will be pursued. The call for applications for SERB- NPDF will be notified through the website www.serbonline.in and www.serb.gov.in Usually one month window will be provided to submit the application along with other documents. All applications should be submitted through the SERB online portal www.serbonline.in.</t>
  </si>
  <si>
    <t>C24-P0062</t>
  </si>
  <si>
    <t>Who is eligible to be a Mentor? Can my Ph.D. supervisor or co-supervisor act as a mentor?
The Mentor should hold a regular academic or research position in the host institution. The fellowship cannot be availed with the doctoral thesis supervisor or co-supervisor as a mentor.</t>
  </si>
  <si>
    <t>C24-P0063</t>
  </si>
  <si>
    <t>How should I apply for NPDF? What documents should I submit?
All applications should be submitted through the SERB online portal www.serbonline.in. Usually, a month window is provided to submit the application along with other documents. The following documents are mandatory.
Research proposal (see www.serbonline.in for the correct format).
Proof of Date of Birth (Class X certificate or Date of Birth Certificate).
Proof of Caste (only for cases seeking age relaxation).
Proof of Ph.D. Degree or proof of Ph.D. thesis submission certificate.
Endorsement Certificate signed by Mentor and Head of the Host Institution (format can be downloaded from www.serbonline.in).
Undertaking Certificate by the applicant (see online portal for its format).
Reprints of your two best publications.
CV of the Mentor (see online portal for its format).
The applicants are advised to follow detailed instructions provided in the SERB online portal www.serbonline.in.</t>
  </si>
  <si>
    <t>C24-P0064</t>
  </si>
  <si>
    <t>When will I be informed of my selection?
The selection process on an average takes at least two months from the last date of submission of the applications. All selected candidates shall receive an Email notification through the SERB online portal, who are then required to download the offer letter.</t>
  </si>
  <si>
    <t>C24-P0065</t>
  </si>
  <si>
    <t>Is there any break up available for the NPDF research grant?
Flexibility is provided to the Fellow and the Mentor for utilising the Research Grant as per the needs of the research work. Generally, the Research grant can be used for purchasing minor equipment, consumables and contingencies. The grant can also be utilised for travel in India to attend workshops/conferences and other research-related activities. In this regard, the host institution's norms shall apply for TA/DA.</t>
  </si>
  <si>
    <t>C24-P0066</t>
  </si>
  <si>
    <t>Can I recruit a manpower under this scheme?
There is no provision for providing manpower under this scheme. The Fellow is expected to undertake research himself/herself during the entire duration of the fellowship.</t>
  </si>
  <si>
    <t>C24-P0067</t>
  </si>
  <si>
    <t>I have received my fellowship for the first year. What documents should I send to receive my scholarship for the second year?
The Fellows should upload annual Progress Report and financial statements at the end of each financial year. The release of the next instalment of the grant will be considered only after submission of (a) Proper Utilization Certificate and Statement of Expenditure, financial year wise and (b) Annual Progress Report through the SERB online portal.</t>
  </si>
  <si>
    <t>C24-P0068</t>
  </si>
  <si>
    <t>I intend to change my Mentor/Host Institution? What procedure should I follow?
Change of Mentor/Host Institution is generally discouraged and can be allowed only in exceptional cases. Change of Host Institution shall be undertaken only after obtaining due approval from SERB. The new host institute in any case should not be the institution from which the applicant has worked for his Ph.D. or obtained his Ph.D. degree. The transfer of the fellowship along with balance grant and the assets to the new institute is allowed, provided the administrative authority of both institutes agree in writing. NOC from the previous host institute and Endorsement Form from the new host Institute &amp;new Mentor must be sent to SERB through the online portal.</t>
  </si>
  <si>
    <t>C24-P0069</t>
  </si>
  <si>
    <t>I wish to resign as NPDF? What documents must I send to SERB?
If the one wishes to terminate the fellowship and leave the institute, he/she shall inform the SERB through the host institution immediately. The implementing institute should not incur any expenditure from the date of termination of the project or the date of resignation of fellow.</t>
  </si>
  <si>
    <t>C24-P0070</t>
  </si>
  <si>
    <t>What are the rules for availing leave?
The NPDF is entitled to leave as per the norms of the host institution. Participation in scientific workshops held in India or abroad will be treated as on duty. Maternity leave, as per the Govt. of India instructions issued from time to time, would be available to female candidates in all categories.</t>
  </si>
  <si>
    <t>C24-P0071</t>
  </si>
  <si>
    <t>Is SERB terminate NPDF fellowship?
SERB reserves the right to terminate the Fellowship at any stage if it is convinced that appropriate progress is not being made or the grant has not been utilized properly.</t>
  </si>
  <si>
    <t>C24-P0072</t>
  </si>
  <si>
    <t>Can I be away from the implementing Institute when I am working as National Post-Doctoral Fellow?
The fellows must seek the consent of SERB if he/she intends to be away from the implementing institute (except for field work related to the project) continuously for a period more than eight weeks.</t>
  </si>
  <si>
    <t>C24-P0073</t>
  </si>
  <si>
    <t>What should be done for the unspent grant under National Post-Doctoral Fellowship (N- PDF) after the completion of the tenure of the fellowship?
The following documents should be sent to the SERB after the duration of the Fellowship is completed:
Final Consolidated Statement of Expenditure (in duplicate), giving expenditure financial year wise (FY) from date of start till date of completion.
Utilization Certificates (FY wise) for all FYs (in duplicate) matching with Statement of Expenditure figures in that FY.
Project Completion Report (PCR) with list of publications, and patents filed.
DD/ cheque for the unspent grant, drawn in favor of 'Fund for Science &amp; Engineering Research'
Mentor and PDF candidate are responsible for the timely submission of progress report, utilization certificate, project closure report (PCR), refund of unspent balance amount etc. at the end or early closure of the project.</t>
  </si>
  <si>
    <t>C25-P0001</t>
  </si>
  <si>
    <t>A new programme “Women's Instinct for Developing and Ushering in Scientific Heights &amp; Innovations (WIDUSHI)” is started by the Department of Science and Technology (DST) under its umbrella scheme “Women in Science and Engineering-KIRAN (WISE-KIRAN)” for senior women scientists to harness their knowledge and potential for the betterment of Science and Society. WIDUSHI programme aims to encourage and support senior women scientists to conduct research in interdisciplinary areas of Science and Technology.</t>
  </si>
  <si>
    <t>C25-P0002</t>
  </si>
  <si>
    <t>Proposals are invited from senior women scientists in the following scientific disciplines:</t>
  </si>
  <si>
    <t>C25-P0003</t>
  </si>
  <si>
    <t>Physical &amp; Mathematical Sciences</t>
  </si>
  <si>
    <t>C25-P0004</t>
  </si>
  <si>
    <t>Chemical Sciences</t>
  </si>
  <si>
    <t>C25-P0005</t>
  </si>
  <si>
    <t>Life Sciences</t>
  </si>
  <si>
    <t>C25-P0006</t>
  </si>
  <si>
    <t>Earth &amp; Atmospheric Sciences</t>
  </si>
  <si>
    <t>C25-P0007</t>
  </si>
  <si>
    <t>en.schemeContent.detailedDescription[0].children[2].children[4]</t>
  </si>
  <si>
    <t>Engineering &amp; Technology</t>
  </si>
  <si>
    <t>C25-P0008</t>
  </si>
  <si>
    <t>en.schemeContent.detailedDescription[0].children[2].children[5]</t>
  </si>
  <si>
    <t>S&amp;T based Societal Research</t>
  </si>
  <si>
    <t>C25-P0009</t>
  </si>
  <si>
    <t>Target Group: The target group is categorized into the following 2 categories:</t>
  </si>
  <si>
    <t>en.schemeContent.detailedDescription[0].children[3]</t>
  </si>
  <si>
    <t>C25-P0010</t>
  </si>
  <si>
    <t>en.schemeContent.detailedDescription[0].children[4]</t>
  </si>
  <si>
    <t>Category-A: Retiring or retired Women Scientist</t>
  </si>
  <si>
    <t>C25-P0011</t>
  </si>
  <si>
    <t>en.schemeContent.detailedDescription[0].children[5]</t>
  </si>
  <si>
    <t>Category-B: Senior Women Scientists who are not in regular employment</t>
  </si>
  <si>
    <t>C25-P0012</t>
  </si>
  <si>
    <t>en.schemeContent.detailedDescription[0].children[6]</t>
  </si>
  <si>
    <t>Project Duration:</t>
  </si>
  <si>
    <t>C25-P0013</t>
  </si>
  <si>
    <t>en.schemeContent.detailedDescription[0].children[7]</t>
  </si>
  <si>
    <t>The maximum duration of the project is 5 years.</t>
  </si>
  <si>
    <t>C25-P0014</t>
  </si>
  <si>
    <t>Category A:</t>
  </si>
  <si>
    <t>C25-P0015</t>
  </si>
  <si>
    <t>1.	The Programme provides fellowship to the Principal Investigator @₹75,000/- per month, One Research Assistant, Research Grant of ₹5.0 Lakh per year and Institutional overhead charges @₹1.00 lakh per annum.</t>
  </si>
  <si>
    <t>C25-P0016</t>
  </si>
  <si>
    <t>en.schemeContent.benefits[0].children[2].children[0]</t>
  </si>
  <si>
    <t>Category B:</t>
  </si>
  <si>
    <t>C25-P0017</t>
  </si>
  <si>
    <t>1.	The Programme provides fellowship to the Principal Investigator @₹85,000/- per month, One Research Assistant, Research Grant of ₹5.0 Lakh per year and Institutional overhead charges @₹1.00 lakh per annum.</t>
  </si>
  <si>
    <t>C25-P0018</t>
  </si>
  <si>
    <t>en.schemeContent.benefits[0].children[4].children[0]</t>
  </si>
  <si>
    <t>Co-Investigator (Co-I):</t>
  </si>
  <si>
    <t>C25-P0019</t>
  </si>
  <si>
    <t>'WIDUSHI' fellow should choose a permanent faculty as Co-I (male/female) of the project for academic and administrative support in project implementation. The service of Co-I has to be due for a period not less than the proposed period of the WIDUSHI project. The Co-I is not eligible for any separate grants under the programme.</t>
  </si>
  <si>
    <t>C25-P0020</t>
  </si>
  <si>
    <t>C25-P0021</t>
  </si>
  <si>
    <t>C25-P0022</t>
  </si>
  <si>
    <t>C25-P0023</t>
  </si>
  <si>
    <t>C25-P0024</t>
  </si>
  <si>
    <t>C25-P0025</t>
  </si>
  <si>
    <t>C25-P0026</t>
  </si>
  <si>
    <t>C25-P0027</t>
  </si>
  <si>
    <t>C25-P0028</t>
  </si>
  <si>
    <t>C25-P0029</t>
  </si>
  <si>
    <t>C25-P0030</t>
  </si>
  <si>
    <t>C25-P0031</t>
  </si>
  <si>
    <t>C25-P0057</t>
  </si>
  <si>
    <t>What is the “WIDUSHI” programme?
The programme “Women's Instinct for Developing and Ushering in Scientific Heights &amp; Innovations (WIDUSHI)” is started by the Department of Science and Technology (DST) under its umbrella scheme “Women in Science and Engineering-KIRAN (WISE-KIRAN)” for senior women scientists to harness their knowledge and potential for the betterment of Science and Society.</t>
  </si>
  <si>
    <t>C25-P0058</t>
  </si>
  <si>
    <t>What is the aim of this programme?
WIDUSHI programme aims to encourage and support senior women scientists to conduct research in interdisciplinary areas of Science and Technology.</t>
  </si>
  <si>
    <t>C25-P0059</t>
  </si>
  <si>
    <t>Which is the implementing agency of this programme?
Department of Science &amp; Technology, Government of India</t>
  </si>
  <si>
    <t>C25-P0060</t>
  </si>
  <si>
    <t>Who can apply for the Programme?
The following are the primary eligibility criteria-
For Category A: Women Scientists who are permanent employees but retiring in a year or already retired/superannuated from government academic/research institutions.
For Category B: Women who are not permanent employees in any institution but working temporarily and have completed 2 independent research projects as Principal Investigator.</t>
  </si>
  <si>
    <t>C25-P0061</t>
  </si>
  <si>
    <t>What are the areas covered under this Programme?
1.	Physical &amp; Mathematical Sciences
2.	Chemical Sciences
3.	Life Sciences
4.	Earth &amp; Atmospheric Sciences
5.	Engineering &amp; Technology
6.	S&amp;T based Societal Research</t>
  </si>
  <si>
    <t>C25-P0062</t>
  </si>
  <si>
    <t>What is the nature of support provided to the selected scientists?
Category A:
The Programme provides fellowship to the Principal Investigator @₹75,000/- per month, One Research Assistant, Research Grant of ₹5.0 Lakh per year and Institutional overhead charges @₹1.00 lakh per annum.
Category B:
The Programme provides fellowship to the Principal Investigator @₹85,000/- per month, One Research Assistant, Research Grant of ₹5.0 Lakh per year and Institutional overhead charges @₹1.00 lakh per annum.</t>
  </si>
  <si>
    <t>C25-P0063</t>
  </si>
  <si>
    <t>What is the age criterion to apply under the programme?
For Category A: The age of the applicant should be between 57 to 62 years.
For Category B: The age of the applicant should be between 45 to 62 years.</t>
  </si>
  <si>
    <t>C25-P0064</t>
  </si>
  <si>
    <t>What shall be tenure of the project?
The maximum duration of the project is 5 years.</t>
  </si>
  <si>
    <t>C25-P0065</t>
  </si>
  <si>
    <t>What is the last date for receipt of Application?
The online Application portal is open throughout the year for proposal submission.</t>
  </si>
  <si>
    <t>C25-P0066</t>
  </si>
  <si>
    <t>How to apply under the programme?
The call is open for proposal submission under WISE-KIRAN at ePMS (https://onlinedst.gov.in).</t>
  </si>
  <si>
    <t>C26-P0001</t>
  </si>
  <si>
    <t>The scheme “Teachers Associateship for Research Excellence (TARE)” was launched by the Science and Engineering Research Board, Department of Science &amp; Technology, Government of India which aims to facilitate the mobility of faculty members working in a regular capacity in State Universities / Colleges and in private Academic Institutions to carry out research work in an established public-funded central institution such as IITs, IISc, IISERS, National Institutions (NITs, CSIR, ICAR, ICMR labs and other central institutions) and Central Universities, located preferably nearer to the institution where the faculty member is working. Research work will be carried out in such a manner to ensure that the PI continues to work in the host institute as well as his / her parent institute on mutually agreed terms between the PI and Mentor.</t>
  </si>
  <si>
    <t>C26-P0002</t>
  </si>
  <si>
    <t>Areas Covered under the scheme:</t>
  </si>
  <si>
    <t>C26-P0003</t>
  </si>
  <si>
    <t>en.schemeContent.detailedDescription[0].children[2]</t>
  </si>
  <si>
    <t>The scheme covers areas under Life Sciences, Physical Sciences, Chemical Sciences, Engineering Sciences, Earth and Atmospheric Sciences, and Mathematical Sciences, including interdisciplinary areas.</t>
  </si>
  <si>
    <t>C26-P0004</t>
  </si>
  <si>
    <t>en.schemeContent.detailedDescription[0].children[3].children[0]</t>
  </si>
  <si>
    <t>Duration of Support:</t>
  </si>
  <si>
    <t>C26-P0005</t>
  </si>
  <si>
    <t>The duration of support is three years.</t>
  </si>
  <si>
    <t>C26-P0006</t>
  </si>
  <si>
    <t>Research fellowship of ₹60,000/- per year (in addition to the researcher’s own salary) will be provided subject to completion of a minimum of 90 days of research work per year in the host institution.</t>
  </si>
  <si>
    <t>C26-P0007</t>
  </si>
  <si>
    <t>en.schemeContent.benefits[0].children[0].children[1]</t>
  </si>
  <si>
    <t>Research grant of ₹5 lakhs per annum (50% each to host and parent institution) and overheads (as per SERB norms) will be provided.</t>
  </si>
  <si>
    <t>C26-P0008</t>
  </si>
  <si>
    <t>C26-P0009</t>
  </si>
  <si>
    <t>C26-P0010</t>
  </si>
  <si>
    <t>C26-P0011</t>
  </si>
  <si>
    <t>C26-P0012</t>
  </si>
  <si>
    <t>C26-P0013</t>
  </si>
  <si>
    <t>documents.en.documents_required[7]</t>
  </si>
  <si>
    <t>documents.en.documents_required[11]</t>
  </si>
  <si>
    <t>C26-P0032</t>
  </si>
  <si>
    <t>I am having a DST funded Project as a Co-PI, can I apply for TARE scheme?
Researchers being part of another project as Co-PIs, can apply.</t>
  </si>
  <si>
    <t>C26-P0033</t>
  </si>
  <si>
    <t>In case of selection, is it mandatory to divide the funding and share 50% each to host and parent institutions? Can it be given to only host institution?
Yes. A research fellowship of ₹60,000/- per year (in addition to the researcher's own salary) will be provided subject to completion of a minimum 90 days of research work per year in the host institution. Research grant of ₹5 lakhs per annum (50% each to host and parent institution) and overheads will be provided.</t>
  </si>
  <si>
    <t>C26-P0034</t>
  </si>
  <si>
    <t>What kind of management responsibilities does the parent institution get?
Parent institute must undertake all project implementation related work including purchase, preparation of UC/ES, relieving PI for research work in the host institute, etc. as of any other funded projects.</t>
  </si>
  <si>
    <t>C26-P0035</t>
  </si>
  <si>
    <t>Clarification on the term "Research work", whether it refers to fresh research work only or ongoing research work without any external grant or fund?
Fresh and ongoing research work not supported by any externally funded individual centric projects.</t>
  </si>
  <si>
    <t>C26-P0036</t>
  </si>
  <si>
    <t>Can I choose Panjab University as Host institution for TARE because Panjab University is not a central university nor state university?
Only central institutes / national research labs and Central Universities are eligible as host institute.</t>
  </si>
  <si>
    <t>C26-P0037</t>
  </si>
  <si>
    <t>I want to understand the meaning of clause "The applicant(s) must hold a regular academic / research position in State Universities/ Colleges and private Academic Institution"?
The term "Regular" in the context of SERB refers to the applicants who are appointed against the sanctioned post or in a tenure post but are likely to be renewed after the end of the tenure.
[Note: Research Associates, Ad-hoc faculties, Guest Faculty, Visiting Scientist, consultant, Project Fellows and Faculty members whose contract is renewed every year are not eligible] (In cases where it is not covered in any of the above, SERB has the right to determine the eligibility)</t>
  </si>
  <si>
    <t>C26-P0038</t>
  </si>
  <si>
    <t>Working day: 90 days attendance should include host institute working days attendance only or 90 days working in host institute during institutes working days, summer vacation, winter vacation, public holidays, Saturdays and Sundays?
90 days working in host institute includes, working days, summer vacation, winter vacation, public holidays, Saturdays and Sundays, provided host institute allows to work and issue attendance certificate by the end of the year.</t>
  </si>
  <si>
    <t>C26-P0039</t>
  </si>
  <si>
    <t>Is there any limit on how old institute is affiliated for Eg.10 year, 20 year or so?
Age of the institute will not be considered, as long as it is affiliated by UGC / AICTE / MCI or other competent organizations of Government of India / State Governments.</t>
  </si>
  <si>
    <t>C26-P0040</t>
  </si>
  <si>
    <t>What is the maximum distance between parent and host institute?
Distance is not fixed, you need to justify the reasons for selection of institute whatso ever the distance, which will be evaluated by the committee. PI are advised to find the expertise/mentor nearer to their parent institute. Preference may be given to the candidates proposing host institute nearer to parent institute.</t>
  </si>
  <si>
    <t>C26-P0041</t>
  </si>
  <si>
    <t>How many candidates can a mentor can guide?
A mentor can forward any number of applications, but only one candidate will be allowed to work with a mentor depending up on the merit of the proposal.</t>
  </si>
  <si>
    <t>C26-P0042</t>
  </si>
  <si>
    <t>How many applications can an institute forward?
There are no fixed numbers.</t>
  </si>
  <si>
    <t>C26-P0043</t>
  </si>
  <si>
    <t>Is the mentor and applicant subject areas should match exactly?
The basic concept of this project itself is to execute the project in collaborative mode where the expertise of the mentor should be useful in executing the project work of the applicant. Accordingly, the expertise of mentor and applicant should fulfil the requirements of the proposed project work.</t>
  </si>
  <si>
    <t>C26-P0044</t>
  </si>
  <si>
    <t>Can I get age relaxation, over and above the relaxation given in the program for filing the application?
The upper age limit for the award is 45 years at the time of the submission of application. Age relaxation of 5 (five) years will be given to candidates belonging to SC/ST/OBC/Physically Challenged &amp; Women candidates.</t>
  </si>
  <si>
    <t>C26-P0045</t>
  </si>
  <si>
    <t>Is 90 days attendance compulsory requirement to get the fellowship money sanctioned? Can project be granted without the fellowship component?
The basic concept of this project itself is to execute the project in collaborative mode where the applicant should work with the mentor and get trained at higher level. For which the minimum attendance period of 90 days is mandatory and hence the proposals without fellowship component will not be considered.</t>
  </si>
  <si>
    <t>C26-P0046</t>
  </si>
  <si>
    <t>If the applicant goes to the host institution less than 90 days/year and does not get the scholarship money of ₹60,000/year whether he/she will be eligible to get the project money?
It is mandatory to full fill the minimum 90 days research work per year in the host institution.</t>
  </si>
  <si>
    <t>C26-P0047</t>
  </si>
  <si>
    <t>I have completed my M.Tech. and continuing my Ph.D. Can I apply for TARE project?
No as per revised eligibility guidelines, only candidates holding Ph.D. degree in Science / Engineering or MS / MD in Medicine are eligible to apply.</t>
  </si>
  <si>
    <t>C26-P0048</t>
  </si>
  <si>
    <t>Can my Ph.D. supervisor be a mentor for TARE project?
No, however candidates are allowed to work with a different mentor from the same institute where a Ph.D. degree was awarded.</t>
  </si>
  <si>
    <t>C26-P0049</t>
  </si>
  <si>
    <t>Is only researcher having ongoing project with DST / SERB not eligible for apply or any ongoing projects?
Researchers having any funded projects are not eligible to apply.</t>
  </si>
  <si>
    <t>C26-P0050</t>
  </si>
  <si>
    <t>Can I apply from any other Central institutes other than mentioned in the TARE scheme? Eg.Centre for Materials for Electronics Technology (C-MET), Ministry of Electronics &amp; Information Technology?
You can apply for any Central institutions having relevant R&amp;D infrastructure.</t>
  </si>
  <si>
    <t>C26-P0051</t>
  </si>
  <si>
    <t>Whether applications from the regions where very limited Central institutes are available will be given with privilege or not?
Selection for TARE scheme will be purely competitive mode based on the scientific merit of the proposal.</t>
  </si>
  <si>
    <t>C26-P0052</t>
  </si>
  <si>
    <t>Any clauses that bound for publication of research work findings in conferences / journals?
No, but PI are expected to bring out joint publications with the mentor from the results emanated out of this project and is mandatory to acknowledge SERB funding for the research work.</t>
  </si>
  <si>
    <t>C26-P0053</t>
  </si>
  <si>
    <t>Can I use the money to hire a project fellow? Can the fellow be paid 50/50 by both institutions?
No, the TARE awardee is expected to do research on his / her own.</t>
  </si>
  <si>
    <t>C26-P0054</t>
  </si>
  <si>
    <t>If I succeed in getting the TARE grant, can I apply for, say, an extramural grant later?
Applicant should not hold any ongoing research projects or any fellowship at the time of submission of application. You are not eligible to avail of any other project from DST/SERB until you complete the TARE project.</t>
  </si>
  <si>
    <t>C27-P0001</t>
  </si>
  <si>
    <t>The Pradhan Mantri Virasat Ka Samvardhan (PM VIKAS) is a Central Sector Scheme of the Ministry of Minority Affairs which converges five erstwhile schemes viz. ‘Seekho Aur Kamao’, ‘Nai Manzil’, ‘Nai Roshni’ and ‘USTTAD’ &amp; ‘Hamari Dharohar’ schemes and focuses on socio-economic empowerment of six notified minority communities (Muslims, Christians, Sikhs, Buddhists, Jains, and Parsis) through the following:</t>
  </si>
  <si>
    <t>C27-P0002</t>
  </si>
  <si>
    <t>i.	Skilling and Training (Non-traditional and traditional)</t>
  </si>
  <si>
    <t>C27-P0003</t>
  </si>
  <si>
    <t>ii.	Women Leadership and Entrepreneurship</t>
  </si>
  <si>
    <t>C27-P0004</t>
  </si>
  <si>
    <t>iii.	Education (through National Institute of Open Schooling)</t>
  </si>
  <si>
    <t>C27-P0005</t>
  </si>
  <si>
    <t>iv.	Infrastructure Development (through Pradhan Mantri Jan Vikas Karyakram)</t>
  </si>
  <si>
    <t>C27-P0006</t>
  </si>
  <si>
    <t>Scheme Objectives:</t>
  </si>
  <si>
    <t>C27-P0007</t>
  </si>
  <si>
    <t>The initiative aims to empower minority communities through targeted skill training, formal education via open schooling, and improved livelihood opportunities. It promotes the preservation cultural heritage and traditional arts and crafts. Women from minority communities are empowered through leadership and entrepreneurship support. Market and credit linkages are provided to enhance employability and enterprise.</t>
  </si>
  <si>
    <t>C27-P0008</t>
  </si>
  <si>
    <t>Salient Features:</t>
  </si>
  <si>
    <t>en.schemeContent.detailedDescription[13]</t>
  </si>
  <si>
    <t>C27-P0009</t>
  </si>
  <si>
    <t>en.schemeContent.detailedDescription[14]</t>
  </si>
  <si>
    <t>1)	Aims at holistic development of minority communities through skilling, education, entrepreneurship, and cultural heritage preservation.</t>
  </si>
  <si>
    <t>C27-P0010</t>
  </si>
  <si>
    <t>en.schemeContent.detailedDescription[15]</t>
  </si>
  <si>
    <t>2)	Merges five earlier schemes: Seekho aur Kamao, USTTAD, Hamari Dharohar, Nai Roshni, and Nai Manzil.</t>
  </si>
  <si>
    <t>C27-P0011</t>
  </si>
  <si>
    <t>en.schemeContent.detailedDescription[16]</t>
  </si>
  <si>
    <t>3)	Focuses on traditional and modern skill training, women’s leadership, education for school dropouts, and infrastructure development.</t>
  </si>
  <si>
    <t>C27-P0012</t>
  </si>
  <si>
    <t>en.schemeContent.detailedDescription[17]</t>
  </si>
  <si>
    <t>4)	Special emphasis on women, youth, and persons with disabilities from six notified minority communities.</t>
  </si>
  <si>
    <t>C27-P0013</t>
  </si>
  <si>
    <t>en.schemeContent.detailedDescription[18]</t>
  </si>
  <si>
    <t>5)	Provides financial support, market linkages, and credit access through convergence with other government schemes.</t>
  </si>
  <si>
    <t>C27-P0014</t>
  </si>
  <si>
    <t>en.schemeContent.detailedDescription[19]</t>
  </si>
  <si>
    <t>6)	100% central funding for training, education, and entrepreneurship; infrastructure support via Pradhan Mantri Jan Vikas Karyakram (PMJVK) on a cost-sharing basis.</t>
  </si>
  <si>
    <t>C27-P0015</t>
  </si>
  <si>
    <t>Target Beneficiaries:</t>
  </si>
  <si>
    <t>en.schemeContent.detailedDescription[21]</t>
  </si>
  <si>
    <t>C27-P0016</t>
  </si>
  <si>
    <t>en.schemeContent.detailedDescription[23]</t>
  </si>
  <si>
    <t>1)	Indian nationals belonging to the six notified minority communities: Muslims, Christians, Sikhs, Buddhists, Jains, and Parsis with following:</t>
  </si>
  <si>
    <t>C27-P0017</t>
  </si>
  <si>
    <t>en.schemeContent.detailedDescription[24]</t>
  </si>
  <si>
    <t>a.	Minority individuals aged 14–45 years for skilling and education; 18–45 years for women leadership and entrepreneurship.</t>
  </si>
  <si>
    <t>C27-P0018</t>
  </si>
  <si>
    <t>en.schemeContent.detailedDescription[25]</t>
  </si>
  <si>
    <t>b.	Women beneficiaries: Minimum 33% in skilling, 50% in education, and 100% in women leadership and entrepreneurship component.</t>
  </si>
  <si>
    <t>C27-P0019</t>
  </si>
  <si>
    <t>en.schemeContent.detailedDescription[26]</t>
  </si>
  <si>
    <t>c.	Persons with Disabilities (PwDs): 3% reservation across all components.</t>
  </si>
  <si>
    <t>C27-P0020</t>
  </si>
  <si>
    <t>en.schemeContent.detailedDescription[27]</t>
  </si>
  <si>
    <t>2)	Up to 25% non-minority (EWS) candidates may be included in Traditional Skilling and 15% in other components to promote inter-community solidarity.</t>
  </si>
  <si>
    <t>C27-P0021</t>
  </si>
  <si>
    <t>Benefits:</t>
  </si>
  <si>
    <t>en.schemeContent.detailedDescription[30]</t>
  </si>
  <si>
    <t>C27-P0022</t>
  </si>
  <si>
    <t>en.schemeContent.detailedDescription[31]</t>
  </si>
  <si>
    <t>1)	Provides skill development in both traditional crafts and modern sectors to enhance employability of minority youth.</t>
  </si>
  <si>
    <t>C27-P0023</t>
  </si>
  <si>
    <t>en.schemeContent.detailedDescription[32]</t>
  </si>
  <si>
    <t>2)	Empowers minority women through leadership and entrepreneurship training, including support to start enterprises.</t>
  </si>
  <si>
    <t>C27-P0024</t>
  </si>
  <si>
    <t>en.schemeContent.detailedDescription[33]</t>
  </si>
  <si>
    <t>3)	Offers bridge education for school dropouts to complete classes 8th, 10th, and 12th via open schooling.</t>
  </si>
  <si>
    <t>C27-P0025</t>
  </si>
  <si>
    <t>en.schemeContent.detailedDescription[34]</t>
  </si>
  <si>
    <t>4)	Facilitates access to credit, market linkages, and e-commerce platforms for artisans and entrepreneurs.</t>
  </si>
  <si>
    <t>C27-P0026</t>
  </si>
  <si>
    <t>en.schemeContent.detailedDescription[35]</t>
  </si>
  <si>
    <t>5)	Promotes preservation and promotion of traditional arts, crafts, and cultural heritage.</t>
  </si>
  <si>
    <t>C27-P0027</t>
  </si>
  <si>
    <t>en.schemeContent.detailedDescription[36]</t>
  </si>
  <si>
    <t>6)	Ensures inclusive development by converging with other government schemes and leveraging existing infrastructure.</t>
  </si>
  <si>
    <t>C27-P0028</t>
  </si>
  <si>
    <t>1)	Skill training (both traditional and modern)</t>
  </si>
  <si>
    <t>C27-P0029</t>
  </si>
  <si>
    <t>2)	Education support (8th std, 10th std. and 12th std.)</t>
  </si>
  <si>
    <t>C27-P0030</t>
  </si>
  <si>
    <t>3)	Leadership and entrepreneurship support for women</t>
  </si>
  <si>
    <t>C27-P0031</t>
  </si>
  <si>
    <t>4)	Stipend support to trainees</t>
  </si>
  <si>
    <t>C27-P0032</t>
  </si>
  <si>
    <t>C27-P0033</t>
  </si>
  <si>
    <t>C27-P0034</t>
  </si>
  <si>
    <t>C27-P0048</t>
  </si>
  <si>
    <t>What are the components supported under the scheme?
i.	Skilling and Training (Non-traditional and traditional)
ii.	Women Leadership and Entrepreneurship
iii.	Education (through National Institute of Open Schooling)
iv.	Infrastructure Development (through Pradhan Mantri Jan Vikas Karyakram)</t>
  </si>
  <si>
    <t>C27-P0049</t>
  </si>
  <si>
    <t>What are the skills taught under the scheme?
Any of the skills approved by the NSQC and registered under the National Qualification Register (NQR) are eligible to be provided under the scheme.</t>
  </si>
  <si>
    <t>C27-P0050</t>
  </si>
  <si>
    <t>Is there any stipend provided under the scheme?
Yes.
Rs.3000/- per month for beneficiaries undertaking traditional skilling,
Rs. 2000/- per month for beneficiaries undertaking non-traditional (modern) skilling in non residential mode,
Rs. 1000/- per month for beneficiaries undertaking non-traditional (modern) skilling in residential mode (Max 12 months)
Rs. 1000/- for beneficiaries enrolled under education component (Max 6 months),
Rs. 200/- per day for beneficiaries under women leadership and entrepreneurship component</t>
  </si>
  <si>
    <t>C27-P0051</t>
  </si>
  <si>
    <t>Does the scheme involves linking trained and certified candidates in modern skilling with placement opportunities? 
Placement of minimum 75% of beneficiaries trained under modern skilling are to be ensured by the implementing agency post completion of training program, with at least 50% of them in organised as categorized in the National Skills Qualification Framework (NSQF)/ Common Cost Norms (CCN) of Ministry of Skill Development and Entrepreneurship.</t>
  </si>
  <si>
    <t>C27-P0052</t>
  </si>
  <si>
    <t>Who are eligible for benefiting under the scheme?
Six notified communities under the NCM Act, i.e., Buddhists, Christian, Jains, Muslims, Parsis and Sikhs are eligible for applying under the scheme. However, up to 25% of seats may be earmarked under traditional skilling and up to 15% under other components for non minority EWS category.</t>
  </si>
  <si>
    <t>C27-P0053</t>
  </si>
  <si>
    <t>What is the educational qualification required under the scheme?
The educational qualification for Skilling and Training component would be as per National Skills Qualification Framework (NSQF) norms and Education component would be as per National Institute of Open Schooling (NIOS) norms. Candidates with aptitude and leadership qualities will be selected for Women Leadership and Entrepreneurship component.</t>
  </si>
  <si>
    <t>C27-P0054</t>
  </si>
  <si>
    <t>Are there any seats earmarked for women candidates?
33% in Skilling and Training component, 50% in Education component and 100% in Women Leadership and Entrepreneurship component are reserved for women candidates.</t>
  </si>
  <si>
    <t>C27-P0055</t>
  </si>
  <si>
    <t>Are there any seats earmarked for PwD candidates?
3% of the scheme benefits are earmarked for PwD candidates.</t>
  </si>
  <si>
    <t>C27-P0056</t>
  </si>
  <si>
    <t>Is there any income criteria?
Up to 25% of seats may be earmarked under traditional skilling and up to 15% under other components for non minority EWS category.</t>
  </si>
  <si>
    <t>C27-P0057</t>
  </si>
  <si>
    <t>How to register for PM VIKAS scheme?
Visit the SIDH Portal (https://www.skillindiadigital.gov.in/), register as a Learner/Participant (Candidate) or log in if already registered, and complete e-KYC using your personal details</t>
  </si>
  <si>
    <t>C27-P0058</t>
  </si>
  <si>
    <t>How to apply for scheme/courses?
Access your dashboard on SIDH portal to find PM VIKAS scheme and job roles. Use filters such as scheme, mode, and sector to find suitable courses or batches.</t>
  </si>
  <si>
    <t>C27-P0059</t>
  </si>
  <si>
    <t>How to apply for a training batch?
Choose a batch for your preferred job role and submit your interest or application. You may select up to five batches, which will be reviewed by the training partner /training centre.</t>
  </si>
  <si>
    <t>C27-P0060</t>
  </si>
  <si>
    <t>How to finalize enrolment?
After approval from the training partner / training centre, accept the invitation through your portal to confirm enrolment. Track your application status under the 'Applications' section.</t>
  </si>
  <si>
    <t>C28-P0001</t>
  </si>
  <si>
    <t>The Union Cabinet on 14th June 2022 approved an attractive recruitment scheme for Indian youth to serve in the Armed Forces called AGNIPATH and the youth selected under this scheme will be known as Agniveers. AGNIPATH allows patriotic and motivated youth to serve in the Armed Forces for a period of four years. The AGNIPATH scheme has been designed to enable a youthful profile of the Armed Forces.</t>
  </si>
  <si>
    <t>C28-P0002</t>
  </si>
  <si>
    <t>"Agnipath Yojana" is a new HR Management scheme for the Armed Forces. Candidates inducted through this scheme will be called Agniveers. These Agniveers once enrolled into the Indian Air Force, will be governed under the Air Force Act 1950, for a period of four years. Endeavour will be made to enroll candidates as Agniveers from all parts of the nation, utilising contemporary technology (online STAR exam and associated testing methods), specialized rallies, and campus interviews at recognized technical institutes such as Industrial Training Institutes, NSQF, etc. Agniveers would form a distinct rank in the IAF, different from any other existing rank.</t>
  </si>
  <si>
    <t>C28-P0003</t>
  </si>
  <si>
    <t>As part of the enrolment process, each ‘Agniveer’ will be required to formally accept all terms and conditions of the AGNIPATH Scheme. For personnel below the age of 18 years, the enrolment form will need to be signed by the parents/guardians, in accordance with extant provisions.</t>
  </si>
  <si>
    <t>C28-P0004</t>
  </si>
  <si>
    <t>Post the period of four years, all Agniveers will go back to society. However, based on organizational requirements and policies promulgated by the IAF, Agniveers who have exited will be offered an opportunity to apply for enrolment in the IAF in the regular cadre. The skills gained by each Agniveer will be captured in a certificate to form part of his resume. These applications will be considered by a centralized board in a transparent manner and not more than 25% of the strength of the specific batch of original Agniveers will be enrolled in the IAF based on performance during their four-year engagement period as Agniveers.</t>
  </si>
  <si>
    <t>C28-P0005</t>
  </si>
  <si>
    <t>Agniveers will not have any right to be selected for further enrolment into the Armed Forces. Selection will be the exclusive jurisdiction of the Government. The enrolment as airmen into the regular cadre of Indian Air Force except for Medical tradesmen, will be available only to those personnel who have completed their engagement period as Agniveers.</t>
  </si>
  <si>
    <t>C28-P0006</t>
  </si>
  <si>
    <t>Agniveers will be given an attractive customized monthly package along with Risk and Hardship allowances as applicable in the three services. On completion of the engagement period of four years, Agniveers will be paid a one-time ‘SevaNidhi’ package which shall comprise their contribution including accrued interest thereon and a matching contribution from the Government equal to the accumulated amount of their contribution including interest as indicated below:</t>
  </si>
  <si>
    <t>C28-P0007</t>
  </si>
  <si>
    <t>Year</t>
  </si>
  <si>
    <t>C28-P0008</t>
  </si>
  <si>
    <t xml:space="preserve">Customized Package (Monthly) </t>
  </si>
  <si>
    <t>C28-P0009</t>
  </si>
  <si>
    <t>en.schemeContent.benefits[1].children[0].children[1].children[1]</t>
  </si>
  <si>
    <t>[All figures in ₹ (Monthly Contribution)]</t>
  </si>
  <si>
    <t>C28-P0010</t>
  </si>
  <si>
    <t>In-Hand (70%)</t>
  </si>
  <si>
    <t>C28-P0011</t>
  </si>
  <si>
    <t>en.schemeContent.benefits[1].children[0].children[2].children[1]</t>
  </si>
  <si>
    <t xml:space="preserve"> [All figures in ₹ (Monthly Contribution)]</t>
  </si>
  <si>
    <t>C28-P0012</t>
  </si>
  <si>
    <t>en.schemeContent.benefits[1].children[0].children[3].children[0]</t>
  </si>
  <si>
    <t xml:space="preserve">Contribution to Agniveer Corpus Fund (30%) </t>
  </si>
  <si>
    <t>C28-P0013</t>
  </si>
  <si>
    <t>en.schemeContent.benefits[1].children[0].children[3].children[1]</t>
  </si>
  <si>
    <t>C28-P0014</t>
  </si>
  <si>
    <t>en.schemeContent.benefits[1].children[0].children[4].children[0]</t>
  </si>
  <si>
    <t xml:space="preserve">Contribution to corpus fund by GoI </t>
  </si>
  <si>
    <t>C28-P0015</t>
  </si>
  <si>
    <t>en.schemeContent.benefits[1].children[0].children[4].children[1]</t>
  </si>
  <si>
    <t>C28-P0016</t>
  </si>
  <si>
    <t>1st Year</t>
  </si>
  <si>
    <t>C28-P0017</t>
  </si>
  <si>
    <t>30000</t>
  </si>
  <si>
    <t>C28-P0018</t>
  </si>
  <si>
    <t>21000</t>
  </si>
  <si>
    <t>C28-P0019</t>
  </si>
  <si>
    <t>en.schemeContent.benefits[1].children[1].children[3].children[0]</t>
  </si>
  <si>
    <t>9000</t>
  </si>
  <si>
    <t>C28-P0020</t>
  </si>
  <si>
    <t>en.schemeContent.benefits[1].children[1].children[4].children[0]</t>
  </si>
  <si>
    <t>C28-P0021</t>
  </si>
  <si>
    <t>2nd Year</t>
  </si>
  <si>
    <t>C28-P0022</t>
  </si>
  <si>
    <t>33000</t>
  </si>
  <si>
    <t>C28-P0023</t>
  </si>
  <si>
    <t>23100</t>
  </si>
  <si>
    <t>C28-P0024</t>
  </si>
  <si>
    <t>en.schemeContent.benefits[1].children[2].children[3].children[0]</t>
  </si>
  <si>
    <t>9900</t>
  </si>
  <si>
    <t>C28-P0025</t>
  </si>
  <si>
    <t>en.schemeContent.benefits[1].children[2].children[4].children[0]</t>
  </si>
  <si>
    <t>C28-P0026</t>
  </si>
  <si>
    <t>3rd Year</t>
  </si>
  <si>
    <t>C28-P0027</t>
  </si>
  <si>
    <t>36500</t>
  </si>
  <si>
    <t>C28-P0028</t>
  </si>
  <si>
    <t>25580</t>
  </si>
  <si>
    <t>C28-P0029</t>
  </si>
  <si>
    <t>en.schemeContent.benefits[1].children[3].children[3].children[0]</t>
  </si>
  <si>
    <t>10950</t>
  </si>
  <si>
    <t>C28-P0030</t>
  </si>
  <si>
    <t>en.schemeContent.benefits[1].children[3].children[4].children[0]</t>
  </si>
  <si>
    <t>C28-P0031</t>
  </si>
  <si>
    <t>en.schemeContent.benefits[1].children[4].children[0].children[0]</t>
  </si>
  <si>
    <t>4th Year</t>
  </si>
  <si>
    <t>C28-P0032</t>
  </si>
  <si>
    <t>en.schemeContent.benefits[1].children[4].children[1].children[0]</t>
  </si>
  <si>
    <t>40000</t>
  </si>
  <si>
    <t>C28-P0033</t>
  </si>
  <si>
    <t>en.schemeContent.benefits[1].children[4].children[2].children[0]</t>
  </si>
  <si>
    <t>28000</t>
  </si>
  <si>
    <t>C28-P0034</t>
  </si>
  <si>
    <t>en.schemeContent.benefits[1].children[4].children[3].children[0]</t>
  </si>
  <si>
    <t>12000</t>
  </si>
  <si>
    <t>C28-P0035</t>
  </si>
  <si>
    <t>en.schemeContent.benefits[1].children[4].children[4].children[0]</t>
  </si>
  <si>
    <t>C28-P0036</t>
  </si>
  <si>
    <t>en.schemeContent.benefits[1].children[5].children[0].children[0]</t>
  </si>
  <si>
    <t>Total contribution in Agniveer Corpus Fund after four years</t>
  </si>
  <si>
    <t>C28-P0037</t>
  </si>
  <si>
    <t>en.schemeContent.benefits[1].children[5].children[3].children[0]</t>
  </si>
  <si>
    <t>₹ 5.02 Lakh</t>
  </si>
  <si>
    <t>C28-P0038</t>
  </si>
  <si>
    <t>en.schemeContent.benefits[1].children[5].children[4].children[0]</t>
  </si>
  <si>
    <t>C28-P0039</t>
  </si>
  <si>
    <t>en.schemeContent.benefits[1].children[6].children[0].children[0]</t>
  </si>
  <si>
    <t>Exit After 4 Year</t>
  </si>
  <si>
    <t>C28-P0040</t>
  </si>
  <si>
    <t>en.schemeContent.benefits[1].children[6].children[1].children[0]</t>
  </si>
  <si>
    <t>₹11.71 Lakh as SevaNidhi Package</t>
  </si>
  <si>
    <t>C28-P0041</t>
  </si>
  <si>
    <t>en.schemeContent.benefits[1].children[6].children[1].children[1]</t>
  </si>
  <si>
    <t xml:space="preserve"> (Including, interest accumulated on the above amount as per the applicable interest rates would also be paid)</t>
  </si>
  <si>
    <t>C28-P0042</t>
  </si>
  <si>
    <t>Note 01: The ‘Seva Nidhi’ will be exempt from Income Tax.</t>
  </si>
  <si>
    <t>C28-P0043</t>
  </si>
  <si>
    <t>Note 02: There shall be no entitlement to gratuity and pensionary benefits.</t>
  </si>
  <si>
    <t>C28-P0044</t>
  </si>
  <si>
    <t>Note 03: Agniveers will be provided non-contributory Life Insurance Cover of ₹48 lakh for the duration of their engagement period in the Indian Armed Forces.</t>
  </si>
  <si>
    <t>C28-P0045</t>
  </si>
  <si>
    <t>C28-P0046</t>
  </si>
  <si>
    <t>C28-P0047</t>
  </si>
  <si>
    <t>C28-P0048</t>
  </si>
  <si>
    <t>C28-P0049</t>
  </si>
  <si>
    <t>C28-P0050</t>
  </si>
  <si>
    <t>C28-P0051</t>
  </si>
  <si>
    <t>C28-P0052</t>
  </si>
  <si>
    <t>C28-P0053</t>
  </si>
  <si>
    <t>C28-P0068</t>
  </si>
  <si>
    <t>What Is The Service Tenure Granted Under The Scheme?
Under the Agnipath scheme, Agniveers will be employed for four years and rigorous military training will be imparted to them.</t>
  </si>
  <si>
    <t>C28-P0069</t>
  </si>
  <si>
    <t>How Much Salary Will Agniveers Get?
The starting annual package will be Rs 4.76 lakh, which can be increased to 6.92 lakh by the end of service. There will be allowances and non-contributory insurance cover as well.</t>
  </si>
  <si>
    <t>C28-P0070</t>
  </si>
  <si>
    <t>Can Agniveers Opt For Permanent Service In The Armed Forces?
All Agniveers, after four years, will be offered an opportunity to voluntarily apply for enrolment in the permanent cadre. These applications will be considered based on merit and performance during service. As much as 25% of applications will be accepted.</t>
  </si>
  <si>
    <t>C28-P0071</t>
  </si>
  <si>
    <t>How Can I Apply For Agnipath Scheme Recruitment?
The vacancies and joining process will be made available on the armed forces’ respective websites:
joinindianarmy.nic.in
joinindiannavy.gov.in
careerindianairforce.cdac.in</t>
  </si>
  <si>
    <t>C28-P0072</t>
  </si>
  <si>
    <t>What Will The Training Involve?
Training for Agniveers would be on a par with that of the regular armed forces cadres and would involve rigorous military exercises. The training standards would be clearly defined and monitored by the highest authorities in the Armed Forces.</t>
  </si>
  <si>
    <t>C28-P0073</t>
  </si>
  <si>
    <t>Who Will Be Eligible To Apply For Recruitment Under The Agnipath Scheme?
For the 2022 intake, The age range to be eligible for the scheme is 17.5-23 years. For the upcoming batches, the eligible age range will be 17.5 years to 21 years.</t>
  </si>
  <si>
    <t>C28-P0074</t>
  </si>
  <si>
    <t>Can Agniveers opt for role in the permanent cadre?
Based on organisational requirement and policies promulgated by the Armed Forces, all Agniveers after completing their engagement period, will be offered an opportunity to apply for enrolment in the permanent cadre. These applications will be considered by a centralised transparent rigorous screening system which would be based on merit and demonstrated performance during service. Upto 25% of the Aginveers would be selected for enrolment in the permanent Cadre as per the existing Terms and Conditions. Selection of Agniveers for further enrolment into the Armed Forces will be the exclusive jurisdiction of the Government through laid down policies.</t>
  </si>
  <si>
    <t>C28-P0075</t>
  </si>
  <si>
    <t>How will this scheme ensure recruitment from all over the country?
Aims to capitalize on the broad based talent pool of the Nation and select the best for a career in the Armed Forces. The present pattern of selection into the Armed Forces is not being changed with the introduction of the scheme. The only change that is happening is in the Terms and Conditions of the service. As you all are aware, that the three Services are having well established selections centers spread over the country which have enabled them to recruit people from even the remotest part of the Nation. Since these very selection centers would continue to undertake the responsibility of recruiting personnel, we expect that the all India representation would not be affected by the introduction of the Scheme.</t>
  </si>
  <si>
    <t>C29-P0001</t>
  </si>
  <si>
    <t>Indira Gandhi National Disability Scheme was launched on February 2009 by the Ministry of Rural Development headed by the Central Government to support the disabled people in our country. This scheme introduced under National Social Assistance Program provides monthly pension to disabled people for the prosperity of their lives. Any disabled person whose age is more than 18 years, and with disability 80% or more belonging to the poverty line can apply for this scheme.</t>
  </si>
  <si>
    <t>C29-P0002</t>
  </si>
  <si>
    <t>A pension of Rs.300/- per month is provided to Divyangjan between 18-79 years.</t>
  </si>
  <si>
    <t>C29-P0003</t>
  </si>
  <si>
    <t>A pension of Rs.500/- per month will be provided to Divyangjan aged 80 years and above.</t>
  </si>
  <si>
    <t>C29-P0004</t>
  </si>
  <si>
    <t>C29-P0005</t>
  </si>
  <si>
    <t>C29-P0006</t>
  </si>
  <si>
    <t>C29-P0007</t>
  </si>
  <si>
    <t>C29-P0008</t>
  </si>
  <si>
    <t>C29-P0009</t>
  </si>
  <si>
    <t>C29-P0010</t>
  </si>
  <si>
    <t>C29-P0031</t>
  </si>
  <si>
    <t>What Are Different Modes Of Receiving Pension?
One can receive pension amount in Bank Account, Post Office Account, Postal Money Order or in hand cash.</t>
  </si>
  <si>
    <t>C29-P0032</t>
  </si>
  <si>
    <t>Who Will Disburse In Hand Cash?
In hand cash will be disbursed by Pension Disbursement Authority of respective Sub District/Municipal Area. One can select the pension disbursement authority while filling online application form on UMANG.</t>
  </si>
  <si>
    <t>C29-P0033</t>
  </si>
  <si>
    <t>Can I Apply Online?
Yes, One can apply through UMANG. https://web.umang.gov.in/web_new/home</t>
  </si>
  <si>
    <t>C29-P0034</t>
  </si>
  <si>
    <t>Is The Offline Application Process Same For All States?
The offline application process might vary slightly from state to state.</t>
  </si>
  <si>
    <t>C29-P0035</t>
  </si>
  <si>
    <t>How Can I Track My Application Status?
One can track his/her application through https://nsap.nic.in/applicationTrack1.do?methodName=showStatus
 or 
Through UMANG - https://web.umang.gov.in/web_new/home</t>
  </si>
  <si>
    <t>C29-P0036</t>
  </si>
  <si>
    <t>Can I Apply For Multiple Disabilities?
Yes.</t>
  </si>
  <si>
    <t>C30-P0001</t>
  </si>
  <si>
    <t>The Higher Education for Persons with Special Needs (HEPSN) scheme is meant for creating an environment at higher education institutions to enrich the higher education learning experiences of differently-abled persons. Creating awareness about the capabilities of differently-abled persons, construction aimed at improving accessibility, purchase of equipment to enrich learning, etc., are the broad categories of assistance under this scheme.</t>
  </si>
  <si>
    <t>C30-P0002</t>
  </si>
  <si>
    <t>Specific Objectives of HEPSN</t>
  </si>
  <si>
    <t>C30-P0004</t>
  </si>
  <si>
    <t xml:space="preserve">The specific objectives of the HEPSN Scheme are as follows: </t>
  </si>
  <si>
    <t>C30-P0005</t>
  </si>
  <si>
    <t>To provide equal educational opportunities to differently-abled persons in higher education institutions.</t>
  </si>
  <si>
    <t>C30-P0006</t>
  </si>
  <si>
    <t>To create awareness among the functionaries of higher education about the specific educational needs of differently-abled persons.</t>
  </si>
  <si>
    <t>C30-P0007</t>
  </si>
  <si>
    <t>To equip higher education institutions with the facilities to provide access to differently-abled persons.</t>
  </si>
  <si>
    <t>C30-P0008</t>
  </si>
  <si>
    <t>To provide special devices to higher education institutions that will augment the learning experiences of differently-abled persons.</t>
  </si>
  <si>
    <t>C30-P0009</t>
  </si>
  <si>
    <t>en.schemeContent.detailedDescription[3].children[4]</t>
  </si>
  <si>
    <t>To monitor the implementation of all existing and future legislation and policies, which are about higher education of differently-abled persons.</t>
  </si>
  <si>
    <t>C30-P0010</t>
  </si>
  <si>
    <t>Provision of Facilities and Financial assistance</t>
  </si>
  <si>
    <t>C30-P0011</t>
  </si>
  <si>
    <t>The HEPSN scheme has three components. They are enumerated as follows:</t>
  </si>
  <si>
    <t>C30-P0012</t>
  </si>
  <si>
    <t xml:space="preserve">Component 1: Establishment of Enabling Units for differently-abled Persons </t>
  </si>
  <si>
    <t>C30-P0013</t>
  </si>
  <si>
    <t>To develop awareness in the higher education system and also to provide necessary guidance and counseling to differently-abled persons, it is proposed to establish resource units in colleges in the country, which will be called Enabling Units. The functions of this Enabling Unit will be to:</t>
  </si>
  <si>
    <t>C30-P0014</t>
  </si>
  <si>
    <t>1. Facilitate admission of differently-abled persons in various courses;</t>
  </si>
  <si>
    <t>C30-P0015</t>
  </si>
  <si>
    <t>2. Provide guidance and counseling to differently-abled individuals;</t>
  </si>
  <si>
    <t>C30-P0016</t>
  </si>
  <si>
    <t>3. Create awareness about the needs of differently-abled persons, and other general issues concerning their learning; and</t>
  </si>
  <si>
    <t>C30-P0017</t>
  </si>
  <si>
    <t>4. Assist differently-abled graduates to gain successful employment in the public as well as private sectors.</t>
  </si>
  <si>
    <t>C30-P0018</t>
  </si>
  <si>
    <t>The special unit will be coordinated by a faculty member to be nominated by the head of the institution. He/she will work as an honorary coordinator for which a token honorarium of Rs. 4000/- per month will be paid. The unit will also have a budgetary provision of ₹ 50,000/per year towards general administration, stationery, and contingencies, and to avail the services of experts and personnel for organizing awareness programs, counseling sessions, etc., for efficient and independent functioning in order to achieve its objectives.</t>
  </si>
  <si>
    <t>C30-P0019</t>
  </si>
  <si>
    <t>Component 2: Providing Access to Differently-abled Persons</t>
  </si>
  <si>
    <t>C30-P0020</t>
  </si>
  <si>
    <t>en.schemeContent.benefits[12].children[0]</t>
  </si>
  <si>
    <t>The UGC will make a one-time grant of up to ₹ 5,00,000 per college during the Plan period so that the colleges can address the accessibility issues pertaining to disability and make special arrangements in the environment for their mobility and independent functioning.</t>
  </si>
  <si>
    <t>C30-P0021</t>
  </si>
  <si>
    <t>en.schemeContent.benefits[12].children[1]</t>
  </si>
  <si>
    <t>The colleges address accessibility-related issues as per the stipulations of the Persons with Disabilities Act 1995.</t>
  </si>
  <si>
    <t>C30-P0022</t>
  </si>
  <si>
    <t>en.schemeContent.benefits[12].children[2]</t>
  </si>
  <si>
    <t>The colleges ensure that all existing structures as well as future construction projects in their campuses are made disabled-friendly.</t>
  </si>
  <si>
    <t>C30-P0023</t>
  </si>
  <si>
    <t>en.schemeContent.benefits[12].children[3]</t>
  </si>
  <si>
    <t>The institutes create special facilities such as ramps, rails, and special toilets, and make other necessary changes to suit the special needs of differently-abled persons.</t>
  </si>
  <si>
    <t>C30-P0024</t>
  </si>
  <si>
    <t>en.schemeContent.benefits[14].children[0]</t>
  </si>
  <si>
    <t xml:space="preserve">Component 3: Providing Special Equipment to Augment Educational Services for Differently-abled Persons </t>
  </si>
  <si>
    <t>C30-P0025</t>
  </si>
  <si>
    <t>Differently-abled persons require special aids and appliances for their daily functioning. These aids are available through various schemes of the Ministry of Social Justice and Empowerment. In addition to the procurement of assistive devices through these schemes, higher education institutions may also need special learning and assessment devices to help differently-abled students enrolled in higher education. In addition, visually challenged students need Readers. Availability of devices such as computers with screen reading software, low-vision aids, scanners, mobility devices, etc., in the institutes, would enrich the educational experiences of differently-abled persons. Therefore, colleges are encouraged to procure such devices and provide the facility of Readers for visually challenged students. The UGC will provide an ad hoc one-time grant of up to ₹1,50,000  per college during the Twelfth Plan period</t>
  </si>
  <si>
    <t>C30-P0026</t>
  </si>
  <si>
    <t>C30-P0027</t>
  </si>
  <si>
    <t>C30-P0028</t>
  </si>
  <si>
    <t>C30-P0045</t>
  </si>
  <si>
    <t>What is Higher Education for Persons with Special Needs (HEPSN) scheme?
HEPSN stands for Higher Education for Persons with Special Needs. It is a scheme designed to provide inclusive higher education opportunities for individuals with disabilities.</t>
  </si>
  <si>
    <t>C30-P0046</t>
  </si>
  <si>
    <t>Who is eligible for HEPSN?
The eligibility criteria for Higher Education For Persons With Special Needs (HEPSN) may vary depending on the country or region. Generally, individuals with recognized disabilities, such as physical disabilities, visual impairments, hearing impairments, learning disabilities, or intellectual disabilities, are eligible to apply for the scheme.</t>
  </si>
  <si>
    <t>C30-P0047</t>
  </si>
  <si>
    <t>How can I apply for HEPSN?
The application process for HEPSN depends on the specific guidelines and procedures established by the implementing authority. Typically, you would need to fill out an application form and submit it along with the required documents. It is advisable to check the official government websites, education boards, or relevant authorities in your specific country or region for detailed application instructions.</t>
  </si>
  <si>
    <t>C30-P0048</t>
  </si>
  <si>
    <t>What support services are provided under HEPSN?
HEPSN offers various support services, which may include accessible infrastructure, assistive technologies, academic accommodations, counseling and guidance, mentoring, and career support. These services aim to facilitate the learning and participation of students with disabilities in higher education.</t>
  </si>
  <si>
    <t>C30-P0049</t>
  </si>
  <si>
    <t>Are scholarships available under HEPSN?
In some cases, HEPSN schemes may provide scholarships or financial assistance to students with disabilities to help alleviate the financial burden of higher education. The availability and specific details of scholarships can vary, and it is advisable to check the guidelines and provisions of the HEPSN scheme in your country or region.</t>
  </si>
  <si>
    <t>C30-P0050</t>
  </si>
  <si>
    <t>Are there any reserved seats or quotas for students with disabilities under HEPSN?
Some HEPSN schemes may allocate reserved seats or quotas for students with disabilities in educational institutions. This ensures a certain percentage of seats are specifically reserved for individuals with disabilities to promote their access to higher education.</t>
  </si>
  <si>
    <t>C30-P0051</t>
  </si>
  <si>
    <t>Can I receive assistance in obtaining disability certificates or documentation?
Enabling units or support centers established under the HEPSN scheme often assist students with disabilities in obtaining the necessary disability certificates or documentation required for their application. They can guide you through the process and help with the required paperwork.</t>
  </si>
  <si>
    <t>C30-P0052</t>
  </si>
  <si>
    <t>Are there any specific guidelines for inclusive curriculum and teaching practices under HEPSN?
HEPSN promotes inclusive curriculum and teaching practices to cater to the diverse learning needs of students with disabilities. However, the specific guidelines and recommendations may vary depending on the country or region. It is advisable to consult the implementing authority or refer to official resources for information on inclusive curriculum and teaching practices.</t>
  </si>
  <si>
    <t>C31-P0001</t>
  </si>
  <si>
    <t>The “Scheme for Financial Assistance for Veteran Artists”, earlier known as “Scheme for Pension and Medical Aid to Artists” was launched by the Ministry of Culture. The Scheme is meant for improving the financial and socio-economic status of the old artists and scholars who have contributed significantly in their specialized fields of arts, letters, etc. in their active age or are still contributing in the field of arts, letters, etc. but due to old age, they have to lead a miserable life or are in penury condition.</t>
  </si>
  <si>
    <t>C31-P0002</t>
  </si>
  <si>
    <t>Under the scheme, financial assistance from the Government may be given in the form of a monthly allowance. Such allowance given to the artists recommended under the center-state Quota will be shared by the Centre and State Government/UT Administration concerned.</t>
  </si>
  <si>
    <t>C31-P0003</t>
  </si>
  <si>
    <t>The following two types of cases/requests will be covered under the Scheme:</t>
  </si>
  <si>
    <t>C31-P0004</t>
  </si>
  <si>
    <t>Existing beneficiaries getting monthly artistes pension under the 1961 Scheme of ‘Financial Assistance to Persons Distinguished in Letters, Arts and such other walks of life who may be in indigent circumstances’ as amended from time to time; and</t>
  </si>
  <si>
    <t>C31-P0005</t>
  </si>
  <si>
    <t>en.schemeContent.detailedDescription[0].children[3].children[1]</t>
  </si>
  <si>
    <t>Fresh cases of artists, writers, etc. who are eligible for a grant/monthly financial assistance under the extant guidelines of the Scheme.</t>
  </si>
  <si>
    <t>C31-P0006</t>
  </si>
  <si>
    <t>Administration of the Scheme:</t>
  </si>
  <si>
    <t>C31-P0007</t>
  </si>
  <si>
    <t>The Scheme will be implemented by the Ministry with the support of all Zonal Cultural Centres and SCZCC, Nagpur will be the main coordinator. The Ministry reserves the right to modify the provisions of the Scheme at any time. In order to implement the Scheme in a better perspective, the Scheme Guidelines will be circulated widely through State Governments/UT Administrations along with sharing the data of beneficiaries of the Central Government with them.</t>
  </si>
  <si>
    <t>C31-P0008</t>
  </si>
  <si>
    <t>Under the scheme, a total allowance of ₹6000/- per month will be given to an eligible beneficiary.</t>
  </si>
  <si>
    <t>C31-P0009</t>
  </si>
  <si>
    <t>In case of the death of a beneficiary getting an artist pension, the financial assistance may be transferred, at the discretion of the Central Government, in the name of the spouse of the beneficiary till life.</t>
  </si>
  <si>
    <t>C31-P0010</t>
  </si>
  <si>
    <t>Note 01: The monthly allowance contributed by the State Government/UT Administration concerned shall be at least ₹500/- per month per beneficiary.</t>
  </si>
  <si>
    <t>C31-P0011</t>
  </si>
  <si>
    <t>Note 02: The monthly allowance contributed by the Central Government shall not exceed ₹5500/- per month per beneficiary.</t>
  </si>
  <si>
    <t>C31-P0012</t>
  </si>
  <si>
    <t>Note 03: Out of ₹6000/-, the monthly contribution of allowance of the Central Government will be less than the extent of the monthly contribution of allowance being provided to the applicant by the State Government/UT Administration.</t>
  </si>
  <si>
    <t>C31-P0013</t>
  </si>
  <si>
    <t>Note 04: If State Government is already providing ₹1000/- per month pension to an artiste recommended to get financial assistance from the Central Government under this Scheme, in that case, the contribution of the Central Government would be only ₹5000/- per month.</t>
  </si>
  <si>
    <t>C31-P0014</t>
  </si>
  <si>
    <t>Note 05: In respect of State Govt./UT Administration where there is no provision for an Artist's Pension, ₹6000/- per month will be paid as an Artist Pension by the Central Government.</t>
  </si>
  <si>
    <t>C31-P0015</t>
  </si>
  <si>
    <t>Note 06: In case of the death of a beneficiary, a request application should be received in the Ministry of Culture from the spouse along with the relevant documents within the period of one year from the date of death of the beneficiary artist. After the period of one year, the claim for the transfer of pension in the name of the spouse will stand forfeited and no request in this regard shall be entertained.</t>
  </si>
  <si>
    <t>C31-P0016</t>
  </si>
  <si>
    <t>C31-P0017</t>
  </si>
  <si>
    <t>C31-P0018</t>
  </si>
  <si>
    <t>C31-P0019</t>
  </si>
  <si>
    <t>C31-P0020</t>
  </si>
  <si>
    <t>C31-P0021</t>
  </si>
  <si>
    <t>documents.en.documents_required[0].children[0].children[2]</t>
  </si>
  <si>
    <t>documents.en.documents_required[0].children[0].children[3]</t>
  </si>
  <si>
    <t>documents.en.documents_required[0].children[0].children[4]</t>
  </si>
  <si>
    <t>documents.en.documents_required[0].children[0].children[5]</t>
  </si>
  <si>
    <t>documents.en.documents_required[0].children[0].children[6]</t>
  </si>
  <si>
    <t>documents.en.documents_required[0].children[0].children[7]</t>
  </si>
  <si>
    <t>documents.en.documents_required[2].children[0].children[0]</t>
  </si>
  <si>
    <t>documents.en.documents_required[2].children[0].children[1]</t>
  </si>
  <si>
    <t>documents.en.documents_required[2].children[0].children[2]</t>
  </si>
  <si>
    <t>documents.en.documents_required[2].children[0].children[3]</t>
  </si>
  <si>
    <t>documents.en.documents_required[2].children[0].children[4]</t>
  </si>
  <si>
    <t>documents.en.documents_required[2].children[0].children[5]</t>
  </si>
  <si>
    <t>documents.en.documents_required[2].children[0].children[6]</t>
  </si>
  <si>
    <t>documents.en.documents_required[2].children[0].children[7]</t>
  </si>
  <si>
    <t>documents.en.documents_required[2].children[0].children[8]</t>
  </si>
  <si>
    <t>C31-P0062</t>
  </si>
  <si>
    <t>What is the “Scheme for Financial Assistance for Veteran Artists”?
The Scheme is meant for improving the financial and socio-economic status of the old artists and scholars who have contributed significantly in their specialized fields of arts, letters, etc. in their active age or are still contributing in the field of arts, letters, etc. but due to old age, they have to lead a miserable life or are in penury condition.</t>
  </si>
  <si>
    <t>C31-P0063</t>
  </si>
  <si>
    <t>Is it a Centrally Sponsored Scheme?
Yes, it is a Centrally Sponsored Scheme.</t>
  </si>
  <si>
    <t>C31-P0064</t>
  </si>
  <si>
    <t>Which ministry has launched this scheme?
Ministry of Culture, Government of India</t>
  </si>
  <si>
    <t>C31-P0065</t>
  </si>
  <si>
    <t>Who is eligible to get the benefits under the scheme?
A person or traditional scholars who have made significant contributions in the field of arts, letters, etc. are eligible to apply under the scheme.</t>
  </si>
  <si>
    <t>C31-P0066</t>
  </si>
  <si>
    <t>What is the income criterion to apply under the scheme?
The personal income of the applicant (including the income of the spouse) must not exceed ₹48,000/- per annum.</t>
  </si>
  <si>
    <t>C31-P0067</t>
  </si>
  <si>
    <t>Will the artist's pension assistance be included in his/her annual income? 
No, artist’s pension assistance will be excluded which is getting from the Government.</t>
  </si>
  <si>
    <t>C31-P0068</t>
  </si>
  <si>
    <t>What should be the age criterion to apply under the scheme?
The applicant should not be less than 60 (sixty) years of age (This does not apply in the case of a spouse).</t>
  </si>
  <si>
    <t>C31-P0069</t>
  </si>
  <si>
    <t>Will an applicant be eligible to apply if he/she is getting financial assistance under other Schemes of the Ministry?
No, the applicant artist should not be getting financial assistance under other Schemes of the Ministry viz. Repertory Grant etc.</t>
  </si>
  <si>
    <t>C31-P0070</t>
  </si>
  <si>
    <t>What is the benefit of the scheme?
Under the scheme, a total allowance of ₹6000/- per month will be given to an eligible beneficiary.</t>
  </si>
  <si>
    <t>C31-P0071</t>
  </si>
  <si>
    <t>Who will get the pension in case of the death of a beneficiary?
In case of the death of a beneficiary getting an artist pension, the financial assistance may be transferred, at the discretion of the Central Government, in the name of the spouse of the beneficiary till life.</t>
  </si>
  <si>
    <t>C31-P0072</t>
  </si>
  <si>
    <t>How much minimum monthly allowance will be contributed by the State Government/UT Administration concerned?
The monthly allowance contributed by the State Government/UT Administration concerned shall be at least ₹500/- per month per beneficiary. In respect of State Govt./UT Administration where there is no provision for an Artist's Pension, ₹6000/- per month will be paid as an Artist Pension by the Central Government.</t>
  </si>
  <si>
    <t>C31-P0073</t>
  </si>
  <si>
    <t>How can I apply under the scheme?
The application may be made online by using the Registration/login Page of "Culture Scheme Monitoring System (CSMS)" on the website of the Ministry of Culture under the heading of "MOC Schemes Application".</t>
  </si>
  <si>
    <t>C32-P0001</t>
  </si>
  <si>
    <t>The scheme "Free Education for Sports Medal Winners / Participants of National/ International Events", introduced by the University Grants Commission, Ministry of Education, aims to assist medal-winning sportspersons pursuing higher education and motivate them to achieve excellence in sports and academics. Applicable to national medalists and international participants, it ensures their holistic development.</t>
  </si>
  <si>
    <t>C32-P0002</t>
  </si>
  <si>
    <t>Medals at Olympics, World Championship (more than 20 countries)</t>
  </si>
  <si>
    <t>C32-P0003</t>
  </si>
  <si>
    <t>Tuition Fee and Other Funds: Bachelor's degree: Actual; PG: Actual; Diploma: Actual; PG Degree: Actual; M. Phil: ₹ 7500/- per month + Actual; Ph.D.: As per with JRF scale (UGC); MBA or</t>
  </si>
  <si>
    <t>C32-P0004</t>
  </si>
  <si>
    <t>other professional courses (*): ₹ 7500/- per month + Actual.</t>
  </si>
  <si>
    <t>C32-P0005</t>
  </si>
  <si>
    <t>Hostel Facilities (Boarding and Lodging): Actual</t>
  </si>
  <si>
    <t>C32-P0006</t>
  </si>
  <si>
    <t>Allowances for special courses abroad: As per Govt of India’s norms</t>
  </si>
  <si>
    <t>C32-P0007</t>
  </si>
  <si>
    <t>Kit: ₹ 15000 per annum</t>
  </si>
  <si>
    <t>C32-P0008</t>
  </si>
  <si>
    <t>Participations at Olympics, World Championship (more than 20 countries); Medal at Common Wealth, Asian, Afro-Asian Games</t>
  </si>
  <si>
    <t>C32-P0009</t>
  </si>
  <si>
    <t>C32-P0010</t>
  </si>
  <si>
    <t>C32-P0011</t>
  </si>
  <si>
    <t>C32-P0012</t>
  </si>
  <si>
    <t>C32-P0013</t>
  </si>
  <si>
    <t>Kit: ₹15000 per annum</t>
  </si>
  <si>
    <t>C32-P0014</t>
  </si>
  <si>
    <t>Participation at World Championship (less than 20 countries), CommonWealth, Asian, and Afro-Asian, Games; Medal at Asian Championship (excluding Asian games)</t>
  </si>
  <si>
    <t>C32-P0015</t>
  </si>
  <si>
    <t>Tuition Fee and Other Funds: Bachelor's degree: Actual; PG: Actual; Diploma: Actual; PG Degree: Actual; M. Phil: ₹7500/- per month + Actual; Ph.D.: As per with JRF scale (UGC); MBA or</t>
  </si>
  <si>
    <t>C32-P0016</t>
  </si>
  <si>
    <t>en.schemeContent.benefits[16]</t>
  </si>
  <si>
    <t>C32-P0017</t>
  </si>
  <si>
    <t>en.schemeContent.benefits[17]</t>
  </si>
  <si>
    <t>C32-P0018</t>
  </si>
  <si>
    <t>en.schemeContent.benefits[18]</t>
  </si>
  <si>
    <t>C32-P0019</t>
  </si>
  <si>
    <t>Kit: ₹ 10000 per annum</t>
  </si>
  <si>
    <t>C32-P0020</t>
  </si>
  <si>
    <t>Participation at Asian Championship, World university games; Medal at SAF Games</t>
  </si>
  <si>
    <t>C32-P0021</t>
  </si>
  <si>
    <t>en.schemeContent.benefits[22]</t>
  </si>
  <si>
    <t>Tuition Fee and Other Funds: Bachelor's degree: Actual; PG: Actual; Diploma: Actual; PG Degree: Actual; M. Phil:₹7500/- per month + Actual; Ph.D.: As per with JRF scale (UGC); MBA or</t>
  </si>
  <si>
    <t>C32-P0022</t>
  </si>
  <si>
    <t>en.schemeContent.benefits[23]</t>
  </si>
  <si>
    <t>C32-P0023</t>
  </si>
  <si>
    <t>en.schemeContent.benefits[24]</t>
  </si>
  <si>
    <t>C32-P0024</t>
  </si>
  <si>
    <t>en.schemeContent.benefits[25]</t>
  </si>
  <si>
    <t>C32-P0025</t>
  </si>
  <si>
    <t>en.schemeContent.benefits[26]</t>
  </si>
  <si>
    <t>Kit: ₹7500 per annum</t>
  </si>
  <si>
    <t>C32-P0026</t>
  </si>
  <si>
    <t>Participation at SAF Games; Medal at National level Competitions</t>
  </si>
  <si>
    <t>en.schemeContent.benefits[28]</t>
  </si>
  <si>
    <t>C32-P0027</t>
  </si>
  <si>
    <t>en.schemeContent.benefits[29]</t>
  </si>
  <si>
    <t>Tuition Fee and Other Funds: Bachelor's degree: 75% of Actual; PG: 75% of Actual; Diploma: 75% of Actual; PG Degree: 75% of Actual; M. Phil: ₹ 5000/- per month + Actual; Ph.D.: Rs. 7500/- per month + Actual; MBA or other professional courses (*): ₹. 5000/- per month + Actual.</t>
  </si>
  <si>
    <t>C32-P0028</t>
  </si>
  <si>
    <t>en.schemeContent.benefits[30]</t>
  </si>
  <si>
    <t>C32-P0029</t>
  </si>
  <si>
    <t>en.schemeContent.benefits[31]</t>
  </si>
  <si>
    <t>C32-P0030</t>
  </si>
  <si>
    <t>en.schemeContent.benefits[32]</t>
  </si>
  <si>
    <t>Kit: ₹ 6000 per annum</t>
  </si>
  <si>
    <t>C32-P0031</t>
  </si>
  <si>
    <t>en.schemeContent.benefits[34]</t>
  </si>
  <si>
    <t>(i) The pattern of assistance will be as per the chart mentioned above depending upon the level of performance of the concerned sportsperson.</t>
  </si>
  <si>
    <t>C32-P0032</t>
  </si>
  <si>
    <t>en.schemeContent.benefits[35]</t>
  </si>
  <si>
    <t>(ii) The financial assistance depending upon the eligibility will be reimbursed by the UGC to the university concerned. The university will be responsible for submitting all relevant documents as per the guidelines and the proformas of the scheme.</t>
  </si>
  <si>
    <t>C32-P0033</t>
  </si>
  <si>
    <t>en.schemeContent.benefits[36]</t>
  </si>
  <si>
    <t>(iii) For the loss of the classes of the concerned sports persons because of their engagement in sporting activity, the university concerned will make special efforts in terms of completion of syllabus and attendance.</t>
  </si>
  <si>
    <t>C32-P0034</t>
  </si>
  <si>
    <t>C32-P0035</t>
  </si>
  <si>
    <t>C32-P0036</t>
  </si>
  <si>
    <t>C32-P0037</t>
  </si>
  <si>
    <t>C32-P0038</t>
  </si>
  <si>
    <t>C32-P0039</t>
  </si>
  <si>
    <t>C32-P0040</t>
  </si>
  <si>
    <t>C32-P0041</t>
  </si>
  <si>
    <t>C32-P0042</t>
  </si>
  <si>
    <t>C32-P0043</t>
  </si>
  <si>
    <t>C32-P0044</t>
  </si>
  <si>
    <t>C32-P0045</t>
  </si>
  <si>
    <t>C32-P0046</t>
  </si>
  <si>
    <t>C32-P0061</t>
  </si>
  <si>
    <t>Is There A List Of Documents That Are To Be Submitted By The Candidate Through The University/College?
Yes, the list of documents is given below - 
1. The candidate is required to submit an application in the prescribed format for availing of the scholarship.
2. A Certificate of the participation/medal winner as per the eligibility mentioned above as proof (Attested By Registrar/Principal).</t>
  </si>
  <si>
    <t>C32-P0062</t>
  </si>
  <si>
    <t>Is There A List Of Documents That Are To Be Submitted By The Concerned University/College/Institution To The UGC?
Yes, every year University/Institution will submit a complete statement of the following:
1. Statement giving the names of the students selected for the scholarship along with their receipt of the scholarship amount.
2. Progress Report to be submitted after the completion of the first year in terms of sports performance and academics. 
3. Utilization certificate for the previous grant released.
4. A certificate giving justification for the continuance of the scholarship issued by the Director/Head of the Department duly forwarded by the Registrar/Principal.</t>
  </si>
  <si>
    <t>C32-P0063</t>
  </si>
  <si>
    <t>Can The Applications Also Be Submitted Offline?
No, the candidate is required to submit an application through an online portal i.e. http://www.ugc.ac.in/page/XII-Plan_x0002_Guidelines.aspx for availing of the scholarship.</t>
  </si>
  <si>
    <t>C32-P0064</t>
  </si>
  <si>
    <t>How Will The Amount Of Financial Assistance Be Disbursed?
The amount will be reimbursed by UGC through DBT mode.</t>
  </si>
  <si>
    <t>C32-P0065</t>
  </si>
  <si>
    <t>Can Incomplete Applications Be Considered?
No, incomplete applications will not be considered.</t>
  </si>
  <si>
    <t>C32-P0066</t>
  </si>
  <si>
    <t>What Is The Eligibility Criteria For This Scheme?
(i) The Scholarship will be provided to the Medal winners of National games and participants in recognized international sporting events recognized by the World University Service, International Olympic Committee, and Olympic Committee of Asia (OCA) who have taken admitted to the Universities/Colleges/Institutions as indicated below: 
Universities/Institutions/Colleges included under sections 2(f) and 12(b) of the UGC Act, 1956. Deemed to be Universities under section 3 of the UGC Act, 1956 which are eligible to receive grants in aid from UGC. Universities/Institutions/Colleges funded by Central/ State Govt. Institutes of National Importance. 
(ii) In the subsequent years this scholarship shall depend on their subsequent sports performance.</t>
  </si>
  <si>
    <t>C32-P0067</t>
  </si>
  <si>
    <t>Is There An Age Criterion For This Scheme?
No, There is no Age Criterion For This Scheme.</t>
  </si>
  <si>
    <t>C32-P0068</t>
  </si>
  <si>
    <t>What Are The Objectives Of This Scheme?
1.   The objective of the scheme is to provide financial assistance to the medal winners\ elite sports persons who are studying in Universities/Colleges leading to all the full-time regular courses including PG Diploma and other professional courses. 
2.   To motivate the sports persons to achieve higher levels of performance by assisting them financially in relation to education and sports development. 
The scheme would be applicable to sportspersons who are medal winners in national games or participants in recognized international sporting events.</t>
  </si>
  <si>
    <t>C32-P0069</t>
  </si>
  <si>
    <t>Can The Student Who Is Awarded The Above Scheme Be Debarred From Accepting Any Other Scholarships?
No, the student who is awarded the above scheme will not be debarred from accepting any other scholarships from any other source/funding agency.</t>
  </si>
  <si>
    <t>C32-P0070</t>
  </si>
  <si>
    <t>What Are The Consequences If The Student Decides To Discontinue The Studies Without Prior Approval Of The UGC?
Any student who discontinues the studies without prior approval of the UGC will be asked to refund the amount disbursed as a fellowship.</t>
  </si>
  <si>
    <t>C32-P0071</t>
  </si>
  <si>
    <t>In What Case Can The UGC Terminate The Scholarship?
UGC may terminate the scholarship of any student in the case of - 
a) Misconduct of the awardees, if any, reported by the University/College/Institution.
b) Unsatisfactory progress report i.e. if the candidate frequently fails in his/her examination will not be given further assistance as mentioned above.
c) The scholarship may be terminated by the Commission, on the recommendation of the university at any time during the tenure and the decision of the commission will be final and binding.</t>
  </si>
  <si>
    <t>C33-P0001</t>
  </si>
  <si>
    <t>The "GST Exemption Certificate Scheme" has been introduced by the Department of Heavy Industries, Ministry of Heavy Industries for issuing certificates to Persons with Disabilities (PwDs) having a disability percentage equal to or greater than 40%. The scheme provides GSC Concession to orthopedically disabled persons on purchase of a car.</t>
  </si>
  <si>
    <t>C33-P0002</t>
  </si>
  <si>
    <t>A concession of 10% on GST can be availed through this certificate and zero cess would be applicable. A person availing of this certificate will have to pay 18% GST &amp; no cess instead of 28% GST &amp; applicable cess on the purchase of a car.</t>
  </si>
  <si>
    <t>C33-P0003</t>
  </si>
  <si>
    <t>The certificate is issued within a month of receipt of the application complete in all respects.</t>
  </si>
  <si>
    <t>C33-P0004</t>
  </si>
  <si>
    <t>The certificate is valid for a period of 6 months from the date of issuance.</t>
  </si>
  <si>
    <t>C33-P0005</t>
  </si>
  <si>
    <t>C33-P0006</t>
  </si>
  <si>
    <t>C33-P0007</t>
  </si>
  <si>
    <t>C33-P0035</t>
  </si>
  <si>
    <t>What is the process for updating vehicle details after purchase?
After purchasing a vehicle, applicants can update their vehicle details on the portal by providing the vehicle number and date of purchase.</t>
  </si>
  <si>
    <t>C33-P0036</t>
  </si>
  <si>
    <t>Is the scheme available for both new and used vehicles?
The guidelines specify the criteria for the eligible vehicles but do not distinguish between new or used cars.</t>
  </si>
  <si>
    <t>C33-P0037</t>
  </si>
  <si>
    <t>Can the online application be saved as a draft and completed later?
Yes, the online application can be saved as a draft in the User Dashboard and completed at a later time.</t>
  </si>
  <si>
    <t>C33-P0038</t>
  </si>
  <si>
    <t>What happens if an applicant misses the three-month window for purchasing the vehicle?
Missing the three-month window for purchasing the vehicle means the applicant won't be able to avail the concession, and they may need to reapply.</t>
  </si>
  <si>
    <t>C33-P0039</t>
  </si>
  <si>
    <t>Can a person apply for this scheme if they don't drive the vehicle themselves?
Yes, the scheme is open to both individuals who drive the vehicle themselves and those who don't.</t>
  </si>
  <si>
    <t>C33-P0040</t>
  </si>
  <si>
    <t>How is the 10% GST concession calculated for vehicle purchases?
The 10% GST concession is calculated as a reduction of the standard GST rate, which is 28%, to 18% for eligible applicants.</t>
  </si>
  <si>
    <t>C33-P0041</t>
  </si>
  <si>
    <t>What should applicants do if they face technical issues during the online application process?
If technical issues occur during the online application, it's recommended to contact the provided support or helpdesk for assistance.</t>
  </si>
  <si>
    <t>C33-P0042</t>
  </si>
  <si>
    <t>Is there any specific format or template for the self-declaration statement, or can applicants draft it themselves?
It's advisable to use the prescribed format for the self-declaration statement to ensure it meets the scheme's requirements.</t>
  </si>
  <si>
    <t>C33-P0043</t>
  </si>
  <si>
    <t>What is the significance of the OTP in the registration process?
The OTP (One-Time Password) is used for verification and ensures that the applicant's contact information is valid.</t>
  </si>
  <si>
    <t>C33-P0044</t>
  </si>
  <si>
    <t>What is the process if an applicant's disability certificate is from a district government?
If the disability certificate is from a district government, it should bear the proper signature and seal of the issuing authority, and the name and registration number should be mentioned.</t>
  </si>
  <si>
    <t>C33-P0045</t>
  </si>
  <si>
    <t>How long does it usually take for the certificate to be issued after submitting an application?
The certificate is typically issued within a month from the date of receiving a complete application.</t>
  </si>
  <si>
    <t>C33-P0046</t>
  </si>
  <si>
    <t>Can you provide more details about the required specifications for creating a password during online registration?
The password must include at least one lowercase letter, one uppercase letter, one number, one special character, and be a minimum of 8 characters in length.</t>
  </si>
  <si>
    <t>C33-P0047</t>
  </si>
  <si>
    <t>How is the engine capacity of a vehicle determined for this scheme?
Engine capacity is based on the type of fuel (petrol, LPG, CNG, or diesel) and must meet the specified limits to qualify for the concession.</t>
  </si>
  <si>
    <t>C33-P0048</t>
  </si>
  <si>
    <t>What are the consequences if someone disposes of the vehicle within five years after availing the GST concession?
If the vehicle is disposed of within five years, the applicant may be subject to penalties or other legal consequences.</t>
  </si>
  <si>
    <t>C34-P0001</t>
  </si>
  <si>
    <t>The National Energy Conservation Award under the Ministry of Power, Government of India, recognizes organizations for their outstanding efforts in energy conservation and energy efficiency.A total of 65 awards are given under different categories, including Tier-I and Tier-II. The award ceremony is held every year on 14th December on the occasion of National Energy Conservation Day.</t>
  </si>
  <si>
    <t>C34-P0002</t>
  </si>
  <si>
    <t>C34-P0003</t>
  </si>
  <si>
    <t>a) Scope: The scope of the Awards is to cover sectors(Industries, Building, Transport, Institutions, Equipments) which have a share of around 56% of India’s total Electricity consumption(Energy Statistics 2022, MOSPI).</t>
  </si>
  <si>
    <t>C34-P0004</t>
  </si>
  <si>
    <t>b) Purpose: The purpose of the awardis to recognize/reward organizations for the exemplary efforts on Energy Conservation and Energy Efficiency. It can be categorized into National Award(Tier-I/Tier-II) category.</t>
  </si>
  <si>
    <t>C34-P0005</t>
  </si>
  <si>
    <t>Certificate &amp; Trophy</t>
  </si>
  <si>
    <t>C34-P0006</t>
  </si>
  <si>
    <t>C34-P0007</t>
  </si>
  <si>
    <t>C34-P0008</t>
  </si>
  <si>
    <t>C34-P0009</t>
  </si>
  <si>
    <t>C34-P0027</t>
  </si>
  <si>
    <t>What is the National Energy Conservation Award?
The National Energy Conservation Award recognizes organizations for their outstanding efforts in energy conservation and energy efficiency.</t>
  </si>
  <si>
    <t>C34-P0028</t>
  </si>
  <si>
    <t>Which ministry is responsible for this award?
The award is administered by the Ministry of Power, Government of India through the Bureau of Energy Efficiency (BEE).</t>
  </si>
  <si>
    <t>C34-P0029</t>
  </si>
  <si>
    <t>Which sectors are covered under this award?
The award covers industries, buildings, transport, institutions, and equipment sectors contributing significantly to electricity consumption.</t>
  </si>
  <si>
    <t>C34-P0030</t>
  </si>
  <si>
    <t>Who is eligible to apply for the award?
All organizations can apply free of cost, provided their sector is eligible for the award in that particular year.</t>
  </si>
  <si>
    <t>C34-P0031</t>
  </si>
  <si>
    <t>Are there any organizations that are not eligible to apply?
Yes, organizations with legal issues, blacklisted entities, or defaulters under government schemes are not eligible.</t>
  </si>
  <si>
    <t>C34-P0032</t>
  </si>
  <si>
    <t>Can defaulters under the PAT scheme apply?
No, repeated defaulters under the Perform Achieve and Trade (PAT) scheme are not allowed to apply.</t>
  </si>
  <si>
    <t>C34-P0033</t>
  </si>
  <si>
    <t>How many awards are given under this scheme?
A total of 65 awards are given across various sectors and categories.</t>
  </si>
  <si>
    <t>C34-P0034</t>
  </si>
  <si>
    <t>Who can nominate for the award?
Any eligible organization can nominate itself for the award.</t>
  </si>
  <si>
    <t>C34-P0035</t>
  </si>
  <si>
    <t>How is the final selection made?
The Selection Committee evaluates the data and recommends candidates to the Award Committee for final approval.</t>
  </si>
  <si>
    <t>C34-P0036</t>
  </si>
  <si>
    <t>Who approves the final list of awardees?
The Competent Authority/Award Committee chaired by the Secretary, Power, approves the final list.</t>
  </si>
  <si>
    <t>C34-P0037</t>
  </si>
  <si>
    <t>Why is this award important for organizations?
It encourages organizations to adopt energy-efficient practices and contributes to reducing overall energy consumption in India.</t>
  </si>
  <si>
    <t>C35-P0001</t>
  </si>
  <si>
    <t>The Ministry of Tourism launched the Marketing Development Assistance (MDA) Scheme under the Overseas Promotion &amp; Publicity (OPP) Scheme. The scheme aims to provide financial support to tourism service providers approved by the Ministry of Tourism, Govt. of India or the respective State Government / Union Territory (UT) Administration for undertaking promotion and marketing of India in the overseas markets.</t>
  </si>
  <si>
    <t>C35-P0002</t>
  </si>
  <si>
    <t>C35-P0003</t>
  </si>
  <si>
    <t xml:space="preserve">: </t>
  </si>
  <si>
    <t>C35-P0004</t>
  </si>
  <si>
    <t>To motivate stakeholders to promote tourism to the country from the overseas markets.</t>
  </si>
  <si>
    <t>C35-P0005</t>
  </si>
  <si>
    <t>To enhance the visibility of the brand Incredible India in the overseas markets.</t>
  </si>
  <si>
    <t>C35-P0006</t>
  </si>
  <si>
    <t>To augment foreign tourist arrivals to the country.</t>
  </si>
  <si>
    <t>C35-P0007</t>
  </si>
  <si>
    <t>For Tourism Service Providers</t>
  </si>
  <si>
    <t>C35-P0008</t>
  </si>
  <si>
    <t>Financial support for study tours, and participation in travel shows/exhibitions/road shows in overseas markets (organized by the Ministry of Tourism) will be provided up to a maximum of ₹3,50,000/- per case/tour.</t>
  </si>
  <si>
    <t>C35-P0010</t>
  </si>
  <si>
    <t>en.schemeContent.benefits[2].children[0].children[0].children[1]</t>
  </si>
  <si>
    <t xml:space="preserve">     Sr. No.</t>
  </si>
  <si>
    <t>C35-P0012</t>
  </si>
  <si>
    <t>en.schemeContent.benefits[2].children[0].children[1].children[1]</t>
  </si>
  <si>
    <t>Particulars</t>
  </si>
  <si>
    <t>C35-P0014</t>
  </si>
  <si>
    <t>en.schemeContent.benefits[2].children[0].children[2].children[1]</t>
  </si>
  <si>
    <t xml:space="preserve">Extent of Support </t>
  </si>
  <si>
    <t>C35-P0015</t>
  </si>
  <si>
    <t>en.schemeContent.benefits[2].children[1].children[0].children[0]</t>
  </si>
  <si>
    <t>C35-P0016</t>
  </si>
  <si>
    <t>en.schemeContent.benefits[2].children[1].children[1].children[0]</t>
  </si>
  <si>
    <t>Economy class airfare for travel between India to another country and from there to a group of countries by air/rail.</t>
  </si>
  <si>
    <t>C35-P0017</t>
  </si>
  <si>
    <t>en.schemeContent.benefits[2].children[1].children[2].children[0]</t>
  </si>
  <si>
    <t>90%</t>
  </si>
  <si>
    <t>C35-P0018</t>
  </si>
  <si>
    <t>en.schemeContent.benefits[2].children[2].children[0].children[0]</t>
  </si>
  <si>
    <t>C35-P0019</t>
  </si>
  <si>
    <t>en.schemeContent.benefits[2].children[2].children[1].children[0]</t>
  </si>
  <si>
    <t>Cost of built-up/furnished stall, electricity and water charges, participation fee, etc., at travel fair/exhibitions held overseas.</t>
  </si>
  <si>
    <t>C35-P0020</t>
  </si>
  <si>
    <t>en.schemeContent.benefits[2].children[2].children[2].children[0]</t>
  </si>
  <si>
    <t>C35-P0021</t>
  </si>
  <si>
    <t>en.schemeContent.benefits[2].children[3].children[0].children[0]</t>
  </si>
  <si>
    <t>C35-P0022</t>
  </si>
  <si>
    <t>en.schemeContent.benefits[2].children[3].children[1].children[0]</t>
  </si>
  <si>
    <t xml:space="preserve">Lodging expenses on overseas tour </t>
  </si>
  <si>
    <t>C35-P0023</t>
  </si>
  <si>
    <t>en.schemeContent.benefits[2].children[3].children[2].children[0]</t>
  </si>
  <si>
    <t>Max. 5 nights with an upper ceiling of room rate at ₹10,000/- per night.</t>
  </si>
  <si>
    <t>C35-P0024</t>
  </si>
  <si>
    <t>For Tourism Departments of State Governments / UT Administrations</t>
  </si>
  <si>
    <t>C35-P0025</t>
  </si>
  <si>
    <t>Financial support for participation in overseas travel shows and exhibitions will be provided as follows:</t>
  </si>
  <si>
    <t>C35-P0027</t>
  </si>
  <si>
    <t>en.schemeContent.benefits[6].children[0].children[0].children[1]</t>
  </si>
  <si>
    <t>Sr. No.</t>
  </si>
  <si>
    <t>C35-P0030</t>
  </si>
  <si>
    <t>en.schemeContent.benefits[6].children[0].children[1].children[1]</t>
  </si>
  <si>
    <t>C35-P0031</t>
  </si>
  <si>
    <t>en.schemeContent.benefits[6].children[0].children[2].children[0]</t>
  </si>
  <si>
    <t xml:space="preserve">                   Extent of Support</t>
  </si>
  <si>
    <t>C35-P0032</t>
  </si>
  <si>
    <t>en.schemeContent.benefits[6].children[1].children[0].children[0]</t>
  </si>
  <si>
    <t xml:space="preserve">1. </t>
  </si>
  <si>
    <t>C35-P0033</t>
  </si>
  <si>
    <t>en.schemeContent.benefits[6].children[1].children[1].children[0]</t>
  </si>
  <si>
    <t>C35-P0034</t>
  </si>
  <si>
    <t>en.schemeContent.benefits[6].children[1].children[2]</t>
  </si>
  <si>
    <t>Overall ceiling of ₹3,50,000/-.</t>
  </si>
  <si>
    <t>C35-P0035</t>
  </si>
  <si>
    <t>en.schemeContent.benefits[7].children[0].children[0].children[0]</t>
  </si>
  <si>
    <t xml:space="preserve">2. Since, the representatives of State Govts and UTs are provided TA/DA by the States/UTs, the provisions of financial assistance towards international air fare and lodging are not applicable to them. </t>
  </si>
  <si>
    <t>C35-P0036</t>
  </si>
  <si>
    <t>For Tourism Service Providers /Tourism Departments of State Governments / UT Administrations</t>
  </si>
  <si>
    <t>C35-P0037</t>
  </si>
  <si>
    <t>Financial support for online promotion of tourism destinations and products in overseas markets, including digital content creation, will cover 50% of the total cost, up to ₹1,00,000/- per financial year, subject to actuals.</t>
  </si>
  <si>
    <t>C35-P0038</t>
  </si>
  <si>
    <t>C35-P0039</t>
  </si>
  <si>
    <t>C35-P0040</t>
  </si>
  <si>
    <t>C35-P0041</t>
  </si>
  <si>
    <t>C35-P0042</t>
  </si>
  <si>
    <t>C35-P0063</t>
  </si>
  <si>
    <t>Who can apply for the MDA Scheme? 
Approved Tourism Service Providers and State Governments/UT Administrations can apply.</t>
  </si>
  <si>
    <t>C35-P0064</t>
  </si>
  <si>
    <t>What types of activities are covered under the scheme? 
Sales tours, participation in travel fairs/exhibitions, online promotion, and digital content production are covered.</t>
  </si>
  <si>
    <t>C35-P0065</t>
  </si>
  <si>
    <t>What is the financial support available for TSPs?
Up to 90% of air fare and travel fair costs, and lodging expenses up to ₹10,000 per night for a maximum of 5 nights, with an overall ceiling of ₹3.5 lakh per tour.</t>
  </si>
  <si>
    <t>C35-P0066</t>
  </si>
  <si>
    <t>How many tours can a TSP undertake in a year under the scheme?
TSPs with FEE of ₹1 crore to ₹2 crore can undertake up to 2 tours; those with FEE of ₹2 crore and above can undertake up to 3 tours.</t>
  </si>
  <si>
    <t>C35-P0067</t>
  </si>
  <si>
    <t>What is the process for obtaining prior approval?
Submit the application and required documents at least 21 days before the tour via email to mda-tourism@gov.in.</t>
  </si>
  <si>
    <t>C35-P0068</t>
  </si>
  <si>
    <t>How to claim reimbursement? 
Submit the claim within 45 days of return, with required documents, via email to mda-tourism@nic.in.</t>
  </si>
  <si>
    <t>C35-P0069</t>
  </si>
  <si>
    <t>Are there any specific travel conditions for availing air fare reimbursement?
Yes, travel should be on Air India for sectors directly connected by Air India; otherwise, economy class on shorter routes by other airlines is permissible.</t>
  </si>
  <si>
    <t>C35-P0070</t>
  </si>
  <si>
    <t>Can financial support be claimed for the same activity from multiple sources? 
No, the applicant should not have claimed/received financial assistance for the same activity from any other Government department or agency.</t>
  </si>
  <si>
    <t>C35-P0071</t>
  </si>
  <si>
    <t>Is the scheme available for all TSPs? 
Only TSPs approved by the Ministry of Tourism or State/UT Tourism Departments are eligible.</t>
  </si>
  <si>
    <t>C35-P0072</t>
  </si>
  <si>
    <t>Can support be claimed for domestic travel? 
No, the scheme is for international promotional activities only.</t>
  </si>
  <si>
    <t>C35-P0073</t>
  </si>
  <si>
    <t>Are there any restrictions on who can undertake the tour from the company?
Only one person, specifically the CEO, Managing Director, Director, Managing Partner, Proprietor, or a regular employee, can undertake the tour.</t>
  </si>
  <si>
    <t>C35-P0074</t>
  </si>
  <si>
    <t>Is prior approval a guarantee of financial support?
No, prior approval does not ensure financial support. Reimbursement is subject to the submission of complete claims and availability of funds.</t>
  </si>
  <si>
    <t>C35-P0075</t>
  </si>
  <si>
    <t>How is the priority determined if there are more applications than available funds?
Priority is given to service providers who have not availed of financial assistance in the past under the MDA Scheme.</t>
  </si>
  <si>
    <t>C36-P0001</t>
  </si>
  <si>
    <t>A Travel Grant Scheme by the All India Council for Technical Education (AICTE) and by the Indian National Academy of Engineering (INAE), for the students from AICTE approved Engineering College/institutions. The scheme aims at enhancing the quality of engineering education in the country and to inculcate a culture of research amongst the students. The scheme aims to provide partial travel assistance and registration fees to Bachelors's and Masters's Level engineering students for presenting a research paper at an international scientific event(conference/seminar/symposium/workshop/exhibition etc) to encourage engineering students to engage in research. Pre-final and final year students of B.E./B.Tech or Integrated M.Tech and first and second-year students of M.E./M. Tech from AICTE-approved Engineering Institutions is eligible under the scheme. The student must have scored a minimum 7 CGPA or 65% in order to be eligible to apply under this scheme. The student should have a letter of</t>
  </si>
  <si>
    <t xml:space="preserve"> acceptance for presenting a research paper that has been accepted in a conference/seminar/symposium/workshop/exhibition abroad.</t>
  </si>
  <si>
    <t>C36-P0002</t>
  </si>
  <si>
    <t>Financial Support</t>
  </si>
  <si>
    <t>C36-P0003</t>
  </si>
  <si>
    <t>The reimbursement of 100% Registration Fee, Visa Fee including travel insurance up to ₹5000.</t>
  </si>
  <si>
    <t>C36-P0004</t>
  </si>
  <si>
    <t>The reimbursement of 50% of the actual Airfare or discounted /concessional air tickets along with local transport from the airport to the venue for presentation, in case not claimed from any other source.</t>
  </si>
  <si>
    <t>C36-P0005</t>
  </si>
  <si>
    <t>Actual fare not exceeding AC II-Class train fare will be admissible for travel from the Technical Institution to the nearest airport and back in India).</t>
  </si>
  <si>
    <t>C36-P0006</t>
  </si>
  <si>
    <t>The maximum financial support per student for all the above reimbursements is limited to ₹1,00,000.</t>
  </si>
  <si>
    <t>C36-P0007</t>
  </si>
  <si>
    <t>C36-P0008</t>
  </si>
  <si>
    <t>C36-P0009</t>
  </si>
  <si>
    <t>C36-P0010</t>
  </si>
  <si>
    <t>C36-P0011</t>
  </si>
  <si>
    <t>C36-P0026</t>
  </si>
  <si>
    <t>What are the required documents to apply for this scheme?
Curriculum Vitae containing the Date of Birth and Age, Awards, Scholarships, Educational Qualification, Research Experience and List of Publications.
Passport Size Photograph.
A copy of Letter of Acceptance from the organizers of the event.
Abstract/Full text of paperas submitted for the event.
A brief on Project Impact of the paper presented.
A brief on Expected Outcome from the paper presented.
A scanned copy of Certificate by the student.
A scanned copy of Endorsement by the Head of the Institution.</t>
  </si>
  <si>
    <t>C36-P0027</t>
  </si>
  <si>
    <t>Is there any age criteria to apply tot this scheme?
No,there is no age criteria for this scheme.</t>
  </si>
  <si>
    <t>C36-P0028</t>
  </si>
  <si>
    <t>What should be the minimum educational Qualification of the applicant in order to be eligible to apply to this scheme?
The applicant must EITHER be a Pre-final/final year student of B.E./B.Tech, OR Integrated M.Tech and first/second-year student of M.E./M. Tech, OR Students pursuing MS Research, M.Sc. in Engineering, dual degree B.Tech and M.Tech or any degree with a minimum of 4 years of engineering studies.</t>
  </si>
  <si>
    <t>C36-P0029</t>
  </si>
  <si>
    <t>What is the full form of INAE?
INAE stands for "Indian National Academy of Engineering".</t>
  </si>
  <si>
    <t>C36-P0030</t>
  </si>
  <si>
    <t>Do I need to have a Letter Of Acceptance to apply?
Yes, The student should have a letter of acceptance for presenting a research paper which has been accepted in a conference/serninar/symposiurn/workshop/exhibition abroad.</t>
  </si>
  <si>
    <t>C37-P0001</t>
  </si>
  <si>
    <t>Launched in 2014–2015, the scheme "Pilgrimage Rejuvenation and Spiritual Augmentation Drive (PRASAD)" is a Central Sector Scheme by the Ministry of Tourism, Government of India. The scheme focuses on developing and identifying pilgrimage sites across India to enrich the religious tourism experience. It aims to integrate pilgrimage destinations in a prioritised, planned and sustainable manner to provide a complete religious tourism experience. The PRASAD scheme aims to pave the way for the development and promotion of religious tourism in India.</t>
  </si>
  <si>
    <t>C37-P0002</t>
  </si>
  <si>
    <t>The scheme offers a range of benefits for its beneficiaries, which include local communities, tourists, and stakeholders involved in the tourism sector:</t>
  </si>
  <si>
    <t>C37-P0003</t>
  </si>
  <si>
    <t>Improved Infrastructure</t>
  </si>
  <si>
    <t>C37-P0004</t>
  </si>
  <si>
    <t>Beneficiaries, particularly those residing in areas with significant tourism potential, benefit from improved infrastructure such as better roads, transportation facilities, sanitation, and utilities. Enhanced infrastructure not only improves the quality of life for locals but also provides a more comfortable and convenient experience for tourists.</t>
  </si>
  <si>
    <t>C37-P0005</t>
  </si>
  <si>
    <t>Employment Opportunities</t>
  </si>
  <si>
    <t>C37-P0006</t>
  </si>
  <si>
    <t>The development of tourism infrastructure and services under the Prashad Scheme creates job opportunities for local residents. These jobs span various sectors, including hospitality, tour guiding, transportation, handicrafts, and retail, providing a source of livelihood and economic empowerment for communities.</t>
  </si>
  <si>
    <t>C37-P0007</t>
  </si>
  <si>
    <t>Income Generation</t>
  </si>
  <si>
    <t>C37-P0008</t>
  </si>
  <si>
    <t>Tourism-related activities generate income for beneficiaries involved in providing goods and services to tourists. Local artisans, vendors, homestay owners, and small businesses often experience increased demand for their products and services, leading to higher incomes and improved standards of living.</t>
  </si>
  <si>
    <t>C37-P0009</t>
  </si>
  <si>
    <t>Preservation of Cultural Heritage</t>
  </si>
  <si>
    <t>C37-P0010</t>
  </si>
  <si>
    <t>Communities living near heritage sites and cultural landmarks benefit from the preservation efforts funded by the Prashad Scheme. This not only helps in maintaining their cultural identity but also provides opportunities for cultural exchange and education, as visitors learn about local traditions, customs, and history.</t>
  </si>
  <si>
    <t>C37-P0011</t>
  </si>
  <si>
    <t>Promotion of Local Culture and Traditions</t>
  </si>
  <si>
    <t>C37-P0012</t>
  </si>
  <si>
    <t>The Prashad Scheme often includes initiatives to promote local culture, art, and traditions. This may involve organizing cultural festivals, art exhibitions, and traditional performances, which not only showcase the richness of local heritage but also contribute to community pride and cohesion.</t>
  </si>
  <si>
    <t>C37-P0013</t>
  </si>
  <si>
    <t>en.schemeContent.benefits[11].children[0]</t>
  </si>
  <si>
    <t>Increased Tourism Revenues</t>
  </si>
  <si>
    <t>C37-P0014</t>
  </si>
  <si>
    <t>As tourism flourishes in areas supported by the Prashad Scheme, beneficiaries reap the benefits of increased tourism revenues. This can have a multiplier effect on the local economy, stimulating growth in ancillary sectors such as food and beverage, retail, and transportation.</t>
  </si>
  <si>
    <t>C37-P0015</t>
  </si>
  <si>
    <t>en.schemeContent.benefits[13].children[0]</t>
  </si>
  <si>
    <t>Skill Development and Capacity Building</t>
  </si>
  <si>
    <t>C37-P0016</t>
  </si>
  <si>
    <t>The Prashad Scheme may include provisions for skill development and capacity building programs targeted at local communities. These initiatives equip beneficiaries with the necessary skills and knowledge to actively participate in the tourism industry, empowering them to capitalize on tourism opportunities and contribute to sustainable development.</t>
  </si>
  <si>
    <t>C37-P0017</t>
  </si>
  <si>
    <t>C37-P0020</t>
  </si>
  <si>
    <t>What role do tourism information/interpretation centres play in the PRASAD scheme?
These centres, equipped with ATMs or money exchange counters, serve as hubs for disseminating information about the pilgrimage destinations, local culture, and heritage, enhancing tourists' understanding and experience.</t>
  </si>
  <si>
    <t>C37-P0021</t>
  </si>
  <si>
    <t>How does the PRASAD scheme encourage convergence between government schemes and private sector developments?
The scheme aims to enable convergence between state and central government schemes, as well as private sector initiatives, for integrated site and destination development, fostering collaboration and maximizing resources for tourism development.</t>
  </si>
  <si>
    <t>C37-P0022</t>
  </si>
  <si>
    <t>How does the PRASAD scheme ensure the responsible use of funds and resources?
By delineating eligible and non-permitted project components, the scheme establishes clear guidelines for project selection, ensuring that funding is directed towards initiatives that align with the scheme's objectives and priorities.</t>
  </si>
  <si>
    <t>C37-P0023</t>
  </si>
  <si>
    <t>Are there any project components not permitted under the PRASAD scheme?
Yes, non-permitted project components include resettlement and rehabilitation packages, operation and maintenance of assets created, investments in private entities' assets, and land acquisition for development purposes.</t>
  </si>
  <si>
    <t>C37-P0024</t>
  </si>
  <si>
    <t>What types of infrastructure development projects are supported under the PRASAD scheme?
Infrastructure development projects include the establishment of first aid centres, toilet facilities, waiting areas, and passenger terminals for various modes of transport, as well as improvements in sewerage, water supply, drainage, and roads.</t>
  </si>
  <si>
    <t>C37-P0025</t>
  </si>
  <si>
    <t>How does the PRASAD scheme promote capacity development and knowledge management?
The scheme broadens travel and hospitality education, preserves tourism knowledge, utilizes local expertise in arts and crafts, and offers skill development programs such as 'Hunar Se Rozgar Tak' and 'Earn While You Learn' to empower local communities and enhance their participation in the tourism sector.</t>
  </si>
  <si>
    <t>C37-P0026</t>
  </si>
  <si>
    <t>What is the purpose of the online presence component under the PRASAD scheme?
The online presence component aims to enhance the digital infrastructure of pilgrimage destinations through data analysis tools, GIS-based portals, and mobile applications, providing tourists with information and improving their overall experience.</t>
  </si>
  <si>
    <t>C37-P0027</t>
  </si>
  <si>
    <t>What are the eligible project components under the PRASAD scheme?
Eligible project components include developing online presence tools, capacity development and skill enhancement initiatives, infrastructure development such as first aid centres and directional signage, and restoration and conservation of historic structures and monuments.</t>
  </si>
  <si>
    <t>C37-P0028</t>
  </si>
  <si>
    <t>What are the objectives of the PRASAD scheme regarding safety and security?
The PRASAD scheme aims to strengthen measures for the safety and security of pilgrims and tourists, ensuring a safe and enjoyable tourism experience. It also focuses on improving the quality of tourism services provided at pilgrimage destinations[1].</t>
  </si>
  <si>
    <t>C37-P0029</t>
  </si>
  <si>
    <t>How does the PRASAD scheme enhance tourism attractiveness?
The scheme enhances tourism attractiveness by integrating pilgrimage destinations in a planned and sustainable manner, developing world-class tourism projects, and promoting heritage and local livelihoods. It positions pilgrimage and heritage tourism as major contributors to economic growth and employment generation[1].</t>
  </si>
  <si>
    <t>C37-P0030</t>
  </si>
  <si>
    <t>How does accreditation of heritage destinations influence the selection of heritage cities?
Accreditation by UNESCO and ASI validates the historical significance and authenticity of heritage destinations within cities, making them eligible for prioritization in the PRASAD scheme[1].</t>
  </si>
  <si>
    <t>C37-P0031</t>
  </si>
  <si>
    <t>Why is tourist footfall considered a crucial criterion for selecting heritage cities?
Tourist footfall indicates the popularity and tourism potential of a city's heritage destinations. Higher footfall signifies greater demand and attractiveness for tourists, leading to prioritization in scheme inclusion[1].</t>
  </si>
  <si>
    <t>C37-P0032</t>
  </si>
  <si>
    <t>How are heritage cities selected for integrated development under the PRASAD scheme?
Heritage cities are chosen based on criteria such as tourist footfall, accreditation of heritage destinations, number of heritage monuments, and funding needs. These factors help prioritize cities for integrated heritage development[1].</t>
  </si>
  <si>
    <t>C37-P0033</t>
  </si>
  <si>
    <t>What is the significance of parity for pan India development in selecting pilgrimage destinations?
Parity for pan India development ensures equitable representation of states on the pilgrimage map. The scheme prioritizes states not covered in the existing list of destinations, aiming for comprehensive national coverage[1].</t>
  </si>
  <si>
    <t>C37-P0034</t>
  </si>
  <si>
    <t>How is the credibility of implementation evaluated for selecting pilgrimage destinations?
Credibility of implementation is assessed through the utilization certificate (UC) pendency of state/UT governments and their implementing agencies. States with minimal UC pendency are prioritized for scheme inclusion[1].</t>
  </si>
  <si>
    <t>C38-P0001</t>
  </si>
  <si>
    <t>"Pratyaksh Hanstantrit Labh / Direct Benefits Transfer For LPG (PAHAL)" launched by the Ministry Of Petroleum and Natural Gas, ensures transparency by transferring LPG subsidies directly to consumers' bank accounts, eliminating diversion and reducing subsidy leakages. It empowers users, improves delivery, and enables self-selection for subsidy, with provisions for Aadhaar-linked and non-Aadhaar-linked accounts. This initiative protects consumer entitlement, prevents fraud, and promotes efficient subsidy management.</t>
  </si>
  <si>
    <t>C38-P0002</t>
  </si>
  <si>
    <t>Direct Subsidy Transfer: LPG consumers receive subsidies directly in their bank accounts automatically.</t>
  </si>
  <si>
    <t>C38-P0003</t>
  </si>
  <si>
    <t>Improved Availability: Enhanced market availability of new LPG connections for genuine consumers.</t>
  </si>
  <si>
    <t>C38-P0004</t>
  </si>
  <si>
    <t>en.schemeContent.benefits[0].children[0].children[2]</t>
  </si>
  <si>
    <t>Health Benefits: Replaces unclean cooking fuels, reducing indoor pollution and preventing respiratory diseases among women and children in rural areas.</t>
  </si>
  <si>
    <t>C38-P0005</t>
  </si>
  <si>
    <t>C38-P0006</t>
  </si>
  <si>
    <t>C38-P0025</t>
  </si>
  <si>
    <t>What Will Have To Be Done By The LPG Consumer Who Had Already Joined The Scheme Earlier? 
LPG consumers who had joined the scheme earlier by linking their Aadhaar number in LPG and Bank database do not need to do anything. Such consumers will get the cylinder at Market price w.e.f the date on which the scheme is launched and the cash will be transferred into their bank account. They do not have to do anything further. They can check their CTC (Cash Transfer Compliance) status on www.mylpg.in or check with their LPG distributor.</t>
  </si>
  <si>
    <t>C38-P0026</t>
  </si>
  <si>
    <t>What Does An LPG Consumer Do To Join PAHAL (DBTL) Scheme? 
Option I (Primary): LPG consumers who have an Aadhaar number must provide their Aadhaar number to LPG distributor using Form 2 and to Bank using Form 1. This is the preferred mode of joining the scheme. 
Option II (Secondary): If the LPG consumer does not have an Aadhaar number, he/she can do one of the following: 
a. Give Bank details to the LPG distributor in Form 4 
OR 
b. Give a 17-digit LPG ID to the Bank using Form 3.</t>
  </si>
  <si>
    <t>C38-P0027</t>
  </si>
  <si>
    <t>When Can An LPG Consumer Visit The Distributorship For Submitting Aadhaar And Bank Details Seeding Forms To Join PAHAL (DBTL) Scheme? 
The LPG consumers can visit their LPG distributorship on any weekday during office hours for submitting the forms. For the convenience of LPG consumers, all distributorships will also remain open on their weekly off day for exclusively receiving Aadhaar &amp; Bank detail seeding forms of the PAHAL (DBTL) scheme till the end of the grace period.</t>
  </si>
  <si>
    <t>C38-P0028</t>
  </si>
  <si>
    <t>How Does An LPG Consumer Check His/Her PAHAL (DBTL) Joining Status? 
To check PAHAL (DBTL) joining status, consumers can log on to the transparency portal of their LPG Company (IOC, BPC, HPC) through www.myLPG.in and follow instructions. On each of the OMC’s transparency portals, a call out with the name ‘Check DBTL (CTC) Status’ has been provided. Consumers can click on this and see the status both for ATC as well as BTC methods.</t>
  </si>
  <si>
    <t>C38-P0029</t>
  </si>
  <si>
    <t>What Happens Where Transactions Sent To The Bank Fail And How Are They Dealt With? 
A) In case some transfers cannot be processed by the banks, they are termed as failures, and the failure cases if any along with the amount is received back from the Sponsor Bank by the OMCs. A report on such failure cases has been provided by the OMC on their portal which is accessible to the distributors as well 
as Call Centre. 
b) Payments returned will be re-processed twice in a span of 15 days each and if it is still not transferred, the amount will be kept for payment as and when the bank-related issues are resolved. 
c) If the amount towards the subsequent cylinder delivered is successfully transferred then the pending amount also will be transferred thereafter. 
d) The time period up to which such payments will be kept pending will be 3 months or the end of the current financial year whichever is later.</t>
  </si>
  <si>
    <t>C38-P0030</t>
  </si>
  <si>
    <t>How Is The Quota Of Subsidized Cylinders Worked Out For New Consumers? 
A) The eligibility for the quota of subsidized cylinders for all new connections released is on a pro-rata basis. This is also applicable to CTC consumers. 
b) For new connections, CTC consumers will receive both the advance amount (after the booking of the first cylinder) and the subsidy amount (after the delivery of the first cylinder). 
c) Thereafter, they will receive a subsidy amount with every cylinder delivery upto the capped subsidized quota of cylinders.</t>
  </si>
  <si>
    <t>C38-P0031</t>
  </si>
  <si>
    <t>How To Deal With Advance Amounts Given To Consumers When They Are On Transfer? 
A) CTC consumers, who are transferred, have to return the advance amount to the parent distributor. In other words, when the Termination Voucher is made the net amount of the Security Deposit of equipment minus the Permanent Advance amount will be refunded to consumers. 
b) If such consumers are transferred to another district where PAHAL (DBTL) has been launched, they will be given an advance once they become a consumer at the new location and are handed over the Subscription Voucher. 
c) OMC Software has the provision to capture Security deposits and advance amounts separately and account for them in the ERP accounting system. 
d) For CTC consumers located in the same city on transfer without any surrendering of equipment and refund of deposit (TTV/CTA), Permanent Advance amount will not be refunded.</t>
  </si>
  <si>
    <t>C38-P0032</t>
  </si>
  <si>
    <t>How Will The Consumer Know The Status Of His Payments? 
Visibility has been provided to the consumers through the Transparency portal of OMCs (via www.mylpg.in). These portals provide separate columns for subsidized and non-subsidized cylinder delivery, the amount paid to the consumer. A call center with a dashboard on all transactions is available for suitable consumer grievance redressal.</t>
  </si>
  <si>
    <t>C38-P0033</t>
  </si>
  <si>
    <t>Where Can A Consumer Get More Information About PAHAL (DBTL) Scheme? 
A) For getting any information, providing feedback, and registering any complaint OMCs have a call center which is accessible at Toll-Free No 18002333555. 
b) Consumers can also visit http://petroleum.nic.in/dbt/index.htm or visit the transparency portal of their LPG Company (IOC, BPC, HPC) through www.myLPG.in.</t>
  </si>
  <si>
    <t>C38-P0034</t>
  </si>
  <si>
    <t>The LPG Consumer Has Contacted The Call Center/LPG Distributor And Has Been Advised That There Is A Failed Transaction With XYZ Bank. What Should He/She Do? 
Consumers can visit his/her concerned bank with their Aadhaar number and/or account details to know the reason for failed transactions. In some cases OMC the call center can also help with the reason why banks have sent the correct error code to OMCs.</t>
  </si>
  <si>
    <t>C38-P0035</t>
  </si>
  <si>
    <t>The LPG Consumer Has Contacted The Call Center/LPG Distributor And Has Been Advised That The Subsidy Has Been Transferred On Date Dd/Mm/Yyyy To XYZ Bank But The Consumer Does Not Have A Bank Account In XYZ Bank. What Should He/She Do? 
Consumer needs to visit the concerned bank with their Aadhaar number. Bank will provide the consumer with the details of the bank account to which the subsidy has been transferred. Alternatively, the consumer may choose to link his/her Aadhaar number with any other bank by submitting the duly filled Bank Linking Form. For non-Aadhaar CTC consumers (BTC), he/she need to visit the concerned bank with the 17-digit LPG ID. Banks will provide the consumer with the details of the bank account to which the subsidy has been transferred.</t>
  </si>
  <si>
    <t>C39-P0001</t>
  </si>
  <si>
    <t>The scheme "Atal Bhujal Yojana" was launched by the Department of Water Resources, River Development and Ganga Rejuvenation, Ministry of Jal Shakti, in 2020. The scheme aims to improve the management of groundwater resources in the water-stressed areas of the selected states. The scheme provides institutional strengthening, capacity building, and financial incentives for the preparation of community-led Water Security Plans, adoption of efficient water use practices, and improvement in the rate of decline of groundwater levels. The applicant must ensure community participation, measure groundwater levels, prepare a water budget, and develop a Gram Panchayat-level Water Security Plan. The scheme is implemented by the National Program Management Unit at the central level and State Program Management Units at the state level. The applications for this scheme are accepted through the submission of Water Security Plans to the District Program Management Units for further action and</t>
  </si>
  <si>
    <t xml:space="preserve"> consolidation.</t>
  </si>
  <si>
    <t>C39-P0002</t>
  </si>
  <si>
    <t>The scheme provides an overall financial outlay of ₹60,00,00,00,000/- over five years, which includes ₹30,00,00,00,000/- as a loan from the World Bank and ₹30,00,00,00,000/- as a matching contribution from the Government of India.</t>
  </si>
  <si>
    <t>C39-P0003</t>
  </si>
  <si>
    <t>The Institutional Strengthening and Capacity Building Component offers ₹14,00,00,00,000/- for training, community mobilization, and the procurement of equipment such as Digital Water Level Recorders, rain gauges, and water quality testing kits.</t>
  </si>
  <si>
    <t>C39-P0004</t>
  </si>
  <si>
    <t>The Incentive Component provides ₹46,00,00,00,000/- in financial rewards to states and Gram Panchayats for achieving predefined targets in groundwater management.</t>
  </si>
  <si>
    <t>C39-P0005</t>
  </si>
  <si>
    <t>The scheme funds demand-side interventions, including micro-irrigation practices like drip and sprinkler systems, the use of recycled or reused water for irrigation, underground pipelines, and crop diversification.</t>
  </si>
  <si>
    <t>C39-P0006</t>
  </si>
  <si>
    <t>The scheme supports supply-side interventions, including the construction of artificial recharge and water conservation structures such as check dams, percolation ponds, contour trenches, sub-surface dykes, and farm ponds.</t>
  </si>
  <si>
    <t>C39-P0007</t>
  </si>
  <si>
    <t>The scheme provides for the upgrading of state-level groundwater quality laboratories to receive accreditation from the National Accreditation Board for Testing and Calibration Laboratories.</t>
  </si>
  <si>
    <t>C39-P0008</t>
  </si>
  <si>
    <t>C39-P0009</t>
  </si>
  <si>
    <t>The beneficiary must form or strengthen a Village Water and Sanitation Committee to function as the Participatory Groundwater Management Committee.</t>
  </si>
  <si>
    <t>C39-P0010</t>
  </si>
  <si>
    <t>The beneficiary must continuously engage in regular water budgeting exercises, preferably season-wise or at least once a year.</t>
  </si>
  <si>
    <t>C39-P0011</t>
  </si>
  <si>
    <t>The beneficiary must update the Water Security Plan on an annual basis to reflect changing water needs and interventions.</t>
  </si>
  <si>
    <t>C39-P0012</t>
  </si>
  <si>
    <t>en.schemeContent.benefits[2].children[3]</t>
  </si>
  <si>
    <t>The beneficiary must actively conduct social audits to gather community feedback regarding the activities undertaken during the implementation of the scheme.</t>
  </si>
  <si>
    <t>C39-P0013</t>
  </si>
  <si>
    <t>The beneficiary must maintain proper documentation and submit audited financial statements and utilization certificates to avoid the recall of scheme funds.</t>
  </si>
  <si>
    <t>C39-P0014</t>
  </si>
  <si>
    <t>C39-P0015</t>
  </si>
  <si>
    <t>C39-P0016</t>
  </si>
  <si>
    <t>C39-P0017</t>
  </si>
  <si>
    <t>C39-P0018</t>
  </si>
  <si>
    <t>C39-P0019</t>
  </si>
  <si>
    <t>C39-P0020</t>
  </si>
  <si>
    <t>C39-P0021</t>
  </si>
  <si>
    <t>C39-P0022</t>
  </si>
  <si>
    <t>C39-P0023</t>
  </si>
  <si>
    <t>C39-P0024</t>
  </si>
  <si>
    <t>C39-P0025</t>
  </si>
  <si>
    <t>C39-P0026</t>
  </si>
  <si>
    <t>C39-P0027</t>
  </si>
  <si>
    <t>C39-P0028</t>
  </si>
  <si>
    <t>C39-P0054</t>
  </si>
  <si>
    <t>If our local community wants to repair the village temple or mosque using the provided financial support, are we allowed to allocate a portion of the budget for this purpose?
Financial assistance provided cannot be utilized for the construction or maintenance of any religious structures, including temples, mosques, churches, or tombs.</t>
  </si>
  <si>
    <t>C39-P0055</t>
  </si>
  <si>
    <t>What is the mandatory requirement regarding the inclusion and representation of female members in the local water management committees to qualify for the associated administrative benefits?
At least 33 percent of the total members in the Gram Panchayat-level Water User Associations or Village Water and Sanitation Committees must be women.</t>
  </si>
  <si>
    <t>C39-P0056</t>
  </si>
  <si>
    <t>Can the local administrative bodies utilise a part of the received financial incentives to pay the monthly salaries of the government employees assigned to assist with the project workload?
The allocated funds cannot be used for the payment of salaries to any regular government employees assigned to assist with the implementation activities.</t>
  </si>
  <si>
    <t>C39-P0057</t>
  </si>
  <si>
    <t>How frequently must the participating community evaluate and update their assessment of available water resources and current usage to remain compliant with the mandatory administrative guidelines?
The community must engage in regular water budgeting exercises at least once every year, though it is highly recommended to conduct them on a season-wise basis.</t>
  </si>
  <si>
    <t>C39-P0058</t>
  </si>
  <si>
    <t>Once our village has successfully prepared the required strategy for managing local groundwater and meeting demands, who holds the ultimate authority to officially sanction this critical document?
The finalized Water Security Plan must be formally reviewed, discussed, and officially approved through a formal resolution passed by the local Gram Sabha.</t>
  </si>
  <si>
    <t>C39-P0059</t>
  </si>
  <si>
    <t>In order to successfully apply for and receive the interventions and financial incentives, which specific regions or geographic locations must our community be currently situated in?
The applicant must be located in identified water-stressed districts or blocks within the states of Gujarat, Haryana, Karnataka, Madhya Pradesh, Maharashtra, Rajasthan, or Uttar Pradesh.</t>
  </si>
  <si>
    <t>C39-P0060</t>
  </si>
  <si>
    <t>Would our proposal be accepted if we plan to use the allotted financial resources to develop a community-owned resort or restaurant to boost local tourism and the overall economy?
Financial support is strictly prohibited from being utilized for the development of any commercial ventures whatsoever, including hotels, restaurants, resorts, or similar business operations.</t>
  </si>
  <si>
    <t>C39-P0061</t>
  </si>
  <si>
    <t>What kind of specific local committee needs to be formed or strengthened by the community to take charge of the participatory planning and resource management processes effectively?
The beneficiaries must form or strengthen a Village Water and Sanitation Committee to function specifically as the dedicated Participatory Groundwater Management Committee.</t>
  </si>
  <si>
    <t>C39-P0062</t>
  </si>
  <si>
    <t>Are we permitted to submit a proposal that involves the construction of major or minor dams to improve the surface water availability in our agricultural district?
The financial provisions cannot be used for the construction of major or minor dams, nor for setting up any new large-scale irrigation systems.</t>
  </si>
  <si>
    <t>C39-P0063</t>
  </si>
  <si>
    <t>Who is supposed to be responsible for the regular handling of the measurement equipment and the recording of essential groundwater and rainfall data in our village?
Local volunteers or community resource persons must be specifically identified and trained to handle the provided data collection equipment and input the relevant information.</t>
  </si>
  <si>
    <t>C39-P0064</t>
  </si>
  <si>
    <t>Can the implementation committee use a portion of the financial grant to purchase land for water conservation structures or buy vehicles for official community monitoring visits?
The provided funds are strictly restricted and cannot be used for the purchase of any vehicles, land, arms, ammunition, alcoholic beverages, or tobacco products.</t>
  </si>
  <si>
    <t>C39-P0065</t>
  </si>
  <si>
    <t>How is the local administration expected to gather feedback from the residents regarding the effectiveness and proper execution of the activities undertaken during the implementation period?
The beneficiaries must actively conduct regular social audits through a designated committee to gather community feedback on the undertaken activities and to ensure overall transparency.</t>
  </si>
  <si>
    <t>C39-P0066</t>
  </si>
  <si>
    <t>What specific financial records and proofs must our local administrative body maintain and submit to ensure that the received incentive funds are not recalled by the higher authorities?
The Gram Panchayat must maintain proper documentation and submit audited financial statements along with monthly expenditure statements and utilization certificates for the received funds.</t>
  </si>
  <si>
    <t>C39-P0067</t>
  </si>
  <si>
    <t>After the initial strategy for managing community water resources is drafted and approved, does it remain permanent for the entire five-year period or does it require regular modifications?
The drafted Water Security Plan must be reviewed and systematically updated on an annual basis to accurately reflect changing local water needs and the progress of ongoing interventions.</t>
  </si>
  <si>
    <t>M05-P0001</t>
  </si>
  <si>
    <t>The "State Post-metric Scholarship for Disabled" is a scheme by the Department of Social Justice &amp; Special Assistance, Govt. of Maharashtra. The objective of this scheme is to encourage students with disability (SwDs) to pursue higher education, i.e. H.S.C., Degree, Professional, Technical, Medical, Engineering, etc. Only citizens who are permanent residents of the state of Maharashtra are eligible to apply for this scheme. This scheme is 100% funded by the Govt. of Maharashtra.</t>
  </si>
  <si>
    <t>M05-P0002</t>
  </si>
  <si>
    <t>A. Maintenance Allowance</t>
  </si>
  <si>
    <t>M05-P0003</t>
  </si>
  <si>
    <t>Group A: Degree Course in Medical, Engineering, Agricultural, Veterinary, and Postgraduate Degree Courses.</t>
  </si>
  <si>
    <t>M05-P0004</t>
  </si>
  <si>
    <t>Rate of Scholarship for Hosteller (in ₹ per month): 1200/-</t>
  </si>
  <si>
    <t>M05-P0005</t>
  </si>
  <si>
    <t>Rate of Scholarship for Day Scholar (in ₹ per month): 550/-</t>
  </si>
  <si>
    <t>M05-P0006</t>
  </si>
  <si>
    <t>Group B: Diploma course in Medical, Engineering, Agricultural, and Veterinary.</t>
  </si>
  <si>
    <t>M05-P0007</t>
  </si>
  <si>
    <t>Rate of Scholarship for Hosteller (in ₹ per month): 820/-</t>
  </si>
  <si>
    <t>M05-P0008</t>
  </si>
  <si>
    <t>Rate of Scholarship for Day Scholar (in ₹ per month): 530/-</t>
  </si>
  <si>
    <t>M05-P0009</t>
  </si>
  <si>
    <t>Group C: Post Graduate Course in Arts, Science, Commerce, and Diploma in Professional Education.</t>
  </si>
  <si>
    <t>M05-P0010</t>
  </si>
  <si>
    <t>M05-P0011</t>
  </si>
  <si>
    <t>M05-P0012</t>
  </si>
  <si>
    <t>Group D: From 2nd-year degree course</t>
  </si>
  <si>
    <t>M05-P0013</t>
  </si>
  <si>
    <t>Rate of Scholarship for Hosteller (in ₹ per month): 570/-</t>
  </si>
  <si>
    <t>M05-P0014</t>
  </si>
  <si>
    <t>Rate of Scholarship for Day Scholar (in ₹ per month): 300/-</t>
  </si>
  <si>
    <t>M05-P0015</t>
  </si>
  <si>
    <t>Group E: 11th, 10th and 1st year of Degree Course</t>
  </si>
  <si>
    <t>M05-P0016</t>
  </si>
  <si>
    <t>Rate of Scholarship for Hosteller (in ₹ per month): 380/-</t>
  </si>
  <si>
    <t>M05-P0017</t>
  </si>
  <si>
    <t>en.schemeContent.benefits[20]</t>
  </si>
  <si>
    <t>Rate of Scholarship for Day Scholar (in ₹ per month): 230/-</t>
  </si>
  <si>
    <t>M05-P0018</t>
  </si>
  <si>
    <t>B. Reader Allowance for Blind and Low-Vision Students.</t>
  </si>
  <si>
    <t>M05-P0019</t>
  </si>
  <si>
    <t>Group A, B, C (in ₹ per month): 100/-</t>
  </si>
  <si>
    <t>M05-P0020</t>
  </si>
  <si>
    <t>Group D (in ₹ per month): 75/-</t>
  </si>
  <si>
    <t>M05-P0021</t>
  </si>
  <si>
    <t>Group E (in ₹ per month): 50/-</t>
  </si>
  <si>
    <t>M05-P0022</t>
  </si>
  <si>
    <t>en.schemeContent.benefits[30].children[0]</t>
  </si>
  <si>
    <t xml:space="preserve">C. Tuition Fees (in ₹ per month): </t>
  </si>
  <si>
    <t>M05-P0023</t>
  </si>
  <si>
    <t>As approved by the competent authority.</t>
  </si>
  <si>
    <t>M05-P0024</t>
  </si>
  <si>
    <t>en.schemeContent.benefits[33].children[0]</t>
  </si>
  <si>
    <t xml:space="preserve">D. Study Tour Expenditure (in ₹ per annum): </t>
  </si>
  <si>
    <t>M05-P0025</t>
  </si>
  <si>
    <t>500/-</t>
  </si>
  <si>
    <t>M05-P0026</t>
  </si>
  <si>
    <t>en.schemeContent.benefits[36].children[0]</t>
  </si>
  <si>
    <t xml:space="preserve">E. Project Typing Expenditure (in ₹ per annum): </t>
  </si>
  <si>
    <t>M05-P0027</t>
  </si>
  <si>
    <t>en.schemeContent.benefits[37]</t>
  </si>
  <si>
    <t>600/-</t>
  </si>
  <si>
    <t>M05-P0028</t>
  </si>
  <si>
    <t>M05-P0029</t>
  </si>
  <si>
    <t>M05-P0030</t>
  </si>
  <si>
    <t>M05-P0031</t>
  </si>
  <si>
    <t>M05-P0032</t>
  </si>
  <si>
    <t>M05-P0033</t>
  </si>
  <si>
    <t>M05-P0034</t>
  </si>
  <si>
    <t>M05-P0035</t>
  </si>
  <si>
    <t>M05-P0050</t>
  </si>
  <si>
    <t>What Are The Objectives Of This Scheme?
The objective of this scheme is to encourage students with disability (SwDs) to pursue higher education, i.e. H.S.C., Degree, Professional, Technical, Medical, Engineering, etc.</t>
  </si>
  <si>
    <t>M05-P0051</t>
  </si>
  <si>
    <t>M05-P0052</t>
  </si>
  <si>
    <t>Can Students Of Pre-Matric Grade (Class 1st To Class 10th) Also Apply?
No, only the students who have passed Class 10th and pursuing a higher qualification can apply to this scheme.</t>
  </si>
  <si>
    <t>M05-P0053</t>
  </si>
  <si>
    <t>What Is The Full Form Of HSC?
The full form of HSC is "Higher Secondary School Certificate".</t>
  </si>
  <si>
    <t>M05-P0054</t>
  </si>
  <si>
    <t>How Much Shall Be The Monthly Maintenance Allowance For A Day Scholar Pursuing A Postgraduate Degree?
The monthly Maintenance Allowance for a Day Scholar shall be ₹ 550/-.</t>
  </si>
  <si>
    <t>M05-P0055</t>
  </si>
  <si>
    <t>How Much Shall Be The Monthly Maintenance Allowance For A Hosteller Pursuing A Diploma In Professional Education?
The monthly Maintenance Allowance for a Hosteller shall be ₹ 530/-.</t>
  </si>
  <si>
    <t>M05-P0056</t>
  </si>
  <si>
    <t>How Much Shall Be The Monthly Reader Allowance For A Day Scholar Pursuing A Diploma Course In Medical?
The monthly Reader Allowance for the Day Scholar shall be ₹ 100/-.</t>
  </si>
  <si>
    <t>M05-P0057</t>
  </si>
  <si>
    <t>How Much Shall Be The Allowance Towards Study Tour Expenditure?
The Allowance towards Study Tour Expenditure shall be ₹ 500/- per annum.</t>
  </si>
  <si>
    <t>M05-P0058</t>
  </si>
  <si>
    <t>Are There Any Eligibility Criteria Regarding The Percentage Of Disability Of The Applicant?
Yes, the percentage of disability of the applicant should be 40% and above.</t>
  </si>
  <si>
    <t>M05-P0059</t>
  </si>
  <si>
    <t>M05-P0060</t>
  </si>
  <si>
    <t>M05-P0061</t>
  </si>
  <si>
    <t>M05-P0062</t>
  </si>
  <si>
    <t>M05-P0063</t>
  </si>
  <si>
    <t>M05-P0064</t>
  </si>
  <si>
    <t>M05-P0065</t>
  </si>
  <si>
    <t>M05-P0066</t>
  </si>
  <si>
    <t>M05-P0067</t>
  </si>
  <si>
    <t>M05-P0068</t>
  </si>
  <si>
    <t>M05-P0069</t>
  </si>
  <si>
    <t>Where Can I Find The Link To The Scheme Guidelines?
The Scheme Guidelines can be found at this link - https://sjsa.maharashtra.gov.in/en/scheme-category/disability-welfare</t>
  </si>
  <si>
    <t>M05-P0070</t>
  </si>
  <si>
    <t>M05-P0071</t>
  </si>
  <si>
    <t>M05-P0072</t>
  </si>
  <si>
    <t>M05-P0073</t>
  </si>
  <si>
    <t>Is There An Income-Related Criterion For This Scheme?
No, there is no income-related criterion for this scheme.</t>
  </si>
  <si>
    <t>M05-P0074</t>
  </si>
  <si>
    <t>Where Can I Find The Format Of The Application Form? Is It Available Online?
You need to visit the District Social Welfare Office and request a hard copy of the format of the application form for the scheme from the concerned authority.</t>
  </si>
  <si>
    <t>M06-P0001</t>
  </si>
  <si>
    <t>The "Homes for Intellectually Impaired Persons" is a scheme by the Department of Social Justice &amp; Special Assistance, Govt. of Maharashtra. In this scheme, Mentally Deficient Children who are in need of care and protection are admitted into shelter homes through the Child Welfare Committee of the district formed under the Juvenile Justice (Care &amp; Protection of Children) Act 2000 and Amendment Act 2006. The numbers of MDC homes are 19 out of which 14 are granted and 5 are non-granted.</t>
  </si>
  <si>
    <t>M06-P0002</t>
  </si>
  <si>
    <t>The Mentally Deficient Children who are in need of care and protection are admitted into shelter homes.</t>
  </si>
  <si>
    <t>M06-P0003</t>
  </si>
  <si>
    <t>There are free facilities of food, shelter, and care &amp; protection are provided in these homes.</t>
  </si>
  <si>
    <t>M06-P0004</t>
  </si>
  <si>
    <t>M06-P0005</t>
  </si>
  <si>
    <t>M06-P0006</t>
  </si>
  <si>
    <t>M06-P0007</t>
  </si>
  <si>
    <t>M06-P0008</t>
  </si>
  <si>
    <t>M06-P0020</t>
  </si>
  <si>
    <t>What Is The Full Form Of MDC?
The full form of MDC is "Mentally Deficient Children".</t>
  </si>
  <si>
    <t>M06-P0021</t>
  </si>
  <si>
    <t>In Which Year Did The Juvenile Justice (Care &amp; Protection Of Children) Act Come Into Existence?
The Juvenile Justice (Care &amp; Protection of Children) Act came into existence in the year 2000.</t>
  </si>
  <si>
    <t>M06-P0022</t>
  </si>
  <si>
    <t>In Which Year Did The Juvenile Justice (Care &amp; Protection Of Children) Act Last Amended?
The Juvenile Justice (Care &amp; Protection of Children) Act was last amended in the year 2006.</t>
  </si>
  <si>
    <t>M06-P0023</t>
  </si>
  <si>
    <t>Is It Mandatory For The Child To Be An Orphan In Order To Be Eligible For This Scheme?
Yes, in order to be eligible for this scheme, the applicant should be an orphan.</t>
  </si>
  <si>
    <t>M06-P0024</t>
  </si>
  <si>
    <t>Where Can I Find The List Of All The Child Welfare Committees Of Maharashtra?
The list of all the Child Welfare Committees of Maharashtra can be found at - https://jjis.maharashtra.gov.in/Site/ViewCWCList</t>
  </si>
  <si>
    <t>M06-P0025</t>
  </si>
  <si>
    <t>How Many MDC Homes Under This Scheme Are Non-Granted?
The numbers of MDC homes are 19 out of which 14 are granted and 5 are non-granted.</t>
  </si>
  <si>
    <t>M06-P0026</t>
  </si>
  <si>
    <t>What Free Facilities Are Provided In The MDC Homes?
There are free facilities of food, shelter, and care &amp; protection are provided in these homes.</t>
  </si>
  <si>
    <t>M06-P0027</t>
  </si>
  <si>
    <t>Is It Mandatory For The Child To Be Mentally Deficient In Order To Be Eligible To Apply To This Scheme?
Yes, the applicant should be a Mentally Deficient Child (MDC).</t>
  </si>
  <si>
    <t>M06-P0028</t>
  </si>
  <si>
    <t>What Are The Objectives Of This Scheme?
In this scheme, Mentally Deficient Children who are in need of care and protection are admitted into shelter homes</t>
  </si>
  <si>
    <t>M06-P0029</t>
  </si>
  <si>
    <t>Who Are The Target Beneficiaries Of This Scheme?
The target beneficiaries of this scheme are the Mentally Deficient Children who are in need of care and protection.</t>
  </si>
  <si>
    <t>M06-P0030</t>
  </si>
  <si>
    <t>M06-P0031</t>
  </si>
  <si>
    <t>M06-P0032</t>
  </si>
  <si>
    <t>M06-P0033</t>
  </si>
  <si>
    <t>M06-P0034</t>
  </si>
  <si>
    <t>M06-P0035</t>
  </si>
  <si>
    <t>M06-P0036</t>
  </si>
  <si>
    <t>M06-P0037</t>
  </si>
  <si>
    <t>M06-P0038</t>
  </si>
  <si>
    <t>M06-P0039</t>
  </si>
  <si>
    <t>M06-P0040</t>
  </si>
  <si>
    <t>M06-P0041</t>
  </si>
  <si>
    <t>M06-P0042</t>
  </si>
  <si>
    <t>M06-P0043</t>
  </si>
  <si>
    <t>M06-P0044</t>
  </si>
  <si>
    <t>M07-P0001</t>
  </si>
  <si>
    <t>Being implemented particularly for the (Scheduled Caste) Charmakar Community, the "Gattai Stall Scheme" is a scheme by the Leather Industries Development Corporation (LIDCOM), Govt. of Maharashtra. This scheme is being implemented for the Roadsides Cobblers. The scheme provides a 100% subsidy for the erection of a Tin Stall of Size 4’ x 5’ x 6.5’ costing ₹16,367/- per stall and ₹500/- incidental charges. Only citizens who are permanent residents of the state of Maharashtra are eligible to apply for this scheme. This scheme is completely funded by the Govt. of Maharashtra. The main objective of LIDCOM is to implement various schemes to uplift the lifestyle of Charmakars (Dhor, Chambhar, Holar, Mochi, etc.) who are economically weak and below the poverty line and with an intention to develop them educationally, economically, and socially so as to give them a respectable place in society.</t>
  </si>
  <si>
    <t>M07-P0002</t>
  </si>
  <si>
    <t>The scheme provides a 100% subsidy for the erection of a Tin Stall of Size 4’ x 5’ x 6.5’ costing ₹16,367/- per stall and ₹500/- incidental charges.</t>
  </si>
  <si>
    <t>M07-P0003</t>
  </si>
  <si>
    <t>M07-P0004</t>
  </si>
  <si>
    <t>M07-P0005</t>
  </si>
  <si>
    <t>M07-P0006</t>
  </si>
  <si>
    <t>M07-P0007</t>
  </si>
  <si>
    <t>M07-P0008</t>
  </si>
  <si>
    <t>M07-P0009</t>
  </si>
  <si>
    <t>M07-P0023</t>
  </si>
  <si>
    <t>Who Are The Target Beneficiaries Of This Scheme?
For this scheme, the target beneficiaries are the Roadside Cobblers identified by the Gram Panchayat.</t>
  </si>
  <si>
    <t>M07-P0024</t>
  </si>
  <si>
    <t>What Material Would The Stall Be Made Up Of?
The stall would be made up of Tin metal.</t>
  </si>
  <si>
    <t>M07-P0025</t>
  </si>
  <si>
    <t>What Shall Be The Dimensions Of The Tin Stall Being Erected?
The dimensions of the tin stall being erected will be 4’ x 5’ x 6.5’.</t>
  </si>
  <si>
    <t>M07-P0026</t>
  </si>
  <si>
    <t>What Shall Be The Cost Of The Tin Stall Being Erected?
The cost of the tin stall being erected will be ₹16,367/- per stall.</t>
  </si>
  <si>
    <t>M07-P0027</t>
  </si>
  <si>
    <t>How Much Would Be The Incidental Charges?
The incidental charges would be ₹500/-.</t>
  </si>
  <si>
    <t>M07-P0028</t>
  </si>
  <si>
    <t>What Are The Objectives Of This Scheme?
The main object of this scheme is to implement various schemes to uplift the lifestyle of Charmakars (Dhor, Chambhar, Holar, Mochi, etc.) with an intention to develop them educationally, economically, and socially so as to give them a respectable place in society.</t>
  </si>
  <si>
    <t>M07-P0029</t>
  </si>
  <si>
    <t>What Is The Full Form Of LIDCOM?
The full form of LIDCOM is "Leather Industries Development Corporation".</t>
  </si>
  <si>
    <t>M07-P0030</t>
  </si>
  <si>
    <t>If Required As A Mandatory Document, By Whom Should The Income Certificate And Caste Certificate Be Issued?
The Income Certificate and Caste Certificate should be issued by an Authorised Govt. Officer.</t>
  </si>
  <si>
    <t>M07-P0031</t>
  </si>
  <si>
    <t>M07-P0032</t>
  </si>
  <si>
    <t>M07-P0033</t>
  </si>
  <si>
    <t>What Are The Sub-Communities Under Charmakars Community?
The following are the sub-communities under Charmakars Community: Dhor, Chambhar, Holar, Mochi, etc.</t>
  </si>
  <si>
    <t>M07-P0034</t>
  </si>
  <si>
    <t>Where Can I Find The URL To The Official Website Of LIDCOM?
The URL to the official website of LIDCOM is - https://www.lidcom.co.in/</t>
  </si>
  <si>
    <t>M07-P0035</t>
  </si>
  <si>
    <t>What Is The Address Of The Managing Director Office Of LIDCOM?
The address of the Managing Director Office of LIDCOM is Bombay Life Building, 5th Floor, 45, Veer Nariman Road, Mumbai - 400 001.</t>
  </si>
  <si>
    <t>M07-P0036</t>
  </si>
  <si>
    <t>Where Can I Find The Addresses Of The Regional Offices And The District Offices Of LIDCOM?
The addresses of the Regional Offices and the District Offices of LIDCOM can be found at - http://www.lidcom.co.in/contact.php</t>
  </si>
  <si>
    <t>M07-P0037</t>
  </si>
  <si>
    <t>Is There A Customer Support Number For LIDCOM?
Yes, the Customer Support Number for LIDCOM is 022-22044186.</t>
  </si>
  <si>
    <t>M07-P0038</t>
  </si>
  <si>
    <t>Is There An Age-Related Criterion For This Scheme?
Yes, the applicant should be in the 18 to 50 years age group.</t>
  </si>
  <si>
    <t>M07-P0039</t>
  </si>
  <si>
    <t>Is There An Income-Related Criterion For This Scheme?
Yes, the annual income of the family of the applicant should be less than or equal to ₹1,00,000/-.</t>
  </si>
  <si>
    <t>M07-P0040</t>
  </si>
  <si>
    <t>Where Can I Find The Format Of The Application Form? Is It Available Online?
The format of the application form is available at the District Offices of LIDCOM.</t>
  </si>
  <si>
    <t>M08-P0001</t>
  </si>
  <si>
    <t>en.schemeContent.detailedDescription[0].children[0].children[0]</t>
  </si>
  <si>
    <t>The scheme "Mahila Kisan Yojana" is implemented by the Department of Social Justice &amp; Special Assistance, Government of Maharashtra, in collaboration with the National Scheduled Castes Finance and Development Corporation (NSFDC). The scheme aims to uplift the lifestyle of economically disadvantaged Charmakar communities (such as Dhor, Chambhar, Holar, and Mochi). The scheme promotes educational, economic, and social development to ensure a respectable place in society. Additionally, it supports the production and sale of various types of footwear and leather articles to government departments and the open market.</t>
  </si>
  <si>
    <t>M08-P0002</t>
  </si>
  <si>
    <t>Total Loan Amount: The scheme provides financial assistance of ₹50,000 for eligible female beneficiaries.</t>
  </si>
  <si>
    <t>M08-P0003</t>
  </si>
  <si>
    <t>Subsidy Provided: A subsidy of ₹10,000 is granted, reducing the effective loan burden on the beneficiary</t>
  </si>
  <si>
    <t>M08-P0004</t>
  </si>
  <si>
    <t>Loan Component: The remaining ₹40,000 is provided as a loan with an affordable interest rate of 5% per annum.</t>
  </si>
  <si>
    <t>M08-P0005</t>
  </si>
  <si>
    <t>M08-P0006</t>
  </si>
  <si>
    <t>M08-P0007</t>
  </si>
  <si>
    <t>M08-P0008</t>
  </si>
  <si>
    <t>M08-P0009</t>
  </si>
  <si>
    <t>M08-P0010</t>
  </si>
  <si>
    <t>M08-P0011</t>
  </si>
  <si>
    <t>M08-P0012</t>
  </si>
  <si>
    <t>M08-P0026</t>
  </si>
  <si>
    <t>What is the Mahila Kisan Yojana?
It is a scheme aimed at economically empowering the Charmakar community through financial assistance for agricultural projects.</t>
  </si>
  <si>
    <t>M08-P0027</t>
  </si>
  <si>
    <t>Who can apply for this scheme?
Female beneficiaries of the Charmakar Community aged 18 to 50 years.</t>
  </si>
  <si>
    <t>M08-P0028</t>
  </si>
  <si>
    <t>What is the total loan amount available under this scheme?
A total loan amount of ₹50,000 is available.</t>
  </si>
  <si>
    <t>M08-P0029</t>
  </si>
  <si>
    <t>What portion of the loan is subsidized?
₹10,000 of the loan amount is provided as a subsidy.</t>
  </si>
  <si>
    <t>M08-P0030</t>
  </si>
  <si>
    <t>What is the interest rate on the loan?
The interest rate is set at 5% per annum for the loan component.</t>
  </si>
  <si>
    <t>M08-P0031</t>
  </si>
  <si>
    <t>What are the income criteria for applicants?
Annual income must be below poverty line for the subsidy scheme, and below ₹98,000 in rural areas or ₹1,20,000 in urban areas for NSFDC Scheme.</t>
  </si>
  <si>
    <t>M08-P0032</t>
  </si>
  <si>
    <t>What documents are required to apply?
Income Certificate, Caste Certificate, 7/12 land extract, and a completed application form.</t>
  </si>
  <si>
    <t>M08-P0033</t>
  </si>
  <si>
    <t>Where can I obtain the application form?
The application form can be obtained at the District Office of LIDCOM.</t>
  </si>
  <si>
    <t>M08-P0034</t>
  </si>
  <si>
    <t>How do I submit my application?
Submit the completed application form along with required documents at the District Office of LIDCOM.</t>
  </si>
  <si>
    <t>M08-P0035</t>
  </si>
  <si>
    <t>Is there a specific deadline for submitting applications?
Applicants should check with the District Office for any specific deadlines.</t>
  </si>
  <si>
    <t>M08-P0036</t>
  </si>
  <si>
    <t>What happens after I submit my application?
You will receive an acknowledgment receipt from the District Office.</t>
  </si>
  <si>
    <t>M09-P0001</t>
  </si>
  <si>
    <t>The scheme "Mahila Samridhi Yojana" is administered by the Department of Social Justice &amp; Special Assistance, Government of Maharashtra, and funded by the National Scheduled Castes Finance and Development Corporation (NSFDC). The scheme aims to uplift economically weaker women from the Charmakar Community. The scheme focuses on providing educational, economic, and social development to ensure a respectable position in society for Charmakars (Dhor, Chambhar, Holar, Mochi, etc.). Eligible female beneficiaries from the Charmakar Community are granted loans ranging from ₹25,000/- to ₹50,000/- at a low interest rate of 4% per annum.</t>
  </si>
  <si>
    <t>M09-P0002</t>
  </si>
  <si>
    <t>Loan ranging from ₹25,000/- to ₹50,000/- is provided at a low interest rate of 4% per annum.</t>
  </si>
  <si>
    <t>M09-P0003</t>
  </si>
  <si>
    <t>M09-P0004</t>
  </si>
  <si>
    <t>M09-P0005</t>
  </si>
  <si>
    <t>M09-P0006</t>
  </si>
  <si>
    <t>M09-P0007</t>
  </si>
  <si>
    <t>M09-P0008</t>
  </si>
  <si>
    <t>M09-P0009</t>
  </si>
  <si>
    <t>M09-P0010</t>
  </si>
  <si>
    <t>M09-P0011</t>
  </si>
  <si>
    <t>M09-P0018</t>
  </si>
  <si>
    <t>What is the primary focus of the Mahila Samridhi Yojana in terms of community development?
The scheme primarily focuses on enhancing the socio-economic standing of the Charmakar community by promoting self-reliance through financial assistance.</t>
  </si>
  <si>
    <t>M09-P0019</t>
  </si>
  <si>
    <t>Is there any financial cap on the subsidies or benefits provided under the scheme?
Yes, loans are capped between ₹25,000 and ₹50,000 per beneficiary, with a low-interest rate of 4% per annum.</t>
  </si>
  <si>
    <t>M09-P0020</t>
  </si>
  <si>
    <t>Can male members of the Charmakar community apply under this scheme?
No, the Mahila Samridhi Yojana is specifically designed to provide financial assistance to female members of the Charmakar community.</t>
  </si>
  <si>
    <t>M09-P0021</t>
  </si>
  <si>
    <t>How does the Mahila Samridhi Yojana contribute to the socio-economic development of its beneficiaries?
By offering financial assistance at a low-interest rate and prioritising socially disadvantaged categories such as widows and divorcees, the scheme enables economic independence and enhances the quality of life for beneficiaries.</t>
  </si>
  <si>
    <t>M09-P0022</t>
  </si>
  <si>
    <t>Is there any training or skill development assistance provided under the Mahila Samridhi Yojana?
No specific training is mentioned in the scheme guidelines, but applicants are expected to have prior knowledge of the business they wish to pursue.</t>
  </si>
  <si>
    <t>M09-P0023</t>
  </si>
  <si>
    <t>What role does the Leather Industries Development Corporation of Maharashtra (LIDCOM) play in this scheme?
LIDCOM oversees the distribution of application forms, processing of applications, and facilitation of financial assistance for eligible beneficiaries.</t>
  </si>
  <si>
    <t>M09-P0024</t>
  </si>
  <si>
    <t>Does the Mahila Samridhi Yojana assist in the production and sale of goods?
Yes, the scheme supports the production of footwear and leather articles, which are either supplied to government departments or sold in the open market.</t>
  </si>
  <si>
    <t>M09-P0025</t>
  </si>
  <si>
    <t>Where can eligible applicants obtain the application form for the Mahila Samridhi Yojana?
The application form is available at the District Office of the Leather Industries Development Corporation of Maharashtra (LIDCOM).</t>
  </si>
  <si>
    <t>M09-P0026</t>
  </si>
  <si>
    <t>Are there any special priorities for certain categories of beneficiaries under the Mahila Samridhi Yojana?
Yes, special priority is given to widows and divorcees within the Charmakar community when providing financial assistance.</t>
  </si>
  <si>
    <t>M09-P0027</t>
  </si>
  <si>
    <t>What kind of financial assistance is provided to beneficiaries under the Mahila Samridhi Yojana?
Loans ranging from ₹25,000 to ₹50,000 are provided to eligible beneficiaries at an interest rate of 4% per annum.</t>
  </si>
  <si>
    <t>M09-P0028</t>
  </si>
  <si>
    <t>Is there a specific age range for applicants to be eligible for the scheme?
Yes, applicants must be between 18 and 50 years of age to apply for benefits under the Mahila Samridhi Yojana.</t>
  </si>
  <si>
    <t>M09-P0029</t>
  </si>
  <si>
    <t>Are there any specific business requirements for applicants under this scheme?
Yes, applicants must possess adequate knowledge about the business for which they are seeking financial assistance under the scheme.</t>
  </si>
  <si>
    <t>M09-P0030</t>
  </si>
  <si>
    <t>What proof of eligibility needs to be submitted while applying for the Mahila Samridhi Yojana?
Applicants need to submit income and caste certificates issued by an authorised government officer and provide proof of permanent residency in Maharashtra.</t>
  </si>
  <si>
    <t>M09-P0031</t>
  </si>
  <si>
    <t>What are the income limits for applicants to qualify for the Mahila Samridhi Yojana in rural and urban areas?
To qualify for the scheme, applicants' annual income must be below ₹98,000 in rural areas and below ₹1,20,000 in urban areas.</t>
  </si>
  <si>
    <t>M10-P0001</t>
  </si>
  <si>
    <t>The "Financial Assistance for Aids and Appliances for Disabled Persons" is a scheme by the Department of Social Justice &amp; Special Assistance, Govt. of Maharashtra. The objective of this scheme is to provide assistance to Persons with Disabilities (PwDs) for the purchase of aids and appliances as per their age group and the type of disability. Only citizens who are permanent residents of the state of Maharashtra are eligible to apply for this scheme. This scheme is 100% funded by the Govt. of Maharashtra.</t>
  </si>
  <si>
    <t>M10-P0002</t>
  </si>
  <si>
    <t>For Hearing Handicapped: Hearing Aids.</t>
  </si>
  <si>
    <t>M10-P0003</t>
  </si>
  <si>
    <t>For Orthopedically Handicapped: Crutches, Tricycles, Calipers, Wheel Chair.</t>
  </si>
  <si>
    <t>M10-P0004</t>
  </si>
  <si>
    <t>For Visually Handicapped: Tape Recorders and Blank Cassettes for Education Purposes Up to Cost of ₹3,000/-.</t>
  </si>
  <si>
    <t>M10-P0005</t>
  </si>
  <si>
    <t>M10-P0006</t>
  </si>
  <si>
    <t>M10-P0007</t>
  </si>
  <si>
    <t>M10-P0008</t>
  </si>
  <si>
    <t>M10-P0009</t>
  </si>
  <si>
    <t>M10-P0010</t>
  </si>
  <si>
    <t>M10-P0022</t>
  </si>
  <si>
    <t>What Are The Objectives Of This Scheme?
The objective of this scheme is to provide assistance to Persons with Disabilities (PwDs) for the purchase of aids and appliances as per their age group and the type of disability.</t>
  </si>
  <si>
    <t>M10-P0023</t>
  </si>
  <si>
    <t>For What Purposes Can The Amount Of The Financial Assistance Be Utilized?
The amount of financial assistance can be utilized towards the purchase of aids and appliances for Persons with Disabilities (PwDs).</t>
  </si>
  <si>
    <t>M10-P0024</t>
  </si>
  <si>
    <t>What Aids/Appliances Are Provided To The Orthopedically Handicapped?
Crutches, Tricycles, Calipers, and Wheel Chair are provided to the Orthopedically Handicapped.</t>
  </si>
  <si>
    <t>M10-P0025</t>
  </si>
  <si>
    <t>What Aids/Appliances Are Provided To The Visually Handicapped?
Tape Recorders and Blank Cassettes for Education Purposes Up to a Cost of ₹3,000/- are provided to the Visually Handicapped.</t>
  </si>
  <si>
    <t>M10-P0026</t>
  </si>
  <si>
    <t>What Aids/Appliances Are Provided To The Hearing Handicapped?
Hearing Aids are provided to the Hearing Handicapped.</t>
  </si>
  <si>
    <t>M10-P0027</t>
  </si>
  <si>
    <t>Who Are The Target Beneficiaries Of This Scheme?
The target beneficiaries of this scheme are Persons with Disabilities (PwDs).</t>
  </si>
  <si>
    <t>M10-P0028</t>
  </si>
  <si>
    <t>M10-P0029</t>
  </si>
  <si>
    <t>M10-P0030</t>
  </si>
  <si>
    <t>M10-P0031</t>
  </si>
  <si>
    <t>M10-P0032</t>
  </si>
  <si>
    <t>M10-P0033</t>
  </si>
  <si>
    <t>M10-P0034</t>
  </si>
  <si>
    <t>M10-P0035</t>
  </si>
  <si>
    <t>M10-P0036</t>
  </si>
  <si>
    <t>M10-P0037</t>
  </si>
  <si>
    <t>M10-P0038</t>
  </si>
  <si>
    <t>M10-P0039</t>
  </si>
  <si>
    <t>M10-P0040</t>
  </si>
  <si>
    <t>M10-P0041</t>
  </si>
  <si>
    <t>M10-P0042</t>
  </si>
  <si>
    <t>M10-P0043</t>
  </si>
  <si>
    <t>M11-P0001</t>
  </si>
  <si>
    <t>The "Financial Assistance to Disabled for Self Employment" is a scheme by the Department of Social Justice &amp; Special Assistance, Govt. of Maharashtra. The objective of this scheme is to facilitate the self-employment of unemployed disabled persons. Under this scheme, financial assistance is provided to persons with disabilities for self-employment, small-scale business, and agro-based project. Only citizens who are permanent residents of the state of Maharashtra are eligible to apply for this scheme. This scheme is 100% funded by the Govt. of Maharashtra.</t>
  </si>
  <si>
    <t>M11-P0002</t>
  </si>
  <si>
    <t>Financial Assistance of up to ₹1,50,000/- is provided. 80% loan amount is provided by the Nationalized Bank.</t>
  </si>
  <si>
    <t>M11-P0003</t>
  </si>
  <si>
    <t>20% subsidy of up to ₹30,000/- is provided by the Department of Social Justice &amp; Special Assistance.</t>
  </si>
  <si>
    <t>M11-P0004</t>
  </si>
  <si>
    <t>M11-P0005</t>
  </si>
  <si>
    <t>M11-P0006</t>
  </si>
  <si>
    <t>M11-P0007</t>
  </si>
  <si>
    <t>M11-P0008</t>
  </si>
  <si>
    <t>M11-P0009</t>
  </si>
  <si>
    <t>M11-P0022</t>
  </si>
  <si>
    <t>What Percentage Of The Amount Of The Loan Is Provided By The Nationalized Bank?
80% loan amount is provided by the Nationalized Bank.</t>
  </si>
  <si>
    <t>M11-P0023</t>
  </si>
  <si>
    <t>What Percentage Of The Subsidy Will Be Provided By The Department?
20% subsidy of up to ₹30,000/- is provided by the Department of Social Justice &amp; Special Assistance.</t>
  </si>
  <si>
    <t>M11-P0024</t>
  </si>
  <si>
    <t>What Are The Objectives Of This Scheme?
The objective of this scheme is to facilitate the self-employment of unemployed disabled persons. Under this scheme, financial assistance is provided to persons with disabilities for self-employment, small-scale business, and agro-based project.</t>
  </si>
  <si>
    <t>M11-P0025</t>
  </si>
  <si>
    <t>For What Purposes Can The Amount Of The Financial Assistance Be Utilized?
The amount of financial assistance can be utilized towards self-employment, small-scale business, and agro-based project.</t>
  </si>
  <si>
    <t>M11-P0026</t>
  </si>
  <si>
    <t>What Is The Maximum Amount Of Financial Assistance That One Can Receive Through This Scheme?
The maximum amount of financial assistance that one can receive through this scheme is ₹1,50,000/-.</t>
  </si>
  <si>
    <t>M11-P0027</t>
  </si>
  <si>
    <t>M11-P0028</t>
  </si>
  <si>
    <t>M11-P0029</t>
  </si>
  <si>
    <t>M11-P0030</t>
  </si>
  <si>
    <t>M11-P0031</t>
  </si>
  <si>
    <t>M11-P0032</t>
  </si>
  <si>
    <t>M11-P0033</t>
  </si>
  <si>
    <t>M11-P0034</t>
  </si>
  <si>
    <t>M11-P0035</t>
  </si>
  <si>
    <t>M11-P0036</t>
  </si>
  <si>
    <t>M11-P0037</t>
  </si>
  <si>
    <t>M11-P0038</t>
  </si>
  <si>
    <t>M11-P0039</t>
  </si>
  <si>
    <t>M11-P0040</t>
  </si>
  <si>
    <t>M11-P0041</t>
  </si>
  <si>
    <t>M11-P0042</t>
  </si>
  <si>
    <t>M11-P0043</t>
  </si>
  <si>
    <t>M11-P0044</t>
  </si>
  <si>
    <t>M12-P0001</t>
  </si>
  <si>
    <t>The scheme "Ramai Awas (Gharkul) Scheme for SC &amp; Nav-Buddha (Urban and Rural)" is a housing scheme by the Department of Social Justice &amp; Special Assistance of the Government of Maharashtra. The scheme aims to raise the standard of living of the individuals from the Scheduled Caste and Nav-Buddha communities residing in rural &amp; urban areas of Maharashtra.</t>
  </si>
  <si>
    <t>M12-P0002</t>
  </si>
  <si>
    <t>The benefits vary with the area that the beneficiary resides in -</t>
  </si>
  <si>
    <t>M12-P0003</t>
  </si>
  <si>
    <t>Rural Area: ₹ 1,00,000/- (Beneficiary's share is Nil)</t>
  </si>
  <si>
    <t>M12-P0004</t>
  </si>
  <si>
    <t>Municipal Area: ₹ 1,50,000/- (Beneficiary's share is 7.5%)</t>
  </si>
  <si>
    <t>M12-P0005</t>
  </si>
  <si>
    <t>Municipal Corporation: ₹ 2,00,000/- (Beneficiary's share is 10%)</t>
  </si>
  <si>
    <t>M12-P0006</t>
  </si>
  <si>
    <t>M12-P0007</t>
  </si>
  <si>
    <t>M12-P0008</t>
  </si>
  <si>
    <t>M12-P0009</t>
  </si>
  <si>
    <t>M12-P0010</t>
  </si>
  <si>
    <t>M12-P0011</t>
  </si>
  <si>
    <t>M12-P0012</t>
  </si>
  <si>
    <t>M12-P0013</t>
  </si>
  <si>
    <t>M12-P0014</t>
  </si>
  <si>
    <t>M12-P0015</t>
  </si>
  <si>
    <t>M12-P0030</t>
  </si>
  <si>
    <t>What role does the Assistant Commissioner, Social Welfare Office, play in the application process?
The Assistant Commissioner provides the prescribed application form and facilitates the submission process for applicants.</t>
  </si>
  <si>
    <t>M12-P0031</t>
  </si>
  <si>
    <t>What happens if an applicant does not meet the residential duration requirement of 15 years in Maharashtra?
Applicants not meeting this criterion are deemed ineligible for the scheme.</t>
  </si>
  <si>
    <t>M12-P0032</t>
  </si>
  <si>
    <t>How does the scheme ensure that the assistance provided reaches the most needy beneficiaries?
By prioritizing applicants from BPL families, the scheme ensures the most disadvantaged individuals receive assistance.</t>
  </si>
  <si>
    <t>M12-P0033</t>
  </si>
  <si>
    <t>How should applicants confirm that they have fulfilled all documentation requirements before submitting their application?
Applicants should cross-check that all mandatory documents are attached, self-attested if required, and in the correct format before submission.</t>
  </si>
  <si>
    <t>M12-P0034</t>
  </si>
  <si>
    <t>What documents are required to apply for the scheme, and should they be self-attested?
The required documents include a Residential/Domicile Certificate, Caste Certificate, Aadhaar Card, Address Proof, Identity Card, and Passport Size Photo. They may need to be self-attested.</t>
  </si>
  <si>
    <t>M12-P0035</t>
  </si>
  <si>
    <t>Where should an interested applicant visit to collect the prescribed application form for this scheme?
The applicant can visit the Assistant Commissioner, Social Welfare Office, Project Director at the District Rural Development Agency, or the District Council/Municipal Commissioner.</t>
  </si>
  <si>
    <t>M12-P0036</t>
  </si>
  <si>
    <t>What priority criteria are considered while selecting beneficiaries under this scheme?
Priority is given to applicants from Below Poverty Line (BPL) households.</t>
  </si>
  <si>
    <t>M12-P0037</t>
  </si>
  <si>
    <t>Does the applicant need to own land to qualify for the scheme, and why is this important?
Yes, the applicant must own land, as the scheme requires beneficiaries to construct houses on their own land.</t>
  </si>
  <si>
    <t>M12-P0038</t>
  </si>
  <si>
    <t>Is it possible for multiple members of the same family to apply for the scheme?
No, only one person per family is allowed to apply and benefit from the scheme.</t>
  </si>
  <si>
    <t>M12-P0039</t>
  </si>
  <si>
    <t>What is the annual income threshold for beneficiaries residing in municipal corporations to avail of the scheme benefits?
Applicants from municipal corporations must have an annual income not exceeding ₹2,00,000.</t>
  </si>
  <si>
    <t>M12-P0040</t>
  </si>
  <si>
    <t>What is the maximum annual income limit for applicants from municipal areas under this scheme?
The income limit for applicants from municipal areas is ₹1,50,000 per annum.</t>
  </si>
  <si>
    <t>M13-P0001</t>
  </si>
  <si>
    <t>•	Under this scheme an amount of Rs. 6000/- will be transferred annually in three equal instalments</t>
  </si>
  <si>
    <t>M13-P0002</t>
  </si>
  <si>
    <t>•	Government Resolution No Kisani-2023/CR 42/11 A dated 15/06/2023 has been issued regarding the scheme.</t>
  </si>
  <si>
    <t>M13-P0003</t>
  </si>
  <si>
    <t>•	Farmers which are eligible for PM Kisan Yojana will be eligible for the benefit of "Namo Shetkari Mahasanman Nidhi Yojana"</t>
  </si>
  <si>
    <t>M13-P0004</t>
  </si>
  <si>
    <t>1) Eligible Farmers families as per PM KISAN will be Benefited Rs. 2000/- per Instalment.</t>
  </si>
  <si>
    <t>M13-P0005</t>
  </si>
  <si>
    <t>2) The beneficiaries benefited in PM KISAN will get the benefit of NSMNY.</t>
  </si>
  <si>
    <t>M13-P0006</t>
  </si>
  <si>
    <t>3) The NSMNY beneficiaries will be benefited from the list provided by GoI.</t>
  </si>
  <si>
    <t>M13-P0007</t>
  </si>
  <si>
    <t>4) First instalment of NSMNY is given as per the list of 14th instalment of PMKISAN.</t>
  </si>
  <si>
    <t>M13-P0008</t>
  </si>
  <si>
    <t>5) Eligible farmers family will get Rs. 2000/- from PMKISAN &amp; NSMNY at each instalment.</t>
  </si>
  <si>
    <t>M13-P0009</t>
  </si>
  <si>
    <t>6) Eligible farmers will get Rs. 12,000/- in a year from both PM KISAN &amp; NSMNY schems.</t>
  </si>
  <si>
    <t>M13-P0010</t>
  </si>
  <si>
    <t>7) Farmers will be benefited through DBT.</t>
  </si>
  <si>
    <t>M13-P0011</t>
  </si>
  <si>
    <t>8) The benefit of the NSMNY will be credited only in Aadhar linked bank accounts.</t>
  </si>
  <si>
    <t>M13-P0012</t>
  </si>
  <si>
    <t>9) The benefit credited to the ineligibles in NSMNY will be recovered as per the SoP of PMKISAN</t>
  </si>
  <si>
    <t>M13-P0013</t>
  </si>
  <si>
    <t>M13-P0014</t>
  </si>
  <si>
    <t>M13-P0015</t>
  </si>
  <si>
    <t>M13-P0016</t>
  </si>
  <si>
    <t>M13-P0017</t>
  </si>
  <si>
    <t>M13-P0018</t>
  </si>
  <si>
    <t>M13-P0019</t>
  </si>
  <si>
    <t>M13-P0020</t>
  </si>
  <si>
    <t>M13-P0021</t>
  </si>
  <si>
    <t>M13-P0022</t>
  </si>
  <si>
    <t>M13-P0023</t>
  </si>
  <si>
    <t>M13-P0035</t>
  </si>
  <si>
    <t>Instalment time of NSMNY scheme ?
April – July, August – November and December – March</t>
  </si>
  <si>
    <t>M13-P0036</t>
  </si>
  <si>
    <t>Amount benefited in NSMNY scheme ?
An amount of Rs. 6000/- will be transferred annually in three equal instalments.</t>
  </si>
  <si>
    <t>M13-P0037</t>
  </si>
  <si>
    <t>Payment mode of the scheme ?
Payment mode is Aadhar.</t>
  </si>
  <si>
    <t>M13-P0038</t>
  </si>
  <si>
    <t>Whether DBT enabled bank account is required for NSMNY ?
Yes, NSMNY scheme benefit is credited only in DBT enabled bank account.</t>
  </si>
  <si>
    <t>M13-P0039</t>
  </si>
  <si>
    <t>Is it mandatory to link bank account with Aadhar ?
Yes, it is mandatory to link bank account with Aadhar to get benefit of NSMNY.</t>
  </si>
  <si>
    <t>M13-P0040</t>
  </si>
  <si>
    <t>Eligibility criteria of NSMNY scheme ?
The beneficiary should be eligible in PM KISAN scheme.</t>
  </si>
  <si>
    <t>M13-P0041</t>
  </si>
  <si>
    <t>How to register for NSMNY scheme?
No need to register for NSMNY scheme. The PM KISAN registered eligible beneficiary is the beneficiary of NSMNY.</t>
  </si>
  <si>
    <t>M13-P0042</t>
  </si>
  <si>
    <t>Is this scheme is for group of farmers?
No, This scheme is for only eligible farmer families.</t>
  </si>
  <si>
    <t>M13-P0043</t>
  </si>
  <si>
    <t>Which documents are required for NSMNY registration?
No any documents need. You have to register in PM KISAN scheme to get the benefit of NSMNY</t>
  </si>
  <si>
    <t>M13-P0044</t>
  </si>
  <si>
    <t>I am not able to register the farmer on the portal. It says Aadhar No. is already registered. How do I proceed?
It might happen that the farmer has already registered himself on the PM-KISAN portal via self-registration mode. In such cases, you may check if the farmer has self-registered under the “Status of Self- Registration/CSC Farmers” on the home page of PM-KISAN Portal in the Farmer’s Corner section.</t>
  </si>
  <si>
    <t>M13-P0045</t>
  </si>
  <si>
    <t>A farmer has been wrongly rejected due to some errors in the application. I am not able to register the farmer via direct data entry on PM-KISAN portal. How do I proceed?
In such cases, the farmer must edit/update/re-submit his application via “Updation of Self-Registration” window in the Farmer’s Corner on the PM-KISAN Portal. If farmer is registered through CSC, farmer has to contact nearby CSC centre for updation. Once re-submitted/edited, the farmer application will again be sent to the State for approval/validation.</t>
  </si>
  <si>
    <t>M13-P0046</t>
  </si>
  <si>
    <t>A farmer has wrongly entered some details during self-registration via CSC. When the farmer tries to edit the application, the record is not available. How to proceed? 
The record will be available for correction on the same user id via which the farmer was registered. Hence, a farmer who has registered via CSC - A, cannot go for editing his application to CSC - B.</t>
  </si>
  <si>
    <t>M13-P0047</t>
  </si>
  <si>
    <t>Is it mandatory for a farmer to enter the land records details to register under PM-KISAN?
Yes, the land record details are mandatory for a farmer to register himself under PM-KISAN. Without entering the land records details, the farmer will not be able to submit his application on the portal.</t>
  </si>
  <si>
    <t>M14-P0001</t>
  </si>
  <si>
    <t>Scheme launched by GR शासन निर्णय क्र. योजना-२०१९/प्र.क्र.१२१/उद्योग ७ dated on 01.08.2019 Scheme will be implemented and monitored by Directorate of Industries (DOI), under the administrative control of Industries Department, Government of Maharashtra. The Scheme will be implemented through District Industries   Canters (DICs), Maharashtra State Khadi and Village Industries Boards (KVIB) under the control of Directorate of Industries and also by banks.</t>
  </si>
  <si>
    <t>M14-P0002</t>
  </si>
  <si>
    <t>The maximum cost of the project/unit admissible under manufacturing sector is Rs.50 lakh.</t>
  </si>
  <si>
    <t>M14-P0003</t>
  </si>
  <si>
    <t>The maximum cost of the project/unit admissible under service, Agro-based/ Primary Agro processing sector, E-vehicle based goods transport and other businesses, single brand service ventures (single brand-based chains, mobile service ventures) is Rs.20 lakhs.</t>
  </si>
  <si>
    <t>M14-P0004</t>
  </si>
  <si>
    <t>en.schemeContent.detailedDescription[2].children[2]</t>
  </si>
  <si>
    <t>Beneficiary’s Contribution in the project cost will be 5% to 10 % as per the Categories of Beneficiaries under CMEGP scheme and balance amount of the total project cost will be provided   by Banks as term loan.</t>
  </si>
  <si>
    <t>M14-P0005</t>
  </si>
  <si>
    <t>Categories of beneficiaries under CMEGP</t>
  </si>
  <si>
    <t>M14-P0006</t>
  </si>
  <si>
    <t>Beneficiary’s Contribution (of project cost)</t>
  </si>
  <si>
    <t>M14-P0007</t>
  </si>
  <si>
    <t>Rate of subsidy (of project cost)</t>
  </si>
  <si>
    <t>M14-P0008</t>
  </si>
  <si>
    <t>Area (location of project/unit)</t>
  </si>
  <si>
    <t>M14-P0009</t>
  </si>
  <si>
    <t>Urban</t>
  </si>
  <si>
    <t>M14-P0010</t>
  </si>
  <si>
    <t>Rural</t>
  </si>
  <si>
    <t>M14-P0011</t>
  </si>
  <si>
    <t>General Category</t>
  </si>
  <si>
    <t>M14-P0012</t>
  </si>
  <si>
    <t>10%</t>
  </si>
  <si>
    <t>M14-P0013</t>
  </si>
  <si>
    <t>15%</t>
  </si>
  <si>
    <t>M14-P0014</t>
  </si>
  <si>
    <t>25%</t>
  </si>
  <si>
    <t>M14-P0015</t>
  </si>
  <si>
    <t>Special Category (includes SC / ST /Women/ Ex- servicemen / differently abled/VJNT/OBC/Minority)</t>
  </si>
  <si>
    <t>M14-P0016</t>
  </si>
  <si>
    <t>5%</t>
  </si>
  <si>
    <t>M14-P0017</t>
  </si>
  <si>
    <t>M14-P0018</t>
  </si>
  <si>
    <t>35%</t>
  </si>
  <si>
    <t>M14-P0019</t>
  </si>
  <si>
    <t>M14-P0020</t>
  </si>
  <si>
    <t>M14-P0021</t>
  </si>
  <si>
    <t>M14-P0022</t>
  </si>
  <si>
    <t>M14-P0023</t>
  </si>
  <si>
    <t>M14-P0024</t>
  </si>
  <si>
    <t>M14-P0025</t>
  </si>
  <si>
    <t>M14-P0026</t>
  </si>
  <si>
    <t>M14-P0045</t>
  </si>
  <si>
    <t>What is maximum project cost allowed under CMEGP? 
Rs.50.00 lakhs for manufacturing unit and Rs.20.00 lakhs for Service Unit.</t>
  </si>
  <si>
    <t>M14-P0046</t>
  </si>
  <si>
    <t>Who are the beneficiaries? 
Individual Entrepreneurs and SHG’s.</t>
  </si>
  <si>
    <t>M14-P0047</t>
  </si>
  <si>
    <t>What is Age limit ? 
Any individuals between 18 to 45 years of age. For special category age is relaxed by 5 years.</t>
  </si>
  <si>
    <t>M14-P0048</t>
  </si>
  <si>
    <t>What is the definition of family ? 
Self and Spouse.</t>
  </si>
  <si>
    <t>M14-P0049</t>
  </si>
  <si>
    <t>Whether Unit can be set up in urban Area.? 
Yes, through Implementing Agencies.</t>
  </si>
  <si>
    <t>M14-P0050</t>
  </si>
  <si>
    <t>What are the main criteria of project? 
It should fulfill the criteria of rural area (for Rural Area project), own contribution, negative list and the unit should be new one.</t>
  </si>
  <si>
    <t>M14-P0051</t>
  </si>
  <si>
    <t>What is lock in period for Govt. Subsidy? 
3 years.</t>
  </si>
  <si>
    <t>M14-P0052</t>
  </si>
  <si>
    <t>Which are the financial agencies? 
All Public Sector Banks, Regional Rural Banks (RRB), Co-operative Banks, Private Scheduled Commercial Banks regulated by RBI and approved by SLMC of concern State.</t>
  </si>
  <si>
    <t>M14-P0053</t>
  </si>
  <si>
    <t>Where does the beneficiary has to submit his/her application/ Project? 
Beneficiary can submit his/her application/Project online on CMEGP website. https://maha-cmegp.gov.in /homepage</t>
  </si>
  <si>
    <t>M15-P0001</t>
  </si>
  <si>
    <t>The Nanaji Deshmukh Krishi Sanjivani Prakalp was conceptualised by the Department of Agriculture, Government of Maharashtra and the World Bank to develop a drought-proofing and climate-resilient strategy for the agriculture sector as a long-term and sustainable measure, to address the likely impacts of climate variabilities and climate change. The project focuses on the evidence-based scientific implementation of this plan.</t>
  </si>
  <si>
    <t>M15-P0002</t>
  </si>
  <si>
    <t>The project has introduced transformational changes in the agriculture sector by scaling up the adoption of climate-smart technologies and practices at the farm and micro-watershed level, contributing to drought-proofing and creation of new opportunities in villages worst hit by drought and salinity/sodicity affected villages in the state. The project is supporting investments by farmers, farmers’ collectives, and communities for accessing water, optimal utilization of natural resources, value addition of agriculture commodities, and adoption of climate-resilient agriculture technologies. The project has taken a gender-sensitive approach to prioritize the needs of the women stakeholders in the planning and implementation of project interventions which is being driven through “Krushi Tais” (female mobilizers) at the village level.</t>
  </si>
  <si>
    <t>M15-P0003</t>
  </si>
  <si>
    <t>Direct Benefit Transfer portal and mobile application allow farmers to apply for matching grants for their farm-level investments aimed at improving incomes. The DBT portal is a workflow-based end to end online system through which the project officials can verify the eligibility and assets created and transfer the matching grants directly to the farmer’s Aadhar linked bank account. Another module of this portal allows the farmers’ collectives to receive matching grants for their value chain based agribusiness proposals.</t>
  </si>
  <si>
    <t>M15-P0004</t>
  </si>
  <si>
    <t>1)	Back ended financial subsidies for Farmers to adopt climate resilient agricultural initiatives in their farms</t>
  </si>
  <si>
    <t>M15-P0005</t>
  </si>
  <si>
    <t>2)	Financial assistance available for protected cultivation techniques such as Poly House, Poly Tunnels, etc.</t>
  </si>
  <si>
    <t>M15-P0006</t>
  </si>
  <si>
    <t>3)	Subsidy also available for on farm water conservation activities such as Drip, Sprinklers, Farm Pond, Farm Pond linings, etc.</t>
  </si>
  <si>
    <t>M15-P0007</t>
  </si>
  <si>
    <t>4)	Climate Resilient seed production also covered</t>
  </si>
  <si>
    <t>M15-P0008</t>
  </si>
  <si>
    <t>5)	Special assistance for Farmer Producing Organizations/companies and Self Help Groups</t>
  </si>
  <si>
    <t>M15-P0009</t>
  </si>
  <si>
    <t>6)	Disbursement through Aadhaar enabled payment system</t>
  </si>
  <si>
    <t>M15-P0010</t>
  </si>
  <si>
    <t>7)	Privilege given to women, person with disabilities and landless labourers</t>
  </si>
  <si>
    <t>M15-P0011</t>
  </si>
  <si>
    <t>M15-P0012</t>
  </si>
  <si>
    <t>M15-P0013</t>
  </si>
  <si>
    <t>M15-P0014</t>
  </si>
  <si>
    <t>M15-P0015</t>
  </si>
  <si>
    <t>M15-P0016</t>
  </si>
  <si>
    <t>M15-P0017</t>
  </si>
  <si>
    <t>M15-P0018</t>
  </si>
  <si>
    <t>M15-P0033</t>
  </si>
  <si>
    <t>What are the benefits to the farmers offered under NDKSP scheme?
Small and marginal farmers with land holding upto 5 Ha will get financial assistance upto 80% for implementing climate resilient activities such as drip, sprinklers, farm-pond, shade-net, poly-tunnels, etc on their farms</t>
  </si>
  <si>
    <t>M15-P0034</t>
  </si>
  <si>
    <t>If I have 2 Ha land in the project region and my village is included in the scheme, can I apply for 30x30x12 Mtr farm-pond on my farm?
Yes. You are eligible for applying for the given activity</t>
  </si>
  <si>
    <t>M15-P0035</t>
  </si>
  <si>
    <t>What is the mode of payment from NDKSP and when will I get paid?
The project has implemented back-ended financial assistance, therefore, you need to apply for the activity which you want to implement on your farm. Once you get pre-sanction after the technical feasibility from Sub Divisional Agriculture Officer (SDAO), you can complete the work. Post completion of the work, you can raise the payment request in the DBT application of NDKSP. After the successful post work inspection, the financial assistance according to the norms of the project will get disbursed to your Aadhaar linked Bank account.</t>
  </si>
  <si>
    <t>M15-P0036</t>
  </si>
  <si>
    <t>What can I do if my village is not included in NDKSP scheme?
Village selection is a detailed process at the state level and those villages which are the most vulnerable from the perspective of climate and other variables are selected after due consideration. If your village is not included in the scheme, then you are not eligible to avail financial assistance from the project. However, you may utilize the benefits such as agro-climatic advisories issued by the project through the Farmer app, attend the training sessions, etc.</t>
  </si>
  <si>
    <t>M15-P0037</t>
  </si>
  <si>
    <t>Does NDKSP project provide handholding and training sessions of the farmers to adopt climate resilient farming techniques?
Yes, under Farm Field School initiative of NDKSP, the project conduct training sessions of the farmers in the demo plot of the identified villages which any farmers from that village can attend and take benefit out of it. For further details, Farmers can contact Agriculture Assistant or Cluster Assistant of the village</t>
  </si>
  <si>
    <t>M15-P0038</t>
  </si>
  <si>
    <t>I am a member of Farmer Producing Organization, are there any activities for which I can apply for?
Farmer Producing Organizations/ Farmer Producing Companies/ Self Help Groups from the districts covered under NDKSP scheme are eligible to apply for multiple activities which are designed for Agribusiness promotion in the project region. Details of the registration and application are available on the portal https://dbt.mahapocra.gov.in or you may connect with Project Specialist – Agribusiness at the Superintendent Agriculture Officer at district level.</t>
  </si>
  <si>
    <t>M15-P0039</t>
  </si>
  <si>
    <t>I am a farmer with less than 1 Ha land in NDKSP region, am I eligible to apply for the scheme? 
Yes, you are eligible for the application.</t>
  </si>
  <si>
    <t>M15-P0040</t>
  </si>
  <si>
    <t>If I am having more than 5 Ha of the land in NDKSP region, am I eligible to apply for the scheme?
We are sorry but farmers with land holdings with more than 5 Ha land are not eligible to apply for the activities under NDKSP scheme. However, you may take benefit of the training sessions as well as utilize Agro Climatic advisories issued by the project in your region</t>
  </si>
  <si>
    <t>M15-P0041</t>
  </si>
  <si>
    <t>I am a member of FPO which is in the districts of NDKSP however the village where the FPO is located doesn’t comes under the list of villages of NDKSP. Will my FPO be able to apply for the scheme?
I am a member of FPO which is in the districts of NDKSP however the village where the FPO is located doesn’t comes under the list of villages of NDKSP. Will my FPO be able to apply for the scheme?</t>
  </si>
  <si>
    <t>M15-P0042</t>
  </si>
  <si>
    <t>I am a landless farmer however I want to apply for the activity which doesn’t need land, am I eligible to apply and what additional document am I supposed to be produced?
Yes, you can apply for certain activities such as poultry, goat farming, epiculture, etc. and you need to provide landless farmer certificate from the competent authority from your village</t>
  </si>
  <si>
    <t>M15-P0043</t>
  </si>
  <si>
    <t>What is the eligibility for applying to shade-net?
There is no special eligibility criteria for application for Shade-net. Your land holding is supposed to be less than 5 Ha and you should have arrangement of funds so that you can implement the activity as the financial assistance will be provided to you from the side of project after completion &amp; successful verification of the work.</t>
  </si>
  <si>
    <t>M15-P0044</t>
  </si>
  <si>
    <t>I am a farmer from NDKSP village and want to apply for the activity which is listed in the scheme, what is the process for application?
You have to visit to the portal of NDKSP at https://dbt.mahapocra.gov.in or through the mobile app DBT PoCRA which you need to download from Google Play Store. You can register yourself using your Aadhaar number by authenticating yourself through OTP. If your mobile number is not registered with Aadhaar to get OTP, then you have to contact Cluster Assistant of NDKSP in the respective village and get yourself registered with his help or you may visit to nearest Citizen Support Centre (CSC) and register yourself with their assistance.
After registration, you can apply for the available activities. After application, you will receive SMS communication about the status of your application.</t>
  </si>
  <si>
    <t>M15-P0045</t>
  </si>
  <si>
    <t>Can I start the work on the activity which I have applied for post application on NDKSP portal?
After successful application, you will receive updates about the status of your application through SMS. After successful technical verification, you will receive Pre-Sanction from the office of Sub Divisional Agriculture Officer (SDAO). Intimation of Pre-Sanction will be delivered to you via SMS and you can check the same after login to your profile on NDKSP DBT portal or mobile app. Post receiving the Pre-sanction, you may start the work on the applied activity.</t>
  </si>
  <si>
    <t>M15-P0046</t>
  </si>
  <si>
    <t>If my Aadhaar is not linked with any bank account, how will I get financial assistance from NDKSP scheme?
To get financial benefit post completion of the work, you need to link your Aadhaar card with your bank account by visiting your bank and requesting them to seed your Aadhaar card with bank account.</t>
  </si>
  <si>
    <t>M15-P0047</t>
  </si>
  <si>
    <t>I have received an SMS that disbursement is made on my account for the activity which I have completed, however, I haven’t received the funds in my account and when checked with NDKSP office, I have been informed that my Aadhaar is inactive. In this case, what I have to do?
You are supposed to visit Citizen Service Centre and ask them to activate your Aadhaar by providing the required document.</t>
  </si>
  <si>
    <t>M15-P0048</t>
  </si>
  <si>
    <t>After activating my Aadhaar number, in how many days I will get the financial assistance for the activity which I have already completed?
You need to inform the officials from NDKSP that you have activated your Aadhaar number. Post the confirmation, NDKSP office will process your funds on as and when it is available from the side of treasury.</t>
  </si>
  <si>
    <t>M16-P0001</t>
  </si>
  <si>
    <t>The "Medical Assistance for the Treatment of Critical Illness" scheme was launched by the Maharashtra Building And Other Construction Workers Welfare Board (MBOCWW), Labour Department Maharashtra. Under this scheme, medical assistance of ₹1,00,000/- for the treatment of serious ailments for registered worker and his/her family members. (the benefit can be availed only after 26th July 2014 as the benefit is covered under the Mediclaim &amp; Personal Accident Insurance scheme).</t>
  </si>
  <si>
    <t>M16-P0002</t>
  </si>
  <si>
    <t>Financial assistance of ₹1,00,000/- is provided for medical treatment.</t>
  </si>
  <si>
    <t>M16-P0003</t>
  </si>
  <si>
    <t>M16-P0004</t>
  </si>
  <si>
    <t>M16-P0005</t>
  </si>
  <si>
    <t>M16-P0017</t>
  </si>
  <si>
    <t>What is the Medical Assistance for the Treatment of Critical Illness scheme?
It provides ₹1,00,000 for medical treatment of critical illnesses for registered construction workers and their immediate family members.</t>
  </si>
  <si>
    <t>M16-P0018</t>
  </si>
  <si>
    <t>Who can benefit from this scheme?
Registered construction workers under the Maharashtra Building and Other Construction Workers Welfare Board (MBOCWW) and their family members undergoing treatment for critical illnesses.</t>
  </si>
  <si>
    <t>M16-P0019</t>
  </si>
  <si>
    <t>What is the amount of financial assistance provided?
The scheme provides up to ₹1,00,000 for medical treatment.</t>
  </si>
  <si>
    <t>M16-P0020</t>
  </si>
  <si>
    <t>Does this scheme cover treatment for family members?
Yes, the scheme covers both the worker and their immediate family members.</t>
  </si>
  <si>
    <t>M16-P0021</t>
  </si>
  <si>
    <t>How do I apply for this scheme?
Download the application form from the MBOCWW website, fill it out, attach the required documents, and submit it to the Labour Commissioner or Government Labour Officer.</t>
  </si>
  <si>
    <t>M16-P0022</t>
  </si>
  <si>
    <t>What documents are required to apply for the scheme?
Documents include a passport-size photo, Aadhaar card, identity card from MBOCWW, bank passbook, medical certificate, treatment papers, and proof of residence.</t>
  </si>
  <si>
    <t>M16-P0023</t>
  </si>
  <si>
    <t>Is there a deadline for applying for the scheme?
There is no specific deadline, but it is recommended to apply promptly after the diagnosis of a critical illness.</t>
  </si>
  <si>
    <t>M16-P0024</t>
  </si>
  <si>
    <t>Is the scheme only available after 26th July 2014?
Yes, the benefit can be availed only after 26th July 2014, as it is covered under the Mediclaim &amp; Personal Accident Insurance scheme.</t>
  </si>
  <si>
    <t>M16-P0025</t>
  </si>
  <si>
    <t>Is this scheme available for workers across India?
No, it is available only for registered workers in Maharashtra under the MBOCWW.</t>
  </si>
  <si>
    <t>M16-P0026</t>
  </si>
  <si>
    <t>Does the scheme cover all types of illnesses?
The scheme covers serious ailments and critical medical conditions, as certified by a competent medical authority.</t>
  </si>
  <si>
    <t>M16-P0027</t>
  </si>
  <si>
    <t>How can I track my application?
Upon submission, request a receipt or acknowledgment from the concerned authority to track your application status.</t>
  </si>
  <si>
    <t>M17-P0001</t>
  </si>
  <si>
    <t>The "Grant in Aid to Old Age Home" is a scheme by the Department of Social Justice &amp; Special Assistance, Govt. of Maharashtra. In this scheme, grants are provided to the NGOs for accommodating old men and women, destitute, and disabled victims, into Old age Homes, and providing them with facilities such as food, accommodation, resort, Free lodging &amp; Boarding &amp; Medical Assistance, etc. Only citizens who are permanent residents of the state of Maharashtra are eligible to apply for this scheme. This scheme is 100% funded by the Govt. of Maharashtra.</t>
  </si>
  <si>
    <t>M17-P0002</t>
  </si>
  <si>
    <t>In this scheme, grants are provided to the NGOs for accommodating old men and women, destitute, and disabled victims, into Old age Homes, and providing them with facilities such as food, accommodation, resort, Free lodging &amp; Boarding &amp; Medical Assistance, etc.</t>
  </si>
  <si>
    <t>M17-P0003</t>
  </si>
  <si>
    <t>M17-P0004</t>
  </si>
  <si>
    <t>M17-P0005</t>
  </si>
  <si>
    <t>M17-P0006</t>
  </si>
  <si>
    <t>M17-P0007</t>
  </si>
  <si>
    <t>M17-P0018</t>
  </si>
  <si>
    <t>What Are The Objectives Of This Scheme?
The objective of this scheme is to accommodate old men and women, destitute, and disabled victims, into Old Age Homes.</t>
  </si>
  <si>
    <t>M17-P0019</t>
  </si>
  <si>
    <t>Can Destitute People Also Apply To This Scheme?
Yes, destitute people can also apply to this scheme.</t>
  </si>
  <si>
    <t>M17-P0020</t>
  </si>
  <si>
    <t>Apart From Accommodation, What Additional Facilities Are Provided?
Apart from accommodation, food, resort, Free lodging &amp; Boarding &amp; Medical Assistance, etc are provided.</t>
  </si>
  <si>
    <t>M17-P0021</t>
  </si>
  <si>
    <t>How Much Shall Be The Cost Of Lodging &amp; Boarding?
Lodging &amp; Boarding in this scheme are completely free of cost.</t>
  </si>
  <si>
    <t>M17-P0022</t>
  </si>
  <si>
    <t>Can A Person With Disability Who Is A Crime Victim Apply To This Scheme?
Yes, this scheme is open to Person with Disability who is a crime victim.</t>
  </si>
  <si>
    <t>M17-P0023</t>
  </si>
  <si>
    <t>What Is The Age Criteria For Old Age Men?
The age criteria for old age men is 60 years and above.</t>
  </si>
  <si>
    <t>M17-P0024</t>
  </si>
  <si>
    <t>What Is The Age Criteria For Old Age Women?
The age criteria for old age men is 55 years and above.</t>
  </si>
  <si>
    <t>M17-P0025</t>
  </si>
  <si>
    <t>M17-P0026</t>
  </si>
  <si>
    <t>M17-P0027</t>
  </si>
  <si>
    <t>M17-P0028</t>
  </si>
  <si>
    <t>M17-P0029</t>
  </si>
  <si>
    <t>M17-P0030</t>
  </si>
  <si>
    <t>M17-P0031</t>
  </si>
  <si>
    <t>M17-P0032</t>
  </si>
  <si>
    <t>M17-P0033</t>
  </si>
  <si>
    <t>M17-P0034</t>
  </si>
  <si>
    <t>M17-P0035</t>
  </si>
  <si>
    <t>M17-P0036</t>
  </si>
  <si>
    <t>M17-P0037</t>
  </si>
  <si>
    <t>M17-P0038</t>
  </si>
  <si>
    <t>M17-P0039</t>
  </si>
  <si>
    <t>M18-P0001</t>
  </si>
  <si>
    <t>The Government of Maharashtra launched a scheme that provides light and heavy motor driving, and conductor training to the needy Vimukta Jati, Nomadic Tribes, and Other Backward Class (VJNT, OBC &amp; SBC) candidates. The scheme’s objective is to create employment chances for Vimukta Jati/Nomadic Tribes, Other Backward Classes, and Special Backward Class youth. The scheme provides light and heavy motor driving or conductor training to the needy VJNT, OBC &amp; SBC candidates. The training is given through private motor driving schools. Under this scheme, the selected candidates are provided training with free lodging, boarding facility, License Fees, etc. Applicant should belong to VJNT, OBC, or SBC Category and Applicant should fulfill all the conditions of Age, Education, and fitness as per the Motor Vehicle Act. The government aims to provide training and Economic Uplifting with the help of employment to the youth.  Application is to be submitted to Motor Driving School approved by the</t>
  </si>
  <si>
    <t xml:space="preserve"> Government of Maharashtra under the Social Justice and special assistance department.</t>
  </si>
  <si>
    <t>M18-P0002</t>
  </si>
  <si>
    <t>Light Motor Driving Rs.4264/- for 40 Days.</t>
  </si>
  <si>
    <t>M18-P0003</t>
  </si>
  <si>
    <t>Heavy Motor Driving Rs.4960/- for 40 Days.</t>
  </si>
  <si>
    <t>M18-P0004</t>
  </si>
  <si>
    <t>Conductor Rs.1728/- for 8 Days.</t>
  </si>
  <si>
    <t>M18-P0005</t>
  </si>
  <si>
    <t>As per the corrigendum dated 15 March 2012 Rs.100/- per student is paid for sending the license by post as particular fee &amp; postage charges.</t>
  </si>
  <si>
    <t>M18-P0006</t>
  </si>
  <si>
    <t>1)	If the trainee is not living at headquarters during the training period, the institution should pay Rs.300/-  for Driver and Rs.150/- for the Conductor trainee as a stipend.</t>
  </si>
  <si>
    <t>M18-P0007</t>
  </si>
  <si>
    <t>M18-P0008</t>
  </si>
  <si>
    <t>M18-P0009</t>
  </si>
  <si>
    <t>documents.en.documents_required[0].children[0].children[8]</t>
  </si>
  <si>
    <t>M18-P0029</t>
  </si>
  <si>
    <t xml:space="preserve"> Is there any specific motor driving training scheme available for individuals belonging to the VJNT, SBS, and OBC categories?
The availability of specific motor driving training schemes may vary depending on the policies and initiatives of the government or relevant authorities in your region. It is recommended to check with local transport offices or government websites for information about schemes targeting these categories.</t>
  </si>
  <si>
    <t>M18-P0030</t>
  </si>
  <si>
    <t>What are the eligibility criteria for motor driving training for VJNT, SBS, and OBC categories?
The eligibility criteria can differ based on the policies of the governing body responsible for motor driving training. Generally, there are no specific restrictions for these categories, and eligibility criteria may focus on factors such as age, educational qualifications, and residency.</t>
  </si>
  <si>
    <t>M18-P0031</t>
  </si>
  <si>
    <t>Can I apply for motor driving training online?
Some regions or schemes may offer online application facilities through dedicated portals. In Maharashtra, the Mahadbt portal allows individuals to apply for various schemes, including motor driving training, online. It is advisable to check with the relevant authorities or the Mahadbt portal for specific instructions on the application process.</t>
  </si>
  <si>
    <t>M18-P0032</t>
  </si>
  <si>
    <t>What documents are typically required for motor driving training application?
The required documents can vary, but common documents include proof of identity (such as Aadhaar card or passport), proof of address, caste certificate (for VJNT, SBS, or OBC categories), income certificate, and any other documents specified by the governing body or the specific scheme.</t>
  </si>
  <si>
    <t>M18-P0033</t>
  </si>
  <si>
    <t>How long does the motor driving training program usually last?
The duration of motor driving training programs can vary depending on the type of vehicle (car, motorcycle, etc.) and the curriculum set by the training institute. Generally, it can range from a few weeks to a couple of months.</t>
  </si>
  <si>
    <t>M18-P0034</t>
  </si>
  <si>
    <t>Is there any financial assistance or subsidy available for motor driving training?
Some government schemes or initiatives may provide financial assistance or subsidies for motor driving training, particularly for individuals belonging to economically weaker sections or specific categories. It is advisable to inquire about such provisions from the relevant authorities or check the eligibility criteria of specific schemes.</t>
  </si>
  <si>
    <t>M18-P0035</t>
  </si>
  <si>
    <t>Are there any driving license fee waivers or concessions for VJNT, SBS, and OBC categories?
Driving license fee waivers or concessions can vary depending on regional policies and schemes. Some regions may offer fee waivers or reduced fees for individuals belonging to certain categories. It is recommended to inquire with the local transport office or relevant authorities for accurate information.</t>
  </si>
  <si>
    <t>M19-P0001</t>
  </si>
  <si>
    <t>The "Mukhyamantri - Majhi Ladki Bahin Yojana" scheme was launched by the Women and Child Development Department, Government of Maharashtra. The scheme aims to give economic freedom to women in the state age group of 21 to 65 years, improving their health and nutrition and strengthening their decisive role in the family. The women will get a financial benefit of ₹1,500/- through direct benefit transfer (DBT).</t>
  </si>
  <si>
    <t>M19-P0002</t>
  </si>
  <si>
    <t>Financial Assistance of ₹1,500/- per month.</t>
  </si>
  <si>
    <t>M19-P0003</t>
  </si>
  <si>
    <t>M19-P0004</t>
  </si>
  <si>
    <t>M19-P0005</t>
  </si>
  <si>
    <t>M19-P0006</t>
  </si>
  <si>
    <t>M19-P0007</t>
  </si>
  <si>
    <t>M19-P0008</t>
  </si>
  <si>
    <t>M19-P0009</t>
  </si>
  <si>
    <t>M19-P0010</t>
  </si>
  <si>
    <t>M19-P0011</t>
  </si>
  <si>
    <t>M19-P0012</t>
  </si>
  <si>
    <t>M19-P0013</t>
  </si>
  <si>
    <t>M19-P0014</t>
  </si>
  <si>
    <t>M19-P0015</t>
  </si>
  <si>
    <t>M19-P0016</t>
  </si>
  <si>
    <t>M19-P0017</t>
  </si>
  <si>
    <t>M19-P0018</t>
  </si>
  <si>
    <t>M19-P0019</t>
  </si>
  <si>
    <t>M19-P0020</t>
  </si>
  <si>
    <t>M19-P0021</t>
  </si>
  <si>
    <t>M19-P0046</t>
  </si>
  <si>
    <t>What is the Mukhyamantri - Majhi Ladki Bahin Yojana?
This scheme is aimed at providing financial and social support to economically weaker women in Maharashtra, especially those facing hardships.</t>
  </si>
  <si>
    <t>M19-P0047</t>
  </si>
  <si>
    <t>Who is eligible to apply for the scheme?
Women who are residents of Maharashtra and belong to economically weaker sections are eligible, provided they meet the scheme's specific criteria.</t>
  </si>
  <si>
    <t>M19-P0048</t>
  </si>
  <si>
    <t>Is there any fee to apply for the scheme?
No, the application process is free of charge. No money or fee should be paid to anyone for applying.</t>
  </si>
  <si>
    <t>M19-P0049</t>
  </si>
  <si>
    <t>How will I know if I am selected for the scheme?
Selected beneficiaries will receive an SMS notification. The final list of beneficiaries will also be published at the local level.</t>
  </si>
  <si>
    <t>M19-P0050</t>
  </si>
  <si>
    <t>How are the benefits disbursed?
Benefits are disbursed through direct bank transfers to the beneficiaries' accounts.</t>
  </si>
  <si>
    <t>M19-P0051</t>
  </si>
  <si>
    <t>Is there a helpline for the scheme?
Yes, the women's helpline toll-free contact number is 181. The Women and Child Development Commissionerate Pune will set up a call center to assist applicants and resolve any issues related to the scheme.</t>
  </si>
  <si>
    <t>M19-P0052</t>
  </si>
  <si>
    <t>How can I apply for the scheme?
Applications can be submitted online through the official portal. You must register on the portal, complete your profile, and fill out the application form with all the required details and documents.</t>
  </si>
  <si>
    <t>M19-P0053</t>
  </si>
  <si>
    <t>What documents are required for the application?
Essential documents include an Aadhaar card, domicile certificate, income certificate, marriage certificate, and bank account details. Additional documents may be required depending on the specific circumstances of the applicant.</t>
  </si>
  <si>
    <t>M19-P0054</t>
  </si>
  <si>
    <t>What is the process after submitting the application?
After submission, applications are scrutinized by a Taluka/Ward level committee, and a provisional list of eligible beneficiaries is prepared. Applicants will be notified via SMS.</t>
  </si>
  <si>
    <t>M19-P0055</t>
  </si>
  <si>
    <t>Who reviews the applications at the local level?
Applications are reviewed by a Taluka/Ward level committee, which includes non-governmental members selected by the district's guardian minister.</t>
  </si>
  <si>
    <t>M20-P0001</t>
  </si>
  <si>
    <t>The Mahatma Jyotirao Phule Jan Arogya Yojana (MJPJAY), launched by the Government of Maharashtra under  Public Health and Family Welfare Department,The scheme provides cashless medical services for secondary and tertiary treatments through empaneled hospitals. Initially targeted at low-income families, the scheme now covers all families in the state, offering up to ₹1.5 lakh under MJPJAY and ₹5 lakh under Ayushman Bharat annually. From 1st July 2024, it ensures comprehensive, cashless healthcare for the entire population of Maharashtra.</t>
  </si>
  <si>
    <t>M20-P0002</t>
  </si>
  <si>
    <t>Health Coverage for Categories A to E (Excluding D): ₹5 lakhs per family per year on a floater basis under both schemes.</t>
  </si>
  <si>
    <t>M20-P0003</t>
  </si>
  <si>
    <t>Health Coverage for Category D: ₹1 lakh per person per year.</t>
  </si>
  <si>
    <t>M20-P0004</t>
  </si>
  <si>
    <t>Medical Benefits</t>
  </si>
  <si>
    <t>M20-P0005</t>
  </si>
  <si>
    <t>• For categories A to E (Excluding D) - 1356 Health Benefits Packages under 34 specialities.</t>
  </si>
  <si>
    <t>M20-P0006</t>
  </si>
  <si>
    <t>• For category D – 184 Health Benefits Packages for Road accident patients.</t>
  </si>
  <si>
    <t>M20-P0007</t>
  </si>
  <si>
    <t>Follow-up treatment</t>
  </si>
  <si>
    <t>M20-P0008</t>
  </si>
  <si>
    <t>262 Health Benefits Packages for both schemes (for categories A to E)</t>
  </si>
  <si>
    <t>M20-P0009</t>
  </si>
  <si>
    <t>Treatment Reserved for Govt. Hospitals</t>
  </si>
  <si>
    <t>M20-P0010</t>
  </si>
  <si>
    <t>119 Health Benefits Packages for both the schemes (for categories A to E)</t>
  </si>
  <si>
    <t>M20-P0011</t>
  </si>
  <si>
    <t>Benefits under Health Packages</t>
  </si>
  <si>
    <t>M20-P0012</t>
  </si>
  <si>
    <t>The health packages provide comprehensive coverage, ensuring a cashless treatment experience for patients. The benefits include:</t>
  </si>
  <si>
    <t>M20-P0013</t>
  </si>
  <si>
    <t>Hospitalization Costs</t>
  </si>
  <si>
    <t>M20-P0014</t>
  </si>
  <si>
    <t>Bed charges in general wards.</t>
  </si>
  <si>
    <t>M20-P0015</t>
  </si>
  <si>
    <t>Nursing and boarding charges.</t>
  </si>
  <si>
    <t>M20-P0016</t>
  </si>
  <si>
    <t>Surgeons, anaesthetists, medical practitioners, and consultants' fees.</t>
  </si>
  <si>
    <t>M20-P0017</t>
  </si>
  <si>
    <t>Medical Expenses</t>
  </si>
  <si>
    <t>M20-P0018</t>
  </si>
  <si>
    <t>Charges for oxygen, O.T., and ICU facilities.</t>
  </si>
  <si>
    <t>M20-P0019</t>
  </si>
  <si>
    <t>en.schemeContent.benefits[14].children[1]</t>
  </si>
  <si>
    <t>Cost of surgical appliances, drugs, disposables, consumables, implants, and prosthetic devices.</t>
  </si>
  <si>
    <t>M20-P0020</t>
  </si>
  <si>
    <t>en.schemeContent.benefits[14].children[2]</t>
  </si>
  <si>
    <t>Expenses for blood transfusion (as per State Government policy).</t>
  </si>
  <si>
    <t>M20-P0021</t>
  </si>
  <si>
    <t>Diagnostics and Support Services</t>
  </si>
  <si>
    <t>M20-P0022</t>
  </si>
  <si>
    <t>en.schemeContent.benefits[16].children[0]</t>
  </si>
  <si>
    <t>X-rays and diagnostic tests.</t>
  </si>
  <si>
    <t>M20-P0023</t>
  </si>
  <si>
    <t>en.schemeContent.benefits[16].children[1]</t>
  </si>
  <si>
    <t>Food for inpatients during hospitalization.</t>
  </si>
  <si>
    <t>M20-P0024</t>
  </si>
  <si>
    <t>Transportation Costs</t>
  </si>
  <si>
    <t>M20-P0025</t>
  </si>
  <si>
    <t>One-time transport cost by State Transport or second-class rail fare from the hospital to the patient’s residence.</t>
  </si>
  <si>
    <t>M20-P0026</t>
  </si>
  <si>
    <t>In the unfortunate event of a patient's death, the cost of transporting the deceased's body from the network hospital to their village or township.</t>
  </si>
  <si>
    <t>M20-P0027</t>
  </si>
  <si>
    <t>en.schemeContent.benefits[18].children[2]</t>
  </si>
  <si>
    <t>The package covers all costs from the date of reporting to discharge, including treatment complications, ensuring a truly cashless experience for patients.</t>
  </si>
  <si>
    <t>M20-P0028</t>
  </si>
  <si>
    <t>Scheme on Assurance Mode</t>
  </si>
  <si>
    <t>M20-P0029</t>
  </si>
  <si>
    <t>The Integrated Scheme is being implemented on an Assurance Basis. This means that the claims of the network hospitals for the expenses of the patients undergoing treatment under the scheme are being paid directly by the State Health Assurance Societies to the respective network hospitals. Accordingly, the State Health Assurance Society is paying claims up to ₹5 lakh per family per year of groups A, B, C and E and ₹1 lakh per person per year for road accident victims of group D.</t>
  </si>
  <si>
    <t>M20-P0030</t>
  </si>
  <si>
    <t>M20-P0031</t>
  </si>
  <si>
    <t>M20-P0032</t>
  </si>
  <si>
    <t>M20-P0033</t>
  </si>
  <si>
    <t>M20-P0034</t>
  </si>
  <si>
    <t>M20-P0035</t>
  </si>
  <si>
    <t>M20-P0036</t>
  </si>
  <si>
    <t>M20-P0037</t>
  </si>
  <si>
    <t>M20-P0038</t>
  </si>
  <si>
    <t>M20-P0039</t>
  </si>
  <si>
    <t>M20-P0040</t>
  </si>
  <si>
    <t>M20-P0041</t>
  </si>
  <si>
    <t>M20-P0042</t>
  </si>
  <si>
    <t>M20-P0043</t>
  </si>
  <si>
    <t>M20-P0044</t>
  </si>
  <si>
    <t>M20-P0045</t>
  </si>
  <si>
    <t>M20-P0046</t>
  </si>
  <si>
    <t>M20-P0047</t>
  </si>
  <si>
    <t>documents.en.documents_required[12]</t>
  </si>
  <si>
    <t>documents.en.documents_required[13]</t>
  </si>
  <si>
    <t>documents.en.documents_required[14]</t>
  </si>
  <si>
    <t>M20-P0073</t>
  </si>
  <si>
    <t>What is the full form of MJPJAY?
MJPJAY's full form is Mahatma Jyotiba Phule Jan Arogya Yojana.</t>
  </si>
  <si>
    <t>M20-P0074</t>
  </si>
  <si>
    <t>When was MJPJAY started?
MJPJAY was launched in 28 districts of Maharashtra on April 1st, 2020.</t>
  </si>
  <si>
    <t>M20-P0075</t>
  </si>
  <si>
    <t>What is the objective of MJPJAY?
MJPJAY aims to provide cashless, quality medical care to the beneficiaries under the scheme for catastrophic illnesses requiring hospitalization for surgery and treatment under identified specialized services through a network of health care providers.</t>
  </si>
  <si>
    <t>M20-P0076</t>
  </si>
  <si>
    <t>How much assistance is available under MJPJAY Yojana?
MJPJAY Yojana 2024 provides coverage up to ₹ 1,50,000/- per policy year per family to meet all expenses related to hospitalization of the beneficiary. For renal transplants, this limit has been increased to ₹ 2,50,000/- per family per policy year.</t>
  </si>
  <si>
    <t>M20-P0077</t>
  </si>
  <si>
    <t>Who is eligible for receiving Maintenance Haemodialysis treatment under MJPJAY?
A patient suffering from chronic kidney disease requiring maintenance HD and who has a health card is eligible. If the patient does not have a health card, he or she should have an orange or yellow ration card or an Antyodaya or Annapurna card along with valid ID proof.</t>
  </si>
  <si>
    <t>M20-P0078</t>
  </si>
  <si>
    <t>Which services are provided under package of Maintenance Haemodialysis under MJPJAY for the patient?
The package includes pre- and post-treatment diagnostics,consultation, hospital charges, consumables, and medicines.
The detailed package is as follows:
&gt;&gt; Investigations
Creatinine tests (Monthly)
Complete blood count (CBC, Monthly)
HIV/Hep.A/Hep.C tests (once every three months)
Serum electrolytes (as per advise)
Blood glucose, if required
&gt;&gt; Consultion
Clinical examination by Nephrologist/Medical Cordinator.
&gt;&gt; Consumable
-Dialyser (It will be used upto optimal capacity and replaced if needed free of charge under scheme),
-Tubing (It will be used upto optimal capacity and replaced if needed free of charge under scheme),
- Fistula Needle (It will be used upto optimal capacity and replaced if needed free of charge under scheme).
- IV fluids,
- Haemodialysis Part A/B and
o Heparin.
&gt;&gt; Medicines
Inj. Erythropoetin, as per the advice of Nephrologist</t>
  </si>
  <si>
    <t>M20-P0079</t>
  </si>
  <si>
    <t>What should be frequency of dialysis cycles under MJPJAY for each approved preauth?
The frequency of dialysis should be a minimum of 8 cycles and a maximum of 12 cycles, as recommended by the nephrologist or medical coordinator based on his or her serum creatinine level.</t>
  </si>
  <si>
    <t>M20-P0080</t>
  </si>
  <si>
    <t>Does patient have to pay any extra money for treatment?
No. The patient should not pay any extra money to the hospital or center for services that are covered under the approved package.</t>
  </si>
  <si>
    <t>M20-P0081</t>
  </si>
  <si>
    <t>Will Balance Sum Insured used for dialysis patient limit other household members to avail services under MJPJAY?
The maximum sum assured under MJPJAY is ₹ 1,50,000/- per family, on a family-floater basis. If the dialysis patient has utilized a particular amount from the sum assured, other family members can still avail services under MJPJAY till the total amount of ₹ 1,50,000/- gets exhausted. This amount of Sum Insured cannot get extended under any circumstances (except if patient requires a renal transplant, where BSI will be considered as ₹ 2,50,000/-)</t>
  </si>
  <si>
    <t>M20-P0082</t>
  </si>
  <si>
    <t>Can HIV or HCV positive cases avail Maintenance Haemodialysis service under MJPJAY ?
Yes. If a patient is a beneficiary of MJPJAY and is HIV or HCV positive, then he or she can still avail services under MJPJAY. Empanelled hospitals and stand-alone dialysis centers must have dedicated machines for HIV or HCV-positive patients. Under no circumstances shall these units be used for other patients.</t>
  </si>
  <si>
    <t>M20-P0083</t>
  </si>
  <si>
    <t>If patient requires blood transfusion, is cost of blood transfusion covered under package?
No. Maintenance Haemodialysis package does not cover the cost of a blood transfusion.</t>
  </si>
  <si>
    <t>M20-P0084</t>
  </si>
  <si>
    <t>In case of a query or to register a complaint what should I do ?
In case of a query, you can contact Arogyamitra or call the toll-free number. Arogyamitra is available round the clock in the hospital or center and will facilitate and guide you if any problem arises. But if you are not satisfied, then call our toll-free numbers, 155388 or 18002332200, to register a complaint.</t>
  </si>
  <si>
    <t>M21-P0001</t>
  </si>
  <si>
    <t>The Mukhyamantri Yuva Karya Prashikshan Yojana scheme was launched by the Department of Skill, Employment, Entrepreneurship and Innovation to enhance candidates' employability through practical training with entrepreneurs. The scheme budget of ₹5,500 crore, and the training programs for approximately 10 lakh candidates per year.</t>
  </si>
  <si>
    <t>M21-P0002</t>
  </si>
  <si>
    <t>Training Duration: Job Training will be for 6 months.</t>
  </si>
  <si>
    <t>M21-P0003</t>
  </si>
  <si>
    <t>Stipend:</t>
  </si>
  <si>
    <t>M21-P0004</t>
  </si>
  <si>
    <t>12th Pass - 6,000/-</t>
  </si>
  <si>
    <t>M21-P0005</t>
  </si>
  <si>
    <t>ITI / Diploma - 8,000/-</t>
  </si>
  <si>
    <t>M21-P0006</t>
  </si>
  <si>
    <t>Degree / Post Graduation - 10,000/-</t>
  </si>
  <si>
    <t>M21-P0007</t>
  </si>
  <si>
    <t>Note: Stipends are transferred directly to trainees' bank accounts linked with Aadhaar.</t>
  </si>
  <si>
    <t>M21-P0008</t>
  </si>
  <si>
    <t>M21-P0009</t>
  </si>
  <si>
    <t>M21-P0010</t>
  </si>
  <si>
    <t>M21-P0011</t>
  </si>
  <si>
    <t>M21-P0012</t>
  </si>
  <si>
    <t>M21-P0031</t>
  </si>
  <si>
    <t>What is the main objective of the scheme?
The scheme provides practical job training to improve employability among Maharashtra’s youth.</t>
  </si>
  <si>
    <t>M21-P0032</t>
  </si>
  <si>
    <t>Who is eligible to apply as a candidate?
Candidates aged 18-35 with a minimum qualification of 12th pass who are residents of Maharashtra.</t>
  </si>
  <si>
    <t>M21-P0033</t>
  </si>
  <si>
    <t>How much stipend can candidates receive?
Stipend ranges from ₹6,000 to ₹10,000 per month, depending on the candidate’s educational qualification.</t>
  </si>
  <si>
    <t>M21-P0034</t>
  </si>
  <si>
    <t>How long does the training last?
Each training period is six months.</t>
  </si>
  <si>
    <t>M21-P0035</t>
  </si>
  <si>
    <t>Where can candidates register for the scheme?
Candidates can register on the cmykpy.mahaswayam.gov.in portal.</t>
  </si>
  <si>
    <t>M21-P0036</t>
  </si>
  <si>
    <t>What documents do candidates need to submit?
Candidates need an Aadhaar, educational certificates, proof of residence, and a bank passbook copy.</t>
  </si>
  <si>
    <t>M21-P0037</t>
  </si>
  <si>
    <t>How will candidates receive their stipend?
Stipends are transferred directly to the Aadhaar-linked bank account of each trainee.</t>
  </si>
  <si>
    <t>M21-P0038</t>
  </si>
  <si>
    <t>How many training opportunities are available per year?
Approximately 10 lakh training placements are provided each year.</t>
  </si>
  <si>
    <t>M21-P0039</t>
  </si>
  <si>
    <t>Is registration mandatory for candidates?
Yes, both candidates must register on the portal to participate in the scheme.</t>
  </si>
  <si>
    <t>M21-P0040</t>
  </si>
  <si>
    <t>Who manages the scheme?
The scheme is managed by the Commissionerate of Skill Development, Employment, &amp; Entrepreneurship, Maharashtra.</t>
  </si>
  <si>
    <t>M21-P0041</t>
  </si>
  <si>
    <t>Can candidates outside Maharashtra apply?
No, only Maharashtra residents are eligible for the scheme.</t>
  </si>
  <si>
    <t>M21-P0042</t>
  </si>
  <si>
    <t>What support is available for application or grievance?
Candidates can visit their nearest District Skill Development, Employment &amp; Entrepreneurship Guidance Center or call 1800 120 8040 for assistance.</t>
  </si>
  <si>
    <t>Candidate database field catalogue</t>
  </si>
  <si>
    <t>Proposed fields for schema evaluation. These are design recommendations; they do not turn source text into approved rules.</t>
  </si>
  <si>
    <t>Entity</t>
  </si>
  <si>
    <t>Field / relationship</t>
  </si>
  <si>
    <t>Storage type</t>
  </si>
  <si>
    <t>Requirement</t>
  </si>
  <si>
    <t>Purpose</t>
  </si>
  <si>
    <t>Example</t>
  </si>
  <si>
    <t>Design constraint</t>
  </si>
  <si>
    <t>scheme</t>
  </si>
  <si>
    <t>scheme_id</t>
  </si>
  <si>
    <t>string</t>
  </si>
  <si>
    <t>Required</t>
  </si>
  <si>
    <t>Stable internal identifier</t>
  </si>
  <si>
    <t>Do not use display name as primary key.</t>
  </si>
  <si>
    <t>slug / aliases</t>
  </si>
  <si>
    <t>string + child records</t>
  </si>
  <si>
    <t>Optional</t>
  </si>
  <si>
    <t>Source slug and historical names</t>
  </si>
  <si>
    <t>Retain original ten names and fresh source aliases.</t>
  </si>
  <si>
    <t>level / original_level</t>
  </si>
  <si>
    <t>enum + string</t>
  </si>
  <si>
    <t>Normalised level and untouched source label</t>
  </si>
  <si>
    <t>State / State/ UT</t>
  </si>
  <si>
    <t>Normalise labels without losing originals.</t>
  </si>
  <si>
    <t>categories</t>
  </si>
  <si>
    <t>many-to-many</t>
  </si>
  <si>
    <t>All official category memberships</t>
  </si>
  <si>
    <t>Health; Social welfare</t>
  </si>
  <si>
    <t>Category counts overlap.</t>
  </si>
  <si>
    <t>jurisdictions</t>
  </si>
  <si>
    <t>Country, state, district and source applicability</t>
  </si>
  <si>
    <t>India / Maharashtra</t>
  </si>
  <si>
    <t>Central level does not always mean every district qualifies.</t>
  </si>
  <si>
    <t>provider / department</t>
  </si>
  <si>
    <t>foreign keys + source labels</t>
  </si>
  <si>
    <t>Administering entities</t>
  </si>
  <si>
    <t>Ministry / state department</t>
  </si>
  <si>
    <t>Keep alternate names and unknown values.</t>
  </si>
  <si>
    <t>applicant_types</t>
  </si>
  <si>
    <t>controlled terms + raw label</t>
  </si>
  <si>
    <t>Individual, institution, business, group or public body</t>
  </si>
  <si>
    <t>Individual; Institution</t>
  </si>
  <si>
    <t>Do not apply a person age test to an organisation.</t>
  </si>
  <si>
    <t>component</t>
  </si>
  <si>
    <t>parent_id / component_id</t>
  </si>
  <si>
    <t>foreign keys</t>
  </si>
  <si>
    <t>Conditional</t>
  </si>
  <si>
    <t>Parent programme, category or assistance component</t>
  </si>
  <si>
    <t>KVY components; PRISM Category II</t>
  </si>
  <si>
    <t>A source page can contain several branches.</t>
  </si>
  <si>
    <t>version</t>
  </si>
  <si>
    <t>version_id / source_hash</t>
  </si>
  <si>
    <t>Content-addressed source snapshot</t>
  </si>
  <si>
    <t>C07@20261024-hash</t>
  </si>
  <si>
    <t>Pin evaluation and citations to one version.</t>
  </si>
  <si>
    <t>collected_at / effective_from / effective_to</t>
  </si>
  <si>
    <t>timestamps / nullable dates</t>
  </si>
  <si>
    <t>Required + optional</t>
  </si>
  <si>
    <t>Collection time separately from legal effect</t>
  </si>
  <si>
    <t>24 Oct 2026 / unknown</t>
  </si>
  <si>
    <t>Do not use site-wide footer as effective date.</t>
  </si>
  <si>
    <t>source_open_date / source_close_date</t>
  </si>
  <si>
    <t>nullable dates</t>
  </si>
  <si>
    <t>Dates explicitly supplied by publisher</t>
  </si>
  <si>
    <t>null</t>
  </si>
  <si>
    <t>Missing date is not proof scheme is open.</t>
  </si>
  <si>
    <t>availability / supersedes_id</t>
  </si>
  <si>
    <t>enum + foreign key</t>
  </si>
  <si>
    <t>Verified availability and version lineage</t>
  </si>
  <si>
    <t>Keep closed, unknown and superseded separate.</t>
  </si>
  <si>
    <t>source</t>
  </si>
  <si>
    <t>document_id / official_url</t>
  </si>
  <si>
    <t>string + URL</t>
  </si>
  <si>
    <t>Origin and source reference</t>
  </si>
  <si>
    <t>Linked documents are not automatically reviewed.</t>
  </si>
  <si>
    <t>snapshot_uri / content_hash / language</t>
  </si>
  <si>
    <t>Reproducible source and locale</t>
  </si>
  <si>
    <t>hash / en</t>
  </si>
  <si>
    <t>Keep source files alongside database.</t>
  </si>
  <si>
    <t>passage</t>
  </si>
  <si>
    <t>passage_id / source_path</t>
  </si>
  <si>
    <t>Stable evidence identifier and original nested pointer</t>
  </si>
  <si>
    <t>JSON pointer can coexist with PDF page/paragraph locator.</t>
  </si>
  <si>
    <t>section / heading / parent_id</t>
  </si>
  <si>
    <t>strings + foreign key</t>
  </si>
  <si>
    <t>Hierarchy and scope context</t>
  </si>
  <si>
    <t>Eligibility / General conditions</t>
  </si>
  <si>
    <t>Never infer logical AND from bullet formatting alone.</t>
  </si>
  <si>
    <t>part / parts / text</t>
  </si>
  <si>
    <t>integer + text</t>
  </si>
  <si>
    <t>Lossless continuation storage</t>
  </si>
  <si>
    <t>1 / 2</t>
  </si>
  <si>
    <t>Reassemble parts before defining RAG chunks.</t>
  </si>
  <si>
    <t>rule</t>
  </si>
  <si>
    <t>rule_id / version_id / evidence_ids</t>
  </si>
  <si>
    <t>Approved rule linked to source passages</t>
  </si>
  <si>
    <t>Rule -&gt; passages</t>
  </si>
  <si>
    <t>Source extraction rows are not approved rules.</t>
  </si>
  <si>
    <t>subject_type / subject_id</t>
  </si>
  <si>
    <t>Person, household, organisation, project or transaction</t>
  </si>
  <si>
    <t>project.cost</t>
  </si>
  <si>
    <t>Separate applicant, beneficiary and representative.</t>
  </si>
  <si>
    <t>kind / stage / effect</t>
  </si>
  <si>
    <t>controlled terms</t>
  </si>
  <si>
    <t>Eligibility, exclusion, preference, evidence or obligation</t>
  </si>
  <si>
    <t>Exclude expense vs exclude applicant</t>
  </si>
  <si>
    <t>Do not disqualify applicant for an ineligible expense.</t>
  </si>
  <si>
    <t>condition_ast</t>
  </si>
  <si>
    <t>JSONB</t>
  </si>
  <si>
    <t>Required for execution</t>
  </si>
  <si>
    <t>Reviewed all/any/not and field comparisons</t>
  </si>
  <si>
    <t>all -&gt; gt/lte</t>
  </si>
  <si>
    <t>Allow-listed grammar; no generated-code execution.</t>
  </si>
  <si>
    <t>applies_when / unless</t>
  </si>
  <si>
    <t>Category predicates and exceptions</t>
  </si>
  <si>
    <t>Student -&gt; NOC</t>
  </si>
  <si>
    <t>Absent conditions remain unknown.</t>
  </si>
  <si>
    <t>field_id / operator / value / unit</t>
  </si>
  <si>
    <t>typed JSON / field reference</t>
  </si>
  <si>
    <t>Typed operands with unit and income period</t>
  </si>
  <si>
    <t>annual household INR</t>
  </si>
  <si>
    <t>Distinguish individual income from household income.</t>
  </si>
  <si>
    <t>review_status / reviewer / reviewed_at</t>
  </si>
  <si>
    <t>enum + audit fields</t>
  </si>
  <si>
    <t>Human approval before activation</t>
  </si>
  <si>
    <t>Conflicting source wording requires resolution.</t>
  </si>
  <si>
    <t>field_definition</t>
  </si>
  <si>
    <t>field_id / data_type / allowed_values</t>
  </si>
  <si>
    <t>schema registry</t>
  </si>
  <si>
    <t>Extensible profile facts independent of scheme</t>
  </si>
  <si>
    <t>project.duration_months</t>
  </si>
  <si>
    <t>Add definitions instead of new person-table columns per scheme.</t>
  </si>
  <si>
    <t>question_templates / translations / sensitivity</t>
  </si>
  <si>
    <t>Questions and privacy treatment</t>
  </si>
  <si>
    <t>en / hi / mr</t>
  </si>
  <si>
    <t>Translate wording, preserve the same canonical fact.</t>
  </si>
  <si>
    <t>profile_fact</t>
  </si>
  <si>
    <t>subject_id / field_id / value</t>
  </si>
  <si>
    <t>typed JSON</t>
  </si>
  <si>
    <t>Confirmed fact about a named subject</t>
  </si>
  <si>
    <t>organisation.type</t>
  </si>
  <si>
    <t>Support multiple people and entities per conversation.</t>
  </si>
  <si>
    <t>status / source_turn / corrected_at</t>
  </si>
  <si>
    <t>audit fields</t>
  </si>
  <si>
    <t>Unknown, asserted, confirmed or contradicted fact</t>
  </si>
  <si>
    <t>unknown</t>
  </si>
  <si>
    <t>Do not equate missing with false.</t>
  </si>
  <si>
    <t>application_route</t>
  </si>
  <si>
    <t>route_id / applicability / mode</t>
  </si>
  <si>
    <t>JSONB + enum</t>
  </si>
  <si>
    <t>Alternative process for applicant class</t>
  </si>
  <si>
    <t>National vs state organisation</t>
  </si>
  <si>
    <t>Online label may contain physical submission steps.</t>
  </si>
  <si>
    <t>application_step</t>
  </si>
  <si>
    <t>step_id / phase / actor / action</t>
  </si>
  <si>
    <t>structured fields</t>
  </si>
  <si>
    <t>Registration, application, verification, payment</t>
  </si>
  <si>
    <t>Department verifies</t>
  </si>
  <si>
    <t>Do not ask citizen to perform authority-only action.</t>
  </si>
  <si>
    <t>depends_on / deadline / destination</t>
  </si>
  <si>
    <t>relations + JSONB + URL</t>
  </si>
  <si>
    <t>Order, event-triggered deadlines and verified destination</t>
  </si>
  <si>
    <t>Two months from sale</t>
  </si>
  <si>
    <t>Keep source ambiguity instead of inventing a date.</t>
  </si>
  <si>
    <t>document_requirement</t>
  </si>
  <si>
    <t>document_id / alternatives / applies_when</t>
  </si>
  <si>
    <t>JSONB + relations</t>
  </si>
  <si>
    <t>Required + conditional</t>
  </si>
  <si>
    <t>Evidence and stage-specific alternatives</t>
  </si>
  <si>
    <t>NOC only for students</t>
  </si>
  <si>
    <t>Blank source document list is an unresolved gap.</t>
  </si>
  <si>
    <t>benefit</t>
  </si>
  <si>
    <t>benefit_type / formula / cap / unit</t>
  </si>
  <si>
    <t>structured values + JSONB</t>
  </si>
  <si>
    <t>Cash, loan, service, award; reviewed calculation</t>
  </si>
  <si>
    <t>10% sales; cap varies</t>
  </si>
  <si>
    <t>Do not confuse central share with total benefit.</t>
  </si>
  <si>
    <t>evaluation</t>
  </si>
  <si>
    <t>verdict / missing_fields / deciding_rule_ids</t>
  </si>
  <si>
    <t>Three-valued rule evaluation and provenance</t>
  </si>
  <si>
    <t>cant_tell</t>
  </si>
  <si>
    <t>Track relevance, eligibility, readiness and availability separately.</t>
  </si>
  <si>
    <t>audit</t>
  </si>
  <si>
    <t>change / old_version / reviewer</t>
  </si>
  <si>
    <t>append-only records</t>
  </si>
  <si>
    <t>Review and publication history</t>
  </si>
  <si>
    <t>Rule withdrawal</t>
  </si>
  <si>
    <t>Do not silently overwrite published policy.</t>
  </si>
  <si>
    <t>extensions</t>
  </si>
  <si>
    <t>raw_source_payload / unmapped_attributes</t>
  </si>
  <si>
    <t>Retain unfamiliar source fields for future requirements</t>
  </si>
  <si>
    <t>New benefit subtype</t>
  </si>
  <si>
    <t>Promotion to executable rule requires review and tests.</t>
  </si>
  <si>
    <t>Coverage and review guide</t>
  </si>
  <si>
    <t>60 schemes across all 15 official myScheme categories. No policy rule has been automatically approved.</t>
  </si>
  <si>
    <t>Group</t>
  </si>
  <si>
    <t>Measure / topic</t>
  </si>
  <si>
    <t>Count</t>
  </si>
  <si>
    <t>Explanation</t>
  </si>
  <si>
    <t>Schemes</t>
  </si>
  <si>
    <t>Total records</t>
  </si>
  <si>
    <t>Includes the original ten and all six user examples.</t>
  </si>
  <si>
    <t>Maharashtra State</t>
  </si>
  <si>
    <t>Normalised from State and State/ UT labels.</t>
  </si>
  <si>
    <t>Sources</t>
  </si>
  <si>
    <t>Fresh public-feed records</t>
  </si>
  <si>
    <t>English scheme, applicant-document and FAQ feeds collected 24 Oct 2026.</t>
  </si>
  <si>
    <t>Retained department/GR extracts</t>
  </si>
  <si>
    <t>Lek Ladki and Vayoshri retain earlier source extracts. Full capture pending.</t>
  </si>
  <si>
    <t>Review</t>
  </si>
  <si>
    <t>Approved schemes</t>
  </si>
  <si>
    <t>Driven by the review status on Scheme review.</t>
  </si>
  <si>
    <t>Remaining schemes</t>
  </si>
  <si>
    <t>Not started, in review, needs correction or excluded are not approved.</t>
  </si>
  <si>
    <t>Multi-category schemes are counted in each category.</t>
  </si>
  <si>
    <t>Education &amp; Learning</t>
  </si>
  <si>
    <t>Public Safety,Law &amp; Justice</t>
  </si>
  <si>
    <t>Sports &amp; Culture</t>
  </si>
  <si>
    <t>Transport &amp; Infrastructure</t>
  </si>
  <si>
    <t>Travel &amp; Tourism</t>
  </si>
  <si>
    <t>Review guidance</t>
  </si>
  <si>
    <t>Where to start</t>
  </si>
  <si>
    <t>Review component/subject/stage semantics in the six user examples first.</t>
  </si>
  <si>
    <t>Exact text vs executable rules</t>
  </si>
  <si>
    <t>Source passages retain published text. Eligibility source rows require field/operator/grouping review.</t>
  </si>
  <si>
    <t>Source conflicts</t>
  </si>
  <si>
    <t>Earlier ten reviewed-extract notes are retained beside fresh myScheme data; resolve against current guidelines.</t>
  </si>
  <si>
    <t>Availability</t>
  </si>
  <si>
    <t>All availability fields remain Not verified. No inference from a live page or absent closing date.</t>
  </si>
  <si>
    <t>Currentness and document links</t>
  </si>
  <si>
    <t>Most guideline/form destinations are listed by myScheme and have not been independently checked.</t>
  </si>
  <si>
    <t>Missing source sections</t>
  </si>
  <si>
    <t>Empty or absent is explicitly recorded, never converted to no exclusions/no documents.</t>
  </si>
  <si>
    <t>Scope of the sample</t>
  </si>
  <si>
    <t>Includes individual, household, institutional, project and transaction cases. Some programmes require authority selection rather than direct citizen application.</t>
  </si>
  <si>
    <t>Original review workflow</t>
  </si>
  <si>
    <t>Original identifiers, 67 draft rules, 30 sources and reviewer cells preserved. New source extraction remains unapproved.</t>
  </si>
</sst>
</file>

<file path=xl/styles.xml><?xml version="1.0" encoding="utf-8"?>
<styleSheet xmlns="http://schemas.openxmlformats.org/spreadsheetml/2006/main">
  <numFmts count="2">
    <numFmt numFmtId="164" formatCode="dd mmm yyyy"/>
    <numFmt numFmtId="165" formatCode="#,##0"/>
  </numFmts>
  <fonts count="6">
    <font>
      <sz val="11"/>
      <color theme="1"/>
      <name val="Calibri"/>
      <family val="2"/>
      <scheme val="minor"/>
    </font>
    <font>
      <b/>
      <sz val="16"/>
      <color rgb="FF263445"/>
      <name val="Arial"/>
      <family val="2"/>
    </font>
    <font>
      <sz val="11"/>
      <color rgb="FF526174"/>
      <name val="Arial"/>
      <family val="2"/>
    </font>
    <font>
      <b/>
      <sz val="11"/>
      <color rgb="FFFFFFFF"/>
      <name val="Arial"/>
      <family val="2"/>
    </font>
    <font>
      <sz val="11"/>
      <color rgb="FF263445"/>
      <name val="Arial"/>
      <family val="2"/>
    </font>
    <font>
      <u/>
      <sz val="11"/>
      <color rgb="FF0563C1"/>
      <name val="Arial"/>
      <family val="2"/>
    </font>
  </fonts>
  <fills count="5">
    <fill>
      <patternFill patternType="none"/>
    </fill>
    <fill>
      <patternFill patternType="gray125"/>
    </fill>
    <fill>
      <patternFill patternType="solid">
        <fgColor rgb="FF233D62"/>
        <bgColor indexed="64"/>
      </patternFill>
    </fill>
    <fill>
      <patternFill patternType="solid">
        <fgColor rgb="FFF0F4F8"/>
        <bgColor indexed="64"/>
      </patternFill>
    </fill>
    <fill>
      <patternFill patternType="solid">
        <fgColor rgb="FFFFF2CC"/>
        <bgColor indexed="64"/>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vertical="top"/>
    </xf>
    <xf numFmtId="0" fontId="2" fillId="0" borderId="0" xfId="0" applyFont="1" applyAlignment="1">
      <alignment vertical="top"/>
    </xf>
    <xf numFmtId="0" fontId="3" fillId="2" borderId="0" xfId="0" applyFont="1" applyFill="1" applyAlignment="1">
      <alignment horizontal="center" vertical="center" wrapText="1"/>
    </xf>
    <xf numFmtId="0" fontId="4" fillId="3" borderId="0" xfId="0" applyFont="1" applyFill="1" applyAlignment="1">
      <alignment vertical="top" wrapText="1"/>
    </xf>
    <xf numFmtId="0" fontId="5" fillId="0" borderId="0" xfId="0" applyFont="1" applyAlignment="1">
      <alignment vertical="top" wrapText="1"/>
    </xf>
    <xf numFmtId="164" fontId="4" fillId="3" borderId="0" xfId="0" applyNumberFormat="1" applyFont="1" applyFill="1" applyAlignment="1">
      <alignment vertical="top" wrapText="1"/>
    </xf>
    <xf numFmtId="0" fontId="4" fillId="4" borderId="0" xfId="0" applyFont="1" applyFill="1" applyAlignment="1">
      <alignment vertical="top" wrapText="1"/>
    </xf>
    <xf numFmtId="0" fontId="4" fillId="0" borderId="0" xfId="0" applyFont="1" applyAlignment="1">
      <alignment vertical="top" wrapText="1"/>
    </xf>
    <xf numFmtId="164" fontId="4" fillId="0" borderId="0" xfId="0" applyNumberFormat="1" applyFont="1" applyAlignment="1">
      <alignment vertical="top" wrapText="1"/>
    </xf>
    <xf numFmtId="165" fontId="4" fillId="3" borderId="0" xfId="0" applyNumberFormat="1" applyFont="1" applyFill="1" applyAlignment="1">
      <alignment vertical="top" wrapText="1"/>
    </xf>
    <xf numFmtId="165" fontId="4" fillId="0" borderId="0" xfId="0" applyNumberFormat="1" applyFont="1" applyAlignment="1">
      <alignment vertical="top" wrapText="1"/>
    </xf>
  </cellXfs>
  <cellStyles count="1">
    <cellStyle name="Normal" xfId="0" builtinId="0"/>
  </cellStyles>
  <dxfs count="1">
    <dxf>
      <font>
        <color rgb="FF375623"/>
      </font>
      <fill>
        <patternFill>
          <bgColor rgb="FFE2F0D9"/>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ables/table1.xml><?xml version="1.0" encoding="utf-8"?>
<table xmlns="http://schemas.openxmlformats.org/spreadsheetml/2006/main" id="1" name="SchemereviewTable" displayName="SchemereviewTable" ref="A5:AE65" totalsRowShown="0">
  <autoFilter ref="A5:AE65"/>
  <tableColumns count="31">
    <tableColumn id="1" name="ID"/>
    <tableColumn id="2" name="Scheme"/>
    <tableColumn id="3" name="Government"/>
    <tableColumn id="4" name="Geography"/>
    <tableColumn id="5" name="Benefits / purpose"/>
    <tableColumn id="6" name="Applicant documents"/>
    <tableColumn id="7" name="Application route"/>
    <tableColumn id="8" name="Manual checks / conflicts"/>
    <tableColumn id="9" name="Official page"/>
    <tableColumn id="10" name="Research date"/>
    <tableColumn id="11" name="Review status"/>
    <tableColumn id="12" name="Reviewer"/>
    <tableColumn id="13" name="Reviewer notes"/>
    <tableColumn id="14" name="Official categories"/>
    <tableColumn id="15" name="Applicant type (source)"/>
    <tableColumn id="16" name="Target beneficiaries (source)"/>
    <tableColumn id="17" name="Ministry / provider"/>
    <tableColumn id="18" name="Department"/>
    <tableColumn id="19" name="myScheme slug"/>
    <tableColumn id="20" name="Source ID"/>
    <tableColumn id="21" name="Original level label"/>
    <tableColumn id="22" name="Source open date"/>
    <tableColumn id="23" name="Source close date"/>
    <tableColumn id="24" name="Application availability"/>
    <tableColumn id="25" name="Eligibility capture"/>
    <tableColumn id="26" name="Exclusions capture"/>
    <tableColumn id="27" name="Source application modes"/>
    <tableColumn id="28" name="Document capture"/>
    <tableColumn id="29" name="Schema patterns to test"/>
    <tableColumn id="30" name="Current source name / alias"/>
    <tableColumn id="31" name="Snapshot hash"/>
  </tableColumns>
  <tableStyleInfo name="TableStyleLight9" showFirstColumn="0" showLastColumn="0" showRowStripes="1" showColumnStripes="0"/>
</table>
</file>

<file path=xl/tables/table2.xml><?xml version="1.0" encoding="utf-8"?>
<table xmlns="http://schemas.openxmlformats.org/spreadsheetml/2006/main" id="2" name="EligibilityTable" displayName="EligibilityTable" ref="A5:P584" totalsRowShown="0">
  <autoFilter ref="A5:P584"/>
  <tableColumns count="16">
    <tableColumn id="1" name="Scheme ID"/>
    <tableColumn id="2" name="Scheme"/>
    <tableColumn id="3" name="Rule / source row ID"/>
    <tableColumn id="4" name="Condition type"/>
    <tableColumn id="5" name="Eligibility / restriction"/>
    <tableColumn id="6" name="Source and passage"/>
    <tableColumn id="7" name="Source context / interpretation"/>
    <tableColumn id="8" name="Review status"/>
    <tableColumn id="9" name="Reviewer corrections"/>
    <tableColumn id="10" name="Section"/>
    <tableColumn id="11" name="Original source path"/>
    <tableColumn id="12" name="Version ID"/>
    <tableColumn id="13" name="Representation"/>
    <tableColumn id="14" name="Subject / scope mapping"/>
    <tableColumn id="15" name="Continuation part"/>
    <tableColumn id="16" name="Proposed field / operator"/>
  </tableColumns>
  <tableStyleInfo name="TableStyleLight9" showFirstColumn="0" showLastColumn="0" showRowStripes="1" showColumnStripes="0"/>
</table>
</file>

<file path=xl/tables/table3.xml><?xml version="1.0" encoding="utf-8"?>
<table xmlns="http://schemas.openxmlformats.org/spreadsheetml/2006/main" id="3" name="DocumentsandlinksTable" displayName="DocumentsandlinksTable" ref="A5:M401" totalsRowShown="0">
  <autoFilter ref="A5:M401"/>
  <tableColumns count="13">
    <tableColumn id="1" name="Source ID"/>
    <tableColumn id="2" name="Scheme IDs"/>
    <tableColumn id="3" name="Document type"/>
    <tableColumn id="4" name="Document / page title"/>
    <tableColumn id="5" name="Open link"/>
    <tableColumn id="6" name="Where to look / source path"/>
    <tableColumn id="7" name="Access / completeness"/>
    <tableColumn id="8" name="Language"/>
    <tableColumn id="9" name="Source date / version"/>
    <tableColumn id="10" name="Research date"/>
    <tableColumn id="11" name="Reviewer notes"/>
    <tableColumn id="12" name="URL"/>
    <tableColumn id="13" name="Snapshot hash"/>
  </tableColumns>
  <tableStyleInfo name="TableStyleLight9" showFirstColumn="0" showLastColumn="0" showRowStripes="1" showColumnStripes="0"/>
</table>
</file>

<file path=xl/tables/table4.xml><?xml version="1.0" encoding="utf-8"?>
<table xmlns="http://schemas.openxmlformats.org/spreadsheetml/2006/main" id="4" name="ApplicationstepsTable" displayName="ApplicationstepsTable" ref="A5:N684" totalsRowShown="0">
  <autoFilter ref="A5:N684"/>
  <tableColumns count="14">
    <tableColumn id="1" name="Scheme ID"/>
    <tableColumn id="2" name="Scheme"/>
    <tableColumn id="3" name="Passage ID"/>
    <tableColumn id="4" name="Source mode"/>
    <tableColumn id="5" name="Source phase / heading"/>
    <tableColumn id="6" name="Row type"/>
    <tableColumn id="7" name="Step / process text"/>
    <tableColumn id="8" name="Original source path"/>
    <tableColumn id="9" name="Version ID"/>
    <tableColumn id="10" name="Source ID"/>
    <tableColumn id="11" name="Continuation part"/>
    <tableColumn id="12" name="Review status"/>
    <tableColumn id="13" name="Reviewer corrections"/>
    <tableColumn id="14" name="Workflow modelling note"/>
  </tableColumns>
  <tableStyleInfo name="TableStyleLight9" showFirstColumn="0" showLastColumn="0" showRowStripes="1" showColumnStripes="0"/>
</table>
</file>

<file path=xl/tables/table5.xml><?xml version="1.0" encoding="utf-8"?>
<table xmlns="http://schemas.openxmlformats.org/spreadsheetml/2006/main" id="5" name="ApplicantdocumentsTable" displayName="ApplicantdocumentsTable" ref="A5:J485" totalsRowShown="0">
  <autoFilter ref="A5:J485"/>
  <tableColumns count="10">
    <tableColumn id="1" name="Scheme ID"/>
    <tableColumn id="2" name="Scheme"/>
    <tableColumn id="3" name="Passage / row ID"/>
    <tableColumn id="4" name="Applicant document / source text"/>
    <tableColumn id="5" name="Source context"/>
    <tableColumn id="6" name="Source ID"/>
    <tableColumn id="7" name="Version ID"/>
    <tableColumn id="8" name="Review status"/>
    <tableColumn id="9" name="Reviewer corrections"/>
    <tableColumn id="10" name="Applicability / completeness"/>
  </tableColumns>
  <tableStyleInfo name="TableStyleLight9" showFirstColumn="0" showLastColumn="0" showRowStripes="1" showColumnStripes="0"/>
</table>
</file>

<file path=xl/tables/table6.xml><?xml version="1.0" encoding="utf-8"?>
<table xmlns="http://schemas.openxmlformats.org/spreadsheetml/2006/main" id="6" name="SourcepassagesTable" displayName="SourcepassagesTable" ref="A5:N3166" totalsRowShown="0">
  <autoFilter ref="A5:N3166"/>
  <tableColumns count="14">
    <tableColumn id="1" name="Passage ID"/>
    <tableColumn id="2" name="Scheme ID"/>
    <tableColumn id="3" name="Scheme"/>
    <tableColumn id="4" name="Section"/>
    <tableColumn id="5" name="Source heading"/>
    <tableColumn id="6" name="Original source path"/>
    <tableColumn id="7" name="Version ID"/>
    <tableColumn id="8" name="Part"/>
    <tableColumn id="9" name="Parts"/>
    <tableColumn id="10" name="Source text"/>
    <tableColumn id="11" name="Source ID"/>
    <tableColumn id="12" name="Research date"/>
    <tableColumn id="13" name="Review state"/>
    <tableColumn id="14" name="Source node type"/>
  </tableColumns>
  <tableStyleInfo name="TableStyleLight9" showFirstColumn="0" showLastColumn="0" showRowStripes="1" showColumnStripes="0"/>
</table>
</file>

<file path=xl/tables/table7.xml><?xml version="1.0" encoding="utf-8"?>
<table xmlns="http://schemas.openxmlformats.org/spreadsheetml/2006/main" id="7" name="SchemafieldsTable" displayName="SchemafieldsTable" ref="A5:G41" totalsRowShown="0">
  <autoFilter ref="A5:G41"/>
  <tableColumns count="7">
    <tableColumn id="1" name="Entity"/>
    <tableColumn id="2" name="Field / relationship"/>
    <tableColumn id="3" name="Storage type"/>
    <tableColumn id="4" name="Requirement"/>
    <tableColumn id="5" name="Purpose"/>
    <tableColumn id="6" name="Example"/>
    <tableColumn id="7" name="Design constraint"/>
  </tableColumns>
  <tableStyleInfo name="TableStyleLight9" showFirstColumn="0" showLastColumn="0" showRowStripes="1" showColumnStripes="0"/>
</table>
</file>

<file path=xl/tables/table8.xml><?xml version="1.0" encoding="utf-8"?>
<table xmlns="http://schemas.openxmlformats.org/spreadsheetml/2006/main" id="8" name="CoverageTable" displayName="CoverageTable" ref="A5:D35" totalsRowShown="0">
  <autoFilter ref="A5:D35"/>
  <tableColumns count="4">
    <tableColumn id="1" name="Group"/>
    <tableColumn id="2" name="Measure / topic"/>
    <tableColumn id="3" name="Count"/>
    <tableColumn id="4" name="Explanatio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myscheme.gov.in/schemes/pmjjby" TargetMode="External"/><Relationship Id="rId2" Type="http://schemas.openxmlformats.org/officeDocument/2006/relationships/hyperlink" Target="https://www.myscheme.gov.in/schemes/pmsby" TargetMode="External"/><Relationship Id="rId3" Type="http://schemas.openxmlformats.org/officeDocument/2006/relationships/hyperlink" Target="https://www.myscheme.gov.in/schemes/pmkmdy" TargetMode="External"/><Relationship Id="rId4" Type="http://schemas.openxmlformats.org/officeDocument/2006/relationships/hyperlink" Target="https://www.myscheme.gov.in/schemes/apy" TargetMode="External"/><Relationship Id="rId5" Type="http://schemas.openxmlformats.org/officeDocument/2006/relationships/hyperlink" Target="https://www.myscheme.gov.in/schemes/pm-sym" TargetMode="External"/><Relationship Id="rId6" Type="http://schemas.openxmlformats.org/officeDocument/2006/relationships/hyperlink" Target="https://www.myscheme.gov.in/schemes/ignwps" TargetMode="External"/><Relationship Id="rId7" Type="http://schemas.openxmlformats.org/officeDocument/2006/relationships/hyperlink" Target="https://www.myscheme.gov.in/schemes/sgngs" TargetMode="External"/><Relationship Id="rId8" Type="http://schemas.openxmlformats.org/officeDocument/2006/relationships/hyperlink" Target="https://www.myscheme.gov.in/schemes/sbssps" TargetMode="External"/><Relationship Id="rId9" Type="http://schemas.openxmlformats.org/officeDocument/2006/relationships/hyperlink" Target="https://www.zpbeed.gov.in/en/scheme/lek-ladki-yojana/" TargetMode="External"/><Relationship Id="rId10" Type="http://schemas.openxmlformats.org/officeDocument/2006/relationships/hyperlink" Target="https://sjsa.maharashtra.gov.in/scheme/&#2350;&#2369;&#2326;&#2381;&#2351;&#2350;&#2306;&#2340;&#2381;&#2352;&#2368;-&#2357;&#2351;&#2379;&#2358;&#2381;&#2352;&#2368;-&#2351;&#2379;&#2332;&#2344;/" TargetMode="External"/><Relationship Id="rId11" Type="http://schemas.openxmlformats.org/officeDocument/2006/relationships/hyperlink" Target="https://www.myscheme.gov.in/schemes/rkvp" TargetMode="External"/><Relationship Id="rId12" Type="http://schemas.openxmlformats.org/officeDocument/2006/relationships/hyperlink" Target="https://www.myscheme.gov.in/schemes/mda-fert" TargetMode="External"/><Relationship Id="rId13" Type="http://schemas.openxmlformats.org/officeDocument/2006/relationships/hyperlink" Target="https://www.myscheme.gov.in/schemes/prism-c2-fwmpkhttptt" TargetMode="External"/><Relationship Id="rId14" Type="http://schemas.openxmlformats.org/officeDocument/2006/relationships/hyperlink" Target="https://www.myscheme.gov.in/schemes/kvyoj" TargetMode="External"/><Relationship Id="rId15" Type="http://schemas.openxmlformats.org/officeDocument/2006/relationships/hyperlink" Target="https://www.myscheme.gov.in/schemes/sui" TargetMode="External"/><Relationship Id="rId16" Type="http://schemas.openxmlformats.org/officeDocument/2006/relationships/hyperlink" Target="https://www.myscheme.gov.in/schemes/mi-hma-nhdp" TargetMode="External"/><Relationship Id="rId17" Type="http://schemas.openxmlformats.org/officeDocument/2006/relationships/hyperlink" Target="https://www.myscheme.gov.in/schemes/kcc" TargetMode="External"/><Relationship Id="rId18" Type="http://schemas.openxmlformats.org/officeDocument/2006/relationships/hyperlink" Target="https://www.myscheme.gov.in/schemes/pmfby" TargetMode="External"/><Relationship Id="rId19" Type="http://schemas.openxmlformats.org/officeDocument/2006/relationships/hyperlink" Target="https://www.myscheme.gov.in/schemes/pg-igssgc" TargetMode="External"/><Relationship Id="rId20" Type="http://schemas.openxmlformats.org/officeDocument/2006/relationships/hyperlink" Target="https://www.myscheme.gov.in/schemes/dacssiselosobcebc" TargetMode="External"/><Relationship Id="rId21" Type="http://schemas.openxmlformats.org/officeDocument/2006/relationships/hyperlink" Target="https://www.myscheme.gov.in/schemes/nikshay" TargetMode="External"/><Relationship Id="rId22" Type="http://schemas.openxmlformats.org/officeDocument/2006/relationships/hyperlink" Target="https://www.myscheme.gov.in/schemes/pmsma" TargetMode="External"/><Relationship Id="rId23" Type="http://schemas.openxmlformats.org/officeDocument/2006/relationships/hyperlink" Target="https://www.myscheme.gov.in/schemes/pm-poshan" TargetMode="External"/><Relationship Id="rId24" Type="http://schemas.openxmlformats.org/officeDocument/2006/relationships/hyperlink" Target="https://www.myscheme.gov.in/schemes/yhs" TargetMode="External"/><Relationship Id="rId25" Type="http://schemas.openxmlformats.org/officeDocument/2006/relationships/hyperlink" Target="https://www.myscheme.gov.in/schemes/avyay-napsc-hssc" TargetMode="External"/><Relationship Id="rId26" Type="http://schemas.openxmlformats.org/officeDocument/2006/relationships/hyperlink" Target="https://www.myscheme.gov.in/schemes/nms" TargetMode="External"/><Relationship Id="rId27" Type="http://schemas.openxmlformats.org/officeDocument/2006/relationships/hyperlink" Target="https://www.myscheme.gov.in/schemes/nari-adalat" TargetMode="External"/><Relationship Id="rId28" Type="http://schemas.openxmlformats.org/officeDocument/2006/relationships/hyperlink" Target="https://www.myscheme.gov.in/schemes/n-pdf" TargetMode="External"/><Relationship Id="rId29" Type="http://schemas.openxmlformats.org/officeDocument/2006/relationships/hyperlink" Target="https://www.myscheme.gov.in/schemes/widushi" TargetMode="External"/><Relationship Id="rId30" Type="http://schemas.openxmlformats.org/officeDocument/2006/relationships/hyperlink" Target="https://www.myscheme.gov.in/schemes/tare" TargetMode="External"/><Relationship Id="rId31" Type="http://schemas.openxmlformats.org/officeDocument/2006/relationships/hyperlink" Target="https://www.myscheme.gov.in/schemes/pm-vikas" TargetMode="External"/><Relationship Id="rId32" Type="http://schemas.openxmlformats.org/officeDocument/2006/relationships/hyperlink" Target="https://www.myscheme.gov.in/schemes/ay" TargetMode="External"/><Relationship Id="rId33" Type="http://schemas.openxmlformats.org/officeDocument/2006/relationships/hyperlink" Target="https://www.myscheme.gov.in/schemes/igndps" TargetMode="External"/><Relationship Id="rId34" Type="http://schemas.openxmlformats.org/officeDocument/2006/relationships/hyperlink" Target="https://www.myscheme.gov.in/schemes/hepsn" TargetMode="External"/><Relationship Id="rId35" Type="http://schemas.openxmlformats.org/officeDocument/2006/relationships/hyperlink" Target="https://www.myscheme.gov.in/schemes/sfava" TargetMode="External"/><Relationship Id="rId36" Type="http://schemas.openxmlformats.org/officeDocument/2006/relationships/hyperlink" Target="https://www.myscheme.gov.in/schemes/fesmwpnie" TargetMode="External"/><Relationship Id="rId37" Type="http://schemas.openxmlformats.org/officeDocument/2006/relationships/hyperlink" Target="https://www.myscheme.gov.in/schemes/gstecs" TargetMode="External"/><Relationship Id="rId38" Type="http://schemas.openxmlformats.org/officeDocument/2006/relationships/hyperlink" Target="https://www.myscheme.gov.in/schemes/neca" TargetMode="External"/><Relationship Id="rId39" Type="http://schemas.openxmlformats.org/officeDocument/2006/relationships/hyperlink" Target="https://www.myscheme.gov.in/schemes/mdas" TargetMode="External"/><Relationship Id="rId40" Type="http://schemas.openxmlformats.org/officeDocument/2006/relationships/hyperlink" Target="https://www.myscheme.gov.in/schemes/ai-tgses" TargetMode="External"/><Relationship Id="rId41" Type="http://schemas.openxmlformats.org/officeDocument/2006/relationships/hyperlink" Target="https://www.myscheme.gov.in/schemes/prashad" TargetMode="External"/><Relationship Id="rId42" Type="http://schemas.openxmlformats.org/officeDocument/2006/relationships/hyperlink" Target="https://www.myscheme.gov.in/schemes/pahal-dbtl" TargetMode="External"/><Relationship Id="rId43" Type="http://schemas.openxmlformats.org/officeDocument/2006/relationships/hyperlink" Target="https://www.myscheme.gov.in/schemes/aby-mojs" TargetMode="External"/><Relationship Id="rId44" Type="http://schemas.openxmlformats.org/officeDocument/2006/relationships/hyperlink" Target="https://www.myscheme.gov.in/schemes/spmsd" TargetMode="External"/><Relationship Id="rId45" Type="http://schemas.openxmlformats.org/officeDocument/2006/relationships/hyperlink" Target="https://www.myscheme.gov.in/schemes/hiip" TargetMode="External"/><Relationship Id="rId46" Type="http://schemas.openxmlformats.org/officeDocument/2006/relationships/hyperlink" Target="https://www.myscheme.gov.in/schemes/lgss" TargetMode="External"/><Relationship Id="rId47" Type="http://schemas.openxmlformats.org/officeDocument/2006/relationships/hyperlink" Target="https://www.myscheme.gov.in/schemes/mkym" TargetMode="External"/><Relationship Id="rId48" Type="http://schemas.openxmlformats.org/officeDocument/2006/relationships/hyperlink" Target="https://www.myscheme.gov.in/schemes/msym" TargetMode="External"/><Relationship Id="rId49" Type="http://schemas.openxmlformats.org/officeDocument/2006/relationships/hyperlink" Target="https://www.myscheme.gov.in/schemes/faaadp" TargetMode="External"/><Relationship Id="rId50" Type="http://schemas.openxmlformats.org/officeDocument/2006/relationships/hyperlink" Target="https://www.myscheme.gov.in/schemes/fadse" TargetMode="External"/><Relationship Id="rId51" Type="http://schemas.openxmlformats.org/officeDocument/2006/relationships/hyperlink" Target="https://www.myscheme.gov.in/schemes/rassnb" TargetMode="External"/><Relationship Id="rId52" Type="http://schemas.openxmlformats.org/officeDocument/2006/relationships/hyperlink" Target="https://www.myscheme.gov.in/schemes/namo-shetkari-mahasanman-nidhi-yojana" TargetMode="External"/><Relationship Id="rId53" Type="http://schemas.openxmlformats.org/officeDocument/2006/relationships/hyperlink" Target="https://www.myscheme.gov.in/schemes/cmegp" TargetMode="External"/><Relationship Id="rId54" Type="http://schemas.openxmlformats.org/officeDocument/2006/relationships/hyperlink" Target="https://www.myscheme.gov.in/schemes/pocra" TargetMode="External"/><Relationship Id="rId55" Type="http://schemas.openxmlformats.org/officeDocument/2006/relationships/hyperlink" Target="https://www.myscheme.gov.in/schemes/matci" TargetMode="External"/><Relationship Id="rId56" Type="http://schemas.openxmlformats.org/officeDocument/2006/relationships/hyperlink" Target="https://www.myscheme.gov.in/schemes/gaoah" TargetMode="External"/><Relationship Id="rId57" Type="http://schemas.openxmlformats.org/officeDocument/2006/relationships/hyperlink" Target="https://www.myscheme.gov.in/schemes/tmdvso" TargetMode="External"/><Relationship Id="rId58" Type="http://schemas.openxmlformats.org/officeDocument/2006/relationships/hyperlink" Target="https://www.myscheme.gov.in/schemes/mmlby" TargetMode="External"/><Relationship Id="rId59" Type="http://schemas.openxmlformats.org/officeDocument/2006/relationships/hyperlink" Target="https://www.myscheme.gov.in/schemes/mjpjay" TargetMode="External"/><Relationship Id="rId60" Type="http://schemas.openxmlformats.org/officeDocument/2006/relationships/hyperlink" Target="https://www.myscheme.gov.in/schemes/mmykpy" TargetMode="External"/><Relationship Id="rId6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hyperlink" Target="https://financialservices.gov.in/pmjjby" TargetMode="External"/><Relationship Id="rId2" Type="http://schemas.openxmlformats.org/officeDocument/2006/relationships/hyperlink" Target="https://jansuraksha.gov.in/Files/PMJJBY/English/Rules.pdf" TargetMode="External"/><Relationship Id="rId3" Type="http://schemas.openxmlformats.org/officeDocument/2006/relationships/hyperlink" Target="https://jansuraksha.gov.in/Files/PMJJBY/English/ApplicationForm.pdf" TargetMode="External"/><Relationship Id="rId4" Type="http://schemas.openxmlformats.org/officeDocument/2006/relationships/hyperlink" Target="https://financialservices.gov.in/pmsby" TargetMode="External"/><Relationship Id="rId5" Type="http://schemas.openxmlformats.org/officeDocument/2006/relationships/hyperlink" Target="https://jansuraksha.gov.in/Files/PMSBY/English/Rules.pdf" TargetMode="External"/><Relationship Id="rId6" Type="http://schemas.openxmlformats.org/officeDocument/2006/relationships/hyperlink" Target="https://jansuraksha.gov.in/Forms-PMSBY.aspx" TargetMode="External"/><Relationship Id="rId7" Type="http://schemas.openxmlformats.org/officeDocument/2006/relationships/hyperlink" Target="https://www.myscheme.gov.in/schemes/pmkmdy" TargetMode="External"/><Relationship Id="rId8" Type="http://schemas.openxmlformats.org/officeDocument/2006/relationships/hyperlink" Target="https://www.pib.gov.in/PressNoteDetails.aspx?ModuleId=3&amp;NoteId=159959&amp;lang=1&amp;reg=48" TargetMode="External"/><Relationship Id="rId9" Type="http://schemas.openxmlformats.org/officeDocument/2006/relationships/hyperlink" Target="https://pmkmy.gov.in/scheme/pmkmy" TargetMode="External"/><Relationship Id="rId10" Type="http://schemas.openxmlformats.org/officeDocument/2006/relationships/hyperlink" Target="https://financialservices.gov.in/atal-pension-yojana" TargetMode="External"/><Relationship Id="rId11" Type="http://schemas.openxmlformats.org/officeDocument/2006/relationships/hyperlink" Target="https://pfrda.org.in/documents/d/pfrda/the-manner-of-execution-of-subsidy-programmes-including-the-amounts-allocated" TargetMode="External"/><Relationship Id="rId12" Type="http://schemas.openxmlformats.org/officeDocument/2006/relationships/hyperlink" Target="https://www.pfrda.org.in/documents/33652/194727/Compendium%2Bof%2BPFRDA%2BAct%2C%2BRules%2Band%2BRegulations.pdf" TargetMode="External"/><Relationship Id="rId13" Type="http://schemas.openxmlformats.org/officeDocument/2006/relationships/hyperlink" Target="https://www.npscra.nsdl.co.in/nsdlforms.php" TargetMode="External"/><Relationship Id="rId14" Type="http://schemas.openxmlformats.org/officeDocument/2006/relationships/hyperlink" Target="https://www.pib.gov.in/PressNoteDetails.aspx?ModuleId=3&amp;NoteId=153849&amp;lang=2&amp;reg=48" TargetMode="External"/><Relationship Id="rId15" Type="http://schemas.openxmlformats.org/officeDocument/2006/relationships/hyperlink" Target="https://static.pib.gov.in/WriteReadData/specificdocs/documents/2025/mar/doc202534512301.pdf" TargetMode="External"/><Relationship Id="rId16" Type="http://schemas.openxmlformats.org/officeDocument/2006/relationships/hyperlink" Target="https://sjsa.maharashtra.gov.in/en/scheme/indira-gandhi-national-widow-pension-scheme/" TargetMode="External"/><Relationship Id="rId17" Type="http://schemas.openxmlformats.org/officeDocument/2006/relationships/hyperlink" Target="https://rural.gov.in/sites/default/files/Annual%20Report%202023-24%20English.pdf" TargetMode="External"/><Relationship Id="rId18" Type="http://schemas.openxmlformats.org/officeDocument/2006/relationships/hyperlink" Target="https://thane.nic.in/en/sanjay-ghandhi-niradhar-yojana/" TargetMode="External"/><Relationship Id="rId19" Type="http://schemas.openxmlformats.org/officeDocument/2006/relationships/hyperlink" Target="https://sjsa.maharashtra.gov.in/en/scheme/sanjay-gandhi-niradhar-anudan-yojana/" TargetMode="External"/><Relationship Id="rId20" Type="http://schemas.openxmlformats.org/officeDocument/2006/relationships/hyperlink" Target="https://ahilyanagar.maharashtra.gov.in/en/sanjay-gandhi/" TargetMode="External"/><Relationship Id="rId21" Type="http://schemas.openxmlformats.org/officeDocument/2006/relationships/hyperlink" Target="https://cdn.s3waas.gov.in/s304025959b191f8f9de3f924f0940515f/uploads/2018/04/2018040628-1.pdf" TargetMode="External"/><Relationship Id="rId22" Type="http://schemas.openxmlformats.org/officeDocument/2006/relationships/hyperlink" Target="https://sjsa.maharashtra.gov.in/en/scheme/shravan-bal-rajya-nivruttivetan-yojana/" TargetMode="External"/><Relationship Id="rId23" Type="http://schemas.openxmlformats.org/officeDocument/2006/relationships/hyperlink" Target="https://www.zpbeed.gov.in/en/scheme/lek-ladki-yojana/" TargetMode="External"/><Relationship Id="rId24" Type="http://schemas.openxmlformats.org/officeDocument/2006/relationships/hyperlink" Target="https://gr.maharashtra.gov.in/Site/Upload/Government%20Resolutions/Marathi/202310301153280030.pdf" TargetMode="External"/><Relationship Id="rId25" Type="http://schemas.openxmlformats.org/officeDocument/2006/relationships/hyperlink" Target="https://www.punezp.gov.in/en/scheme/lek-ladki-yojana/" TargetMode="External"/><Relationship Id="rId26" Type="http://schemas.openxmlformats.org/officeDocument/2006/relationships/hyperlink" Target="https://sjsa.maharashtra.gov.in/scheme/&#2350;&#2369;&#2326;&#2381;&#2351;&#2350;&#2306;&#2340;&#2381;&#2352;&#2368;-&#2357;&#2351;&#2379;&#2358;&#2381;&#2352;&#2368;-&#2351;&#2379;&#2332;&#2344;/" TargetMode="External"/><Relationship Id="rId27" Type="http://schemas.openxmlformats.org/officeDocument/2006/relationships/hyperlink" Target="https://cdn.s3waas.gov.in/s3b3967a0e938dc2a6340e258630febd5a/uploads/2024/08/2024080212.pdf" TargetMode="External"/><Relationship Id="rId28" Type="http://schemas.openxmlformats.org/officeDocument/2006/relationships/hyperlink" Target="https://nashik.gov.in/en/scheme/mukhyamantri-vayoshri-yojana/" TargetMode="External"/><Relationship Id="rId29" Type="http://schemas.openxmlformats.org/officeDocument/2006/relationships/hyperlink" Target="https://mumbaisuburban.gov.in/en/sanjay-gandhi-yojana/" TargetMode="External"/><Relationship Id="rId30" Type="http://schemas.openxmlformats.org/officeDocument/2006/relationships/hyperlink" Target="https://www.satara.gov.in/en/schemes-3/" TargetMode="External"/><Relationship Id="rId31" Type="http://schemas.openxmlformats.org/officeDocument/2006/relationships/hyperlink" Target="https://www.myscheme.gov.in/schemes/pmjjby" TargetMode="External"/><Relationship Id="rId32" Type="http://schemas.openxmlformats.org/officeDocument/2006/relationships/hyperlink" Target="https://www.myscheme.gov.in/api/apisetu/schemes?slug=pmjjby&amp;lang=en" TargetMode="External"/><Relationship Id="rId33" Type="http://schemas.openxmlformats.org/officeDocument/2006/relationships/hyperlink" Target="https://www.myscheme.gov.in/api/apisetu/schemes/62a1a38e07ac3b4e623091b1/documents?lang=en" TargetMode="External"/><Relationship Id="rId34" Type="http://schemas.openxmlformats.org/officeDocument/2006/relationships/hyperlink" Target="https://www.jansuraksha.gov.in/Files/PMJJBY/English/ApplicationForm.pdf" TargetMode="External"/><Relationship Id="rId35" Type="http://schemas.openxmlformats.org/officeDocument/2006/relationships/hyperlink" Target="https://jansuraksha.gov.in/Files/PMJJBY/English/Rules.pdf" TargetMode="External"/><Relationship Id="rId36" Type="http://schemas.openxmlformats.org/officeDocument/2006/relationships/hyperlink" Target="https://www.myscheme.gov.in/schemes/pmsby" TargetMode="External"/><Relationship Id="rId37" Type="http://schemas.openxmlformats.org/officeDocument/2006/relationships/hyperlink" Target="https://www.myscheme.gov.in/api/apisetu/schemes?slug=pmsby&amp;lang=en" TargetMode="External"/><Relationship Id="rId38" Type="http://schemas.openxmlformats.org/officeDocument/2006/relationships/hyperlink" Target="https://www.myscheme.gov.in/api/apisetu/schemes/6290a249e65001fa5dfa97b0/documents?lang=en" TargetMode="External"/><Relationship Id="rId39" Type="http://schemas.openxmlformats.org/officeDocument/2006/relationships/hyperlink" Target="https://jansuraksha.gov.in/Forms-PMSBY.aspx" TargetMode="External"/><Relationship Id="rId40" Type="http://schemas.openxmlformats.org/officeDocument/2006/relationships/hyperlink" Target="https://jansuraksha.gov.in/files/STATEWISETOLLFREE.pdf" TargetMode="External"/><Relationship Id="rId41" Type="http://schemas.openxmlformats.org/officeDocument/2006/relationships/hyperlink" Target="https://jansuraksha.gov.in/Files/PMSBY/English/Rules.pdf" TargetMode="External"/><Relationship Id="rId42" Type="http://schemas.openxmlformats.org/officeDocument/2006/relationships/hyperlink" Target="https://www.myscheme.gov.in/schemes/pmkmdy" TargetMode="External"/><Relationship Id="rId43" Type="http://schemas.openxmlformats.org/officeDocument/2006/relationships/hyperlink" Target="https://www.myscheme.gov.in/api/apisetu/schemes?slug=pmkmdy&amp;lang=en" TargetMode="External"/><Relationship Id="rId44" Type="http://schemas.openxmlformats.org/officeDocument/2006/relationships/hyperlink" Target="https://www.myscheme.gov.in/api/apisetu/schemes/69896d8ebd88cb68aad3c472/documents?lang=en" TargetMode="External"/><Relationship Id="rId45" Type="http://schemas.openxmlformats.org/officeDocument/2006/relationships/hyperlink" Target="https://pmkmy.gov.in/scheme/pmkmy" TargetMode="External"/><Relationship Id="rId46" Type="http://schemas.openxmlformats.org/officeDocument/2006/relationships/hyperlink" Target="https://pmkmy.gov.in/page/faq" TargetMode="External"/><Relationship Id="rId47" Type="http://schemas.openxmlformats.org/officeDocument/2006/relationships/hyperlink" Target="https://www.myscheme.gov.in/schemes/apy" TargetMode="External"/><Relationship Id="rId48" Type="http://schemas.openxmlformats.org/officeDocument/2006/relationships/hyperlink" Target="https://www.myscheme.gov.in/api/apisetu/schemes?slug=apy&amp;lang=en" TargetMode="External"/><Relationship Id="rId49" Type="http://schemas.openxmlformats.org/officeDocument/2006/relationships/hyperlink" Target="https://www.myscheme.gov.in/api/apisetu/schemes/628b41a2c9b440ca7f31ff6c/documents?lang=en" TargetMode="External"/><Relationship Id="rId50" Type="http://schemas.openxmlformats.org/officeDocument/2006/relationships/hyperlink" Target="https://enps.nsdl.com/eNPS/NationalPensionSystem.html" TargetMode="External"/><Relationship Id="rId51" Type="http://schemas.openxmlformats.org/officeDocument/2006/relationships/hyperlink" Target="https://www.npscra.nsdl.co.in/nsdl/scheme-details/APY_Subscribers_Contribution_Chart_1.pdf" TargetMode="External"/><Relationship Id="rId52" Type="http://schemas.openxmlformats.org/officeDocument/2006/relationships/hyperlink" Target="https://www.npscra.nsdl.co.in/" TargetMode="External"/><Relationship Id="rId53" Type="http://schemas.openxmlformats.org/officeDocument/2006/relationships/hyperlink" Target="https://www.myscheme.gov.in/schemes/pm-sym" TargetMode="External"/><Relationship Id="rId54" Type="http://schemas.openxmlformats.org/officeDocument/2006/relationships/hyperlink" Target="https://www.myscheme.gov.in/api/apisetu/schemes?slug=pm-sym&amp;lang=en" TargetMode="External"/><Relationship Id="rId55" Type="http://schemas.openxmlformats.org/officeDocument/2006/relationships/hyperlink" Target="https://www.myscheme.gov.in/api/apisetu/schemes/6989c67975dad3f48e6dab1c/documents?lang=en" TargetMode="External"/><Relationship Id="rId56" Type="http://schemas.openxmlformats.org/officeDocument/2006/relationships/hyperlink" Target="https://maandhan.in/" TargetMode="External"/><Relationship Id="rId57" Type="http://schemas.openxmlformats.org/officeDocument/2006/relationships/hyperlink" Target="https://maandhan.in/showfile.php?lang=1&amp;level=1&amp;ls_id=171&amp;lid=260&amp;page=101" TargetMode="External"/><Relationship Id="rId58" Type="http://schemas.openxmlformats.org/officeDocument/2006/relationships/hyperlink" Target="https://www.labour.gov.in/offerings/schemes-and-services/details/pm-sym-QTOzATMtQWa" TargetMode="External"/><Relationship Id="rId59" Type="http://schemas.openxmlformats.org/officeDocument/2006/relationships/hyperlink" Target="https://www.pib.gov.in/PressReleasePage.aspx?PRID=2108082&amp;reg=48&amp;lang=2" TargetMode="External"/><Relationship Id="rId60" Type="http://schemas.openxmlformats.org/officeDocument/2006/relationships/hyperlink" Target="https://maandhan.in/show_content.php?lang=1&amp;level=1&amp;ls_id=79&amp;lid=63&amp;page=74" TargetMode="External"/><Relationship Id="rId61" Type="http://schemas.openxmlformats.org/officeDocument/2006/relationships/hyperlink" Target="https://maandhan.in/show_content.php?lang=1&amp;level=1&amp;ls_id=104&amp;lid=88&amp;page=101" TargetMode="External"/><Relationship Id="rId62" Type="http://schemas.openxmlformats.org/officeDocument/2006/relationships/hyperlink" Target="https://findmycsc.nic.in/csc/" TargetMode="External"/><Relationship Id="rId63" Type="http://schemas.openxmlformats.org/officeDocument/2006/relationships/hyperlink" Target="https://www.myscheme.gov.in/schemes/ignwps" TargetMode="External"/><Relationship Id="rId64" Type="http://schemas.openxmlformats.org/officeDocument/2006/relationships/hyperlink" Target="https://www.myscheme.gov.in/api/apisetu/schemes?slug=ignwps&amp;lang=en" TargetMode="External"/><Relationship Id="rId65" Type="http://schemas.openxmlformats.org/officeDocument/2006/relationships/hyperlink" Target="https://www.myscheme.gov.in/api/apisetu/schemes/628c79f250b52bb011ccb5ee/documents?lang=en" TargetMode="External"/><Relationship Id="rId66" Type="http://schemas.openxmlformats.org/officeDocument/2006/relationships/hyperlink" Target="https://web.umang.gov.in/web_new/home" TargetMode="External"/><Relationship Id="rId67" Type="http://schemas.openxmlformats.org/officeDocument/2006/relationships/hyperlink" Target="https://nsap.nic.in/circular.do?method=faq" TargetMode="External"/><Relationship Id="rId68" Type="http://schemas.openxmlformats.org/officeDocument/2006/relationships/hyperlink" Target="https://nsap.nic.in/Guidelines/nsap_guidelines_oct2014.pdf" TargetMode="External"/><Relationship Id="rId69" Type="http://schemas.openxmlformats.org/officeDocument/2006/relationships/hyperlink" Target="https://nsap.nic.in/Guidelines/wps.pdf" TargetMode="External"/><Relationship Id="rId70" Type="http://schemas.openxmlformats.org/officeDocument/2006/relationships/hyperlink" Target="https://nsap.nic.in/Guidelines/english_wps.pdf" TargetMode="External"/><Relationship Id="rId71" Type="http://schemas.openxmlformats.org/officeDocument/2006/relationships/hyperlink" Target="https://nsap.nic.in/Guidelines/guidelines%20on%20IGNWPS%2030sep09.pdf" TargetMode="External"/><Relationship Id="rId72" Type="http://schemas.openxmlformats.org/officeDocument/2006/relationships/hyperlink" Target="https://www.myscheme.gov.in/schemes/sgngs" TargetMode="External"/><Relationship Id="rId73" Type="http://schemas.openxmlformats.org/officeDocument/2006/relationships/hyperlink" Target="https://www.myscheme.gov.in/api/apisetu/schemes?slug=sgngs&amp;lang=en" TargetMode="External"/><Relationship Id="rId74" Type="http://schemas.openxmlformats.org/officeDocument/2006/relationships/hyperlink" Target="https://www.myscheme.gov.in/api/apisetu/schemes/645dc43b7556e20740a46703/documents?lang=en" TargetMode="External"/><Relationship Id="rId75" Type="http://schemas.openxmlformats.org/officeDocument/2006/relationships/hyperlink" Target="https://cdn.s3waas.gov.in/s317e62166fc8586dfa4d1bc0e1742c08b/uploads/2018/03/2018031988.pdf" TargetMode="External"/><Relationship Id="rId76" Type="http://schemas.openxmlformats.org/officeDocument/2006/relationships/hyperlink" Target="https://aaplesarkar.mahaonline.gov.in/pdf/UM_AS_Reg.pdf" TargetMode="External"/><Relationship Id="rId77" Type="http://schemas.openxmlformats.org/officeDocument/2006/relationships/hyperlink" Target="https://aaplesarkar.mahaonline.gov.in/" TargetMode="External"/><Relationship Id="rId78" Type="http://schemas.openxmlformats.org/officeDocument/2006/relationships/hyperlink" Target="https://aaplesarkar.mahaonline.gov.in/en/Registration/Register" TargetMode="External"/><Relationship Id="rId79" Type="http://schemas.openxmlformats.org/officeDocument/2006/relationships/hyperlink" Target="https://aaplesarkar.mahaonline.gov.in/pdf/Photoupload.pdf" TargetMode="External"/><Relationship Id="rId80" Type="http://schemas.openxmlformats.org/officeDocument/2006/relationships/hyperlink" Target="https://sjsa.maharashtra.gov.in/mr/schemes-page?scheme_nature=37" TargetMode="External"/><Relationship Id="rId81" Type="http://schemas.openxmlformats.org/officeDocument/2006/relationships/hyperlink" Target="https://static.s3waas.gov.in/s3db85e2590b6109813dafa101ceb2faeb/uploads/2018/03/2018030785.pdf" TargetMode="External"/><Relationship Id="rId82" Type="http://schemas.openxmlformats.org/officeDocument/2006/relationships/hyperlink" Target="https://mumbaisuburban.gov.in/scheme/sanjay-gandhi-niradhar-pension-scheme/" TargetMode="External"/><Relationship Id="rId83" Type="http://schemas.openxmlformats.org/officeDocument/2006/relationships/hyperlink" Target="https://cdn.s3waas.gov.in/s304025959b191f8f9de3f924f0940515f/uploads/2018/04/2018040628-1.pdf" TargetMode="External"/><Relationship Id="rId84" Type="http://schemas.openxmlformats.org/officeDocument/2006/relationships/hyperlink" Target="https://aaplesarkar.mahaonline.gov.in/en/CommonForm/ContactUs" TargetMode="External"/><Relationship Id="rId85" Type="http://schemas.openxmlformats.org/officeDocument/2006/relationships/hyperlink" Target="https://aaplesarkar.mahaonline.gov.in/en/CommonForm/SewaKendraDetails" TargetMode="External"/><Relationship Id="rId86" Type="http://schemas.openxmlformats.org/officeDocument/2006/relationships/hyperlink" Target="https://www.myscheme.gov.in/schemes/sbssps" TargetMode="External"/><Relationship Id="rId87" Type="http://schemas.openxmlformats.org/officeDocument/2006/relationships/hyperlink" Target="https://www.myscheme.gov.in/api/apisetu/schemes?slug=sbssps&amp;lang=en" TargetMode="External"/><Relationship Id="rId88" Type="http://schemas.openxmlformats.org/officeDocument/2006/relationships/hyperlink" Target="https://www.myscheme.gov.in/api/apisetu/schemes/645e08f6c6c27dd966a138d0/documents?lang=en" TargetMode="External"/><Relationship Id="rId89" Type="http://schemas.openxmlformats.org/officeDocument/2006/relationships/hyperlink" Target="https://aaplesarkar.mahaonline.gov.in/pdf/UM_AS_Reg.pdf" TargetMode="External"/><Relationship Id="rId90" Type="http://schemas.openxmlformats.org/officeDocument/2006/relationships/hyperlink" Target="https://aaplesarkar.mahaonline.gov.in/" TargetMode="External"/><Relationship Id="rId91" Type="http://schemas.openxmlformats.org/officeDocument/2006/relationships/hyperlink" Target="https://aaplesarkar.mahaonline.gov.in/en/Registration/Register" TargetMode="External"/><Relationship Id="rId92" Type="http://schemas.openxmlformats.org/officeDocument/2006/relationships/hyperlink" Target="https://aaplesarkar.mahaonline.gov.in/pdf/Photoupload.pdf" TargetMode="External"/><Relationship Id="rId93" Type="http://schemas.openxmlformats.org/officeDocument/2006/relationships/hyperlink" Target="https://cdn.s3waas.gov.in/s317e62166fc8586dfa4d1bc0e1742c08b/uploads/2018/03/2018031988.pdf" TargetMode="External"/><Relationship Id="rId94" Type="http://schemas.openxmlformats.org/officeDocument/2006/relationships/hyperlink" Target="https://sjsa.maharashtra.gov.in/mr/schemes-page?scheme_nature=37" TargetMode="External"/><Relationship Id="rId95" Type="http://schemas.openxmlformats.org/officeDocument/2006/relationships/hyperlink" Target="https://aaplesarkar.mahaonline.gov.in/en/CommonForm/ContactUs" TargetMode="External"/><Relationship Id="rId96" Type="http://schemas.openxmlformats.org/officeDocument/2006/relationships/hyperlink" Target="https://aaplesarkar.mahaonline.gov.in/en/CommonForm/SewaKendraDetails" TargetMode="External"/><Relationship Id="rId97" Type="http://schemas.openxmlformats.org/officeDocument/2006/relationships/hyperlink" Target="https://www.zpbeed.gov.in/en/scheme/lek-ladki-yojana/" TargetMode="External"/><Relationship Id="rId98" Type="http://schemas.openxmlformats.org/officeDocument/2006/relationships/hyperlink" Target="https://sjsa.maharashtra.gov.in/scheme/&#2350;&#2369;&#2326;&#2381;&#2351;&#2350;&#2306;&#2340;&#2381;&#2352;&#2368;-&#2357;&#2351;&#2379;&#2358;&#2381;&#2352;&#2368;-&#2351;&#2379;&#2332;&#2344;/" TargetMode="External"/><Relationship Id="rId99" Type="http://schemas.openxmlformats.org/officeDocument/2006/relationships/hyperlink" Target="https://www.myscheme.gov.in/schemes/rkvp" TargetMode="External"/><Relationship Id="rId100" Type="http://schemas.openxmlformats.org/officeDocument/2006/relationships/hyperlink" Target="https://www.myscheme.gov.in/api/apisetu/schemes?slug=rkvp&amp;lang=en" TargetMode="External"/><Relationship Id="rId101" Type="http://schemas.openxmlformats.org/officeDocument/2006/relationships/hyperlink" Target="https://www.myscheme.gov.in/api/apisetu/schemes/69c3b7129d266e2072493bb0/documents?lang=en" TargetMode="External"/><Relationship Id="rId102" Type="http://schemas.openxmlformats.org/officeDocument/2006/relationships/hyperlink" Target="https://awards.gov.in/" TargetMode="External"/><Relationship Id="rId103" Type="http://schemas.openxmlformats.org/officeDocument/2006/relationships/hyperlink" Target="https://awards.gov.in/Registration/SignUp" TargetMode="External"/><Relationship Id="rId104" Type="http://schemas.openxmlformats.org/officeDocument/2006/relationships/hyperlink" Target="https://awards.gov.in/Login" TargetMode="External"/><Relationship Id="rId105" Type="http://schemas.openxmlformats.org/officeDocument/2006/relationships/hyperlink" Target="https://awards.gov.in/Home/AwardLibrary" TargetMode="External"/><Relationship Id="rId106" Type="http://schemas.openxmlformats.org/officeDocument/2006/relationships/hyperlink" Target="https://icar.org.in/hi/node/22890" TargetMode="External"/><Relationship Id="rId107" Type="http://schemas.openxmlformats.org/officeDocument/2006/relationships/hyperlink" Target="https://www.myscheme.gov.in/schemes/mda-fert" TargetMode="External"/><Relationship Id="rId108" Type="http://schemas.openxmlformats.org/officeDocument/2006/relationships/hyperlink" Target="https://www.myscheme.gov.in/api/apisetu/schemes?slug=mda-fert&amp;lang=en" TargetMode="External"/><Relationship Id="rId109" Type="http://schemas.openxmlformats.org/officeDocument/2006/relationships/hyperlink" Target="https://www.myscheme.gov.in/api/apisetu/schemes/6a02fb5ef93a81a34ce51eaf/documents?lang=en" TargetMode="External"/><Relationship Id="rId110" Type="http://schemas.openxmlformats.org/officeDocument/2006/relationships/hyperlink" Target="https://fert.gov.in/sites/default/files/Guidelines%20on%20Market%20Development%20Assistance%20(MDA)%20for%20Promotion%20of%20Organic%20Fertilizers%20-%20Regarding%20(20-09-2023)_0.pdf" TargetMode="External"/><Relationship Id="rId111" Type="http://schemas.openxmlformats.org/officeDocument/2006/relationships/hyperlink" Target="https://www.myscheme.gov.in/schemes/prism-c2-fwmpkhttptt" TargetMode="External"/><Relationship Id="rId112" Type="http://schemas.openxmlformats.org/officeDocument/2006/relationships/hyperlink" Target="https://www.myscheme.gov.in/api/apisetu/schemes?slug=prism-c2-fwmpkhttptt&amp;lang=en" TargetMode="External"/><Relationship Id="rId113" Type="http://schemas.openxmlformats.org/officeDocument/2006/relationships/hyperlink" Target="https://www.myscheme.gov.in/api/apisetu/schemes/68f75bc2cd0b48b25fba8003/documents?lang=en" TargetMode="External"/><Relationship Id="rId114" Type="http://schemas.openxmlformats.org/officeDocument/2006/relationships/hyperlink" Target="https://www.dsir.gov.in/sites/default/files/2019-09/guide_ph1_cat2.pdf" TargetMode="External"/><Relationship Id="rId115" Type="http://schemas.openxmlformats.org/officeDocument/2006/relationships/hyperlink" Target="https://www.myscheme.gov.in/schemes/kvyoj" TargetMode="External"/><Relationship Id="rId116" Type="http://schemas.openxmlformats.org/officeDocument/2006/relationships/hyperlink" Target="https://www.myscheme.gov.in/api/apisetu/schemes?slug=kvyoj&amp;lang=en" TargetMode="External"/><Relationship Id="rId117" Type="http://schemas.openxmlformats.org/officeDocument/2006/relationships/hyperlink" Target="https://www.myscheme.gov.in/api/apisetu/schemes/698b1adbb3c2d7b0a51cdc11/documents?lang=en" TargetMode="External"/><Relationship Id="rId118" Type="http://schemas.openxmlformats.org/officeDocument/2006/relationships/hyperlink" Target="https://www.kviconline.gov.in/" TargetMode="External"/><Relationship Id="rId119" Type="http://schemas.openxmlformats.org/officeDocument/2006/relationships/hyperlink" Target="https://kviconline.gov.in/mdaclaims/certKhadi/index.jsp" TargetMode="External"/><Relationship Id="rId120" Type="http://schemas.openxmlformats.org/officeDocument/2006/relationships/hyperlink" Target="https://kviconline.gov.in/mdaclaims/certKhadi/khadiCertificateRenew.jsp?app=1" TargetMode="External"/><Relationship Id="rId121" Type="http://schemas.openxmlformats.org/officeDocument/2006/relationships/hyperlink" Target="https://kviconline.gov.in/mdaclaims/certKhadi/certApplicantLogin.jsp" TargetMode="External"/><Relationship Id="rId122" Type="http://schemas.openxmlformats.org/officeDocument/2006/relationships/hyperlink" Target="https://www.dcmsme.gov.in/ebook/MSMESchemebooklet2025-26.pdf" TargetMode="External"/><Relationship Id="rId123" Type="http://schemas.openxmlformats.org/officeDocument/2006/relationships/hyperlink" Target="https://www.myscheme.gov.in/schemes/sui" TargetMode="External"/><Relationship Id="rId124" Type="http://schemas.openxmlformats.org/officeDocument/2006/relationships/hyperlink" Target="https://www.myscheme.gov.in/api/apisetu/schemes?slug=sui&amp;lang=en" TargetMode="External"/><Relationship Id="rId125" Type="http://schemas.openxmlformats.org/officeDocument/2006/relationships/hyperlink" Target="https://www.myscheme.gov.in/api/apisetu/schemes/628727c27d5de378dc7acfe9/documents?lang=en" TargetMode="External"/><Relationship Id="rId126" Type="http://schemas.openxmlformats.org/officeDocument/2006/relationships/hyperlink" Target="https://www.rbi.org.in/Scripts/query.aspx" TargetMode="External"/><Relationship Id="rId127" Type="http://schemas.openxmlformats.org/officeDocument/2006/relationships/hyperlink" Target="https://www.standupmitra.in/LDMS" TargetMode="External"/><Relationship Id="rId128" Type="http://schemas.openxmlformats.org/officeDocument/2006/relationships/hyperlink" Target="https://www.standupmitra.in/" TargetMode="External"/><Relationship Id="rId129" Type="http://schemas.openxmlformats.org/officeDocument/2006/relationships/hyperlink" Target="https://www.standupmitra.in/Login/Register" TargetMode="External"/><Relationship Id="rId130" Type="http://schemas.openxmlformats.org/officeDocument/2006/relationships/hyperlink" Target="https://www.udyami.org.in/storage/schemes/file/t4CQkv4D2TsdhI3MK8KqFSnYPw6RTBBsmh7p449D.pdf" TargetMode="External"/><Relationship Id="rId131" Type="http://schemas.openxmlformats.org/officeDocument/2006/relationships/hyperlink" Target="https://www.myscheme.gov.in/schemes/mi-hma-nhdp" TargetMode="External"/><Relationship Id="rId132" Type="http://schemas.openxmlformats.org/officeDocument/2006/relationships/hyperlink" Target="https://www.myscheme.gov.in/api/apisetu/schemes?slug=mi-hma-nhdp&amp;lang=en" TargetMode="External"/><Relationship Id="rId133" Type="http://schemas.openxmlformats.org/officeDocument/2006/relationships/hyperlink" Target="https://www.myscheme.gov.in/api/apisetu/schemes/6889e14c5674185b680dafac/documents?lang=en" TargetMode="External"/><Relationship Id="rId134" Type="http://schemas.openxmlformats.org/officeDocument/2006/relationships/hyperlink" Target="https://handlooms.nic.in/assets/img/Final%20Revised%20%20Guidelines%20NHDP%2012.04.2023.pdf" TargetMode="External"/><Relationship Id="rId135" Type="http://schemas.openxmlformats.org/officeDocument/2006/relationships/hyperlink" Target="https://www.myscheme.gov.in/schemes/kcc" TargetMode="External"/><Relationship Id="rId136" Type="http://schemas.openxmlformats.org/officeDocument/2006/relationships/hyperlink" Target="https://www.myscheme.gov.in/api/apisetu/schemes?slug=kcc&amp;lang=en" TargetMode="External"/><Relationship Id="rId137" Type="http://schemas.openxmlformats.org/officeDocument/2006/relationships/hyperlink" Target="https://www.myscheme.gov.in/api/apisetu/schemes/63d65d39eed73423e389f973/documents?lang=en" TargetMode="External"/><Relationship Id="rId138" Type="http://schemas.openxmlformats.org/officeDocument/2006/relationships/hyperlink" Target="https://pib.gov.in/FactsheetDetails.aspx?Id=148600" TargetMode="External"/><Relationship Id="rId139" Type="http://schemas.openxmlformats.org/officeDocument/2006/relationships/hyperlink" Target="https://sbi.co.in/web/agri-rural/agriculture-banking/crop-loan/kisan-credit-card" TargetMode="External"/><Relationship Id="rId140" Type="http://schemas.openxmlformats.org/officeDocument/2006/relationships/hyperlink" Target="https://rbidocs.rbi.org.in/rdocs/notification/PDFs/04MCKCC030720171E79A08735884C429CF26F5414AB36D9.PDF" TargetMode="External"/><Relationship Id="rId141" Type="http://schemas.openxmlformats.org/officeDocument/2006/relationships/hyperlink" Target="https://www.myscheme.gov.in/schemes/pmfby" TargetMode="External"/><Relationship Id="rId142" Type="http://schemas.openxmlformats.org/officeDocument/2006/relationships/hyperlink" Target="https://www.myscheme.gov.in/api/apisetu/schemes?slug=pmfby&amp;lang=en" TargetMode="External"/><Relationship Id="rId143" Type="http://schemas.openxmlformats.org/officeDocument/2006/relationships/hyperlink" Target="https://www.myscheme.gov.in/api/apisetu/schemes/63b811620d2bd718ff71b421/documents?lang=en" TargetMode="External"/><Relationship Id="rId144" Type="http://schemas.openxmlformats.org/officeDocument/2006/relationships/hyperlink" Target="https://pmfby.gov.in/" TargetMode="External"/><Relationship Id="rId145" Type="http://schemas.openxmlformats.org/officeDocument/2006/relationships/hyperlink" Target="https://pmfby.gov.in/farmerRegistrationForm" TargetMode="External"/><Relationship Id="rId146" Type="http://schemas.openxmlformats.org/officeDocument/2006/relationships/hyperlink" Target="https://pmfby.gov.in/bankBranchDirectory" TargetMode="External"/><Relationship Id="rId147" Type="http://schemas.openxmlformats.org/officeDocument/2006/relationships/hyperlink" Target="https://pmfby.gov.in/insuranceCompanyDirectory" TargetMode="External"/><Relationship Id="rId148" Type="http://schemas.openxmlformats.org/officeDocument/2006/relationships/hyperlink" Target="https://locator.csccloud.in/" TargetMode="External"/><Relationship Id="rId149" Type="http://schemas.openxmlformats.org/officeDocument/2006/relationships/hyperlink" Target="https://pmfby.gov.in/pdf/Revamped%20Operational%20Guidelines_17th%20August%202020.pdf" TargetMode="External"/><Relationship Id="rId150" Type="http://schemas.openxmlformats.org/officeDocument/2006/relationships/hyperlink" Target="https://pmfby.gov.in/pdf/FAQ%E2%80%93For%20Portal.pdf" TargetMode="External"/><Relationship Id="rId151" Type="http://schemas.openxmlformats.org/officeDocument/2006/relationships/hyperlink" Target="https://www.myscheme.gov.in/schemes/pg-igssgc" TargetMode="External"/><Relationship Id="rId152" Type="http://schemas.openxmlformats.org/officeDocument/2006/relationships/hyperlink" Target="https://www.myscheme.gov.in/api/apisetu/schemes?slug=pg-igssgc&amp;lang=en" TargetMode="External"/><Relationship Id="rId153" Type="http://schemas.openxmlformats.org/officeDocument/2006/relationships/hyperlink" Target="https://www.myscheme.gov.in/api/apisetu/schemes/631b167899d5444e11b5faf3/documents?lang=en" TargetMode="External"/><Relationship Id="rId154" Type="http://schemas.openxmlformats.org/officeDocument/2006/relationships/hyperlink" Target="https://scholarships.gov.in/public/schemeGuidelines/Guidelines_SGC1819.pdf" TargetMode="External"/><Relationship Id="rId155" Type="http://schemas.openxmlformats.org/officeDocument/2006/relationships/hyperlink" Target="https://scholarships.gov.in/public/FAQ/FAQ_SGC1819.pdf" TargetMode="External"/><Relationship Id="rId156" Type="http://schemas.openxmlformats.org/officeDocument/2006/relationships/hyperlink" Target="https://www.myscheme.gov.in/schemes/dacssiselosobcebc" TargetMode="External"/><Relationship Id="rId157" Type="http://schemas.openxmlformats.org/officeDocument/2006/relationships/hyperlink" Target="https://www.myscheme.gov.in/api/apisetu/schemes?slug=dacssiselosobcebc&amp;lang=en" TargetMode="External"/><Relationship Id="rId158" Type="http://schemas.openxmlformats.org/officeDocument/2006/relationships/hyperlink" Target="https://www.myscheme.gov.in/api/apisetu/schemes/652a40ba2a298fe1b4839e65/documents?lang=en" TargetMode="External"/><Relationship Id="rId159" Type="http://schemas.openxmlformats.org/officeDocument/2006/relationships/hyperlink" Target="https://socialjustice.gov.in/writereaddata/UploadFile/Guidelines%20ISEL%20Scheme%20(wef%2001%20Oct%202017).pdf" TargetMode="External"/><Relationship Id="rId160" Type="http://schemas.openxmlformats.org/officeDocument/2006/relationships/hyperlink" Target="https://socialjustice.gov.in/writereaddata/UploadFile/RICfor%20ISSC.pdf" TargetMode="External"/><Relationship Id="rId161" Type="http://schemas.openxmlformats.org/officeDocument/2006/relationships/hyperlink" Target="https://web.umang.gov.in/landing/department/dr-ambedkar-central-sector-scheme-of-interest-subsidy.html" TargetMode="External"/><Relationship Id="rId162" Type="http://schemas.openxmlformats.org/officeDocument/2006/relationships/hyperlink" Target="https://www.myscheme.gov.in/schemes/nikshay" TargetMode="External"/><Relationship Id="rId163" Type="http://schemas.openxmlformats.org/officeDocument/2006/relationships/hyperlink" Target="https://www.myscheme.gov.in/api/apisetu/schemes?slug=nikshay&amp;lang=en" TargetMode="External"/><Relationship Id="rId164" Type="http://schemas.openxmlformats.org/officeDocument/2006/relationships/hyperlink" Target="https://www.myscheme.gov.in/api/apisetu/schemes/63bfbc794b939a5de6a11bb4/documents?lang=en" TargetMode="External"/><Relationship Id="rId165" Type="http://schemas.openxmlformats.org/officeDocument/2006/relationships/hyperlink" Target="https://tbcindia.mohfw.gov.in/wp-content/uploads/2023/05/23294204DBTManualForNTEP.pdf" TargetMode="External"/><Relationship Id="rId166" Type="http://schemas.openxmlformats.org/officeDocument/2006/relationships/hyperlink" Target="https://www.nikshay.in/" TargetMode="External"/><Relationship Id="rId167" Type="http://schemas.openxmlformats.org/officeDocument/2006/relationships/hyperlink" Target="https://communitysupport.nikshay.in/Guidance_Booklet_16_09_2022.pdf" TargetMode="External"/><Relationship Id="rId168" Type="http://schemas.openxmlformats.org/officeDocument/2006/relationships/hyperlink" Target="https://reports.nikshay.in/Reports/StosDirectory" TargetMode="External"/><Relationship Id="rId169" Type="http://schemas.openxmlformats.org/officeDocument/2006/relationships/hyperlink" Target="https://www.myscheme.gov.in/schemes/pmsma" TargetMode="External"/><Relationship Id="rId170" Type="http://schemas.openxmlformats.org/officeDocument/2006/relationships/hyperlink" Target="https://www.myscheme.gov.in/api/apisetu/schemes?slug=pmsma&amp;lang=en" TargetMode="External"/><Relationship Id="rId171" Type="http://schemas.openxmlformats.org/officeDocument/2006/relationships/hyperlink" Target="https://www.myscheme.gov.in/api/apisetu/schemes/68b6757986724e508a38d755/documents?lang=en" TargetMode="External"/><Relationship Id="rId172" Type="http://schemas.openxmlformats.org/officeDocument/2006/relationships/hyperlink" Target="https://pmsma.nhp.gov.in/" TargetMode="External"/><Relationship Id="rId173" Type="http://schemas.openxmlformats.org/officeDocument/2006/relationships/hyperlink" Target="https://pmsma.mohfw.gov.in/wp-content/uploads/2016/09/Pradhan_Mantri_Surakshit_Matritva_Abhiyan-2.pdf" TargetMode="External"/><Relationship Id="rId174" Type="http://schemas.openxmlformats.org/officeDocument/2006/relationships/hyperlink" Target="https://pmsma.mohfw.gov.in/wp-content/uploads/2016/09/PMSMA_Operational_Framework.pdf" TargetMode="External"/><Relationship Id="rId175" Type="http://schemas.openxmlformats.org/officeDocument/2006/relationships/hyperlink" Target="https://pmsma.mohfw.gov.in/wp-content/uploads/2016/10/PMSMA_Operational_Framework.34.pdf" TargetMode="External"/><Relationship Id="rId176" Type="http://schemas.openxmlformats.org/officeDocument/2006/relationships/hyperlink" Target="https://pmsma.mohfw.gov.in/wp-content/uploads/2016/10/High-Risk-Conditions-in-preg-modified-Final.pdf" TargetMode="External"/><Relationship Id="rId177" Type="http://schemas.openxmlformats.org/officeDocument/2006/relationships/hyperlink" Target="https://www.myscheme.gov.in/schemes/pm-poshan" TargetMode="External"/><Relationship Id="rId178" Type="http://schemas.openxmlformats.org/officeDocument/2006/relationships/hyperlink" Target="https://www.myscheme.gov.in/api/apisetu/schemes?slug=pm-poshan&amp;lang=en" TargetMode="External"/><Relationship Id="rId179" Type="http://schemas.openxmlformats.org/officeDocument/2006/relationships/hyperlink" Target="https://www.myscheme.gov.in/api/apisetu/schemes/62a9d415f038bd8499a75a68/documents?lang=en" TargetMode="External"/><Relationship Id="rId180" Type="http://schemas.openxmlformats.org/officeDocument/2006/relationships/hyperlink" Target="https://www.india.gov.in/spotlight/poshan-abhiyaan-pms-overarching-scheme-holistic-nourishment" TargetMode="External"/><Relationship Id="rId181" Type="http://schemas.openxmlformats.org/officeDocument/2006/relationships/hyperlink" Target="https://pib.gov.in/Pressreleaseshare.aspx?PRID=1812421" TargetMode="External"/><Relationship Id="rId182" Type="http://schemas.openxmlformats.org/officeDocument/2006/relationships/hyperlink" Target="https://www.myscheme.gov.in/schemes/yhs" TargetMode="External"/><Relationship Id="rId183" Type="http://schemas.openxmlformats.org/officeDocument/2006/relationships/hyperlink" Target="https://www.myscheme.gov.in/api/apisetu/schemes?slug=yhs&amp;lang=en" TargetMode="External"/><Relationship Id="rId184" Type="http://schemas.openxmlformats.org/officeDocument/2006/relationships/hyperlink" Target="https://www.myscheme.gov.in/api/apisetu/schemes/652f86ac4c46bfe12b21d76a/documents?lang=en" TargetMode="External"/><Relationship Id="rId185" Type="http://schemas.openxmlformats.org/officeDocument/2006/relationships/hyperlink" Target="https://dbtyas-youth.gov.in/" TargetMode="External"/><Relationship Id="rId186" Type="http://schemas.openxmlformats.org/officeDocument/2006/relationships/hyperlink" Target="https://dbtyas-youth.gov.in/userlogin.php" TargetMode="External"/><Relationship Id="rId187" Type="http://schemas.openxmlformats.org/officeDocument/2006/relationships/hyperlink" Target="https://yas.nic.in/sites/default/files/Youth%20Hostel%20Scheme_0.pdf" TargetMode="External"/><Relationship Id="rId188" Type="http://schemas.openxmlformats.org/officeDocument/2006/relationships/hyperlink" Target="https://yas.nic.in/sites/default/files/File845.PDF" TargetMode="External"/><Relationship Id="rId189" Type="http://schemas.openxmlformats.org/officeDocument/2006/relationships/hyperlink" Target="https://yas.gov.in/sites/default/files/YH%20details.pdf" TargetMode="External"/><Relationship Id="rId190" Type="http://schemas.openxmlformats.org/officeDocument/2006/relationships/hyperlink" Target="https://yas.gov.in/sites/default/files/CPC%20Order.pdf" TargetMode="External"/><Relationship Id="rId191" Type="http://schemas.openxmlformats.org/officeDocument/2006/relationships/hyperlink" Target="https://www.myscheme.gov.in/schemes/avyay-napsc-hssc" TargetMode="External"/><Relationship Id="rId192" Type="http://schemas.openxmlformats.org/officeDocument/2006/relationships/hyperlink" Target="https://www.myscheme.gov.in/api/apisetu/schemes?slug=avyay-napsc-hssc&amp;lang=en" TargetMode="External"/><Relationship Id="rId193" Type="http://schemas.openxmlformats.org/officeDocument/2006/relationships/hyperlink" Target="https://www.myscheme.gov.in/api/apisetu/schemes/68da61c9bae64e2356731950/documents?lang=en" TargetMode="External"/><Relationship Id="rId194" Type="http://schemas.openxmlformats.org/officeDocument/2006/relationships/hyperlink" Target="https://grants-msje.gov.in/" TargetMode="External"/><Relationship Id="rId195" Type="http://schemas.openxmlformats.org/officeDocument/2006/relationships/hyperlink" Target="https://socialjustice.gov.in/schemes/43" TargetMode="External"/><Relationship Id="rId196" Type="http://schemas.openxmlformats.org/officeDocument/2006/relationships/hyperlink" Target="https://www.myscheme.gov.in/schemes/nms" TargetMode="External"/><Relationship Id="rId197" Type="http://schemas.openxmlformats.org/officeDocument/2006/relationships/hyperlink" Target="https://www.myscheme.gov.in/api/apisetu/schemes?slug=nms&amp;lang=en" TargetMode="External"/><Relationship Id="rId198" Type="http://schemas.openxmlformats.org/officeDocument/2006/relationships/hyperlink" Target="https://www.myscheme.gov.in/api/apisetu/schemes/6a06e7e6f93a81a34cf79dee/documents?lang=en" TargetMode="External"/><Relationship Id="rId199" Type="http://schemas.openxmlformats.org/officeDocument/2006/relationships/hyperlink" Target="https://drtktopecollege.in/wp-content/uploads/2021/03/Nyaya-Mitra-scheme.pdf?attachment_id=541" TargetMode="External"/><Relationship Id="rId200" Type="http://schemas.openxmlformats.org/officeDocument/2006/relationships/hyperlink" Target="https://www.doj.gov.in/page/nyaya-mitra-programme" TargetMode="External"/><Relationship Id="rId201" Type="http://schemas.openxmlformats.org/officeDocument/2006/relationships/hyperlink" Target="https://www.pib.gov.in/PressReleaseIframePage.aspx?PRID=1846198&amp;reg=3&amp;lang=2" TargetMode="External"/><Relationship Id="rId202" Type="http://schemas.openxmlformats.org/officeDocument/2006/relationships/hyperlink" Target="https://www.myscheme.gov.in/schemes/nari-adalat" TargetMode="External"/><Relationship Id="rId203" Type="http://schemas.openxmlformats.org/officeDocument/2006/relationships/hyperlink" Target="https://www.myscheme.gov.in/api/apisetu/schemes?slug=nari-adalat&amp;lang=en" TargetMode="External"/><Relationship Id="rId204" Type="http://schemas.openxmlformats.org/officeDocument/2006/relationships/hyperlink" Target="https://www.myscheme.gov.in/api/apisetu/schemes/67e0ee08dcf7ceef67c7909f/documents?lang=en" TargetMode="External"/><Relationship Id="rId205" Type="http://schemas.openxmlformats.org/officeDocument/2006/relationships/hyperlink" Target="https://www.myscheme.gov.in/schemes/n-pdf" TargetMode="External"/><Relationship Id="rId206" Type="http://schemas.openxmlformats.org/officeDocument/2006/relationships/hyperlink" Target="https://www.myscheme.gov.in/api/apisetu/schemes?slug=n-pdf&amp;lang=en" TargetMode="External"/><Relationship Id="rId207" Type="http://schemas.openxmlformats.org/officeDocument/2006/relationships/hyperlink" Target="https://www.myscheme.gov.in/api/apisetu/schemes/654df3745838968fc3894a7f/documents?lang=en" TargetMode="External"/><Relationship Id="rId208" Type="http://schemas.openxmlformats.org/officeDocument/2006/relationships/hyperlink" Target="https://www.serbonline.in/SERB/npdf?HomePage=New" TargetMode="External"/><Relationship Id="rId209" Type="http://schemas.openxmlformats.org/officeDocument/2006/relationships/hyperlink" Target="https://serb.gov.in/page/awards_fellowship" TargetMode="External"/><Relationship Id="rId210" Type="http://schemas.openxmlformats.org/officeDocument/2006/relationships/hyperlink" Target="https://serbonline.in/SERB/Registration" TargetMode="External"/><Relationship Id="rId211" Type="http://schemas.openxmlformats.org/officeDocument/2006/relationships/hyperlink" Target="https://www.serbonline.in/SERB_Help/pi/Multiscreen_HTML5/desktop/Login.htm" TargetMode="External"/><Relationship Id="rId212" Type="http://schemas.openxmlformats.org/officeDocument/2006/relationships/hyperlink" Target="https://www.indiascienceandtechnology.gov.in/programme-schemes/research-and-development/national-post-doctoral-fellowship-n-pdf" TargetMode="External"/><Relationship Id="rId213" Type="http://schemas.openxmlformats.org/officeDocument/2006/relationships/hyperlink" Target="https://www.myscheme.gov.in/schemes/widushi" TargetMode="External"/><Relationship Id="rId214" Type="http://schemas.openxmlformats.org/officeDocument/2006/relationships/hyperlink" Target="https://www.myscheme.gov.in/api/apisetu/schemes?slug=widushi&amp;lang=en" TargetMode="External"/><Relationship Id="rId215" Type="http://schemas.openxmlformats.org/officeDocument/2006/relationships/hyperlink" Target="https://www.myscheme.gov.in/api/apisetu/schemes/6586eab96093f0fa3307fe57/documents?lang=en" TargetMode="External"/><Relationship Id="rId216" Type="http://schemas.openxmlformats.org/officeDocument/2006/relationships/hyperlink" Target="https://dst.gov.in/" TargetMode="External"/><Relationship Id="rId217" Type="http://schemas.openxmlformats.org/officeDocument/2006/relationships/hyperlink" Target="https://onlinedst.gov.in/" TargetMode="External"/><Relationship Id="rId218" Type="http://schemas.openxmlformats.org/officeDocument/2006/relationships/hyperlink" Target="https://online-wosa.gov.in/" TargetMode="External"/><Relationship Id="rId219" Type="http://schemas.openxmlformats.org/officeDocument/2006/relationships/hyperlink" Target="https://dst.gov.in/sites/default/files/Advertisement-WIDUSHI_0.pdf" TargetMode="External"/><Relationship Id="rId220" Type="http://schemas.openxmlformats.org/officeDocument/2006/relationships/hyperlink" Target="https://www.myscheme.gov.in/schemes/tare" TargetMode="External"/><Relationship Id="rId221" Type="http://schemas.openxmlformats.org/officeDocument/2006/relationships/hyperlink" Target="https://www.myscheme.gov.in/api/apisetu/schemes?slug=tare&amp;lang=en" TargetMode="External"/><Relationship Id="rId222" Type="http://schemas.openxmlformats.org/officeDocument/2006/relationships/hyperlink" Target="https://www.myscheme.gov.in/api/apisetu/schemes/65539c374407b323640ca41e/documents?lang=en" TargetMode="External"/><Relationship Id="rId223" Type="http://schemas.openxmlformats.org/officeDocument/2006/relationships/hyperlink" Target="https://www.serbonline.in/SERB/HomePage" TargetMode="External"/><Relationship Id="rId224" Type="http://schemas.openxmlformats.org/officeDocument/2006/relationships/hyperlink" Target="https://serb.gov.in/page/english/awards_fellowship" TargetMode="External"/><Relationship Id="rId225" Type="http://schemas.openxmlformats.org/officeDocument/2006/relationships/hyperlink" Target="https://www.serbonline.in/SERB/Registration" TargetMode="External"/><Relationship Id="rId226" Type="http://schemas.openxmlformats.org/officeDocument/2006/relationships/hyperlink" Target="https://www.serbonline.in/SERB/Tare" TargetMode="External"/><Relationship Id="rId227" Type="http://schemas.openxmlformats.org/officeDocument/2006/relationships/hyperlink" Target="https://www.myscheme.gov.in/schemes/pm-vikas" TargetMode="External"/><Relationship Id="rId228" Type="http://schemas.openxmlformats.org/officeDocument/2006/relationships/hyperlink" Target="https://www.myscheme.gov.in/api/apisetu/schemes?slug=pm-vikas&amp;lang=en" TargetMode="External"/><Relationship Id="rId229" Type="http://schemas.openxmlformats.org/officeDocument/2006/relationships/hyperlink" Target="https://www.myscheme.gov.in/api/apisetu/schemes/690dbabeedcdf37e5493a27a/documents?lang=en" TargetMode="External"/><Relationship Id="rId230" Type="http://schemas.openxmlformats.org/officeDocument/2006/relationships/hyperlink" Target="https://www.myscheme.gov.in/schemes/ay" TargetMode="External"/><Relationship Id="rId231" Type="http://schemas.openxmlformats.org/officeDocument/2006/relationships/hyperlink" Target="https://www.myscheme.gov.in/api/apisetu/schemes?slug=ay&amp;lang=en" TargetMode="External"/><Relationship Id="rId232" Type="http://schemas.openxmlformats.org/officeDocument/2006/relationships/hyperlink" Target="https://www.myscheme.gov.in/api/apisetu/schemes/62a9755af038bd8499a71cd7/documents?lang=en" TargetMode="External"/><Relationship Id="rId233" Type="http://schemas.openxmlformats.org/officeDocument/2006/relationships/hyperlink" Target="https://joinindianarmy.nic.in/BRAVOUserLogin.htm" TargetMode="External"/><Relationship Id="rId234" Type="http://schemas.openxmlformats.org/officeDocument/2006/relationships/hyperlink" Target="https://www.joinindiannavy.gov.in/en/page/agniveer-ways-to-join.html" TargetMode="External"/><Relationship Id="rId235" Type="http://schemas.openxmlformats.org/officeDocument/2006/relationships/hyperlink" Target="https://indianairforce.nic.in/agniveer/" TargetMode="External"/><Relationship Id="rId236" Type="http://schemas.openxmlformats.org/officeDocument/2006/relationships/hyperlink" Target="https://static.mygov.in/rest/s3fs-public/mygov_165520214151307401.pdf" TargetMode="External"/><Relationship Id="rId237" Type="http://schemas.openxmlformats.org/officeDocument/2006/relationships/hyperlink" Target="https://static.mygov.in/rest/s3fs-public/mygov_165520220351307401.pdf" TargetMode="External"/><Relationship Id="rId238" Type="http://schemas.openxmlformats.org/officeDocument/2006/relationships/hyperlink" Target="https://pib.gov.in/PressReleasePage.aspx?PRID=1833747" TargetMode="External"/><Relationship Id="rId239" Type="http://schemas.openxmlformats.org/officeDocument/2006/relationships/hyperlink" Target="https://indianairforce.nic.in/wp-content/uploads/2022/06/Detailed-BRIEF-13-JUN-22.pdf" TargetMode="External"/><Relationship Id="rId240" Type="http://schemas.openxmlformats.org/officeDocument/2006/relationships/hyperlink" Target="https://pib.gov.in/PressReleasePage.aspx?PRID=1834202" TargetMode="External"/><Relationship Id="rId241" Type="http://schemas.openxmlformats.org/officeDocument/2006/relationships/hyperlink" Target="https://www.myscheme.gov.in/schemes/igndps" TargetMode="External"/><Relationship Id="rId242" Type="http://schemas.openxmlformats.org/officeDocument/2006/relationships/hyperlink" Target="https://www.myscheme.gov.in/api/apisetu/schemes?slug=igndps&amp;lang=en" TargetMode="External"/><Relationship Id="rId243" Type="http://schemas.openxmlformats.org/officeDocument/2006/relationships/hyperlink" Target="https://www.myscheme.gov.in/api/apisetu/schemes/629092822ad78f71fb7bc3a9/documents?lang=en" TargetMode="External"/><Relationship Id="rId244" Type="http://schemas.openxmlformats.org/officeDocument/2006/relationships/hyperlink" Target="https://web.umang.gov.in/web_new/home" TargetMode="External"/><Relationship Id="rId245" Type="http://schemas.openxmlformats.org/officeDocument/2006/relationships/hyperlink" Target="https://nsap.nic.in/Guidelines/nsap_guidelines_oct2014.pdf" TargetMode="External"/><Relationship Id="rId246" Type="http://schemas.openxmlformats.org/officeDocument/2006/relationships/hyperlink" Target="https://nsap.nic.in/Guidelines/dps.pdf" TargetMode="External"/><Relationship Id="rId247" Type="http://schemas.openxmlformats.org/officeDocument/2006/relationships/hyperlink" Target="https://nsap.nic.in/Guidelines/english_dps.pdf" TargetMode="External"/><Relationship Id="rId248" Type="http://schemas.openxmlformats.org/officeDocument/2006/relationships/hyperlink" Target="https://nsap.nic.in/circular.do?method=showguidlines" TargetMode="External"/><Relationship Id="rId249" Type="http://schemas.openxmlformats.org/officeDocument/2006/relationships/hyperlink" Target="https://www.myscheme.gov.in/schemes/hepsn" TargetMode="External"/><Relationship Id="rId250" Type="http://schemas.openxmlformats.org/officeDocument/2006/relationships/hyperlink" Target="https://www.myscheme.gov.in/api/apisetu/schemes?slug=hepsn&amp;lang=en" TargetMode="External"/><Relationship Id="rId251" Type="http://schemas.openxmlformats.org/officeDocument/2006/relationships/hyperlink" Target="https://www.myscheme.gov.in/api/apisetu/schemes/64956e96380f8e123542a62f/documents?lang=en" TargetMode="External"/><Relationship Id="rId252" Type="http://schemas.openxmlformats.org/officeDocument/2006/relationships/hyperlink" Target="https://www.ugc.gov.in/pdfnews/1112642_Person-with-Disability-guidelines.pdf" TargetMode="External"/><Relationship Id="rId253" Type="http://schemas.openxmlformats.org/officeDocument/2006/relationships/hyperlink" Target="https://thenationaltrust.gov.in/upload/uploadfiles/files/Persons%20with%20Disability%20Act%201995.pdf" TargetMode="External"/><Relationship Id="rId254" Type="http://schemas.openxmlformats.org/officeDocument/2006/relationships/hyperlink" Target="https://www.ugc.gov.in/recog_college.aspx" TargetMode="External"/><Relationship Id="rId255" Type="http://schemas.openxmlformats.org/officeDocument/2006/relationships/hyperlink" Target="https://www.myscheme.gov.in/schemes/sfava" TargetMode="External"/><Relationship Id="rId256" Type="http://schemas.openxmlformats.org/officeDocument/2006/relationships/hyperlink" Target="https://www.myscheme.gov.in/api/apisetu/schemes?slug=sfava&amp;lang=en" TargetMode="External"/><Relationship Id="rId257" Type="http://schemas.openxmlformats.org/officeDocument/2006/relationships/hyperlink" Target="https://www.myscheme.gov.in/api/apisetu/schemes/6296022d72acc0e5ffb2ee78/documents?lang=en" TargetMode="External"/><Relationship Id="rId258" Type="http://schemas.openxmlformats.org/officeDocument/2006/relationships/hyperlink" Target="http://csms.nic.in/login/index.php" TargetMode="External"/><Relationship Id="rId259" Type="http://schemas.openxmlformats.org/officeDocument/2006/relationships/hyperlink" Target="https://indiaculture.gov.in" TargetMode="External"/><Relationship Id="rId260" Type="http://schemas.openxmlformats.org/officeDocument/2006/relationships/hyperlink" Target="https://www.indiaculture.nic.in/sites/default/files/Schemes/New_application_form_for_Artistes_Pension_1_23_07_2019.pdf" TargetMode="External"/><Relationship Id="rId261" Type="http://schemas.openxmlformats.org/officeDocument/2006/relationships/hyperlink" Target="https://indiaculture.gov.in/scheme-financial-assistance-veteran-artists" TargetMode="External"/><Relationship Id="rId262" Type="http://schemas.openxmlformats.org/officeDocument/2006/relationships/hyperlink" Target="https://indiaculture.gov.in/sites/default/files/Schemes/NOTICE-inviting_requisite_document_from_the_beneficiary_for_release_of_their_financial_assistance_under_the_scheme_11_07_2023.pdf" TargetMode="External"/><Relationship Id="rId263" Type="http://schemas.openxmlformats.org/officeDocument/2006/relationships/hyperlink" Target="https://indiaculture.gov.in/sites/default/files/Schemes/Application_for_Scheme_for_Financial_Assistance_for_Veteran_Artists_09112022.pdf" TargetMode="External"/><Relationship Id="rId264" Type="http://schemas.openxmlformats.org/officeDocument/2006/relationships/hyperlink" Target="https://www.myscheme.gov.in/schemes/fesmwpnie" TargetMode="External"/><Relationship Id="rId265" Type="http://schemas.openxmlformats.org/officeDocument/2006/relationships/hyperlink" Target="https://www.myscheme.gov.in/api/apisetu/schemes?slug=fesmwpnie&amp;lang=en" TargetMode="External"/><Relationship Id="rId266" Type="http://schemas.openxmlformats.org/officeDocument/2006/relationships/hyperlink" Target="https://www.myscheme.gov.in/api/apisetu/schemes/6388b3a7a5a3f76ea0355573/documents?lang=en" TargetMode="External"/><Relationship Id="rId267" Type="http://schemas.openxmlformats.org/officeDocument/2006/relationships/hyperlink" Target="https://www.ugc.gov.in/oldpdf/xiiplanpdf/medal-winners-guidelines.pdf" TargetMode="External"/><Relationship Id="rId268" Type="http://schemas.openxmlformats.org/officeDocument/2006/relationships/hyperlink" Target="http://www.ugc.ac.in/page/XII-PlanGuidelines.aspx" TargetMode="External"/><Relationship Id="rId269" Type="http://schemas.openxmlformats.org/officeDocument/2006/relationships/hyperlink" Target="https://www.ugc.ac.in/oldpdf/xiiplanpdf/medal-winners-guidelines.pdf" TargetMode="External"/><Relationship Id="rId270" Type="http://schemas.openxmlformats.org/officeDocument/2006/relationships/hyperlink" Target="https://www.myscheme.gov.in/schemes/gstecs" TargetMode="External"/><Relationship Id="rId271" Type="http://schemas.openxmlformats.org/officeDocument/2006/relationships/hyperlink" Target="https://www.myscheme.gov.in/api/apisetu/schemes?slug=gstecs&amp;lang=en" TargetMode="External"/><Relationship Id="rId272" Type="http://schemas.openxmlformats.org/officeDocument/2006/relationships/hyperlink" Target="https://www.myscheme.gov.in/api/apisetu/schemes/652d2e682a298fe1b4855eda/documents?lang=en" TargetMode="External"/><Relationship Id="rId273" Type="http://schemas.openxmlformats.org/officeDocument/2006/relationships/hyperlink" Target="https://gecs.heavyindustries.gov.in/assets/site/main/DHIGECS_procedure_(Revised).pdf" TargetMode="External"/><Relationship Id="rId274" Type="http://schemas.openxmlformats.org/officeDocument/2006/relationships/hyperlink" Target="https://gecs.heavyindustries.gov.in/assets/site/main/User_Manual_New.pdf" TargetMode="External"/><Relationship Id="rId275" Type="http://schemas.openxmlformats.org/officeDocument/2006/relationships/hyperlink" Target="https://gecs.heavyindustries.gov.in/assets/site/main/FAQS.pdf" TargetMode="External"/><Relationship Id="rId276" Type="http://schemas.openxmlformats.org/officeDocument/2006/relationships/hyperlink" Target="https://gecs.heavyindustries.gov.in/home/contactUs" TargetMode="External"/><Relationship Id="rId277" Type="http://schemas.openxmlformats.org/officeDocument/2006/relationships/hyperlink" Target="https://gecs.heavyindustries.gov.in/home/allOnlineGSTConcessionApprovedApplicant" TargetMode="External"/><Relationship Id="rId278" Type="http://schemas.openxmlformats.org/officeDocument/2006/relationships/hyperlink" Target="https://www.myscheme.gov.in/schemes/neca" TargetMode="External"/><Relationship Id="rId279" Type="http://schemas.openxmlformats.org/officeDocument/2006/relationships/hyperlink" Target="https://www.myscheme.gov.in/api/apisetu/schemes?slug=neca&amp;lang=en" TargetMode="External"/><Relationship Id="rId280" Type="http://schemas.openxmlformats.org/officeDocument/2006/relationships/hyperlink" Target="https://www.myscheme.gov.in/api/apisetu/schemes/69c2278953937261838e0983/documents?lang=en" TargetMode="External"/><Relationship Id="rId281" Type="http://schemas.openxmlformats.org/officeDocument/2006/relationships/hyperlink" Target="https://awards.gov.in/" TargetMode="External"/><Relationship Id="rId282" Type="http://schemas.openxmlformats.org/officeDocument/2006/relationships/hyperlink" Target="https://awards.gov.in/Registration/SignUp" TargetMode="External"/><Relationship Id="rId283" Type="http://schemas.openxmlformats.org/officeDocument/2006/relationships/hyperlink" Target="https://awards.gov.in/Login" TargetMode="External"/><Relationship Id="rId284" Type="http://schemas.openxmlformats.org/officeDocument/2006/relationships/hyperlink" Target="https://awards.gov.in/Home/AwardLibrary" TargetMode="External"/><Relationship Id="rId285" Type="http://schemas.openxmlformats.org/officeDocument/2006/relationships/hyperlink" Target="https://www.myscheme.gov.in/schemes/mdas" TargetMode="External"/><Relationship Id="rId286" Type="http://schemas.openxmlformats.org/officeDocument/2006/relationships/hyperlink" Target="https://www.myscheme.gov.in/api/apisetu/schemes?slug=mdas&amp;lang=en" TargetMode="External"/><Relationship Id="rId287" Type="http://schemas.openxmlformats.org/officeDocument/2006/relationships/hyperlink" Target="https://www.myscheme.gov.in/api/apisetu/schemes/667bdb11113e1b5b0a85dc1f/documents?lang=en" TargetMode="External"/><Relationship Id="rId288" Type="http://schemas.openxmlformats.org/officeDocument/2006/relationships/hyperlink" Target="https://tourism.gov.in/sites/default/files/2022-03/Revised%20MDA%20Guidelines%2010032022.pdf" TargetMode="External"/><Relationship Id="rId289" Type="http://schemas.openxmlformats.org/officeDocument/2006/relationships/hyperlink" Target="https://www.myscheme.gov.in/schemes/ai-tgses" TargetMode="External"/><Relationship Id="rId290" Type="http://schemas.openxmlformats.org/officeDocument/2006/relationships/hyperlink" Target="https://www.myscheme.gov.in/api/apisetu/schemes?slug=ai-tgses&amp;lang=en" TargetMode="External"/><Relationship Id="rId291" Type="http://schemas.openxmlformats.org/officeDocument/2006/relationships/hyperlink" Target="https://www.myscheme.gov.in/api/apisetu/schemes/6310337e1f0db328b8191b32/documents?lang=en" TargetMode="External"/><Relationship Id="rId292" Type="http://schemas.openxmlformats.org/officeDocument/2006/relationships/hyperlink" Target="https://www.aicte-india.org/sites/default/files/INAE-TG%20Scheme%20Guidelines.pdf" TargetMode="External"/><Relationship Id="rId293" Type="http://schemas.openxmlformats.org/officeDocument/2006/relationships/hyperlink" Target="https://www.myscheme.gov.in/schemes/prashad" TargetMode="External"/><Relationship Id="rId294" Type="http://schemas.openxmlformats.org/officeDocument/2006/relationships/hyperlink" Target="https://www.myscheme.gov.in/api/apisetu/schemes?slug=prashad&amp;lang=en" TargetMode="External"/><Relationship Id="rId295" Type="http://schemas.openxmlformats.org/officeDocument/2006/relationships/hyperlink" Target="https://www.myscheme.gov.in/api/apisetu/schemes/661e1ac48397d2ab2ff060dc/documents?lang=en" TargetMode="External"/><Relationship Id="rId296" Type="http://schemas.openxmlformats.org/officeDocument/2006/relationships/hyperlink" Target="https://tourism.gov.in/prashad-scheme" TargetMode="External"/><Relationship Id="rId297" Type="http://schemas.openxmlformats.org/officeDocument/2006/relationships/hyperlink" Target="https://tourism.gov.in/sites/default/files/2023-08/PRASHAD%2015th%20FC%20Scheme%20Guidelines.pdf" TargetMode="External"/><Relationship Id="rId298" Type="http://schemas.openxmlformats.org/officeDocument/2006/relationships/hyperlink" Target="https://www.myscheme.gov.in/schemes/pahal-dbtl" TargetMode="External"/><Relationship Id="rId299" Type="http://schemas.openxmlformats.org/officeDocument/2006/relationships/hyperlink" Target="https://www.myscheme.gov.in/api/apisetu/schemes?slug=pahal-dbtl&amp;lang=en" TargetMode="External"/><Relationship Id="rId300" Type="http://schemas.openxmlformats.org/officeDocument/2006/relationships/hyperlink" Target="https://www.myscheme.gov.in/api/apisetu/schemes/63a52da197da3d02867ac23b/documents?lang=en" TargetMode="External"/><Relationship Id="rId301" Type="http://schemas.openxmlformats.org/officeDocument/2006/relationships/hyperlink" Target="http://petroleum.nic.in/dbt/forms.html" TargetMode="External"/><Relationship Id="rId302" Type="http://schemas.openxmlformats.org/officeDocument/2006/relationships/hyperlink" Target="https://mopng.gov.in/en/marketing/pahal" TargetMode="External"/><Relationship Id="rId303" Type="http://schemas.openxmlformats.org/officeDocument/2006/relationships/hyperlink" Target="https://mopng.gov.in/files/uploads/Booklet_edited.pdf" TargetMode="External"/><Relationship Id="rId304" Type="http://schemas.openxmlformats.org/officeDocument/2006/relationships/hyperlink" Target="https://www.myscheme.gov.in/schemes/aby-mojs" TargetMode="External"/><Relationship Id="rId305" Type="http://schemas.openxmlformats.org/officeDocument/2006/relationships/hyperlink" Target="https://www.myscheme.gov.in/api/apisetu/schemes?slug=aby-mojs&amp;lang=en" TargetMode="External"/><Relationship Id="rId306" Type="http://schemas.openxmlformats.org/officeDocument/2006/relationships/hyperlink" Target="https://www.myscheme.gov.in/api/apisetu/schemes/6a06a89cf93a81a34cf5f531/documents?lang=en" TargetMode="External"/><Relationship Id="rId307" Type="http://schemas.openxmlformats.org/officeDocument/2006/relationships/hyperlink" Target="https://ataljal.mowr.gov.in/WriteReadData/GeneralNotices/398cc9fe-774f-421c-9e3d-82d0ac040659_Atal%20Bhujal%20Yojana%20Program%20Guideline%201.2.pdf" TargetMode="External"/><Relationship Id="rId308" Type="http://schemas.openxmlformats.org/officeDocument/2006/relationships/hyperlink" Target="https://ataljal.mowr.gov.in/Home/Index/EN" TargetMode="External"/><Relationship Id="rId309" Type="http://schemas.openxmlformats.org/officeDocument/2006/relationships/hyperlink" Target="https://www.myscheme.gov.in/schemes/spmsd" TargetMode="External"/><Relationship Id="rId310" Type="http://schemas.openxmlformats.org/officeDocument/2006/relationships/hyperlink" Target="https://www.myscheme.gov.in/api/apisetu/schemes?slug=spmsd&amp;lang=en" TargetMode="External"/><Relationship Id="rId311" Type="http://schemas.openxmlformats.org/officeDocument/2006/relationships/hyperlink" Target="https://www.myscheme.gov.in/api/apisetu/schemes/6459dd4f3f7b5c3a4e103c81/documents?lang=en" TargetMode="External"/><Relationship Id="rId312" Type="http://schemas.openxmlformats.org/officeDocument/2006/relationships/hyperlink" Target="https://sjsa.maharashtra.gov.in/en/scheme-category/disability-welfare?&amp;Submit=Submit&amp;page=1" TargetMode="External"/><Relationship Id="rId313" Type="http://schemas.openxmlformats.org/officeDocument/2006/relationships/hyperlink" Target="https://sjsa.maharashtra.gov.in/en/contacts" TargetMode="External"/><Relationship Id="rId314" Type="http://schemas.openxmlformats.org/officeDocument/2006/relationships/hyperlink" Target="https://www.myscheme.gov.in/schemes/hiip" TargetMode="External"/><Relationship Id="rId315" Type="http://schemas.openxmlformats.org/officeDocument/2006/relationships/hyperlink" Target="https://www.myscheme.gov.in/api/apisetu/schemes?slug=hiip&amp;lang=en" TargetMode="External"/><Relationship Id="rId316" Type="http://schemas.openxmlformats.org/officeDocument/2006/relationships/hyperlink" Target="https://www.myscheme.gov.in/api/apisetu/schemes/6458aee7607242dc9bf0f890/documents?lang=en" TargetMode="External"/><Relationship Id="rId317" Type="http://schemas.openxmlformats.org/officeDocument/2006/relationships/hyperlink" Target="https://jjis.maharashtra.gov.in/Site/ViewCWCList" TargetMode="External"/><Relationship Id="rId318" Type="http://schemas.openxmlformats.org/officeDocument/2006/relationships/hyperlink" Target="https://sjsa.maharashtra.gov.in/en/contacts" TargetMode="External"/><Relationship Id="rId319" Type="http://schemas.openxmlformats.org/officeDocument/2006/relationships/hyperlink" Target="https://sjsa.maharashtra.gov.in/en/scheme-category/disability-welfare" TargetMode="External"/><Relationship Id="rId320" Type="http://schemas.openxmlformats.org/officeDocument/2006/relationships/hyperlink" Target="https://www.myscheme.gov.in/schemes/lgss" TargetMode="External"/><Relationship Id="rId321" Type="http://schemas.openxmlformats.org/officeDocument/2006/relationships/hyperlink" Target="https://www.myscheme.gov.in/api/apisetu/schemes?slug=lgss&amp;lang=en" TargetMode="External"/><Relationship Id="rId322" Type="http://schemas.openxmlformats.org/officeDocument/2006/relationships/hyperlink" Target="https://www.myscheme.gov.in/api/apisetu/schemes/6451e551a14a95679a614687/documents?lang=en" TargetMode="External"/><Relationship Id="rId323" Type="http://schemas.openxmlformats.org/officeDocument/2006/relationships/hyperlink" Target="https://lidcom.co.in/contact.php" TargetMode="External"/><Relationship Id="rId324" Type="http://schemas.openxmlformats.org/officeDocument/2006/relationships/hyperlink" Target="https://www.lidcom.co.in/gattai-stall.php" TargetMode="External"/><Relationship Id="rId325" Type="http://schemas.openxmlformats.org/officeDocument/2006/relationships/hyperlink" Target="https://www.myscheme.gov.in/schemes/mkym" TargetMode="External"/><Relationship Id="rId326" Type="http://schemas.openxmlformats.org/officeDocument/2006/relationships/hyperlink" Target="https://www.myscheme.gov.in/api/apisetu/schemes?slug=mkym&amp;lang=en" TargetMode="External"/><Relationship Id="rId327" Type="http://schemas.openxmlformats.org/officeDocument/2006/relationships/hyperlink" Target="https://www.myscheme.gov.in/api/apisetu/schemes/671b6ff74d83876c61bafdaa/documents?lang=en" TargetMode="External"/><Relationship Id="rId328" Type="http://schemas.openxmlformats.org/officeDocument/2006/relationships/hyperlink" Target="https://sjsa.maharashtra.gov.in/en/contacts" TargetMode="External"/><Relationship Id="rId329" Type="http://schemas.openxmlformats.org/officeDocument/2006/relationships/hyperlink" Target="https://sjsa.maharashtra.gov.in/en/scheme-category/employment" TargetMode="External"/><Relationship Id="rId330" Type="http://schemas.openxmlformats.org/officeDocument/2006/relationships/hyperlink" Target="https://www.myscheme.gov.in/schemes/msym" TargetMode="External"/><Relationship Id="rId331" Type="http://schemas.openxmlformats.org/officeDocument/2006/relationships/hyperlink" Target="https://www.myscheme.gov.in/api/apisetu/schemes?slug=msym&amp;lang=en" TargetMode="External"/><Relationship Id="rId332" Type="http://schemas.openxmlformats.org/officeDocument/2006/relationships/hyperlink" Target="https://www.myscheme.gov.in/api/apisetu/schemes/672071da68f52636e3f6480b/documents?lang=en" TargetMode="External"/><Relationship Id="rId333" Type="http://schemas.openxmlformats.org/officeDocument/2006/relationships/hyperlink" Target="https://lidcom.co.in/contact.php" TargetMode="External"/><Relationship Id="rId334" Type="http://schemas.openxmlformats.org/officeDocument/2006/relationships/hyperlink" Target="https://sjsa.maharashtra.gov.in/en/scheme-category/employment" TargetMode="External"/><Relationship Id="rId335" Type="http://schemas.openxmlformats.org/officeDocument/2006/relationships/hyperlink" Target="https://www.myscheme.gov.in/schemes/faaadp" TargetMode="External"/><Relationship Id="rId336" Type="http://schemas.openxmlformats.org/officeDocument/2006/relationships/hyperlink" Target="https://www.myscheme.gov.in/api/apisetu/schemes?slug=faaadp&amp;lang=en" TargetMode="External"/><Relationship Id="rId337" Type="http://schemas.openxmlformats.org/officeDocument/2006/relationships/hyperlink" Target="https://www.myscheme.gov.in/api/apisetu/schemes/64534b9f9a0bca12ac11add8/documents?lang=en" TargetMode="External"/><Relationship Id="rId338" Type="http://schemas.openxmlformats.org/officeDocument/2006/relationships/hyperlink" Target="https://sjsa.maharashtra.gov.in/en/contacts" TargetMode="External"/><Relationship Id="rId339" Type="http://schemas.openxmlformats.org/officeDocument/2006/relationships/hyperlink" Target="https://sjsa.maharashtra.gov.in/en/scheme-category/disability-welfare" TargetMode="External"/><Relationship Id="rId340" Type="http://schemas.openxmlformats.org/officeDocument/2006/relationships/hyperlink" Target="https://www.myscheme.gov.in/schemes/fadse" TargetMode="External"/><Relationship Id="rId341" Type="http://schemas.openxmlformats.org/officeDocument/2006/relationships/hyperlink" Target="https://www.myscheme.gov.in/api/apisetu/schemes?slug=fadse&amp;lang=en" TargetMode="External"/><Relationship Id="rId342" Type="http://schemas.openxmlformats.org/officeDocument/2006/relationships/hyperlink" Target="https://www.myscheme.gov.in/api/apisetu/schemes/64536f10ca93efcf5840b34a/documents?lang=en" TargetMode="External"/><Relationship Id="rId343" Type="http://schemas.openxmlformats.org/officeDocument/2006/relationships/hyperlink" Target="https://sjsa.maharashtra.gov.in/en/contacts" TargetMode="External"/><Relationship Id="rId344" Type="http://schemas.openxmlformats.org/officeDocument/2006/relationships/hyperlink" Target="https://sjsa.maharashtra.gov.in/en/scheme-category/disability-welfare" TargetMode="External"/><Relationship Id="rId345" Type="http://schemas.openxmlformats.org/officeDocument/2006/relationships/hyperlink" Target="https://www.myscheme.gov.in/schemes/rassnb" TargetMode="External"/><Relationship Id="rId346" Type="http://schemas.openxmlformats.org/officeDocument/2006/relationships/hyperlink" Target="https://www.myscheme.gov.in/api/apisetu/schemes?slug=rassnb&amp;lang=en" TargetMode="External"/><Relationship Id="rId347" Type="http://schemas.openxmlformats.org/officeDocument/2006/relationships/hyperlink" Target="https://www.myscheme.gov.in/api/apisetu/schemes/655b0a515838968fc391514c/documents?lang=en" TargetMode="External"/><Relationship Id="rId348" Type="http://schemas.openxmlformats.org/officeDocument/2006/relationships/hyperlink" Target="https://sjsa.maharashtra.gov.in/en/ramai-awas-gharkul-scheme-sc-nav-buddha-urban-and-rural" TargetMode="External"/><Relationship Id="rId349" Type="http://schemas.openxmlformats.org/officeDocument/2006/relationships/hyperlink" Target="https://www.myscheme.gov.in/schemes/namo-shetkari-mahasanman-nidhi-yojana" TargetMode="External"/><Relationship Id="rId350" Type="http://schemas.openxmlformats.org/officeDocument/2006/relationships/hyperlink" Target="https://www.myscheme.gov.in/api/apisetu/schemes?slug=namo-shetkari-mahasanman-nidhi-yojana&amp;lang=en" TargetMode="External"/><Relationship Id="rId351" Type="http://schemas.openxmlformats.org/officeDocument/2006/relationships/hyperlink" Target="https://www.myscheme.gov.in/api/apisetu/schemes/65cdec51cd96dc5e0754139e/documents?lang=en" TargetMode="External"/><Relationship Id="rId352" Type="http://schemas.openxmlformats.org/officeDocument/2006/relationships/hyperlink" Target="https://fw.pmkisan.gov.in/" TargetMode="External"/><Relationship Id="rId353" Type="http://schemas.openxmlformats.org/officeDocument/2006/relationships/hyperlink" Target="https://fw.pmkisan.gov.in/Documents/RevisedPM-KISANOperationalGuidelines(English).pdf" TargetMode="External"/><Relationship Id="rId354" Type="http://schemas.openxmlformats.org/officeDocument/2006/relationships/hyperlink" Target="http://nsmny.mahait.org/" TargetMode="External"/><Relationship Id="rId355" Type="http://schemas.openxmlformats.org/officeDocument/2006/relationships/hyperlink" Target="https://www.myscheme.gov.in/schemes/cmegp" TargetMode="External"/><Relationship Id="rId356" Type="http://schemas.openxmlformats.org/officeDocument/2006/relationships/hyperlink" Target="https://www.myscheme.gov.in/api/apisetu/schemes?slug=cmegp&amp;lang=en" TargetMode="External"/><Relationship Id="rId357" Type="http://schemas.openxmlformats.org/officeDocument/2006/relationships/hyperlink" Target="https://www.myscheme.gov.in/api/apisetu/schemes/65d83237938a0b13cc8eaa67/documents?lang=en" TargetMode="External"/><Relationship Id="rId358" Type="http://schemas.openxmlformats.org/officeDocument/2006/relationships/hyperlink" Target="https://maha-cmegp.gov.in" TargetMode="External"/><Relationship Id="rId359" Type="http://schemas.openxmlformats.org/officeDocument/2006/relationships/hyperlink" Target="https://www.myscheme.gov.in/schemes/pocra" TargetMode="External"/><Relationship Id="rId360" Type="http://schemas.openxmlformats.org/officeDocument/2006/relationships/hyperlink" Target="https://www.myscheme.gov.in/api/apisetu/schemes?slug=pocra&amp;lang=en" TargetMode="External"/><Relationship Id="rId361" Type="http://schemas.openxmlformats.org/officeDocument/2006/relationships/hyperlink" Target="https://www.myscheme.gov.in/api/apisetu/schemes/65d47222ed4030e118e0afda/documents?lang=en" TargetMode="External"/><Relationship Id="rId362" Type="http://schemas.openxmlformats.org/officeDocument/2006/relationships/hyperlink" Target="https://dbt.mahapocra.gov.in" TargetMode="External"/><Relationship Id="rId363" Type="http://schemas.openxmlformats.org/officeDocument/2006/relationships/hyperlink" Target="https://mahapocra.gov.in/" TargetMode="External"/><Relationship Id="rId364" Type="http://schemas.openxmlformats.org/officeDocument/2006/relationships/hyperlink" Target="https://www.myscheme.gov.in/schemes/matci" TargetMode="External"/><Relationship Id="rId365" Type="http://schemas.openxmlformats.org/officeDocument/2006/relationships/hyperlink" Target="https://www.myscheme.gov.in/api/apisetu/schemes?slug=matci&amp;lang=en" TargetMode="External"/><Relationship Id="rId366" Type="http://schemas.openxmlformats.org/officeDocument/2006/relationships/hyperlink" Target="https://www.myscheme.gov.in/api/apisetu/schemes/671a29e780ec82b742b90839/documents?lang=en" TargetMode="External"/><Relationship Id="rId367" Type="http://schemas.openxmlformats.org/officeDocument/2006/relationships/hyperlink" Target="https://mahabocw.in/wp-content/uploads/2019/06/SCHEME_HEALTH_FORM-1.pdf" TargetMode="External"/><Relationship Id="rId368" Type="http://schemas.openxmlformats.org/officeDocument/2006/relationships/hyperlink" Target="https://mahakamgar.maharashtra.gov.in/welfare-scheme-for-building-other-construction-workers.htm" TargetMode="External"/><Relationship Id="rId369" Type="http://schemas.openxmlformats.org/officeDocument/2006/relationships/hyperlink" Target="https://mahabocw.in/" TargetMode="External"/><Relationship Id="rId370" Type="http://schemas.openxmlformats.org/officeDocument/2006/relationships/hyperlink" Target="https://www.myscheme.gov.in/schemes/gaoah" TargetMode="External"/><Relationship Id="rId371" Type="http://schemas.openxmlformats.org/officeDocument/2006/relationships/hyperlink" Target="https://www.myscheme.gov.in/api/apisetu/schemes?slug=gaoah&amp;lang=en" TargetMode="External"/><Relationship Id="rId372" Type="http://schemas.openxmlformats.org/officeDocument/2006/relationships/hyperlink" Target="https://www.myscheme.gov.in/api/apisetu/schemes/6458d9568539c89f46a5678d/documents?lang=en" TargetMode="External"/><Relationship Id="rId373" Type="http://schemas.openxmlformats.org/officeDocument/2006/relationships/hyperlink" Target="https://sjsa.maharashtra.gov.in/en/contacts" TargetMode="External"/><Relationship Id="rId374" Type="http://schemas.openxmlformats.org/officeDocument/2006/relationships/hyperlink" Target="https://sjsa.maharashtra.gov.in/en/scheme-category/disability-welfare" TargetMode="External"/><Relationship Id="rId375" Type="http://schemas.openxmlformats.org/officeDocument/2006/relationships/hyperlink" Target="https://www.myscheme.gov.in/schemes/tmdvso" TargetMode="External"/><Relationship Id="rId376" Type="http://schemas.openxmlformats.org/officeDocument/2006/relationships/hyperlink" Target="https://www.myscheme.gov.in/api/apisetu/schemes?slug=tmdvso&amp;lang=en" TargetMode="External"/><Relationship Id="rId377" Type="http://schemas.openxmlformats.org/officeDocument/2006/relationships/hyperlink" Target="https://www.myscheme.gov.in/api/apisetu/schemes/64815fe8380f8e12353d6c90/documents?lang=en" TargetMode="External"/><Relationship Id="rId378" Type="http://schemas.openxmlformats.org/officeDocument/2006/relationships/hyperlink" Target="https://mahadbt.maharashtra.gov.in/" TargetMode="External"/><Relationship Id="rId379" Type="http://schemas.openxmlformats.org/officeDocument/2006/relationships/hyperlink" Target="https://mahadbt.maharashtra.gov.in/RegistrationLogin/RegistrationLogin" TargetMode="External"/><Relationship Id="rId380" Type="http://schemas.openxmlformats.org/officeDocument/2006/relationships/hyperlink" Target="https://sjsa.maharashtra.gov.in/sites/default/files/vjntscheme/eng/2-20.pdf" TargetMode="External"/><Relationship Id="rId381" Type="http://schemas.openxmlformats.org/officeDocument/2006/relationships/hyperlink" Target="https://www.myscheme.gov.in/schemes/mmlby" TargetMode="External"/><Relationship Id="rId382" Type="http://schemas.openxmlformats.org/officeDocument/2006/relationships/hyperlink" Target="https://www.myscheme.gov.in/api/apisetu/schemes?slug=mmlby&amp;lang=en" TargetMode="External"/><Relationship Id="rId383" Type="http://schemas.openxmlformats.org/officeDocument/2006/relationships/hyperlink" Target="https://www.myscheme.gov.in/api/apisetu/schemes/66c70ef1bfeff774c3914334/documents?lang=en" TargetMode="External"/><Relationship Id="rId384" Type="http://schemas.openxmlformats.org/officeDocument/2006/relationships/hyperlink" Target="https://ladakibahin.maharashtra.gov.in/" TargetMode="External"/><Relationship Id="rId385" Type="http://schemas.openxmlformats.org/officeDocument/2006/relationships/hyperlink" Target="https://ladlibahinstorage.s3.ap-south-1.amazonaws.com/site-pdf/%E0%A4%AE%E0%A4%BE%E0%A4%B0%E0%A5%8D%E0%A4%97%E0%A4%A6%E0%A4%B0%E0%A5%8D%E0%A4%B6%E0%A4%95+%E0%A4%B8%E0%A5%82%E0%A4%9A%E0%A4%A8%E0%A4%BE+%E0%A4%A6%E0%A4%BF.%E0%A5%A8%E0%A5%AD.%E0%A5%A6%E0%A5%AD.%E0%A5%A8%E0%A5%AA.pdf" TargetMode="External"/><Relationship Id="rId386" Type="http://schemas.openxmlformats.org/officeDocument/2006/relationships/hyperlink" Target="https://www.myscheme.gov.in/schemes/mjpjay" TargetMode="External"/><Relationship Id="rId387" Type="http://schemas.openxmlformats.org/officeDocument/2006/relationships/hyperlink" Target="https://www.myscheme.gov.in/api/apisetu/schemes?slug=mjpjay&amp;lang=en" TargetMode="External"/><Relationship Id="rId388" Type="http://schemas.openxmlformats.org/officeDocument/2006/relationships/hyperlink" Target="https://www.myscheme.gov.in/api/apisetu/schemes/65b25ce566a1d73a2185184c/documents?lang=en" TargetMode="External"/><Relationship Id="rId389" Type="http://schemas.openxmlformats.org/officeDocument/2006/relationships/hyperlink" Target="https://www.jeevandayee.gov.in/MJPJAY/FrontServlet?requestType=CommonRH&amp;actionVal=RightFrame&amp;page=undefined%3E%3E%3Cb%3EMJPJAY%20Login%3C/b%3E&amp;pageName=MJPJAY_Login&amp;mainMenu=MJPJAY_Login&amp;subMenu=MJPJAY_Login" TargetMode="External"/><Relationship Id="rId390" Type="http://schemas.openxmlformats.org/officeDocument/2006/relationships/hyperlink" Target="https://www.jeevandayee.gov.in/MJPJAY/FrontServlet?requestType=CommonRH&amp;actionVal=RightFrame&amp;page=undefined%3E%3E%3Cb%3EMJPJAY%3C/b%3E&amp;pageName=MJPJAY&amp;mainMenu=About&amp;subMenu=MJPJAY" TargetMode="External"/><Relationship Id="rId391" Type="http://schemas.openxmlformats.org/officeDocument/2006/relationships/hyperlink" Target="https://www.jeevandayee.gov.in/MJPJAY/FrontServlet?requestType=CommonRH&amp;actionVal=RightFrame&amp;page=undefined%3E%3E%3Cb%3EMJPJAY%20FAQs%3C/b%3E&amp;pageName=MJPJAY_FAQs&amp;mainMenu=MJPJAY_FAQs&amp;subMenu=MJPJAY_FAQs" TargetMode="External"/><Relationship Id="rId392" Type="http://schemas.openxmlformats.org/officeDocument/2006/relationships/hyperlink" Target="https://www.myscheme.gov.in/schemes/mmykpy" TargetMode="External"/><Relationship Id="rId393" Type="http://schemas.openxmlformats.org/officeDocument/2006/relationships/hyperlink" Target="https://www.myscheme.gov.in/api/apisetu/schemes?slug=mmykpy&amp;lang=en" TargetMode="External"/><Relationship Id="rId394" Type="http://schemas.openxmlformats.org/officeDocument/2006/relationships/hyperlink" Target="https://www.myscheme.gov.in/api/apisetu/schemes/6729e79b9c0322bd6874a823/documents?lang=en" TargetMode="External"/><Relationship Id="rId395" Type="http://schemas.openxmlformats.org/officeDocument/2006/relationships/hyperlink" Target="https://cmykpy.mahaswayam.gov.in/Index.aspx" TargetMode="External"/><Relationship Id="rId396" Type="http://schemas.openxmlformats.org/officeDocument/2006/relationships/hyperlink" Target="https://cmykpy.mahaswayam.gov.in/DocMasters/PublicityDocuments/CMYKPY_Note.pdf" TargetMode="External"/><Relationship Id="rId397"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ns0:worksheet xmlns:ns0="http://schemas.openxmlformats.org/spreadsheetml/2006/main" xmlns:ns1="http://schemas.openxmlformats.org/officeDocument/2006/relationships">
  <ns0:sheetPr>
    <ns0:tabColor rgb="FF233D62"/>
    <ns0:pageSetUpPr fitToPage="1"/>
  </ns0:sheetPr>
  <ns0:dimension ref="A2:AE65"/>
  <ns0:sheetViews>
    <ns0:sheetView showGridLines="0" tabSelected="1" workbookViewId="0">
      <ns0:pane xSplit="2" ySplit="5" topLeftCell="C6" activePane="bottomRight" state="frozen"/>
      <ns0:selection pane="topRight" activeCell="C1" sqref="C1"/>
      <ns0:selection pane="bottomLeft" activeCell="A6" sqref="A6"/>
      <ns0:selection pane="bottomRight"/>
    </ns0:sheetView>
  </ns0:sheetViews>
  <ns0:sheetFormatPr defaultRowHeight="15"/>
  <ns0:cols>
    <ns0:col min="1" max="1" width="12.7109375" customWidth="1"/>
    <ns0:col min="2" max="2" width="48.7109375" customWidth="1"/>
    <ns0:col min="3" max="3" width="16.7109375" customWidth="1"/>
    <ns0:col min="4" max="4" width="24.7109375" customWidth="1"/>
    <ns0:col min="5" max="5" width="52.7109375" customWidth="1"/>
    <ns0:col min="6" max="6" width="60.7109375" customWidth="1"/>
    <ns0:col min="7" max="7" width="45.7109375" customWidth="1"/>
    <ns0:col min="8" max="8" width="85.7109375" customWidth="1"/>
    <ns0:col min="9" max="9" width="20.7109375" customWidth="1"/>
    <ns0:col min="10" max="10" width="17.7109375" customWidth="1"/>
    <ns0:col min="11" max="12" width="22.7109375" customWidth="1"/>
    <ns0:col min="13" max="13" width="65.7109375" customWidth="1"/>
    <ns0:col min="14" max="14" width="48.7109375" customWidth="1"/>
    <ns0:col min="15" max="15" width="25.7109375" customWidth="1"/>
    <ns0:col min="16" max="16" width="35.7109375" customWidth="1"/>
    <ns0:col min="17" max="19" width="40.7109375" customWidth="1"/>
    <ns0:col min="20" max="20" width="18.7109375" customWidth="1"/>
    <ns0:col min="21" max="21" width="22.7109375" customWidth="1"/>
    <ns0:col min="22" max="23" width="18.7109375" customWidth="1"/>
    <ns0:col min="24" max="24" width="23.7109375" customWidth="1"/>
    <ns0:col min="25" max="26" width="37.7109375" customWidth="1"/>
    <ns0:col min="27" max="27" width="30.7109375" customWidth="1"/>
    <ns0:col min="28" max="28" width="42.7109375" customWidth="1"/>
    <ns0:col min="29" max="29" width="52.7109375" customWidth="1"/>
    <ns0:col min="30" max="30" width="65.7109375" customWidth="1"/>
    <ns0:col min="31" max="31" width="72.7109375" customWidth="1"/>
  </ns0:cols>
  <ns0:sheetData>
    <ns0:row r="2" spans="1:31" ht="28" customHeight="1">
      <ns0:c r="A2" s="1" t="s">
        <ns0:v>0</ns0:v>
      </ns0:c>
    </ns0:row>
    <ns0:row r="3" spans="1:31" ht="22" customHeight="1">
      <ns0:c r="A3" s="2" t="s">
        <ns0:v>1</ns0:v>
      </ns0:c>
    </ns0:row>
    <ns0:row r="5" spans="1:31" ht="45" customHeight="1">
      <ns0:c r="A5" s="3" t="s">
        <ns0:v>2</ns0:v>
      </ns0:c>
      <ns0:c r="B5" s="3" t="s">
        <ns0:v>3</ns0:v>
      </ns0:c>
      <ns0:c r="C5" s="3" t="s">
        <ns0:v>4</ns0:v>
      </ns0:c>
      <ns0:c r="D5" s="3" t="s">
        <ns0:v>5</ns0:v>
      </ns0:c>
      <ns0:c r="E5" s="3" t="s">
        <ns0:v>6</ns0:v>
      </ns0:c>
      <ns0:c r="F5" s="3" t="s">
        <ns0:v>7</ns0:v>
      </ns0:c>
      <ns0:c r="G5" s="3" t="s">
        <ns0:v>8</ns0:v>
      </ns0:c>
      <ns0:c r="H5" s="3" t="s">
        <ns0:v>9</ns0:v>
      </ns0:c>
      <ns0:c r="I5" s="3" t="s">
        <ns0:v>10</ns0:v>
      </ns0:c>
      <ns0:c r="J5" s="3" t="s">
        <ns0:v>11</ns0:v>
      </ns0:c>
      <ns0:c r="K5" s="3" t="s">
        <ns0:v>12</ns0:v>
      </ns0:c>
      <ns0:c r="L5" s="3" t="s">
        <ns0:v>13</ns0:v>
      </ns0:c>
      <ns0:c r="M5" s="3" t="s">
        <ns0:v>14</ns0:v>
      </ns0:c>
      <ns0:c r="N5" s="3" t="s">
        <ns0:v>15</ns0:v>
      </ns0:c>
      <ns0:c r="O5" s="3" t="s">
        <ns0:v>16</ns0:v>
      </ns0:c>
      <ns0:c r="P5" s="3" t="s">
        <ns0:v>17</ns0:v>
      </ns0:c>
      <ns0:c r="Q5" s="3" t="s">
        <ns0:v>18</ns0:v>
      </ns0:c>
      <ns0:c r="R5" s="3" t="s">
        <ns0:v>19</ns0:v>
      </ns0:c>
      <ns0:c r="S5" s="3" t="s">
        <ns0:v>20</ns0:v>
      </ns0:c>
      <ns0:c r="T5" s="3" t="s">
        <ns0:v>21</ns0:v>
      </ns0:c>
      <ns0:c r="U5" s="3" t="s">
        <ns0:v>22</ns0:v>
      </ns0:c>
      <ns0:c r="V5" s="3" t="s">
        <ns0:v>23</ns0:v>
      </ns0:c>
      <ns0:c r="W5" s="3" t="s">
        <ns0:v>24</ns0:v>
      </ns0:c>
      <ns0:c r="X5" s="3" t="s">
        <ns0:v>25</ns0:v>
      </ns0:c>
      <ns0:c r="Y5" s="3" t="s">
        <ns0:v>26</ns0:v>
      </ns0:c>
      <ns0:c r="Z5" s="3" t="s">
        <ns0:v>27</ns0:v>
      </ns0:c>
      <ns0:c r="AA5" s="3" t="s">
        <ns0:v>28</ns0:v>
      </ns0:c>
      <ns0:c r="AB5" s="3" t="s">
        <ns0:v>29</ns0:v>
      </ns0:c>
      <ns0:c r="AC5" s="3" t="s">
        <ns0:v>30</ns0:v>
      </ns0:c>
      <ns0:c r="AD5" s="3" t="s">
        <ns0:v>31</ns0:v>
      </ns0:c>
      <ns0:c r="AE5" s="3" t="s">
        <ns0:v>32</ns0:v>
      </ns0:c>
    </ns0:row>
    <ns0:row r="6" spans="1:31" ht="124" customHeight="1">
      <ns0:c r="A6" s="4" t="s">
        <ns0:v>33</ns0:v>
      </ns0:c>
      <ns0:c r="B6" s="4" t="s">
        <ns0:v>34</ns0:v>
      </ns0:c>
      <ns0:c r="C6" s="4" t="s">
        <ns0:v>35</ns0:v>
      </ns0:c>
      <ns0:c r="D6" s="4" t="s">
        <ns0:v>36</ns0:v>
      </ns0:c>
      <ns0:c r="E6" s="4" t="s">
        <ns0:v>37</ns0:v>
      </ns0:c>
      <ns0:c r="F6" s="4" t="s">
        <ns0:v>38</ns0:v>
      </ns0:c>
      <ns0:c r="G6" s="4" t="s">
        <ns0:v>39</ns0:v>
      </ns0:c>
      <ns0:c r="H6" s="4" t="s">
        <ns0:v>40</ns0:v>
      </ns0:c>
      <ns0:c r="I6" s="5" t="s">
        <ns0:v>619</ns0:v>
      </ns0:c>
      <ns0:c r="J6" s="6">
        <ns0:v>46319</ns0:v>
      </ns0:c>
      <ns0:c r="K6" s="7" t="s">
        <ns0:v>42</ns0:v>
      </ns0:c>
      <ns0:c r="L6" s="7"/>
      <ns0:c r="M6" s="7"/>
      <ns0:c r="N6" s="4" t="s">
        <ns0:v>43</ns0:v>
      </ns0:c>
      <ns0:c r="O6" s="4" t="s">
        <ns0:v>44</ns0:v>
      </ns0:c>
      <ns0:c r="P6" s="4" t="s">
        <ns0:v>44</ns0:v>
      </ns0:c>
      <ns0:c r="Q6" s="4" t="s">
        <ns0:v>45</ns0:v>
      </ns0:c>
      <ns0:c r="R6" s="4" t="s">
        <ns0:v>46</ns0:v>
      </ns0:c>
      <ns0:c r="S6" s="4" t="s">
        <ns0:v>47</ns0:v>
      </ns0:c>
      <ns0:c r="T6" s="4" t="s">
        <ns0:v>48</ns0:v>
      </ns0:c>
      <ns0:c r="U6" s="4" t="s">
        <ns0:v>35</ns0:v>
      </ns0:c>
      <ns0:c r="V6" s="6">
        <ns0:v>42133</ns0:v>
      </ns0:c>
      <ns0:c r="W6" s="4"/>
      <ns0:c r="X6" s="4" t="s">
        <ns0:v>49</ns0:v>
      </ns0:c>
      <ns0:c r="Y6" s="4" t="s">
        <ns0:v>50</ns0:v>
      </ns0:c>
      <ns0:c r="Z6" s="4" t="s">
        <ns0:v>51</ns0:v>
      </ns0:c>
      <ns0:c r="AA6" s="4" t="s">
        <ns0:v>52</ns0:v>
      </ns0:c>
      <ns0:c r="AB6" s="4" t="s">
        <ns0:v>51</ns0:v>
      </ns0:c>
      <ns0:c r="AC6" s="4" t="s">
        <ns0:v>53</ns0:v>
      </ns0:c>
      <ns0:c r="AD6" s="4" t="s">
        <ns0:v>34</ns0:v>
      </ns0:c>
      <ns0:c r="AE6" s="4" t="s">
        <ns0:v>54</ns0:v>
      </ns0:c>
    </ns0:row>
    <ns0:row r="7" spans="1:31" ht="110" customHeight="1">
      <ns0:c r="A7" s="8" t="s">
        <ns0:v>55</ns0:v>
      </ns0:c>
      <ns0:c r="B7" s="8" t="s">
        <ns0:v>56</ns0:v>
      </ns0:c>
      <ns0:c r="C7" s="8" t="s">
        <ns0:v>35</ns0:v>
      </ns0:c>
      <ns0:c r="D7" s="8" t="s">
        <ns0:v>36</ns0:v>
      </ns0:c>
      <ns0:c r="E7" s="8" t="s">
        <ns0:v>57</ns0:v>
      </ns0:c>
      <ns0:c r="F7" s="8" t="s">
        <ns0:v>58</ns0:v>
      </ns0:c>
      <ns0:c r="G7" s="8" t="s">
        <ns0:v>59</ns0:v>
      </ns0:c>
      <ns0:c r="H7" s="8" t="s">
        <ns0:v>60</ns0:v>
      </ns0:c>
      <ns0:c r="I7" s="5" t="s">
        <ns0:v>619</ns0:v>
      </ns0:c>
      <ns0:c r="J7" s="9">
        <ns0:v>46319</ns0:v>
      </ns0:c>
      <ns0:c r="K7" s="7" t="s">
        <ns0:v>42</ns0:v>
      </ns0:c>
      <ns0:c r="L7" s="7"/>
      <ns0:c r="M7" s="7"/>
      <ns0:c r="N7" s="8" t="s">
        <ns0:v>61</ns0:v>
      </ns0:c>
      <ns0:c r="O7" s="8" t="s">
        <ns0:v>44</ns0:v>
      </ns0:c>
      <ns0:c r="P7" s="8" t="s">
        <ns0:v>62</ns0:v>
      </ns0:c>
      <ns0:c r="Q7" s="8" t="s">
        <ns0:v>45</ns0:v>
      </ns0:c>
      <ns0:c r="R7" s="8" t="s">
        <ns0:v>46</ns0:v>
      </ns0:c>
      <ns0:c r="S7" s="8" t="s">
        <ns0:v>63</ns0:v>
      </ns0:c>
      <ns0:c r="T7" s="8" t="s">
        <ns0:v>64</ns0:v>
      </ns0:c>
      <ns0:c r="U7" s="8" t="s">
        <ns0:v>35</ns0:v>
      </ns0:c>
      <ns0:c r="V7" s="9">
        <ns0:v>42133</ns0:v>
      </ns0:c>
      <ns0:c r="W7" s="8"/>
      <ns0:c r="X7" s="8" t="s">
        <ns0:v>49</ns0:v>
      </ns0:c>
      <ns0:c r="Y7" s="8" t="s">
        <ns0:v>50</ns0:v>
      </ns0:c>
      <ns0:c r="Z7" s="8" t="s">
        <ns0:v>51</ns0:v>
      </ns0:c>
      <ns0:c r="AA7" s="8" t="s">
        <ns0:v>52</ns0:v>
      </ns0:c>
      <ns0:c r="AB7" s="8" t="s">
        <ns0:v>51</ns0:v>
      </ns0:c>
      <ns0:c r="AC7" s="8" t="s">
        <ns0:v>65</ns0:v>
      </ns0:c>
      <ns0:c r="AD7" s="8" t="s">
        <ns0:v>56</ns0:v>
      </ns0:c>
      <ns0:c r="AE7" s="8" t="s">
        <ns0:v>66</ns0:v>
      </ns0:c>
    </ns0:row>
    <ns0:row r="8" spans="1:31" ht="180" customHeight="1">
      <ns0:c r="A8" s="4" t="s">
        <ns0:v>67</ns0:v>
      </ns0:c>
      <ns0:c r="B8" s="4" t="s">
        <ns0:v>68</ns0:v>
      </ns0:c>
      <ns0:c r="C8" s="4" t="s">
        <ns0:v>35</ns0:v>
      </ns0:c>
      <ns0:c r="D8" s="4" t="s">
        <ns0:v>36</ns0:v>
      </ns0:c>
      <ns0:c r="E8" s="4" t="s">
        <ns0:v>69</ns0:v>
      </ns0:c>
      <ns0:c r="F8" s="4" t="s">
        <ns0:v>70</ns0:v>
      </ns0:c>
      <ns0:c r="G8" s="4" t="s">
        <ns0:v>71</ns0:v>
      </ns0:c>
      <ns0:c r="H8" s="4" t="s">
        <ns0:v>72</ns0:v>
      </ns0:c>
      <ns0:c r="I8" s="5" t="s">
        <ns0:v>619</ns0:v>
      </ns0:c>
      <ns0:c r="J8" s="6">
        <ns0:v>46319</ns0:v>
      </ns0:c>
      <ns0:c r="K8" s="7" t="s">
        <ns0:v>42</ns0:v>
      </ns0:c>
      <ns0:c r="L8" s="7"/>
      <ns0:c r="M8" s="7"/>
      <ns0:c r="N8" s="4" t="s">
        <ns0:v>73</ns0:v>
      </ns0:c>
      <ns0:c r="O8" s="4" t="s">
        <ns0:v>44</ns0:v>
      </ns0:c>
      <ns0:c r="P8" s="4" t="s">
        <ns0:v>44</ns0:v>
      </ns0:c>
      <ns0:c r="Q8" s="4" t="s">
        <ns0:v>74</ns0:v>
      </ns0:c>
      <ns0:c r="R8" s="4" t="s">
        <ns0:v>75</ns0:v>
      </ns0:c>
      <ns0:c r="S8" s="4" t="s">
        <ns0:v>76</ns0:v>
      </ns0:c>
      <ns0:c r="T8" s="4" t="s">
        <ns0:v>77</ns0:v>
      </ns0:c>
      <ns0:c r="U8" s="4" t="s">
        <ns0:v>35</ns0:v>
      </ns0:c>
      <ns0:c r="V8" s="4"/>
      <ns0:c r="W8" s="4"/>
      <ns0:c r="X8" s="4" t="s">
        <ns0:v>49</ns0:v>
      </ns0:c>
      <ns0:c r="Y8" s="4" t="s">
        <ns0:v>50</ns0:v>
      </ns0:c>
      <ns0:c r="Z8" s="4" t="s">
        <ns0:v>50</ns0:v>
      </ns0:c>
      <ns0:c r="AA8" s="4" t="s">
        <ns0:v>78</ns0:v>
      </ns0:c>
      <ns0:c r="AB8" s="4" t="s">
        <ns0:v>50</ns0:v>
      </ns0:c>
      <ns0:c r="AC8" s="4" t="s">
        <ns0:v>79</ns0:v>
      </ns0:c>
      <ns0:c r="AD8" s="4" t="s">
        <ns0:v>68</ns0:v>
      </ns0:c>
      <ns0:c r="AE8" s="4" t="s">
        <ns0:v>80</ns0:v>
      </ns0:c>
    </ns0:row>
    <ns0:row r="9" spans="1:31" ht="110" customHeight="1">
      <ns0:c r="A9" s="8" t="s">
        <ns0:v>81</ns0:v>
      </ns0:c>
      <ns0:c r="B9" s="8" t="s">
        <ns0:v>82</ns0:v>
      </ns0:c>
      <ns0:c r="C9" s="8" t="s">
        <ns0:v>35</ns0:v>
      </ns0:c>
      <ns0:c r="D9" s="8" t="s">
        <ns0:v>36</ns0:v>
      </ns0:c>
      <ns0:c r="E9" s="8" t="s">
        <ns0:v>83</ns0:v>
      </ns0:c>
      <ns0:c r="F9" s="8" t="s">
        <ns0:v>84</ns0:v>
      </ns0:c>
      <ns0:c r="G9" s="8" t="s">
        <ns0:v>85</ns0:v>
      </ns0:c>
      <ns0:c r="H9" s="8" t="s">
        <ns0:v>86</ns0:v>
      </ns0:c>
      <ns0:c r="I9" s="5" t="s">
        <ns0:v>619</ns0:v>
      </ns0:c>
      <ns0:c r="J9" s="9">
        <ns0:v>46319</ns0:v>
      </ns0:c>
      <ns0:c r="K9" s="7" t="s">
        <ns0:v>42</ns0:v>
      </ns0:c>
      <ns0:c r="L9" s="7"/>
      <ns0:c r="M9" s="7"/>
      <ns0:c r="N9" s="8" t="s">
        <ns0:v>61</ns0:v>
      </ns0:c>
      <ns0:c r="O9" s="8" t="s">
        <ns0:v>44</ns0:v>
      </ns0:c>
      <ns0:c r="P9" s="8" t="s">
        <ns0:v>44</ns0:v>
      </ns0:c>
      <ns0:c r="Q9" s="8" t="s">
        <ns0:v>45</ns0:v>
      </ns0:c>
      <ns0:c r="R9" s="8" t="s">
        <ns0:v>46</ns0:v>
      </ns0:c>
      <ns0:c r="S9" s="8" t="s">
        <ns0:v>87</ns0:v>
      </ns0:c>
      <ns0:c r="T9" s="8" t="s">
        <ns0:v>88</ns0:v>
      </ns0:c>
      <ns0:c r="U9" s="8" t="s">
        <ns0:v>35</ns0:v>
      </ns0:c>
      <ns0:c r="V9" s="9">
        <ns0:v>42133</ns0:v>
      </ns0:c>
      <ns0:c r="W9" s="8"/>
      <ns0:c r="X9" s="8" t="s">
        <ns0:v>49</ns0:v>
      </ns0:c>
      <ns0:c r="Y9" s="8" t="s">
        <ns0:v>50</ns0:v>
      </ns0:c>
      <ns0:c r="Z9" s="8" t="s">
        <ns0:v>50</ns0:v>
      </ns0:c>
      <ns0:c r="AA9" s="8" t="s">
        <ns0:v>89</ns0:v>
      </ns0:c>
      <ns0:c r="AB9" s="8" t="s">
        <ns0:v>50</ns0:v>
      </ns0:c>
      <ns0:c r="AC9" s="8" t="s">
        <ns0:v>90</ns0:v>
      </ns0:c>
      <ns0:c r="AD9" s="8" t="s">
        <ns0:v>82</ns0:v>
      </ns0:c>
      <ns0:c r="AE9" s="8" t="s">
        <ns0:v>91</ns0:v>
      </ns0:c>
    </ns0:row>
    <ns0:row r="10" spans="1:31" ht="180" customHeight="1">
      <ns0:c r="A10" s="4" t="s">
        <ns0:v>92</ns0:v>
      </ns0:c>
      <ns0:c r="B10" s="4" t="s">
        <ns0:v>93</ns0:v>
      </ns0:c>
      <ns0:c r="C10" s="4" t="s">
        <ns0:v>35</ns0:v>
      </ns0:c>
      <ns0:c r="D10" s="4" t="s">
        <ns0:v>36</ns0:v>
      </ns0:c>
      <ns0:c r="E10" s="4" t="s">
        <ns0:v>94</ns0:v>
      </ns0:c>
      <ns0:c r="F10" s="4" t="s">
        <ns0:v>95</ns0:v>
      </ns0:c>
      <ns0:c r="G10" s="4" t="s">
        <ns0:v>96</ns0:v>
      </ns0:c>
      <ns0:c r="H10" s="4" t="s">
        <ns0:v>97</ns0:v>
      </ns0:c>
      <ns0:c r="I10" s="5" t="s">
        <ns0:v>619</ns0:v>
      </ns0:c>
      <ns0:c r="J10" s="6">
        <ns0:v>46319</ns0:v>
      </ns0:c>
      <ns0:c r="K10" s="7" t="s">
        <ns0:v>42</ns0:v>
      </ns0:c>
      <ns0:c r="L10" s="7"/>
      <ns0:c r="M10" s="7"/>
      <ns0:c r="N10" s="4" t="s">
        <ns0:v>98</ns0:v>
      </ns0:c>
      <ns0:c r="O10" s="4" t="s">
        <ns0:v>99</ns0:v>
      </ns0:c>
      <ns0:c r="P10" s="4" t="s">
        <ns0:v>44</ns0:v>
      </ns0:c>
      <ns0:c r="Q10" s="4" t="s">
        <ns0:v>100</ns0:v>
      </ns0:c>
      <ns0:c r="R10" s="4" t="s">
        <ns0:v>41</ns0:v>
      </ns0:c>
      <ns0:c r="S10" s="4" t="s">
        <ns0:v>101</ns0:v>
      </ns0:c>
      <ns0:c r="T10" s="4" t="s">
        <ns0:v>102</ns0:v>
      </ns0:c>
      <ns0:c r="U10" s="4" t="s">
        <ns0:v>35</ns0:v>
      </ns0:c>
      <ns0:c r="V10" s="4"/>
      <ns0:c r="W10" s="4"/>
      <ns0:c r="X10" s="4" t="s">
        <ns0:v>49</ns0:v>
      </ns0:c>
      <ns0:c r="Y10" s="4" t="s">
        <ns0:v>50</ns0:v>
      </ns0:c>
      <ns0:c r="Z10" s="4" t="s">
        <ns0:v>50</ns0:v>
      </ns0:c>
      <ns0:c r="AA10" s="4" t="s">
        <ns0:v>103</ns0:v>
      </ns0:c>
      <ns0:c r="AB10" s="4" t="s">
        <ns0:v>50</ns0:v>
      </ns0:c>
      <ns0:c r="AC10" s="4" t="s">
        <ns0:v>104</ns0:v>
      </ns0:c>
      <ns0:c r="AD10" s="4" t="s">
        <ns0:v>105</ns0:v>
      </ns0:c>
      <ns0:c r="AE10" s="4" t="s">
        <ns0:v>106</ns0:v>
      </ns0:c>
    </ns0:row>
    <ns0:row r="11" spans="1:31" ht="82" customHeight="1">
      <ns0:c r="A11" s="8" t="s">
        <ns0:v>107</ns0:v>
      </ns0:c>
      <ns0:c r="B11" s="8" t="s">
        <ns0:v>108</ns0:v>
      </ns0:c>
      <ns0:c r="C11" s="8" t="s">
        <ns0:v>35</ns0:v>
      </ns0:c>
      <ns0:c r="D11" s="8" t="s">
        <ns0:v>109</ns0:v>
      </ns0:c>
      <ns0:c r="E11" s="8" t="s">
        <ns0:v>110</ns0:v>
      </ns0:c>
      <ns0:c r="F11" s="8" t="s">
        <ns0:v>111</ns0:v>
      </ns0:c>
      <ns0:c r="G11" s="8" t="s">
        <ns0:v>112</ns0:v>
      </ns0:c>
      <ns0:c r="H11" s="8" t="s">
        <ns0:v>113</ns0:v>
      </ns0:c>
      <ns0:c r="I11" s="5" t="s">
        <ns0:v>619</ns0:v>
      </ns0:c>
      <ns0:c r="J11" s="9">
        <ns0:v>46319</ns0:v>
      </ns0:c>
      <ns0:c r="K11" s="7" t="s">
        <ns0:v>42</ns0:v>
      </ns0:c>
      <ns0:c r="L11" s="7"/>
      <ns0:c r="M11" s="7"/>
      <ns0:c r="N11" s="8" t="s">
        <ns0:v>114</ns0:v>
      </ns0:c>
      <ns0:c r="O11" s="8" t="s">
        <ns0:v>44</ns0:v>
      </ns0:c>
      <ns0:c r="P11" s="8" t="s">
        <ns0:v>44</ns0:v>
      </ns0:c>
      <ns0:c r="Q11" s="8" t="s">
        <ns0:v>115</ns0:v>
      </ns0:c>
      <ns0:c r="R11" s="8" t="s">
        <ns0:v>116</ns0:v>
      </ns0:c>
      <ns0:c r="S11" s="8" t="s">
        <ns0:v>117</ns0:v>
      </ns0:c>
      <ns0:c r="T11" s="8" t="s">
        <ns0:v>118</ns0:v>
      </ns0:c>
      <ns0:c r="U11" s="8" t="s">
        <ns0:v>35</ns0:v>
      </ns0:c>
      <ns0:c r="V11" s="9">
        <ns0:v>39934</ns0:v>
      </ns0:c>
      <ns0:c r="W11" s="8"/>
      <ns0:c r="X11" s="8" t="s">
        <ns0:v>49</ns0:v>
      </ns0:c>
      <ns0:c r="Y11" s="8" t="s">
        <ns0:v>50</ns0:v>
      </ns0:c>
      <ns0:c r="Z11" s="8" t="s">
        <ns0:v>50</ns0:v>
      </ns0:c>
      <ns0:c r="AA11" s="8" t="s">
        <ns0:v>89</ns0:v>
      </ns0:c>
      <ns0:c r="AB11" s="8" t="s">
        <ns0:v>50</ns0:v>
      </ns0:c>
      <ns0:c r="AC11" s="8" t="s">
        <ns0:v>119</ns0:v>
      </ns0:c>
      <ns0:c r="AD11" s="8" t="s">
        <ns0:v>108</ns0:v>
      </ns0:c>
      <ns0:c r="AE11" s="8" t="s">
        <ns0:v>120</ns0:v>
      </ns0:c>
    </ns0:row>
    <ns0:row r="12" spans="1:31" ht="152" customHeight="1">
      <ns0:c r="A12" s="4" t="s">
        <ns0:v>121</ns0:v>
      </ns0:c>
      <ns0:c r="B12" s="4" t="s">
        <ns0:v>122</ns0:v>
      </ns0:c>
      <ns0:c r="C12" s="4" t="s">
        <ns0:v>123</ns0:v>
      </ns0:c>
      <ns0:c r="D12" s="4" t="s">
        <ns0:v>124</ns0:v>
      </ns0:c>
      <ns0:c r="E12" s="4" t="s">
        <ns0:v>125</ns0:v>
      </ns0:c>
      <ns0:c r="F12" s="4" t="s">
        <ns0:v>126</ns0:v>
      </ns0:c>
      <ns0:c r="G12" s="4" t="s">
        <ns0:v>127</ns0:v>
      </ns0:c>
      <ns0:c r="H12" s="4" t="s">
        <ns0:v>128</ns0:v>
      </ns0:c>
      <ns0:c r="I12" s="5" t="s">
        <ns0:v>619</ns0:v>
      </ns0:c>
      <ns0:c r="J12" s="6">
        <ns0:v>46319</ns0:v>
      </ns0:c>
      <ns0:c r="K12" s="7" t="s">
        <ns0:v>42</ns0:v>
      </ns0:c>
      <ns0:c r="L12" s="7"/>
      <ns0:c r="M12" s="7"/>
      <ns0:c r="N12" s="4" t="s">
        <ns0:v>98</ns0:v>
      </ns0:c>
      <ns0:c r="O12" s="4" t="s">
        <ns0:v>99</ns0:v>
      </ns0:c>
      <ns0:c r="P12" s="4" t="s">
        <ns0:v>129</ns0:v>
      </ns0:c>
      <ns0:c r="Q12" s="4" t="s">
        <ns0:v>41</ns0:v>
      </ns0:c>
      <ns0:c r="R12" s="4" t="s">
        <ns0:v>130</ns0:v>
      </ns0:c>
      <ns0:c r="S12" s="4" t="s">
        <ns0:v>131</ns0:v>
      </ns0:c>
      <ns0:c r="T12" s="4" t="s">
        <ns0:v>132</ns0:v>
      </ns0:c>
      <ns0:c r="U12" s="4" t="s">
        <ns0:v>123</ns0:v>
      </ns0:c>
      <ns0:c r="V12" s="4"/>
      <ns0:c r="W12" s="4"/>
      <ns0:c r="X12" s="4" t="s">
        <ns0:v>49</ns0:v>
      </ns0:c>
      <ns0:c r="Y12" s="4" t="s">
        <ns0:v>50</ns0:v>
      </ns0:c>
      <ns0:c r="Z12" s="4" t="s">
        <ns0:v>51</ns0:v>
      </ns0:c>
      <ns0:c r="AA12" s="4" t="s">
        <ns0:v>52</ns0:v>
      </ns0:c>
      <ns0:c r="AB12" s="4" t="s">
        <ns0:v>50</ns0:v>
      </ns0:c>
      <ns0:c r="AC12" s="4" t="s">
        <ns0:v>133</ns0:v>
      </ns0:c>
      <ns0:c r="AD12" s="4" t="s">
        <ns0:v>134</ns0:v>
      </ns0:c>
      <ns0:c r="AE12" s="4" t="s">
        <ns0:v>135</ns0:v>
      </ns0:c>
    </ns0:row>
    <ns0:row r="13" spans="1:31" ht="152" customHeight="1">
      <ns0:c r="A13" s="8" t="s">
        <ns0:v>136</ns0:v>
      </ns0:c>
      <ns0:c r="B13" s="8" t="s">
        <ns0:v>137</ns0:v>
      </ns0:c>
      <ns0:c r="C13" s="8" t="s">
        <ns0:v>123</ns0:v>
      </ns0:c>
      <ns0:c r="D13" s="8" t="s">
        <ns0:v>124</ns0:v>
      </ns0:c>
      <ns0:c r="E13" s="8" t="s">
        <ns0:v>138</ns0:v>
      </ns0:c>
      <ns0:c r="F13" s="8" t="s">
        <ns0:v>139</ns0:v>
      </ns0:c>
      <ns0:c r="G13" s="8" t="s">
        <ns0:v>140</ns0:v>
      </ns0:c>
      <ns0:c r="H13" s="8" t="s">
        <ns0:v>141</ns0:v>
      </ns0:c>
      <ns0:c r="I13" s="5" t="s">
        <ns0:v>619</ns0:v>
      </ns0:c>
      <ns0:c r="J13" s="9">
        <ns0:v>46319</ns0:v>
      </ns0:c>
      <ns0:c r="K13" s="7" t="s">
        <ns0:v>42</ns0:v>
      </ns0:c>
      <ns0:c r="L13" s="7"/>
      <ns0:c r="M13" s="7"/>
      <ns0:c r="N13" s="8" t="s">
        <ns0:v>142</ns0:v>
      </ns0:c>
      <ns0:c r="O13" s="8" t="s">
        <ns0:v>44</ns0:v>
      </ns0:c>
      <ns0:c r="P13" s="8" t="s">
        <ns0:v>44</ns0:v>
      </ns0:c>
      <ns0:c r="Q13" s="8" t="s">
        <ns0:v>41</ns0:v>
      </ns0:c>
      <ns0:c r="R13" s="8" t="s">
        <ns0:v>130</ns0:v>
      </ns0:c>
      <ns0:c r="S13" s="8" t="s">
        <ns0:v>143</ns0:v>
      </ns0:c>
      <ns0:c r="T13" s="8" t="s">
        <ns0:v>144</ns0:v>
      </ns0:c>
      <ns0:c r="U13" s="8" t="s">
        <ns0:v>123</ns0:v>
      </ns0:c>
      <ns0:c r="V13" s="8"/>
      <ns0:c r="W13" s="8"/>
      <ns0:c r="X13" s="8" t="s">
        <ns0:v>49</ns0:v>
      </ns0:c>
      <ns0:c r="Y13" s="8" t="s">
        <ns0:v>50</ns0:v>
      </ns0:c>
      <ns0:c r="Z13" s="8" t="s">
        <ns0:v>51</ns0:v>
      </ns0:c>
      <ns0:c r="AA13" s="8" t="s">
        <ns0:v>89</ns0:v>
      </ns0:c>
      <ns0:c r="AB13" s="8" t="s">
        <ns0:v>50</ns0:v>
      </ns0:c>
      <ns0:c r="AC13" s="8" t="s">
        <ns0:v>133</ns0:v>
      </ns0:c>
      <ns0:c r="AD13" s="8" t="s">
        <ns0:v>145</ns0:v>
      </ns0:c>
      <ns0:c r="AE13" s="8" t="s">
        <ns0:v>146</ns0:v>
      </ns0:c>
    </ns0:row>
    <ns0:row r="14" spans="1:31" ht="96" customHeight="1">
      <ns0:c r="A14" s="4" t="s">
        <ns0:v>147</ns0:v>
      </ns0:c>
      <ns0:c r="B14" s="4" t="s">
        <ns0:v>148</ns0:v>
      </ns0:c>
      <ns0:c r="C14" s="4" t="s">
        <ns0:v>123</ns0:v>
      </ns0:c>
      <ns0:c r="D14" s="4" t="s">
        <ns0:v>124</ns0:v>
      </ns0:c>
      <ns0:c r="E14" s="4" t="s">
        <ns0:v>149</ns0:v>
      </ns0:c>
      <ns0:c r="F14" s="4" t="s">
        <ns0:v>150</ns0:v>
      </ns0:c>
      <ns0:c r="G14" s="4" t="s">
        <ns0:v>151</ns0:v>
      </ns0:c>
      <ns0:c r="H14" s="4" t="s">
        <ns0:v>152</ns0:v>
      </ns0:c>
      <ns0:c r="I14" s="5" t="s">
        <ns0:v>619</ns0:v>
      </ns0:c>
      <ns0:c r="J14" s="6">
        <ns0:v>46318</ns0:v>
      </ns0:c>
      <ns0:c r="K14" s="7" t="s">
        <ns0:v>42</ns0:v>
      </ns0:c>
      <ns0:c r="L14" s="7"/>
      <ns0:c r="M14" s="7"/>
      <ns0:c r="N14" s="4" t="s">
        <ns0:v>153</ns0:v>
      </ns0:c>
      <ns0:c r="O14" s="4" t="s">
        <ns0:v>44</ns0:v>
      </ns0:c>
      <ns0:c r="P14" s="4" t="s">
        <ns0:v>44</ns0:v>
      </ns0:c>
      <ns0:c r="Q14" s="4" t="s">
        <ns0:v>154</ns0:v>
      </ns0:c>
      <ns0:c r="R14" s="4" t="s">
        <ns0:v>155</ns0:v>
      </ns0:c>
      <ns0:c r="S14" s="4" t="s">
        <ns0:v>156</ns0:v>
      </ns0:c>
      <ns0:c r="T14" s="4" t="s">
        <ns0:v>157</ns0:v>
      </ns0:c>
      <ns0:c r="U14" s="4" t="s">
        <ns0:v>123</ns0:v>
      </ns0:c>
      <ns0:c r="V14" s="4"/>
      <ns0:c r="W14" s="4"/>
      <ns0:c r="X14" s="4" t="s">
        <ns0:v>49</ns0:v>
      </ns0:c>
      <ns0:c r="Y14" s="4" t="s">
        <ns0:v>158</ns0:v>
      </ns0:c>
      <ns0:c r="Z14" s="4" t="s">
        <ns0:v>159</ns0:v>
      </ns0:c>
      <ns0:c r="AA14" s="4" t="s">
        <ns0:v>160</ns0:v>
      </ns0:c>
      <ns0:c r="AB14" s="4" t="s">
        <ns0:v>158</ns0:v>
      </ns0:c>
      <ns0:c r="AC14" s="4" t="s">
        <ns0:v>161</ns0:v>
      </ns0:c>
      <ns0:c r="AD14" s="4" t="s">
        <ns0:v>148</ns0:v>
      </ns0:c>
      <ns0:c r="AE14" s="4" t="s">
        <ns0:v>162</ns0:v>
      </ns0:c>
    </ns0:row>
    <ns0:row r="15" spans="1:31" ht="96" customHeight="1">
      <ns0:c r="A15" s="8" t="s">
        <ns0:v>163</ns0:v>
      </ns0:c>
      <ns0:c r="B15" s="8" t="s">
        <ns0:v>164</ns0:v>
      </ns0:c>
      <ns0:c r="C15" s="8" t="s">
        <ns0:v>123</ns0:v>
      </ns0:c>
      <ns0:c r="D15" s="8" t="s">
        <ns0:v>124</ns0:v>
      </ns0:c>
      <ns0:c r="E15" s="8" t="s">
        <ns0:v>165</ns0:v>
      </ns0:c>
      <ns0:c r="F15" s="8" t="s">
        <ns0:v>166</ns0:v>
      </ns0:c>
      <ns0:c r="G15" s="8" t="s">
        <ns0:v>167</ns0:v>
      </ns0:c>
      <ns0:c r="H15" s="8" t="s">
        <ns0:v>168</ns0:v>
      </ns0:c>
      <ns0:c r="I15" s="5" t="s">
        <ns0:v>619</ns0:v>
      </ns0:c>
      <ns0:c r="J15" s="9">
        <ns0:v>46318</ns0:v>
      </ns0:c>
      <ns0:c r="K15" s="7" t="s">
        <ns0:v>42</ns0:v>
      </ns0:c>
      <ns0:c r="L15" s="7"/>
      <ns0:c r="M15" s="7"/>
      <ns0:c r="N15" s="8" t="s">
        <ns0:v>98</ns0:v>
      </ns0:c>
      <ns0:c r="O15" s="8" t="s">
        <ns0:v>44</ns0:v>
      </ns0:c>
      <ns0:c r="P15" s="8" t="s">
        <ns0:v>44</ns0:v>
      </ns0:c>
      <ns0:c r="Q15" s="8" t="s">
        <ns0:v>154</ns0:v>
      </ns0:c>
      <ns0:c r="R15" s="8" t="s">
        <ns0:v>169</ns0:v>
      </ns0:c>
      <ns0:c r="S15" s="8" t="s">
        <ns0:v>156</ns0:v>
      </ns0:c>
      <ns0:c r="T15" s="8" t="s">
        <ns0:v>170</ns0:v>
      </ns0:c>
      <ns0:c r="U15" s="8" t="s">
        <ns0:v>123</ns0:v>
      </ns0:c>
      <ns0:c r="V15" s="8"/>
      <ns0:c r="W15" s="8"/>
      <ns0:c r="X15" s="8" t="s">
        <ns0:v>49</ns0:v>
      </ns0:c>
      <ns0:c r="Y15" s="8" t="s">
        <ns0:v>158</ns0:v>
      </ns0:c>
      <ns0:c r="Z15" s="8" t="s">
        <ns0:v>159</ns0:v>
      </ns0:c>
      <ns0:c r="AA15" s="8" t="s">
        <ns0:v>160</ns0:v>
      </ns0:c>
      <ns0:c r="AB15" s="8" t="s">
        <ns0:v>158</ns0:v>
      </ns0:c>
      <ns0:c r="AC15" s="8" t="s">
        <ns0:v>171</ns0:v>
      </ns0:c>
      <ns0:c r="AD15" s="8" t="s">
        <ns0:v>164</ns0:v>
      </ns0:c>
      <ns0:c r="AE15" s="8" t="s">
        <ns0:v>172</ns0:v>
      </ns0:c>
    </ns0:row>
    <ns0:row r="16" spans="1:31" ht="96" customHeight="1">
      <ns0:c r="A16" s="4" t="s">
        <ns0:v>173</ns0:v>
      </ns0:c>
      <ns0:c r="B16" s="4" t="s">
        <ns0:v>174</ns0:v>
      </ns0:c>
      <ns0:c r="C16" s="4" t="s">
        <ns0:v>35</ns0:v>
      </ns0:c>
      <ns0:c r="D16" s="4" t="s">
        <ns0:v>36</ns0:v>
      </ns0:c>
      <ns0:c r="E16" s="4" t="s">
        <ns0:v>175</ns0:v>
      </ns0:c>
      <ns0:c r="F16" s="4" t="s">
        <ns0:v>176</ns0:v>
      </ns0:c>
      <ns0:c r="G16" s="4" t="s">
        <ns0:v>177</ns0:v>
      </ns0:c>
      <ns0:c r="H16" s="4" t="s">
        <ns0:v>178</ns0:v>
      </ns0:c>
      <ns0:c r="I16" s="5" t="s">
        <ns0:v>619</ns0:v>
      </ns0:c>
      <ns0:c r="J16" s="6">
        <ns0:v>46319</ns0:v>
      </ns0:c>
      <ns0:c r="K16" s="7" t="inlineStr">
        <ns0:is>
          <ns0:t>Approved</ns0:t>
        </ns0:is>
      </ns0:c>
      <ns0:c r="L16" s="7" t="inlineStr">
        <ns0:is>
          <ns0:t>Snehal Patel</ns0:t>
        </ns0:is>
      </ns0:c>
      <ns0:c r="M16" s="7" t="inlineStr">
        <ns0:is>
          <ns0:t>25 Oct 2026: Project owner confirmed C07 is approved and open for applications. Recorded from user confirmation; no new independent source check. Individual rule and linked-document reviews remain separate.</ns0:t>
        </ns0:is>
      </ns0:c>
      <ns0:c r="N16" s="4" t="s">
        <ns0:v>179</ns0:v>
      </ns0:c>
      <ns0:c r="O16" s="4" t="s">
        <ns0:v>44</ns0:v>
      </ns0:c>
      <ns0:c r="P16" s="4" t="s">
        <ns0:v>44</ns0:v>
      </ns0:c>
      <ns0:c r="Q16" s="4" t="s">
        <ns0:v>74</ns0:v>
      </ns0:c>
      <ns0:c r="R16" s="4" t="s">
        <ns0:v>180</ns0:v>
      </ns0:c>
      <ns0:c r="S16" s="4" t="s">
        <ns0:v>181</ns0:v>
      </ns0:c>
      <ns0:c r="T16" s="4" t="s">
        <ns0:v>182</ns0:v>
      </ns0:c>
      <ns0:c r="U16" s="4" t="s">
        <ns0:v>35</ns0:v>
      </ns0:c>
      <ns0:c r="V16" s="4"/>
      <ns0:c r="W16" s="4"/>
      <ns0:c r="X16" s="4" t="inlineStr">
        <ns0:is>
          <ns0:t>Open</ns0:t>
        </ns0:is>
      </ns0:c>
      <ns0:c r="Y16" s="4" t="s">
        <ns0:v>50</ns0:v>
      </ns0:c>
      <ns0:c r="Z16" s="4" t="s">
        <ns0:v>51</ns0:v>
      </ns0:c>
      <ns0:c r="AA16" s="4" t="s">
        <ns0:v>183</ns0:v>
      </ns0:c>
      <ns0:c r="AB16" s="4" t="s">
        <ns0:v>50</ns0:v>
      </ns0:c>
      <ns0:c r="AC16" s="4" t="s">
        <ns0:v>184</ns0:v>
      </ns0:c>
      <ns0:c r="AD16" s="4" t="s">
        <ns0:v>174</ns0:v>
      </ns0:c>
      <ns0:c r="AE16" s="4" t="s">
        <ns0:v>185</ns0:v>
      </ns0:c>
    </ns0:row>
    <ns0:row r="17" spans="1:31" ht="110" customHeight="1">
      <ns0:c r="A17" s="8" t="s">
        <ns0:v>186</ns0:v>
      </ns0:c>
      <ns0:c r="B17" s="8" t="s">
        <ns0:v>187</ns0:v>
      </ns0:c>
      <ns0:c r="C17" s="8" t="s">
        <ns0:v>35</ns0:v>
      </ns0:c>
      <ns0:c r="D17" s="8" t="s">
        <ns0:v>36</ns0:v>
      </ns0:c>
      <ns0:c r="E17" s="8" t="s">
        <ns0:v>188</ns0:v>
      </ns0:c>
      <ns0:c r="F17" s="8" t="s">
        <ns0:v>176</ns0:v>
      </ns0:c>
      <ns0:c r="G17" s="8" t="s">
        <ns0:v>177</ns0:v>
      </ns0:c>
      <ns0:c r="H17" s="8" t="s">
        <ns0:v>189</ns0:v>
      </ns0:c>
      <ns0:c r="I17" s="5" t="s">
        <ns0:v>619</ns0:v>
      </ns0:c>
      <ns0:c r="J17" s="9">
        <ns0:v>46319</ns0:v>
      </ns0:c>
      <ns0:c r="K17" s="7" t="inlineStr">
        <ns0:is>
          <ns0:t>Approved</ns0:t>
        </ns0:is>
      </ns0:c>
      <ns0:c r="L17" s="7" t="inlineStr">
        <ns0:is>
          <ns0:t>Snehal Patel</ns0:t>
        </ns0:is>
      </ns0:c>
      <ns0:c r="M17" s="7" t="inlineStr">
        <ns0:is>
          <ns0:t>25 Oct 2026: Project owner approved C08. Application availability remains unverified. Recorded from user confirmation; no new independent source check. Individual rule and linked-document reviews remain separate.
25 Oct 2026: Project owner instructed availability be marked Available (open in JSON/ChromaDB). No new independent source check; approval status unchanged.</ns0:t>
        </ns0:is>
      </ns0:c>
      <ns0:c r="N17" s="8" t="s">
        <ns0:v>190</ns0:v>
      </ns0:c>
      <ns0:c r="O17" s="8" t="s">
        <ns0:v>44</ns0:v>
      </ns0:c>
      <ns0:c r="P17" s="8" t="s">
        <ns0:v>191</ns0:v>
      </ns0:c>
      <ns0:c r="Q17" s="8" t="s">
        <ns0:v>192</ns0:v>
      </ns0:c>
      <ns0:c r="R17" s="8" t="s">
        <ns0:v>193</ns0:v>
      </ns0:c>
      <ns0:c r="S17" s="8" t="s">
        <ns0:v>194</ns0:v>
      </ns0:c>
      <ns0:c r="T17" s="8" t="s">
        <ns0:v>195</ns0:v>
      </ns0:c>
      <ns0:c r="U17" s="8" t="s">
        <ns0:v>35</ns0:v>
      </ns0:c>
      <ns0:c r="V17" s="8"/>
      <ns0:c r="W17" s="8"/>
      <ns0:c r="X17" s="8" t="inlineStr">
        <ns0:is>
          <ns0:t>Available</ns0:t>
        </ns0:is>
      </ns0:c>
      <ns0:c r="Y17" s="8" t="s">
        <ns0:v>50</ns0:v>
      </ns0:c>
      <ns0:c r="Z17" s="8" t="s">
        <ns0:v>51</ns0:v>
      </ns0:c>
      <ns0:c r="AA17" s="8" t="s">
        <ns0:v>183</ns0:v>
      </ns0:c>
      <ns0:c r="AB17" s="8" t="s">
        <ns0:v>50</ns0:v>
      </ns0:c>
      <ns0:c r="AC17" s="8" t="s">
        <ns0:v>196</ns0:v>
      </ns0:c>
      <ns0:c r="AD17" s="8" t="s">
        <ns0:v>187</ns0:v>
      </ns0:c>
      <ns0:c r="AE17" s="8" t="s">
        <ns0:v>197</ns0:v>
      </ns0:c>
    </ns0:row>
    <ns0:row r="18" spans="1:31" ht="180" customHeight="1">
      <ns0:c r="A18" s="4" t="s">
        <ns0:v>198</ns0:v>
      </ns0:c>
      <ns0:c r="B18" s="4" t="s">
        <ns0:v>199</ns0:v>
      </ns0:c>
      <ns0:c r="C18" s="4" t="s">
        <ns0:v>35</ns0:v>
      </ns0:c>
      <ns0:c r="D18" s="4" t="s">
        <ns0:v>36</ns0:v>
      </ns0:c>
      <ns0:c r="E18" s="4" t="s">
        <ns0:v>200</ns0:v>
      </ns0:c>
      <ns0:c r="F18" s="4" t="s">
        <ns0:v>176</ns0:v>
      </ns0:c>
      <ns0:c r="G18" s="4" t="s">
        <ns0:v>201</ns0:v>
      </ns0:c>
      <ns0:c r="H18" s="4" t="s">
        <ns0:v>202</ns0:v>
      </ns0:c>
      <ns0:c r="I18" s="5" t="s">
        <ns0:v>619</ns0:v>
      </ns0:c>
      <ns0:c r="J18" s="6">
        <ns0:v>46319</ns0:v>
      </ns0:c>
      <ns0:c r="K18" s="7" t="inlineStr">
        <ns0:is>
          <ns0:t>Approved</ns0:t>
        </ns0:is>
      </ns0:c>
      <ns0:c r="L18" s="7" t="inlineStr">
        <ns0:is>
          <ns0:t>Snehal Patel</ns0:t>
        </ns0:is>
      </ns0:c>
      <ns0:c r="M18" s="7" t="inlineStr">
        <ns0:is>
          <ns0:t>25 Oct 2026: Project owner approved C09. Application availability remains unverified. Recorded from user confirmation; no new independent source check. Individual rule and linked-document reviews remain separate.
25 Oct 2026: Project owner instructed availability be marked Available (open in JSON/ChromaDB). No new independent source check; approval status unchanged.</ns0:t>
        </ns0:is>
      </ns0:c>
      <ns0:c r="N18" s="4" t="s">
        <ns0:v>203</ns0:v>
      </ns0:c>
      <ns0:c r="O18" s="4" t="s">
        <ns0:v>44</ns0:v>
      </ns0:c>
      <ns0:c r="P18" s="4" t="s">
        <ns0:v>44</ns0:v>
      </ns0:c>
      <ns0:c r="Q18" s="4" t="s">
        <ns0:v>204</ns0:v>
      </ns0:c>
      <ns0:c r="R18" s="4" t="s">
        <ns0:v>205</ns0:v>
      </ns0:c>
      <ns0:c r="S18" s="4" t="s">
        <ns0:v>206</ns0:v>
      </ns0:c>
      <ns0:c r="T18" s="4" t="s">
        <ns0:v>207</ns0:v>
      </ns0:c>
      <ns0:c r="U18" s="4" t="s">
        <ns0:v>35</ns0:v>
      </ns0:c>
      <ns0:c r="V18" s="4"/>
      <ns0:c r="W18" s="4"/>
      <ns0:c r="X18" s="4" t="inlineStr">
        <ns0:is>
          <ns0:t>Available</ns0:t>
        </ns0:is>
      </ns0:c>
      <ns0:c r="Y18" s="4" t="s">
        <ns0:v>50</ns0:v>
      </ns0:c>
      <ns0:c r="Z18" s="4" t="s">
        <ns0:v>50</ns0:v>
      </ns0:c>
      <ns0:c r="AA18" s="4" t="s">
        <ns0:v>208</ns0:v>
      </ns0:c>
      <ns0:c r="AB18" s="4" t="s">
        <ns0:v>50</ns0:v>
      </ns0:c>
      <ns0:c r="AC18" s="4" t="s">
        <ns0:v>209</ns0:v>
      </ns0:c>
      <ns0:c r="AD18" s="4" t="s">
        <ns0:v>199</ns0:v>
      </ns0:c>
      <ns0:c r="AE18" s="4" t="s">
        <ns0:v>210</ns0:v>
      </ns0:c>
    </ns0:row>
    <ns0:row r="19" spans="1:31" ht="222" customHeight="1">
      <ns0:c r="A19" s="8" t="s">
        <ns0:v>211</ns0:v>
      </ns0:c>
      <ns0:c r="B19" s="8" t="s">
        <ns0:v>212</ns0:v>
      </ns0:c>
      <ns0:c r="C19" s="8" t="s">
        <ns0:v>35</ns0:v>
      </ns0:c>
      <ns0:c r="D19" s="8" t="s">
        <ns0:v>36</ns0:v>
      </ns0:c>
      <ns0:c r="E19" s="8" t="s">
        <ns0:v>213</ns0:v>
      </ns0:c>
      <ns0:c r="F19" s="8" t="s">
        <ns0:v>176</ns0:v>
      </ns0:c>
      <ns0:c r="G19" s="8" t="s">
        <ns0:v>177</ns0:v>
      </ns0:c>
      <ns0:c r="H19" s="8" t="s">
        <ns0:v>189</ns0:v>
      </ns0:c>
      <ns0:c r="I19" s="5" t="s">
        <ns0:v>619</ns0:v>
      </ns0:c>
      <ns0:c r="J19" s="9">
        <ns0:v>46319</ns0:v>
      </ns0:c>
      <ns0:c r="K19" s="7" t="s">
        <ns0:v>42</ns0:v>
      </ns0:c>
      <ns0:c r="L19" s="7"/>
      <ns0:c r="M19" s="7" t="inlineStr">
        <ns0:is>
          <ns0:t>25 Oct 2026: Project owner instructed availability be marked Available (open in JSON/ChromaDB). No new independent source check; approval status unchanged.</ns0:t>
        </ns0:is>
      </ns0:c>
      <ns0:c r="N19" s="8" t="s">
        <ns0:v>214</ns0:v>
      </ns0:c>
      <ns0:c r="O19" s="8" t="s">
        <ns0:v>44</ns0:v>
      </ns0:c>
      <ns0:c r="P19" s="8" t="s">
        <ns0:v>215</ns0:v>
      </ns0:c>
      <ns0:c r="Q19" s="8" t="s">
        <ns0:v>216</ns0:v>
      </ns0:c>
      <ns0:c r="R19" s="8" t="s">
        <ns0:v>41</ns0:v>
      </ns0:c>
      <ns0:c r="S19" s="8" t="s">
        <ns0:v>217</ns0:v>
      </ns0:c>
      <ns0:c r="T19" s="8" t="s">
        <ns0:v>218</ns0:v>
      </ns0:c>
      <ns0:c r="U19" s="8" t="s">
        <ns0:v>35</ns0:v>
      </ns0:c>
      <ns0:c r="V19" s="8"/>
      <ns0:c r="W19" s="8"/>
      <ns0:c r="X19" s="8" t="inlineStr">
        <ns0:is>
          <ns0:t>Available</ns0:t>
        </ns0:is>
      </ns0:c>
      <ns0:c r="Y19" s="8" t="s">
        <ns0:v>50</ns0:v>
      </ns0:c>
      <ns0:c r="Z19" s="8" t="s">
        <ns0:v>51</ns0:v>
      </ns0:c>
      <ns0:c r="AA19" s="8" t="s">
        <ns0:v>183</ns0:v>
      </ns0:c>
      <ns0:c r="AB19" s="8" t="s">
        <ns0:v>50</ns0:v>
      </ns0:c>
      <ns0:c r="AC19" s="8" t="s">
        <ns0:v>219</ns0:v>
      </ns0:c>
      <ns0:c r="AD19" s="8" t="s">
        <ns0:v>212</ns0:v>
      </ns0:c>
      <ns0:c r="AE19" s="8" t="s">
        <ns0:v>220</ns0:v>
      </ns0:c>
    </ns0:row>
    <ns0:row r="20" spans="1:31" ht="194" customHeight="1">
      <ns0:c r="A20" s="4" t="s">
        <ns0:v>221</ns0:v>
      </ns0:c>
      <ns0:c r="B20" s="4" t="s">
        <ns0:v>222</ns0:v>
      </ns0:c>
      <ns0:c r="C20" s="4" t="s">
        <ns0:v>35</ns0:v>
      </ns0:c>
      <ns0:c r="D20" s="4" t="s">
        <ns0:v>36</ns0:v>
      </ns0:c>
      <ns0:c r="E20" s="4" t="s">
        <ns0:v>223</ns0:v>
      </ns0:c>
      <ns0:c r="F20" s="4" t="s">
        <ns0:v>176</ns0:v>
      </ns0:c>
      <ns0:c r="G20" s="4" t="s">
        <ns0:v>177</ns0:v>
      </ns0:c>
      <ns0:c r="H20" s="4" t="s">
        <ns0:v>224</ns0:v>
      </ns0:c>
      <ns0:c r="I20" s="5" t="s">
        <ns0:v>619</ns0:v>
      </ns0:c>
      <ns0:c r="J20" s="6">
        <ns0:v>46319</ns0:v>
      </ns0:c>
      <ns0:c r="K20" s="7" t="s">
        <ns0:v>42</ns0:v>
      </ns0:c>
      <ns0:c r="L20" s="7"/>
      <ns0:c r="M20" s="7"/>
      <ns0:c r="N20" s="4" t="s">
        <ns0:v>225</ns0:v>
      </ns0:c>
      <ns0:c r="O20" s="4" t="s">
        <ns0:v>44</ns0:v>
      </ns0:c>
      <ns0:c r="P20" s="4" t="s">
        <ns0:v>226</ns0:v>
      </ns0:c>
      <ns0:c r="Q20" s="4" t="s">
        <ns0:v>45</ns0:v>
      </ns0:c>
      <ns0:c r="R20" s="4" t="s">
        <ns0:v>46</ns0:v>
      </ns0:c>
      <ns0:c r="S20" s="4" t="s">
        <ns0:v>227</ns0:v>
      </ns0:c>
      <ns0:c r="T20" s="4" t="s">
        <ns0:v>228</ns0:v>
      </ns0:c>
      <ns0:c r="U20" s="4" t="s">
        <ns0:v>35</ns0:v>
      </ns0:c>
      <ns0:c r="V20" s="6">
        <ns0:v>42465</ns0:v>
      </ns0:c>
      <ns0:c r="W20" s="6">
        <ns0:v>45747</ns0:v>
      </ns0:c>
      <ns0:c r="X20" s="4" t="s">
        <ns0:v>49</ns0:v>
      </ns0:c>
      <ns0:c r="Y20" s="4" t="s">
        <ns0:v>50</ns0:v>
      </ns0:c>
      <ns0:c r="Z20" s="4" t="s">
        <ns0:v>51</ns0:v>
      </ns0:c>
      <ns0:c r="AA20" s="4" t="s">
        <ns0:v>183</ns0:v>
      </ns0:c>
      <ns0:c r="AB20" s="4" t="s">
        <ns0:v>50</ns0:v>
      </ns0:c>
      <ns0:c r="AC20" s="4" t="s">
        <ns0:v>229</ns0:v>
      </ns0:c>
      <ns0:c r="AD20" s="4" t="s">
        <ns0:v>222</ns0:v>
      </ns0:c>
      <ns0:c r="AE20" s="4" t="s">
        <ns0:v>230</ns0:v>
      </ns0:c>
    </ns0:row>
    <ns0:row r="21" spans="1:31" ht="138" customHeight="1">
      <ns0:c r="A21" s="8" t="s">
        <ns0:v>231</ns0:v>
      </ns0:c>
      <ns0:c r="B21" s="8" t="s">
        <ns0:v>232</ns0:v>
      </ns0:c>
      <ns0:c r="C21" s="8" t="s">
        <ns0:v>35</ns0:v>
      </ns0:c>
      <ns0:c r="D21" s="8" t="s">
        <ns0:v>36</ns0:v>
      </ns0:c>
      <ns0:c r="E21" s="8" t="s">
        <ns0:v>233</ns0:v>
      </ns0:c>
      <ns0:c r="F21" s="8" t="s">
        <ns0:v>176</ns0:v>
      </ns0:c>
      <ns0:c r="G21" s="8" t="s">
        <ns0:v>201</ns0:v>
      </ns0:c>
      <ns0:c r="H21" s="8" t="s">
        <ns0:v>202</ns0:v>
      </ns0:c>
      <ns0:c r="I21" s="5" t="s">
        <ns0:v>619</ns0:v>
      </ns0:c>
      <ns0:c r="J21" s="9">
        <ns0:v>46319</ns0:v>
      </ns0:c>
      <ns0:c r="K21" s="7" t="s">
        <ns0:v>42</ns0:v>
      </ns0:c>
      <ns0:c r="L21" s="7"/>
      <ns0:c r="M21" s="7" t="inlineStr">
        <ns0:is>
          <ns0:t>25 Oct 2026: Project owner instructed availability be marked Available (open in JSON/ChromaDB). No new independent source check; approval status unchanged.</ns0:t>
        </ns0:is>
      </ns0:c>
      <ns0:c r="N21" s="8" t="s">
        <ns0:v>214</ns0:v>
      </ns0:c>
      <ns0:c r="O21" s="8" t="s">
        <ns0:v>44</ns0:v>
      </ns0:c>
      <ns0:c r="P21" s="8" t="s">
        <ns0:v>234</ns0:v>
      </ns0:c>
      <ns0:c r="Q21" s="8" t="s">
        <ns0:v>235</ns0:v>
      </ns0:c>
      <ns0:c r="R21" s="8" t="s">
        <ns0:v>41</ns0:v>
      </ns0:c>
      <ns0:c r="S21" s="8" t="s">
        <ns0:v>236</ns0:v>
      </ns0:c>
      <ns0:c r="T21" s="8" t="s">
        <ns0:v>237</ns0:v>
      </ns0:c>
      <ns0:c r="U21" s="8" t="s">
        <ns0:v>35</ns0:v>
      </ns0:c>
      <ns0:c r="V21" s="8"/>
      <ns0:c r="W21" s="8"/>
      <ns0:c r="X21" s="8" t="inlineStr">
        <ns0:is>
          <ns0:t>Available</ns0:t>
        </ns0:is>
      </ns0:c>
      <ns0:c r="Y21" s="8" t="s">
        <ns0:v>50</ns0:v>
      </ns0:c>
      <ns0:c r="Z21" s="8" t="s">
        <ns0:v>50</ns0:v>
      </ns0:c>
      <ns0:c r="AA21" s="8" t="s">
        <ns0:v>208</ns0:v>
      </ns0:c>
      <ns0:c r="AB21" s="8" t="s">
        <ns0:v>50</ns0:v>
      </ns0:c>
      <ns0:c r="AC21" s="8" t="s">
        <ns0:v>238</ns0:v>
      </ns0:c>
      <ns0:c r="AD21" s="8" t="s">
        <ns0:v>232</ns0:v>
      </ns0:c>
      <ns0:c r="AE21" s="8" t="s">
        <ns0:v>239</ns0:v>
      </ns0:c>
    </ns0:row>
    <ns0:row r="22" spans="1:31" ht="110" customHeight="1">
      <ns0:c r="A22" s="4" t="s">
        <ns0:v>240</ns0:v>
      </ns0:c>
      <ns0:c r="B22" s="4" t="s">
        <ns0:v>241</ns0:v>
      </ns0:c>
      <ns0:c r="C22" s="4" t="s">
        <ns0:v>35</ns0:v>
      </ns0:c>
      <ns0:c r="D22" s="4" t="s">
        <ns0:v>36</ns0:v>
      </ns0:c>
      <ns0:c r="E22" s="4" t="s">
        <ns0:v>242</ns0:v>
      </ns0:c>
      <ns0:c r="F22" s="4" t="s">
        <ns0:v>176</ns0:v>
      </ns0:c>
      <ns0:c r="G22" s="4" t="s">
        <ns0:v>243</ns0:v>
      </ns0:c>
      <ns0:c r="H22" s="4" t="s">
        <ns0:v>244</ns0:v>
      </ns0:c>
      <ns0:c r="I22" s="5" t="s">
        <ns0:v>619</ns0:v>
      </ns0:c>
      <ns0:c r="J22" s="6">
        <ns0:v>46319</ns0:v>
      </ns0:c>
      <ns0:c r="K22" s="7" t="s">
        <ns0:v>42</ns0:v>
      </ns0:c>
      <ns0:c r="L22" s="7"/>
      <ns0:c r="M22" s="7"/>
      <ns0:c r="N22" s="4" t="s">
        <ns0:v>179</ns0:v>
      </ns0:c>
      <ns0:c r="O22" s="4" t="s">
        <ns0:v>44</ns0:v>
      </ns0:c>
      <ns0:c r="P22" s="4" t="s">
        <ns0:v>44</ns0:v>
      </ns0:c>
      <ns0:c r="Q22" s="4" t="s">
        <ns0:v>74</ns0:v>
      </ns0:c>
      <ns0:c r="R22" s="4" t="s">
        <ns0:v>41</ns0:v>
      </ns0:c>
      <ns0:c r="S22" s="4" t="s">
        <ns0:v>245</ns0:v>
      </ns0:c>
      <ns0:c r="T22" s="4" t="s">
        <ns0:v>246</ns0:v>
      </ns0:c>
      <ns0:c r="U22" s="4" t="s">
        <ns0:v>35</ns0:v>
      </ns0:c>
      <ns0:c r="V22" s="6">
        <ns0:v>36008</ns0:v>
      </ns0:c>
      <ns0:c r="W22" s="4"/>
      <ns0:c r="X22" s="4" t="s">
        <ns0:v>49</ns0:v>
      </ns0:c>
      <ns0:c r="Y22" s="4" t="s">
        <ns0:v>50</ns0:v>
      </ns0:c>
      <ns0:c r="Z22" s="4" t="s">
        <ns0:v>51</ns0:v>
      </ns0:c>
      <ns0:c r="AA22" s="4" t="s">
        <ns0:v>89</ns0:v>
      </ns0:c>
      <ns0:c r="AB22" s="4" t="s">
        <ns0:v>50</ns0:v>
      </ns0:c>
      <ns0:c r="AC22" s="4" t="s">
        <ns0:v>247</ns0:v>
      </ns0:c>
      <ns0:c r="AD22" s="4" t="s">
        <ns0:v>241</ns0:v>
      </ns0:c>
      <ns0:c r="AE22" s="4" t="s">
        <ns0:v>248</ns0:v>
      </ns0:c>
    </ns0:row>
    <ns0:row r="23" spans="1:31" ht="138" customHeight="1">
      <ns0:c r="A23" s="8" t="s">
        <ns0:v>249</ns0:v>
      </ns0:c>
      <ns0:c r="B23" s="8" t="s">
        <ns0:v>250</ns0:v>
      </ns0:c>
      <ns0:c r="C23" s="8" t="s">
        <ns0:v>35</ns0:v>
      </ns0:c>
      <ns0:c r="D23" s="8" t="s">
        <ns0:v>36</ns0:v>
      </ns0:c>
      <ns0:c r="E23" s="8" t="s">
        <ns0:v>251</ns0:v>
      </ns0:c>
      <ns0:c r="F23" s="8" t="s">
        <ns0:v>176</ns0:v>
      </ns0:c>
      <ns0:c r="G23" s="8" t="s">
        <ns0:v>252</ns0:v>
      </ns0:c>
      <ns0:c r="H23" s="8" t="s">
        <ns0:v>253</ns0:v>
      </ns0:c>
      <ns0:c r="I23" s="5" t="s">
        <ns0:v>619</ns0:v>
      </ns0:c>
      <ns0:c r="J23" s="9">
        <ns0:v>46319</ns0:v>
      </ns0:c>
      <ns0:c r="K23" s="7" t="s">
        <ns0:v>42</ns0:v>
      </ns0:c>
      <ns0:c r="L23" s="7"/>
      <ns0:c r="M23" s="7"/>
      <ns0:c r="N23" s="8" t="s">
        <ns0:v>254</ns0:v>
      </ns0:c>
      <ns0:c r="O23" s="8" t="s">
        <ns0:v>44</ns0:v>
      </ns0:c>
      <ns0:c r="P23" s="8" t="s">
        <ns0:v>44</ns0:v>
      </ns0:c>
      <ns0:c r="Q23" s="8" t="s">
        <ns0:v>74</ns0:v>
      </ns0:c>
      <ns0:c r="R23" s="8" t="s">
        <ns0:v>41</ns0:v>
      </ns0:c>
      <ns0:c r="S23" s="8" t="s">
        <ns0:v>255</ns0:v>
      </ns0:c>
      <ns0:c r="T23" s="8" t="s">
        <ns0:v>256</ns0:v>
      </ns0:c>
      <ns0:c r="U23" s="8" t="s">
        <ns0:v>35</ns0:v>
      </ns0:c>
      <ns0:c r="V23" s="9">
        <ns0:v>42418</ns0:v>
      </ns0:c>
      <ns0:c r="W23" s="8"/>
      <ns0:c r="X23" s="8" t="s">
        <ns0:v>49</ns0:v>
      </ns0:c>
      <ns0:c r="Y23" s="8" t="s">
        <ns0:v>50</ns0:v>
      </ns0:c>
      <ns0:c r="Z23" s="8" t="s">
        <ns0:v>50</ns0:v>
      </ns0:c>
      <ns0:c r="AA23" s="8" t="s">
        <ns0:v>257</ns0:v>
      </ns0:c>
      <ns0:c r="AB23" s="8" t="s">
        <ns0:v>50</ns0:v>
      </ns0:c>
      <ns0:c r="AC23" s="8" t="s">
        <ns0:v>258</ns0:v>
      </ns0:c>
      <ns0:c r="AD23" s="8" t="s">
        <ns0:v>250</ns0:v>
      </ns0:c>
      <ns0:c r="AE23" s="8" t="s">
        <ns0:v>259</ns0:v>
      </ns0:c>
    </ns0:row>
    <ns0:row r="24" spans="1:31" ht="124" customHeight="1">
      <ns0:c r="A24" s="4" t="s">
        <ns0:v>260</ns0:v>
      </ns0:c>
      <ns0:c r="B24" s="4" t="s">
        <ns0:v>261</ns0:v>
      </ns0:c>
      <ns0:c r="C24" s="4" t="s">
        <ns0:v>35</ns0:v>
      </ns0:c>
      <ns0:c r="D24" s="4" t="s">
        <ns0:v>36</ns0:v>
      </ns0:c>
      <ns0:c r="E24" s="4" t="s">
        <ns0:v>262</ns0:v>
      </ns0:c>
      <ns0:c r="F24" s="4" t="s">
        <ns0:v>176</ns0:v>
      </ns0:c>
      <ns0:c r="G24" s="4" t="s">
        <ns0:v>177</ns0:v>
      </ns0:c>
      <ns0:c r="H24" s="4" t="s">
        <ns0:v>41</ns0:v>
      </ns0:c>
      <ns0:c r="I24" s="5" t="s">
        <ns0:v>619</ns0:v>
      </ns0:c>
      <ns0:c r="J24" s="6">
        <ns0:v>46319</ns0:v>
      </ns0:c>
      <ns0:c r="K24" s="7" t="s">
        <ns0:v>42</ns0:v>
      </ns0:c>
      <ns0:c r="L24" s="7"/>
      <ns0:c r="M24" s="7"/>
      <ns0:c r="N24" s="4" t="s">
        <ns0:v>263</ns0:v>
      </ns0:c>
      <ns0:c r="O24" s="4" t="s">
        <ns0:v>44</ns0:v>
      </ns0:c>
      <ns0:c r="P24" s="4" t="s">
        <ns0:v>44</ns0:v>
      </ns0:c>
      <ns0:c r="Q24" s="4" t="s">
        <ns0:v>264</ns0:v>
      </ns0:c>
      <ns0:c r="R24" s="4" t="s">
        <ns0:v>265</ns0:v>
      </ns0:c>
      <ns0:c r="S24" s="4" t="s">
        <ns0:v>266</ns0:v>
      </ns0:c>
      <ns0:c r="T24" s="4" t="s">
        <ns0:v>267</ns0:v>
      </ns0:c>
      <ns0:c r="U24" s="4" t="s">
        <ns0:v>35</ns0:v>
      </ns0:c>
      <ns0:c r="V24" s="4"/>
      <ns0:c r="W24" s="4"/>
      <ns0:c r="X24" s="4" t="s">
        <ns0:v>49</ns0:v>
      </ns0:c>
      <ns0:c r="Y24" s="4" t="s">
        <ns0:v>50</ns0:v>
      </ns0:c>
      <ns0:c r="Z24" s="4" t="s">
        <ns0:v>50</ns0:v>
      </ns0:c>
      <ns0:c r="AA24" s="4" t="s">
        <ns0:v>183</ns0:v>
      </ns0:c>
      <ns0:c r="AB24" s="4" t="s">
        <ns0:v>50</ns0:v>
      </ns0:c>
      <ns0:c r="AC24" s="4" t="s">
        <ns0:v>268</ns0:v>
      </ns0:c>
      <ns0:c r="AD24" s="4" t="s">
        <ns0:v>261</ns0:v>
      </ns0:c>
      <ns0:c r="AE24" s="4" t="s">
        <ns0:v>269</ns0:v>
      </ns0:c>
    </ns0:row>
    <ns0:row r="25" spans="1:31" ht="180" customHeight="1">
      <ns0:c r="A25" s="8" t="s">
        <ns0:v>270</ns0:v>
      </ns0:c>
      <ns0:c r="B25" s="8" t="s">
        <ns0:v>271</ns0:v>
      </ns0:c>
      <ns0:c r="C25" s="8" t="s">
        <ns0:v>35</ns0:v>
      </ns0:c>
      <ns0:c r="D25" s="8" t="s">
        <ns0:v>36</ns0:v>
      </ns0:c>
      <ns0:c r="E25" s="8" t="s">
        <ns0:v>272</ns0:v>
      </ns0:c>
      <ns0:c r="F25" s="8" t="s">
        <ns0:v>176</ns0:v>
      </ns0:c>
      <ns0:c r="G25" s="8" t="s">
        <ns0:v>201</ns0:v>
      </ns0:c>
      <ns0:c r="H25" s="8" t="s">
        <ns0:v>224</ns0:v>
      </ns0:c>
      <ns0:c r="I25" s="5" t="s">
        <ns0:v>619</ns0:v>
      </ns0:c>
      <ns0:c r="J25" s="9">
        <ns0:v>46319</ns0:v>
      </ns0:c>
      <ns0:c r="K25" s="7" t="s">
        <ns0:v>42</ns0:v>
      </ns0:c>
      <ns0:c r="L25" s="7"/>
      <ns0:c r="M25" s="7"/>
      <ns0:c r="N25" s="8" t="s">
        <ns0:v>273</ns0:v>
      </ns0:c>
      <ns0:c r="O25" s="8" t="s">
        <ns0:v>44</ns0:v>
      </ns0:c>
      <ns0:c r="P25" s="8" t="s">
        <ns0:v>44</ns0:v>
      </ns0:c>
      <ns0:c r="Q25" s="8" t="s">
        <ns0:v>274</ns0:v>
      </ns0:c>
      <ns0:c r="R25" s="8" t="s">
        <ns0:v>275</ns0:v>
      </ns0:c>
      <ns0:c r="S25" s="8" t="s">
        <ns0:v>276</ns0:v>
      </ns0:c>
      <ns0:c r="T25" s="8" t="s">
        <ns0:v>277</ns0:v>
      </ns0:c>
      <ns0:c r="U25" s="8" t="s">
        <ns0:v>35</ns0:v>
      </ns0:c>
      <ns0:c r="V25" s="8"/>
      <ns0:c r="W25" s="8"/>
      <ns0:c r="X25" s="8" t="s">
        <ns0:v>49</ns0:v>
      </ns0:c>
      <ns0:c r="Y25" s="8" t="s">
        <ns0:v>50</ns0:v>
      </ns0:c>
      <ns0:c r="Z25" s="8" t="s">
        <ns0:v>51</ns0:v>
      </ns0:c>
      <ns0:c r="AA25" s="8" t="s">
        <ns0:v>208</ns0:v>
      </ns0:c>
      <ns0:c r="AB25" s="8" t="s">
        <ns0:v>50</ns0:v>
      </ns0:c>
      <ns0:c r="AC25" s="8" t="s">
        <ns0:v>278</ns0:v>
      </ns0:c>
      <ns0:c r="AD25" s="8" t="s">
        <ns0:v>271</ns0:v>
      </ns0:c>
      <ns0:c r="AE25" s="8" t="s">
        <ns0:v>279</ns0:v>
      </ns0:c>
    </ns0:row>
    <ns0:row r="26" spans="1:31" ht="82" customHeight="1">
      <ns0:c r="A26" s="4" t="s">
        <ns0:v>280</ns0:v>
      </ns0:c>
      <ns0:c r="B26" s="4" t="s">
        <ns0:v>281</ns0:v>
      </ns0:c>
      <ns0:c r="C26" s="4" t="s">
        <ns0:v>35</ns0:v>
      </ns0:c>
      <ns0:c r="D26" s="4" t="s">
        <ns0:v>36</ns0:v>
      </ns0:c>
      <ns0:c r="E26" s="4" t="s">
        <ns0:v>282</ns0:v>
      </ns0:c>
      <ns0:c r="F26" s="4" t="s">
        <ns0:v>176</ns0:v>
      </ns0:c>
      <ns0:c r="G26" s="4" t="s">
        <ns0:v>177</ns0:v>
      </ns0:c>
      <ns0:c r="H26" s="4" t="s">
        <ns0:v>283</ns0:v>
      </ns0:c>
      <ns0:c r="I26" s="5" t="s">
        <ns0:v>619</ns0:v>
      </ns0:c>
      <ns0:c r="J26" s="6">
        <ns0:v>46319</ns0:v>
      </ns0:c>
      <ns0:c r="K26" s="7" t="s">
        <ns0:v>42</ns0:v>
      </ns0:c>
      <ns0:c r="L26" s="7"/>
      <ns0:c r="M26" s="7"/>
      <ns0:c r="N26" s="4" t="s">
        <ns0:v>284</ns0:v>
      </ns0:c>
      <ns0:c r="O26" s="4" t="s">
        <ns0:v>44</ns0:v>
      </ns0:c>
      <ns0:c r="P26" s="4" t="s">
        <ns0:v>62</ns0:v>
      </ns0:c>
      <ns0:c r="Q26" s="4" t="s">
        <ns0:v>285</ns0:v>
      </ns0:c>
      <ns0:c r="R26" s="4" t="s">
        <ns0:v>286</ns0:v>
      </ns0:c>
      <ns0:c r="S26" s="4" t="s">
        <ns0:v>287</ns0:v>
      </ns0:c>
      <ns0:c r="T26" s="4" t="s">
        <ns0:v>288</ns0:v>
      </ns0:c>
      <ns0:c r="U26" s="4" t="s">
        <ns0:v>35</ns0:v>
      </ns0:c>
      <ns0:c r="V26" s="6">
        <ns0:v>43191</ns0:v>
      </ns0:c>
      <ns0:c r="W26" s="4"/>
      <ns0:c r="X26" s="4" t="s">
        <ns0:v>49</ns0:v>
      </ns0:c>
      <ns0:c r="Y26" s="4" t="s">
        <ns0:v>50</ns0:v>
      </ns0:c>
      <ns0:c r="Z26" s="4" t="s">
        <ns0:v>51</ns0:v>
      </ns0:c>
      <ns0:c r="AA26" s="4" t="s">
        <ns0:v>183</ns0:v>
      </ns0:c>
      <ns0:c r="AB26" s="4" t="s">
        <ns0:v>50</ns0:v>
      </ns0:c>
      <ns0:c r="AC26" s="4" t="s">
        <ns0:v>289</ns0:v>
      </ns0:c>
      <ns0:c r="AD26" s="4" t="s">
        <ns0:v>281</ns0:v>
      </ns0:c>
      <ns0:c r="AE26" s="4" t="s">
        <ns0:v>290</ns0:v>
      </ns0:c>
    </ns0:row>
    <ns0:row r="27" spans="1:31" ht="96" customHeight="1">
      <ns0:c r="A27" s="8" t="s">
        <ns0:v>291</ns0:v>
      </ns0:c>
      <ns0:c r="B27" s="8" t="s">
        <ns0:v>292</ns0:v>
      </ns0:c>
      <ns0:c r="C27" s="8" t="s">
        <ns0:v>35</ns0:v>
      </ns0:c>
      <ns0:c r="D27" s="8" t="s">
        <ns0:v>36</ns0:v>
      </ns0:c>
      <ns0:c r="E27" s="8" t="s">
        <ns0:v>293</ns0:v>
      </ns0:c>
      <ns0:c r="F27" s="8" t="s">
        <ns0:v>176</ns0:v>
      </ns0:c>
      <ns0:c r="G27" s="8" t="s">
        <ns0:v>201</ns0:v>
      </ns0:c>
      <ns0:c r="H27" s="8" t="s">
        <ns0:v>224</ns0:v>
      </ns0:c>
      <ns0:c r="I27" s="5" t="s">
        <ns0:v>619</ns0:v>
      </ns0:c>
      <ns0:c r="J27" s="9">
        <ns0:v>46319</ns0:v>
      </ns0:c>
      <ns0:c r="K27" s="7" t="s">
        <ns0:v>42</ns0:v>
      </ns0:c>
      <ns0:c r="L27" s="7"/>
      <ns0:c r="M27" s="7"/>
      <ns0:c r="N27" s="8" t="s">
        <ns0:v>294</ns0:v>
      </ns0:c>
      <ns0:c r="O27" s="8" t="s">
        <ns0:v>44</ns0:v>
      </ns0:c>
      <ns0:c r="P27" s="8" t="s">
        <ns0:v>44</ns0:v>
      </ns0:c>
      <ns0:c r="Q27" s="8" t="s">
        <ns0:v>285</ns0:v>
      </ns0:c>
      <ns0:c r="R27" s="8" t="s">
        <ns0:v>286</ns0:v>
      </ns0:c>
      <ns0:c r="S27" s="8" t="s">
        <ns0:v>295</ns0:v>
      </ns0:c>
      <ns0:c r="T27" s="8" t="s">
        <ns0:v>296</ns0:v>
      </ns0:c>
      <ns0:c r="U27" s="8" t="s">
        <ns0:v>35</ns0:v>
      </ns0:c>
      <ns0:c r="V27" s="9">
        <ns0:v>42530</ns0:v>
      </ns0:c>
      <ns0:c r="W27" s="8"/>
      <ns0:c r="X27" s="8" t="s">
        <ns0:v>49</ns0:v>
      </ns0:c>
      <ns0:c r="Y27" s="8" t="s">
        <ns0:v>50</ns0:v>
      </ns0:c>
      <ns0:c r="Z27" s="8" t="s">
        <ns0:v>51</ns0:v>
      </ns0:c>
      <ns0:c r="AA27" s="8" t="s">
        <ns0:v>208</ns0:v>
      </ns0:c>
      <ns0:c r="AB27" s="8" t="s">
        <ns0:v>50</ns0:v>
      </ns0:c>
      <ns0:c r="AC27" s="8" t="s">
        <ns0:v>297</ns0:v>
      </ns0:c>
      <ns0:c r="AD27" s="8" t="s">
        <ns0:v>292</ns0:v>
      </ns0:c>
      <ns0:c r="AE27" s="8" t="s">
        <ns0:v>298</ns0:v>
      </ns0:c>
    </ns0:row>
    <ns0:row r="28" spans="1:31" ht="110" customHeight="1">
      <ns0:c r="A28" s="4" t="s">
        <ns0:v>299</ns0:v>
      </ns0:c>
      <ns0:c r="B28" s="4" t="s">
        <ns0:v>300</ns0:v>
      </ns0:c>
      <ns0:c r="C28" s="4" t="s">
        <ns0:v>35</ns0:v>
      </ns0:c>
      <ns0:c r="D28" s="4" t="s">
        <ns0:v>36</ns0:v>
      </ns0:c>
      <ns0:c r="E28" s="4" t="s">
        <ns0:v>301</ns0:v>
      </ns0:c>
      <ns0:c r="F28" s="4" t="s">
        <ns0:v>176</ns0:v>
      </ns0:c>
      <ns0:c r="G28" s="4" t="s">
        <ns0:v>201</ns0:v>
      </ns0:c>
      <ns0:c r="H28" s="4" t="s">
        <ns0:v>224</ns0:v>
      </ns0:c>
      <ns0:c r="I28" s="5" t="s">
        <ns0:v>619</ns0:v>
      </ns0:c>
      <ns0:c r="J28" s="6">
        <ns0:v>46319</ns0:v>
      </ns0:c>
      <ns0:c r="K28" s="7" t="s">
        <ns0:v>42</ns0:v>
      </ns0:c>
      <ns0:c r="L28" s="7"/>
      <ns0:c r="M28" s="7"/>
      <ns0:c r="N28" s="4" t="s">
        <ns0:v>302</ns0:v>
      </ns0:c>
      <ns0:c r="O28" s="4" t="s">
        <ns0:v>44</ns0:v>
      </ns0:c>
      <ns0:c r="P28" s="4" t="s">
        <ns0:v>44</ns0:v>
      </ns0:c>
      <ns0:c r="Q28" s="4" t="s">
        <ns0:v>264</ns0:v>
      </ns0:c>
      <ns0:c r="R28" s="4" t="s">
        <ns0:v>303</ns0:v>
      </ns0:c>
      <ns0:c r="S28" s="4" t="s">
        <ns0:v>304</ns0:v>
      </ns0:c>
      <ns0:c r="T28" s="4" t="s">
        <ns0:v>305</ns0:v>
      </ns0:c>
      <ns0:c r="U28" s="4" t="s">
        <ns0:v>35</ns0:v>
      </ns0:c>
      <ns0:c r="V28" s="6">
        <ns0:v>43167</ns0:v>
      </ns0:c>
      <ns0:c r="W28" s="4"/>
      <ns0:c r="X28" s="4" t="s">
        <ns0:v>49</ns0:v>
      </ns0:c>
      <ns0:c r="Y28" s="4" t="s">
        <ns0:v>50</ns0:v>
      </ns0:c>
      <ns0:c r="Z28" s="4" t="s">
        <ns0:v>51</ns0:v>
      </ns0:c>
      <ns0:c r="AA28" s="4" t="s">
        <ns0:v>208</ns0:v>
      </ns0:c>
      <ns0:c r="AB28" s="4" t="s">
        <ns0:v>50</ns0:v>
      </ns0:c>
      <ns0:c r="AC28" s="4" t="s">
        <ns0:v>306</ns0:v>
      </ns0:c>
      <ns0:c r="AD28" s="4" t="s">
        <ns0:v>300</ns0:v>
      </ns0:c>
      <ns0:c r="AE28" s="4" t="s">
        <ns0:v>307</ns0:v>
      </ns0:c>
    </ns0:row>
    <ns0:row r="29" spans="1:31" ht="110" customHeight="1">
      <ns0:c r="A29" s="8" t="s">
        <ns0:v>308</ns0:v>
      </ns0:c>
      <ns0:c r="B29" s="8" t="s">
        <ns0:v>309</ns0:v>
      </ns0:c>
      <ns0:c r="C29" s="8" t="s">
        <ns0:v>35</ns0:v>
      </ns0:c>
      <ns0:c r="D29" s="8" t="s">
        <ns0:v>36</ns0:v>
      </ns0:c>
      <ns0:c r="E29" s="8" t="s">
        <ns0:v>310</ns0:v>
      </ns0:c>
      <ns0:c r="F29" s="8" t="s">
        <ns0:v>176</ns0:v>
      </ns0:c>
      <ns0:c r="G29" s="8" t="s">
        <ns0:v>177</ns0:v>
      </ns0:c>
      <ns0:c r="H29" s="8" t="s">
        <ns0:v>224</ns0:v>
      </ns0:c>
      <ns0:c r="I29" s="5" t="s">
        <ns0:v>619</ns0:v>
      </ns0:c>
      <ns0:c r="J29" s="9">
        <ns0:v>46319</ns0:v>
      </ns0:c>
      <ns0:c r="K29" s="7" t="s">
        <ns0:v>42</ns0:v>
      </ns0:c>
      <ns0:c r="L29" s="7"/>
      <ns0:c r="M29" s="7"/>
      <ns0:c r="N29" s="8" t="s">
        <ns0:v>311</ns0:v>
      </ns0:c>
      <ns0:c r="O29" s="8" t="s">
        <ns0:v>44</ns0:v>
      </ns0:c>
      <ns0:c r="P29" s="8" t="s">
        <ns0:v>44</ns0:v>
      </ns0:c>
      <ns0:c r="Q29" s="8" t="s">
        <ns0:v>312</ns0:v>
      </ns0:c>
      <ns0:c r="R29" s="8" t="s">
        <ns0:v>313</ns0:v>
      </ns0:c>
      <ns0:c r="S29" s="8" t="s">
        <ns0:v>314</ns0:v>
      </ns0:c>
      <ns0:c r="T29" s="8" t="s">
        <ns0:v>315</ns0:v>
      </ns0:c>
      <ns0:c r="U29" s="8" t="s">
        <ns0:v>35</ns0:v>
      </ns0:c>
      <ns0:c r="V29" s="9">
        <ns0:v>40289</ns0:v>
      </ns0:c>
      <ns0:c r="W29" s="8"/>
      <ns0:c r="X29" s="8" t="s">
        <ns0:v>49</ns0:v>
      </ns0:c>
      <ns0:c r="Y29" s="8" t="s">
        <ns0:v>50</ns0:v>
      </ns0:c>
      <ns0:c r="Z29" s="8" t="s">
        <ns0:v>51</ns0:v>
      </ns0:c>
      <ns0:c r="AA29" s="8" t="s">
        <ns0:v>183</ns0:v>
      </ns0:c>
      <ns0:c r="AB29" s="8" t="s">
        <ns0:v>50</ns0:v>
      </ns0:c>
      <ns0:c r="AC29" s="8" t="s">
        <ns0:v>316</ns0:v>
      </ns0:c>
      <ns0:c r="AD29" s="8" t="s">
        <ns0:v>309</ns0:v>
      </ns0:c>
      <ns0:c r="AE29" s="8" t="s">
        <ns0:v>317</ns0:v>
      </ns0:c>
    </ns0:row>
    <ns0:row r="30" spans="1:31" ht="180" customHeight="1">
      <ns0:c r="A30" s="4" t="s">
        <ns0:v>318</ns0:v>
      </ns0:c>
      <ns0:c r="B30" s="4" t="s">
        <ns0:v>319</ns0:v>
      </ns0:c>
      <ns0:c r="C30" s="4" t="s">
        <ns0:v>35</ns0:v>
      </ns0:c>
      <ns0:c r="D30" s="4" t="s">
        <ns0:v>36</ns0:v>
      </ns0:c>
      <ns0:c r="E30" s="4" t="s">
        <ns0:v>320</ns0:v>
      </ns0:c>
      <ns0:c r="F30" s="4" t="s">
        <ns0:v>176</ns0:v>
      </ns0:c>
      <ns0:c r="G30" s="4" t="s">
        <ns0:v>177</ns0:v>
      </ns0:c>
      <ns0:c r="H30" s="4" t="s">
        <ns0:v>41</ns0:v>
      </ns0:c>
      <ns0:c r="I30" s="5" t="s">
        <ns0:v>619</ns0:v>
      </ns0:c>
      <ns0:c r="J30" s="6">
        <ns0:v>46319</ns0:v>
      </ns0:c>
      <ns0:c r="K30" s="7" t="s">
        <ns0:v>42</ns0:v>
      </ns0:c>
      <ns0:c r="L30" s="7"/>
      <ns0:c r="M30" s="7"/>
      <ns0:c r="N30" s="4" t="s">
        <ns0:v>321</ns0:v>
      </ns0:c>
      <ns0:c r="O30" s="4" t="s">
        <ns0:v>44</ns0:v>
      </ns0:c>
      <ns0:c r="P30" s="4" t="s">
        <ns0:v>44</ns0:v>
      </ns0:c>
      <ns0:c r="Q30" s="4" t="s">
        <ns0:v>274</ns0:v>
      </ns0:c>
      <ns0:c r="R30" s="4" t="s">
        <ns0:v>275</ns0:v>
      </ns0:c>
      <ns0:c r="S30" s="4" t="s">
        <ns0:v>322</ns0:v>
      </ns0:c>
      <ns0:c r="T30" s="4" t="s">
        <ns0:v>323</ns0:v>
      </ns0:c>
      <ns0:c r="U30" s="4" t="s">
        <ns0:v>35</ns0:v>
      </ns0:c>
      <ns0:c r="V30" s="4"/>
      <ns0:c r="W30" s="4"/>
      <ns0:c r="X30" s="4" t="s">
        <ns0:v>49</ns0:v>
      </ns0:c>
      <ns0:c r="Y30" s="4" t="s">
        <ns0:v>50</ns0:v>
      </ns0:c>
      <ns0:c r="Z30" s="4" t="s">
        <ns0:v>50</ns0:v>
      </ns0:c>
      <ns0:c r="AA30" s="4" t="s">
        <ns0:v>183</ns0:v>
      </ns0:c>
      <ns0:c r="AB30" s="4" t="s">
        <ns0:v>50</ns0:v>
      </ns0:c>
      <ns0:c r="AC30" s="4" t="s">
        <ns0:v>324</ns0:v>
      </ns0:c>
      <ns0:c r="AD30" s="4" t="s">
        <ns0:v>319</ns0:v>
      </ns0:c>
      <ns0:c r="AE30" s="4" t="s">
        <ns0:v>325</ns0:v>
      </ns0:c>
    </ns0:row>
    <ns0:row r="31" spans="1:31" ht="96" customHeight="1">
      <ns0:c r="A31" s="8" t="s">
        <ns0:v>326</ns0:v>
      </ns0:c>
      <ns0:c r="B31" s="8" t="s">
        <ns0:v>327</ns0:v>
      </ns0:c>
      <ns0:c r="C31" s="8" t="s">
        <ns0:v>35</ns0:v>
      </ns0:c>
      <ns0:c r="D31" s="8" t="s">
        <ns0:v>36</ns0:v>
      </ns0:c>
      <ns0:c r="E31" s="8" t="s">
        <ns0:v>328</ns0:v>
      </ns0:c>
      <ns0:c r="F31" s="8" t="s">
        <ns0:v>176</ns0:v>
      </ns0:c>
      <ns0:c r="G31" s="8" t="s">
        <ns0:v>201</ns0:v>
      </ns0:c>
      <ns0:c r="H31" s="8" t="s">
        <ns0:v>224</ns0:v>
      </ns0:c>
      <ns0:c r="I31" s="5" t="s">
        <ns0:v>619</ns0:v>
      </ns0:c>
      <ns0:c r="J31" s="9">
        <ns0:v>46319</ns0:v>
      </ns0:c>
      <ns0:c r="K31" s="7" t="s">
        <ns0:v>42</ns0:v>
      </ns0:c>
      <ns0:c r="L31" s="7"/>
      <ns0:c r="M31" s="7"/>
      <ns0:c r="N31" s="8" t="s">
        <ns0:v>329</ns0:v>
      </ns0:c>
      <ns0:c r="O31" s="8" t="s">
        <ns0:v>44</ns0:v>
      </ns0:c>
      <ns0:c r="P31" s="8" t="s">
        <ns0:v>44</ns0:v>
      </ns0:c>
      <ns0:c r="Q31" s="8" t="s">
        <ns0:v>330</ns0:v>
      </ns0:c>
      <ns0:c r="R31" s="8" t="s">
        <ns0:v>41</ns0:v>
      </ns0:c>
      <ns0:c r="S31" s="8" t="s">
        <ns0:v>331</ns0:v>
      </ns0:c>
      <ns0:c r="T31" s="8" t="s">
        <ns0:v>332</ns0:v>
      </ns0:c>
      <ns0:c r="U31" s="8" t="s">
        <ns0:v>35</ns0:v>
      </ns0:c>
      <ns0:c r="V31" s="8"/>
      <ns0:c r="W31" s="8"/>
      <ns0:c r="X31" s="8" t="s">
        <ns0:v>49</ns0:v>
      </ns0:c>
      <ns0:c r="Y31" s="8" t="s">
        <ns0:v>50</ns0:v>
      </ns0:c>
      <ns0:c r="Z31" s="8" t="s">
        <ns0:v>51</ns0:v>
      </ns0:c>
      <ns0:c r="AA31" s="8" t="s">
        <ns0:v>208</ns0:v>
      </ns0:c>
      <ns0:c r="AB31" s="8" t="s">
        <ns0:v>50</ns0:v>
      </ns0:c>
      <ns0:c r="AC31" s="8" t="s">
        <ns0:v>333</ns0:v>
      </ns0:c>
      <ns0:c r="AD31" s="8" t="s">
        <ns0:v>327</ns0:v>
      </ns0:c>
      <ns0:c r="AE31" s="8" t="s">
        <ns0:v>334</ns0:v>
      </ns0:c>
    </ns0:row>
    <ns0:row r="32" spans="1:31" ht="110" customHeight="1">
      <ns0:c r="A32" s="4" t="s">
        <ns0:v>335</ns0:v>
      </ns0:c>
      <ns0:c r="B32" s="4" t="s">
        <ns0:v>336</ns0:v>
      </ns0:c>
      <ns0:c r="C32" s="4" t="s">
        <ns0:v>35</ns0:v>
      </ns0:c>
      <ns0:c r="D32" s="4" t="s">
        <ns0:v>36</ns0:v>
      </ns0:c>
      <ns0:c r="E32" s="4" t="s">
        <ns0:v>337</ns0:v>
      </ns0:c>
      <ns0:c r="F32" s="4" t="s">
        <ns0:v>176</ns0:v>
      </ns0:c>
      <ns0:c r="G32" s="4" t="s">
        <ns0:v>201</ns0:v>
      </ns0:c>
      <ns0:c r="H32" s="4" t="s">
        <ns0:v>224</ns0:v>
      </ns0:c>
      <ns0:c r="I32" s="5" t="s">
        <ns0:v>619</ns0:v>
      </ns0:c>
      <ns0:c r="J32" s="6">
        <ns0:v>46319</ns0:v>
      </ns0:c>
      <ns0:c r="K32" s="7" t="s">
        <ns0:v>42</ns0:v>
      </ns0:c>
      <ns0:c r="L32" s="7"/>
      <ns0:c r="M32" s="7"/>
      <ns0:c r="N32" s="4" t="s">
        <ns0:v>329</ns0:v>
      </ns0:c>
      <ns0:c r="O32" s="4" t="s">
        <ns0:v>44</ns0:v>
      </ns0:c>
      <ns0:c r="P32" s="4" t="s">
        <ns0:v>338</ns0:v>
      </ns0:c>
      <ns0:c r="Q32" s="4" t="s">
        <ns0:v>339</ns0:v>
      </ns0:c>
      <ns0:c r="R32" s="4" t="s">
        <ns0:v>41</ns0:v>
      </ns0:c>
      <ns0:c r="S32" s="4" t="s">
        <ns0:v>340</ns0:v>
      </ns0:c>
      <ns0:c r="T32" s="4" t="s">
        <ns0:v>341</ns0:v>
      </ns0:c>
      <ns0:c r="U32" s="4" t="s">
        <ns0:v>35</ns0:v>
      </ns0:c>
      <ns0:c r="V32" s="4"/>
      <ns0:c r="W32" s="4"/>
      <ns0:c r="X32" s="4" t="s">
        <ns0:v>49</ns0:v>
      </ns0:c>
      <ns0:c r="Y32" s="4" t="s">
        <ns0:v>50</ns0:v>
      </ns0:c>
      <ns0:c r="Z32" s="4" t="s">
        <ns0:v>51</ns0:v>
      </ns0:c>
      <ns0:c r="AA32" s="4" t="s">
        <ns0:v>208</ns0:v>
      </ns0:c>
      <ns0:c r="AB32" s="4" t="s">
        <ns0:v>50</ns0:v>
      </ns0:c>
      <ns0:c r="AC32" s="4" t="s">
        <ns0:v>342</ns0:v>
      </ns0:c>
      <ns0:c r="AD32" s="4" t="s">
        <ns0:v>336</ns0:v>
      </ns0:c>
      <ns0:c r="AE32" s="4" t="s">
        <ns0:v>343</ns0:v>
      </ns0:c>
    </ns0:row>
    <ns0:row r="33" spans="1:31" ht="208" customHeight="1">
      <ns0:c r="A33" s="8" t="s">
        <ns0:v>344</ns0:v>
      </ns0:c>
      <ns0:c r="B33" s="8" t="s">
        <ns0:v>345</ns0:v>
      </ns0:c>
      <ns0:c r="C33" s="8" t="s">
        <ns0:v>35</ns0:v>
      </ns0:c>
      <ns0:c r="D33" s="8" t="s">
        <ns0:v>36</ns0:v>
      </ns0:c>
      <ns0:c r="E33" s="8" t="s">
        <ns0:v>346</ns0:v>
      </ns0:c>
      <ns0:c r="F33" s="8" t="s">
        <ns0:v>176</ns0:v>
      </ns0:c>
      <ns0:c r="G33" s="8" t="s">
        <ns0:v>177</ns0:v>
      </ns0:c>
      <ns0:c r="H33" s="8" t="s">
        <ns0:v>224</ns0:v>
      </ns0:c>
      <ns0:c r="I33" s="5" t="s">
        <ns0:v>619</ns0:v>
      </ns0:c>
      <ns0:c r="J33" s="9">
        <ns0:v>46319</ns0:v>
      </ns0:c>
      <ns0:c r="K33" s="7" t="s">
        <ns0:v>42</ns0:v>
      </ns0:c>
      <ns0:c r="L33" s="7"/>
      <ns0:c r="M33" s="7"/>
      <ns0:c r="N33" s="8" t="s">
        <ns0:v>347</ns0:v>
      </ns0:c>
      <ns0:c r="O33" s="8" t="s">
        <ns0:v>44</ns0:v>
      </ns0:c>
      <ns0:c r="P33" s="8" t="s">
        <ns0:v>44</ns0:v>
      </ns0:c>
      <ns0:c r="Q33" s="8" t="s">
        <ns0:v>204</ns0:v>
      </ns0:c>
      <ns0:c r="R33" s="8" t="s">
        <ns0:v>348</ns0:v>
      </ns0:c>
      <ns0:c r="S33" s="8" t="s">
        <ns0:v>349</ns0:v>
      </ns0:c>
      <ns0:c r="T33" s="8" t="s">
        <ns0:v>350</ns0:v>
      </ns0:c>
      <ns0:c r="U33" s="8" t="s">
        <ns0:v>35</ns0:v>
      </ns0:c>
      <ns0:c r="V33" s="8"/>
      <ns0:c r="W33" s="8"/>
      <ns0:c r="X33" s="8" t="s">
        <ns0:v>49</ns0:v>
      </ns0:c>
      <ns0:c r="Y33" s="8" t="s">
        <ns0:v>50</ns0:v>
      </ns0:c>
      <ns0:c r="Z33" s="8" t="s">
        <ns0:v>51</ns0:v>
      </ns0:c>
      <ns0:c r="AA33" s="8" t="s">
        <ns0:v>183</ns0:v>
      </ns0:c>
      <ns0:c r="AB33" s="8" t="s">
        <ns0:v>50</ns0:v>
      </ns0:c>
      <ns0:c r="AC33" s="8" t="s">
        <ns0:v>351</ns0:v>
      </ns0:c>
      <ns0:c r="AD33" s="8" t="s">
        <ns0:v>345</ns0:v>
      </ns0:c>
      <ns0:c r="AE33" s="8" t="s">
        <ns0:v>352</ns0:v>
      </ns0:c>
    </ns0:row>
    <ns0:row r="34" spans="1:31" ht="166" customHeight="1">
      <ns0:c r="A34" s="4" t="s">
        <ns0:v>353</ns0:v>
      </ns0:c>
      <ns0:c r="B34" s="4" t="s">
        <ns0:v>354</ns0:v>
      </ns0:c>
      <ns0:c r="C34" s="4" t="s">
        <ns0:v>35</ns0:v>
      </ns0:c>
      <ns0:c r="D34" s="4" t="s">
        <ns0:v>36</ns0:v>
      </ns0:c>
      <ns0:c r="E34" s="4" t="s">
        <ns0:v>355</ns0:v>
      </ns0:c>
      <ns0:c r="F34" s="4" t="s">
        <ns0:v>176</ns0:v>
      </ns0:c>
      <ns0:c r="G34" s="4" t="s">
        <ns0:v>177</ns0:v>
      </ns0:c>
      <ns0:c r="H34" s="4" t="s">
        <ns0:v>224</ns0:v>
      </ns0:c>
      <ns0:c r="I34" s="5" t="s">
        <ns0:v>619</ns0:v>
      </ns0:c>
      <ns0:c r="J34" s="6">
        <ns0:v>46319</ns0:v>
      </ns0:c>
      <ns0:c r="K34" s="7" t="s">
        <ns0:v>42</ns0:v>
      </ns0:c>
      <ns0:c r="L34" s="7"/>
      <ns0:c r="M34" s="7"/>
      <ns0:c r="N34" s="4" t="s">
        <ns0:v>356</ns0:v>
      </ns0:c>
      <ns0:c r="O34" s="4" t="s">
        <ns0:v>44</ns0:v>
      </ns0:c>
      <ns0:c r="P34" s="4" t="s">
        <ns0:v>44</ns0:v>
      </ns0:c>
      <ns0:c r="Q34" s="4" t="s">
        <ns0:v>204</ns0:v>
      </ns0:c>
      <ns0:c r="R34" s="4" t="s">
        <ns0:v>348</ns0:v>
      </ns0:c>
      <ns0:c r="S34" s="4" t="s">
        <ns0:v>357</ns0:v>
      </ns0:c>
      <ns0:c r="T34" s="4" t="s">
        <ns0:v>358</ns0:v>
      </ns0:c>
      <ns0:c r="U34" s="4" t="s">
        <ns0:v>35</ns0:v>
      </ns0:c>
      <ns0:c r="V34" s="4"/>
      <ns0:c r="W34" s="4"/>
      <ns0:c r="X34" s="4" t="s">
        <ns0:v>49</ns0:v>
      </ns0:c>
      <ns0:c r="Y34" s="4" t="s">
        <ns0:v>50</ns0:v>
      </ns0:c>
      <ns0:c r="Z34" s="4" t="s">
        <ns0:v>51</ns0:v>
      </ns0:c>
      <ns0:c r="AA34" s="4" t="s">
        <ns0:v>183</ns0:v>
      </ns0:c>
      <ns0:c r="AB34" s="4" t="s">
        <ns0:v>50</ns0:v>
      </ns0:c>
      <ns0:c r="AC34" s="4" t="s">
        <ns0:v>359</ns0:v>
      </ns0:c>
      <ns0:c r="AD34" s="4" t="s">
        <ns0:v>354</ns0:v>
      </ns0:c>
      <ns0:c r="AE34" s="4" t="s">
        <ns0:v>360</ns0:v>
      </ns0:c>
    </ns0:row>
    <ns0:row r="35" spans="1:31" ht="180" customHeight="1">
      <ns0:c r="A35" s="8" t="s">
        <ns0:v>361</ns0:v>
      </ns0:c>
      <ns0:c r="B35" s="8" t="s">
        <ns0:v>362</ns0:v>
      </ns0:c>
      <ns0:c r="C35" s="8" t="s">
        <ns0:v>35</ns0:v>
      </ns0:c>
      <ns0:c r="D35" s="8" t="s">
        <ns0:v>36</ns0:v>
      </ns0:c>
      <ns0:c r="E35" s="8" t="s">
        <ns0:v>363</ns0:v>
      </ns0:c>
      <ns0:c r="F35" s="8" t="s">
        <ns0:v>176</ns0:v>
      </ns0:c>
      <ns0:c r="G35" s="8" t="s">
        <ns0:v>177</ns0:v>
      </ns0:c>
      <ns0:c r="H35" s="8" t="s">
        <ns0:v>224</ns0:v>
      </ns0:c>
      <ns0:c r="I35" s="5" t="s">
        <ns0:v>619</ns0:v>
      </ns0:c>
      <ns0:c r="J35" s="9">
        <ns0:v>46319</ns0:v>
      </ns0:c>
      <ns0:c r="K35" s="7" t="s">
        <ns0:v>42</ns0:v>
      </ns0:c>
      <ns0:c r="L35" s="7"/>
      <ns0:c r="M35" s="7"/>
      <ns0:c r="N35" s="8" t="s">
        <ns0:v>347</ns0:v>
      </ns0:c>
      <ns0:c r="O35" s="8" t="s">
        <ns0:v>44</ns0:v>
      </ns0:c>
      <ns0:c r="P35" s="8" t="s">
        <ns0:v>44</ns0:v>
      </ns0:c>
      <ns0:c r="Q35" s="8" t="s">
        <ns0:v>204</ns0:v>
      </ns0:c>
      <ns0:c r="R35" s="8" t="s">
        <ns0:v>348</ns0:v>
      </ns0:c>
      <ns0:c r="S35" s="8" t="s">
        <ns0:v>364</ns0:v>
      </ns0:c>
      <ns0:c r="T35" s="8" t="s">
        <ns0:v>365</ns0:v>
      </ns0:c>
      <ns0:c r="U35" s="8" t="s">
        <ns0:v>35</ns0:v>
      </ns0:c>
      <ns0:c r="V35" s="8"/>
      <ns0:c r="W35" s="8"/>
      <ns0:c r="X35" s="8" t="s">
        <ns0:v>49</ns0:v>
      </ns0:c>
      <ns0:c r="Y35" s="8" t="s">
        <ns0:v>50</ns0:v>
      </ns0:c>
      <ns0:c r="Z35" s="8" t="s">
        <ns0:v>51</ns0:v>
      </ns0:c>
      <ns0:c r="AA35" s="8" t="s">
        <ns0:v>183</ns0:v>
      </ns0:c>
      <ns0:c r="AB35" s="8" t="s">
        <ns0:v>50</ns0:v>
      </ns0:c>
      <ns0:c r="AC35" s="8" t="s">
        <ns0:v>366</ns0:v>
      </ns0:c>
      <ns0:c r="AD35" s="8" t="s">
        <ns0:v>362</ns0:v>
      </ns0:c>
      <ns0:c r="AE35" s="8" t="s">
        <ns0:v>367</ns0:v>
      </ns0:c>
    </ns0:row>
    <ns0:row r="36" spans="1:31" ht="138" customHeight="1">
      <ns0:c r="A36" s="4" t="s">
        <ns0:v>368</ns0:v>
      </ns0:c>
      <ns0:c r="B36" s="4" t="s">
        <ns0:v>369</ns0:v>
      </ns0:c>
      <ns0:c r="C36" s="4" t="s">
        <ns0:v>35</ns0:v>
      </ns0:c>
      <ns0:c r="D36" s="4" t="s">
        <ns0:v>36</ns0:v>
      </ns0:c>
      <ns0:c r="E36" s="4" t="s">
        <ns0:v>370</ns0:v>
      </ns0:c>
      <ns0:c r="F36" s="4" t="s">
        <ns0:v>176</ns0:v>
      </ns0:c>
      <ns0:c r="G36" s="4" t="s">
        <ns0:v>177</ns0:v>
      </ns0:c>
      <ns0:c r="H36" s="4" t="s">
        <ns0:v>224</ns0:v>
      </ns0:c>
      <ns0:c r="I36" s="5" t="s">
        <ns0:v>619</ns0:v>
      </ns0:c>
      <ns0:c r="J36" s="6">
        <ns0:v>46319</ns0:v>
      </ns0:c>
      <ns0:c r="K36" s="7" t="s">
        <ns0:v>42</ns0:v>
      </ns0:c>
      <ns0:c r="L36" s="7"/>
      <ns0:c r="M36" s="7"/>
      <ns0:c r="N36" s="4" t="s">
        <ns0:v>371</ns0:v>
      </ns0:c>
      <ns0:c r="O36" s="4" t="s">
        <ns0:v>44</ns0:v>
      </ns0:c>
      <ns0:c r="P36" s="4" t="s">
        <ns0:v>372</ns0:v>
      </ns0:c>
      <ns0:c r="Q36" s="4" t="s">
        <ns0:v>373</ns0:v>
      </ns0:c>
      <ns0:c r="R36" s="4" t="s">
        <ns0:v>41</ns0:v>
      </ns0:c>
      <ns0:c r="S36" s="4" t="s">
        <ns0:v>374</ns0:v>
      </ns0:c>
      <ns0:c r="T36" s="4" t="s">
        <ns0:v>375</ns0:v>
      </ns0:c>
      <ns0:c r="U36" s="4" t="s">
        <ns0:v>35</ns0:v>
      </ns0:c>
      <ns0:c r="V36" s="4"/>
      <ns0:c r="W36" s="4"/>
      <ns0:c r="X36" s="4" t="s">
        <ns0:v>49</ns0:v>
      </ns0:c>
      <ns0:c r="Y36" s="4" t="s">
        <ns0:v>50</ns0:v>
      </ns0:c>
      <ns0:c r="Z36" s="4" t="s">
        <ns0:v>51</ns0:v>
      </ns0:c>
      <ns0:c r="AA36" s="4" t="s">
        <ns0:v>183</ns0:v>
      </ns0:c>
      <ns0:c r="AB36" s="4" t="s">
        <ns0:v>50</ns0:v>
      </ns0:c>
      <ns0:c r="AC36" s="4" t="s">
        <ns0:v>376</ns0:v>
      </ns0:c>
      <ns0:c r="AD36" s="4" t="s">
        <ns0:v>369</ns0:v>
      </ns0:c>
      <ns0:c r="AE36" s="4" t="s">
        <ns0:v>377</ns0:v>
      </ns0:c>
    </ns0:row>
    <ns0:row r="37" spans="1:31" ht="110" customHeight="1">
      <ns0:c r="A37" s="8" t="s">
        <ns0:v>378</ns0:v>
      </ns0:c>
      <ns0:c r="B37" s="8" t="s">
        <ns0:v>379</ns0:v>
      </ns0:c>
      <ns0:c r="C37" s="8" t="s">
        <ns0:v>35</ns0:v>
      </ns0:c>
      <ns0:c r="D37" s="8" t="s">
        <ns0:v>36</ns0:v>
      </ns0:c>
      <ns0:c r="E37" s="8" t="s">
        <ns0:v>380</ns0:v>
      </ns0:c>
      <ns0:c r="F37" s="8" t="s">
        <ns0:v>176</ns0:v>
      </ns0:c>
      <ns0:c r="G37" s="8" t="s">
        <ns0:v>177</ns0:v>
      </ns0:c>
      <ns0:c r="H37" s="8" t="s">
        <ns0:v>41</ns0:v>
      </ns0:c>
      <ns0:c r="I37" s="5" t="s">
        <ns0:v>619</ns0:v>
      </ns0:c>
      <ns0:c r="J37" s="9">
        <ns0:v>46319</ns0:v>
      </ns0:c>
      <ns0:c r="K37" s="7" t="s">
        <ns0:v>42</ns0:v>
      </ns0:c>
      <ns0:c r="L37" s="7"/>
      <ns0:c r="M37" s="7"/>
      <ns0:c r="N37" s="8" t="s">
        <ns0:v>381</ns0:v>
      </ns0:c>
      <ns0:c r="O37" s="8" t="s">
        <ns0:v>44</ns0:v>
      </ns0:c>
      <ns0:c r="P37" s="8" t="s">
        <ns0:v>44</ns0:v>
      </ns0:c>
      <ns0:c r="Q37" s="8" t="s">
        <ns0:v>382</ns0:v>
      </ns0:c>
      <ns0:c r="R37" s="8" t="s">
        <ns0:v>41</ns0:v>
      </ns0:c>
      <ns0:c r="S37" s="8" t="s">
        <ns0:v>383</ns0:v>
      </ns0:c>
      <ns0:c r="T37" s="8" t="s">
        <ns0:v>384</ns0:v>
      </ns0:c>
      <ns0:c r="U37" s="8" t="s">
        <ns0:v>35</ns0:v>
      </ns0:c>
      <ns0:c r="V37" s="9">
        <ns0:v>44726</ns0:v>
      </ns0:c>
      <ns0:c r="W37" s="8"/>
      <ns0:c r="X37" s="8" t="s">
        <ns0:v>49</ns0:v>
      </ns0:c>
      <ns0:c r="Y37" s="8" t="s">
        <ns0:v>50</ns0:v>
      </ns0:c>
      <ns0:c r="Z37" s="8" t="s">
        <ns0:v>50</ns0:v>
      </ns0:c>
      <ns0:c r="AA37" s="8" t="s">
        <ns0:v>183</ns0:v>
      </ns0:c>
      <ns0:c r="AB37" s="8" t="s">
        <ns0:v>50</ns0:v>
      </ns0:c>
      <ns0:c r="AC37" s="8" t="s">
        <ns0:v>385</ns0:v>
      </ns0:c>
      <ns0:c r="AD37" s="8" t="s">
        <ns0:v>379</ns0:v>
      </ns0:c>
      <ns0:c r="AE37" s="8" t="s">
        <ns0:v>386</ns0:v>
      </ns0:c>
    </ns0:row>
    <ns0:row r="38" spans="1:31" ht="96" customHeight="1">
      <ns0:c r="A38" s="4" t="s">
        <ns0:v>387</ns0:v>
      </ns0:c>
      <ns0:c r="B38" s="4" t="s">
        <ns0:v>388</ns0:v>
      </ns0:c>
      <ns0:c r="C38" s="4" t="s">
        <ns0:v>35</ns0:v>
      </ns0:c>
      <ns0:c r="D38" s="4" t="s">
        <ns0:v>36</ns0:v>
      </ns0:c>
      <ns0:c r="E38" s="4" t="s">
        <ns0:v>389</ns0:v>
      </ns0:c>
      <ns0:c r="F38" s="4" t="s">
        <ns0:v>176</ns0:v>
      </ns0:c>
      <ns0:c r="G38" s="4" t="s">
        <ns0:v>243</ns0:v>
      </ns0:c>
      <ns0:c r="H38" s="4" t="s">
        <ns0:v>244</ns0:v>
      </ns0:c>
      <ns0:c r="I38" s="5" t="s">
        <ns0:v>619</ns0:v>
      </ns0:c>
      <ns0:c r="J38" s="6">
        <ns0:v>46319</ns0:v>
      </ns0:c>
      <ns0:c r="K38" s="7" t="s">
        <ns0:v>42</ns0:v>
      </ns0:c>
      <ns0:c r="L38" s="7"/>
      <ns0:c r="M38" s="7"/>
      <ns0:c r="N38" s="4" t="s">
        <ns0:v>43</ns0:v>
      </ns0:c>
      <ns0:c r="O38" s="4" t="s">
        <ns0:v>44</ns0:v>
      </ns0:c>
      <ns0:c r="P38" s="4" t="s">
        <ns0:v>44</ns0:v>
      </ns0:c>
      <ns0:c r="Q38" s="4" t="s">
        <ns0:v>115</ns0:v>
      </ns0:c>
      <ns0:c r="R38" s="4" t="s">
        <ns0:v>41</ns0:v>
      </ns0:c>
      <ns0:c r="S38" s="4" t="s">
        <ns0:v>390</ns0:v>
      </ns0:c>
      <ns0:c r="T38" s="4" t="s">
        <ns0:v>391</ns0:v>
      </ns0:c>
      <ns0:c r="U38" s="4" t="s">
        <ns0:v>35</ns0:v>
      </ns0:c>
      <ns0:c r="V38" s="6">
        <ns0:v>39934</ns0:v>
      </ns0:c>
      <ns0:c r="W38" s="4"/>
      <ns0:c r="X38" s="4" t="s">
        <ns0:v>49</ns0:v>
      </ns0:c>
      <ns0:c r="Y38" s="4" t="s">
        <ns0:v>50</ns0:v>
      </ns0:c>
      <ns0:c r="Z38" s="4" t="s">
        <ns0:v>51</ns0:v>
      </ns0:c>
      <ns0:c r="AA38" s="4" t="s">
        <ns0:v>89</ns0:v>
      </ns0:c>
      <ns0:c r="AB38" s="4" t="s">
        <ns0:v>50</ns0:v>
      </ns0:c>
      <ns0:c r="AC38" s="4" t="s">
        <ns0:v>392</ns0:v>
      </ns0:c>
      <ns0:c r="AD38" s="4" t="s">
        <ns0:v>388</ns0:v>
      </ns0:c>
      <ns0:c r="AE38" s="4" t="s">
        <ns0:v>393</ns0:v>
      </ns0:c>
    </ns0:row>
    <ns0:row r="39" spans="1:31" ht="124" customHeight="1">
      <ns0:c r="A39" s="8" t="s">
        <ns0:v>394</ns0:v>
      </ns0:c>
      <ns0:c r="B39" s="8" t="s">
        <ns0:v>395</ns0:v>
      </ns0:c>
      <ns0:c r="C39" s="8" t="s">
        <ns0:v>35</ns0:v>
      </ns0:c>
      <ns0:c r="D39" s="8" t="s">
        <ns0:v>36</ns0:v>
      </ns0:c>
      <ns0:c r="E39" s="8" t="s">
        <ns0:v>396</ns0:v>
      </ns0:c>
      <ns0:c r="F39" s="8" t="s">
        <ns0:v>176</ns0:v>
      </ns0:c>
      <ns0:c r="G39" s="8" t="s">
        <ns0:v>201</ns0:v>
      </ns0:c>
      <ns0:c r="H39" s="8" t="s">
        <ns0:v>224</ns0:v>
      </ns0:c>
      <ns0:c r="I39" s="5" t="s">
        <ns0:v>619</ns0:v>
      </ns0:c>
      <ns0:c r="J39" s="9">
        <ns0:v>46319</ns0:v>
      </ns0:c>
      <ns0:c r="K39" s="7" t="s">
        <ns0:v>42</ns0:v>
      </ns0:c>
      <ns0:c r="L39" s="7"/>
      <ns0:c r="M39" s="7"/>
      <ns0:c r="N39" s="8" t="s">
        <ns0:v>397</ns0:v>
      </ns0:c>
      <ns0:c r="O39" s="8" t="s">
        <ns0:v>44</ns0:v>
      </ns0:c>
      <ns0:c r="P39" s="8" t="s">
        <ns0:v>44</ns0:v>
      </ns0:c>
      <ns0:c r="Q39" s="8" t="s">
        <ns0:v>274</ns0:v>
      </ns0:c>
      <ns0:c r="R39" s="8" t="s">
        <ns0:v>275</ns0:v>
      </ns0:c>
      <ns0:c r="S39" s="8" t="s">
        <ns0:v>398</ns0:v>
      </ns0:c>
      <ns0:c r="T39" s="8" t="s">
        <ns0:v>399</ns0:v>
      </ns0:c>
      <ns0:c r="U39" s="8" t="s">
        <ns0:v>35</ns0:v>
      </ns0:c>
      <ns0:c r="V39" s="8"/>
      <ns0:c r="W39" s="8"/>
      <ns0:c r="X39" s="8" t="s">
        <ns0:v>49</ns0:v>
      </ns0:c>
      <ns0:c r="Y39" s="8" t="s">
        <ns0:v>50</ns0:v>
      </ns0:c>
      <ns0:c r="Z39" s="8" t="s">
        <ns0:v>51</ns0:v>
      </ns0:c>
      <ns0:c r="AA39" s="8" t="s">
        <ns0:v>208</ns0:v>
      </ns0:c>
      <ns0:c r="AB39" s="8" t="s">
        <ns0:v>50</ns0:v>
      </ns0:c>
      <ns0:c r="AC39" s="8" t="s">
        <ns0:v>400</ns0:v>
      </ns0:c>
      <ns0:c r="AD39" s="8" t="s">
        <ns0:v>395</ns0:v>
      </ns0:c>
      <ns0:c r="AE39" s="8" t="s">
        <ns0:v>401</ns0:v>
      </ns0:c>
    </ns0:row>
    <ns0:row r="40" spans="1:31" ht="124" customHeight="1">
      <ns0:c r="A40" s="4" t="s">
        <ns0:v>402</ns0:v>
      </ns0:c>
      <ns0:c r="B40" s="4" t="s">
        <ns0:v>403</ns0:v>
      </ns0:c>
      <ns0:c r="C40" s="4" t="s">
        <ns0:v>35</ns0:v>
      </ns0:c>
      <ns0:c r="D40" s="4" t="s">
        <ns0:v>36</ns0:v>
      </ns0:c>
      <ns0:c r="E40" s="4" t="s">
        <ns0:v>404</ns0:v>
      </ns0:c>
      <ns0:c r="F40" s="4" t="s">
        <ns0:v>176</ns0:v>
      </ns0:c>
      <ns0:c r="G40" s="4" t="s">
        <ns0:v>243</ns0:v>
      </ns0:c>
      <ns0:c r="H40" s="4" t="s">
        <ns0:v>244</ns0:v>
      </ns0:c>
      <ns0:c r="I40" s="5" t="s">
        <ns0:v>619</ns0:v>
      </ns0:c>
      <ns0:c r="J40" s="6">
        <ns0:v>46319</ns0:v>
      </ns0:c>
      <ns0:c r="K40" s="7" t="s">
        <ns0:v>42</ns0:v>
      </ns0:c>
      <ns0:c r="L40" s="7"/>
      <ns0:c r="M40" s="7"/>
      <ns0:c r="N40" s="4" t="s">
        <ns0:v>405</ns0:v>
      </ns0:c>
      <ns0:c r="O40" s="4" t="s">
        <ns0:v>44</ns0:v>
      </ns0:c>
      <ns0:c r="P40" s="4" t="s">
        <ns0:v>44</ns0:v>
      </ns0:c>
      <ns0:c r="Q40" s="4" t="s">
        <ns0:v>406</ns0:v>
      </ns0:c>
      <ns0:c r="R40" s="4" t="s">
        <ns0:v>41</ns0:v>
      </ns0:c>
      <ns0:c r="S40" s="4" t="s">
        <ns0:v>407</ns0:v>
      </ns0:c>
      <ns0:c r="T40" s="4" t="s">
        <ns0:v>408</ns0:v>
      </ns0:c>
      <ns0:c r="U40" s="4" t="s">
        <ns0:v>35</ns0:v>
      </ns0:c>
      <ns0:c r="V40" s="4"/>
      <ns0:c r="W40" s="4"/>
      <ns0:c r="X40" s="4" t="s">
        <ns0:v>49</ns0:v>
      </ns0:c>
      <ns0:c r="Y40" s="4" t="s">
        <ns0:v>50</ns0:v>
      </ns0:c>
      <ns0:c r="Z40" s="4" t="s">
        <ns0:v>51</ns0:v>
      </ns0:c>
      <ns0:c r="AA40" s="4" t="s">
        <ns0:v>89</ns0:v>
      </ns0:c>
      <ns0:c r="AB40" s="4" t="s">
        <ns0:v>50</ns0:v>
      </ns0:c>
      <ns0:c r="AC40" s="4" t="s">
        <ns0:v>409</ns0:v>
      </ns0:c>
      <ns0:c r="AD40" s="4" t="s">
        <ns0:v>403</ns0:v>
      </ns0:c>
      <ns0:c r="AE40" s="4" t="s">
        <ns0:v>410</ns0:v>
      </ns0:c>
    </ns0:row>
    <ns0:row r="41" spans="1:31" ht="110" customHeight="1">
      <ns0:c r="A41" s="8" t="s">
        <ns0:v>411</ns0:v>
      </ns0:c>
      <ns0:c r="B41" s="8" t="s">
        <ns0:v>412</ns0:v>
      </ns0:c>
      <ns0:c r="C41" s="8" t="s">
        <ns0:v>35</ns0:v>
      </ns0:c>
      <ns0:c r="D41" s="8" t="s">
        <ns0:v>36</ns0:v>
      </ns0:c>
      <ns0:c r="E41" s="8" t="s">
        <ns0:v>413</ns0:v>
      </ns0:c>
      <ns0:c r="F41" s="8" t="s">
        <ns0:v>176</ns0:v>
      </ns0:c>
      <ns0:c r="G41" s="8" t="s">
        <ns0:v>177</ns0:v>
      </ns0:c>
      <ns0:c r="H41" s="8" t="s">
        <ns0:v>41</ns0:v>
      </ns0:c>
      <ns0:c r="I41" s="5" t="s">
        <ns0:v>619</ns0:v>
      </ns0:c>
      <ns0:c r="J41" s="9">
        <ns0:v>46319</ns0:v>
      </ns0:c>
      <ns0:c r="K41" s="7" t="s">
        <ns0:v>42</ns0:v>
      </ns0:c>
      <ns0:c r="L41" s="7"/>
      <ns0:c r="M41" s="7"/>
      <ns0:c r="N41" s="8" t="s">
        <ns0:v>414</ns0:v>
      </ns0:c>
      <ns0:c r="O41" s="8" t="s">
        <ns0:v>44</ns0:v>
      </ns0:c>
      <ns0:c r="P41" s="8" t="s">
        <ns0:v>44</ns0:v>
      </ns0:c>
      <ns0:c r="Q41" s="8" t="s">
        <ns0:v>264</ns0:v>
      </ns0:c>
      <ns0:c r="R41" s="8" t="s">
        <ns0:v>265</ns0:v>
      </ns0:c>
      <ns0:c r="S41" s="8" t="s">
        <ns0:v>415</ns0:v>
      </ns0:c>
      <ns0:c r="T41" s="8" t="s">
        <ns0:v>416</ns0:v>
      </ns0:c>
      <ns0:c r="U41" s="8" t="s">
        <ns0:v>35</ns0:v>
      </ns0:c>
      <ns0:c r="V41" s="8"/>
      <ns0:c r="W41" s="8"/>
      <ns0:c r="X41" s="8" t="s">
        <ns0:v>49</ns0:v>
      </ns0:c>
      <ns0:c r="Y41" s="8" t="s">
        <ns0:v>50</ns0:v>
      </ns0:c>
      <ns0:c r="Z41" s="8" t="s">
        <ns0:v>50</ns0:v>
      </ns0:c>
      <ns0:c r="AA41" s="8" t="s">
        <ns0:v>183</ns0:v>
      </ns0:c>
      <ns0:c r="AB41" s="8" t="s">
        <ns0:v>50</ns0:v>
      </ns0:c>
      <ns0:c r="AC41" s="8" t="s">
        <ns0:v>417</ns0:v>
      </ns0:c>
      <ns0:c r="AD41" s="8" t="s">
        <ns0:v>412</ns0:v>
      </ns0:c>
      <ns0:c r="AE41" s="8" t="s">
        <ns0:v>418</ns0:v>
      </ns0:c>
    </ns0:row>
    <ns0:row r="42" spans="1:31" ht="110" customHeight="1">
      <ns0:c r="A42" s="4" t="s">
        <ns0:v>419</ns0:v>
      </ns0:c>
      <ns0:c r="B42" s="4" t="s">
        <ns0:v>420</ns0:v>
      </ns0:c>
      <ns0:c r="C42" s="4" t="s">
        <ns0:v>35</ns0:v>
      </ns0:c>
      <ns0:c r="D42" s="4" t="s">
        <ns0:v>36</ns0:v>
      </ns0:c>
      <ns0:c r="E42" s="4" t="s">
        <ns0:v>421</ns0:v>
      </ns0:c>
      <ns0:c r="F42" s="4" t="s">
        <ns0:v>176</ns0:v>
      </ns0:c>
      <ns0:c r="G42" s="4" t="s">
        <ns0:v>422</ns0:v>
      </ns0:c>
      <ns0:c r="H42" s="4" t="s">
        <ns0:v>244</ns0:v>
      </ns0:c>
      <ns0:c r="I42" s="5" t="s">
        <ns0:v>619</ns0:v>
      </ns0:c>
      <ns0:c r="J42" s="6">
        <ns0:v>46319</ns0:v>
      </ns0:c>
      <ns0:c r="K42" s="7" t="s">
        <ns0:v>42</ns0:v>
      </ns0:c>
      <ns0:c r="L42" s="7"/>
      <ns0:c r="M42" s="7"/>
      <ns0:c r="N42" s="4" t="s">
        <ns0:v>423</ns0:v>
      </ns0:c>
      <ns0:c r="O42" s="4" t="s">
        <ns0:v>44</ns0:v>
      </ns0:c>
      <ns0:c r="P42" s="4" t="s">
        <ns0:v>44</ns0:v>
      </ns0:c>
      <ns0:c r="Q42" s="4" t="s">
        <ns0:v>424</ns0:v>
      </ns0:c>
      <ns0:c r="R42" s="4" t="s">
        <ns0:v>425</ns0:v>
      </ns0:c>
      <ns0:c r="S42" s="4" t="s">
        <ns0:v>426</ns0:v>
      </ns0:c>
      <ns0:c r="T42" s="4" t="s">
        <ns0:v>427</ns0:v>
      </ns0:c>
      <ns0:c r="U42" s="4" t="s">
        <ns0:v>35</ns0:v>
      </ns0:c>
      <ns0:c r="V42" s="4"/>
      <ns0:c r="W42" s="4"/>
      <ns0:c r="X42" s="4" t="s">
        <ns0:v>49</ns0:v>
      </ns0:c>
      <ns0:c r="Y42" s="4" t="s">
        <ns0:v>50</ns0:v>
      </ns0:c>
      <ns0:c r="Z42" s="4" t="s">
        <ns0:v>51</ns0:v>
      </ns0:c>
      <ns0:c r="AA42" s="4" t="s">
        <ns0:v>52</ns0:v>
      </ns0:c>
      <ns0:c r="AB42" s="4" t="s">
        <ns0:v>50</ns0:v>
      </ns0:c>
      <ns0:c r="AC42" s="4" t="s">
        <ns0:v>428</ns0:v>
      </ns0:c>
      <ns0:c r="AD42" s="4" t="s">
        <ns0:v>420</ns0:v>
      </ns0:c>
      <ns0:c r="AE42" s="4" t="s">
        <ns0:v>429</ns0:v>
      </ns0:c>
    </ns0:row>
    <ns0:row r="43" spans="1:31" ht="82" customHeight="1">
      <ns0:c r="A43" s="8" t="s">
        <ns0:v>430</ns0:v>
      </ns0:c>
      <ns0:c r="B43" s="8" t="s">
        <ns0:v>431</ns0:v>
      </ns0:c>
      <ns0:c r="C43" s="8" t="s">
        <ns0:v>35</ns0:v>
      </ns0:c>
      <ns0:c r="D43" s="8" t="s">
        <ns0:v>36</ns0:v>
      </ns0:c>
      <ns0:c r="E43" s="8" t="s">
        <ns0:v>432</ns0:v>
      </ns0:c>
      <ns0:c r="F43" s="8" t="s">
        <ns0:v>176</ns0:v>
      </ns0:c>
      <ns0:c r="G43" s="8" t="s">
        <ns0:v>177</ns0:v>
      </ns0:c>
      <ns0:c r="H43" s="8" t="s">
        <ns0:v>41</ns0:v>
      </ns0:c>
      <ns0:c r="I43" s="5" t="s">
        <ns0:v>619</ns0:v>
      </ns0:c>
      <ns0:c r="J43" s="9">
        <ns0:v>46319</ns0:v>
      </ns0:c>
      <ns0:c r="K43" s="7" t="s">
        <ns0:v>42</ns0:v>
      </ns0:c>
      <ns0:c r="L43" s="7"/>
      <ns0:c r="M43" s="7"/>
      <ns0:c r="N43" s="8" t="s">
        <ns0:v>433</ns0:v>
      </ns0:c>
      <ns0:c r="O43" s="8" t="s">
        <ns0:v>44</ns0:v>
      </ns0:c>
      <ns0:c r="P43" s="8" t="s">
        <ns0:v>44</ns0:v>
      </ns0:c>
      <ns0:c r="Q43" s="8" t="s">
        <ns0:v>434</ns0:v>
      </ns0:c>
      <ns0:c r="R43" s="8" t="s">
        <ns0:v>41</ns0:v>
      </ns0:c>
      <ns0:c r="S43" s="8" t="s">
        <ns0:v>435</ns0:v>
      </ns0:c>
      <ns0:c r="T43" s="8" t="s">
        <ns0:v>436</ns0:v>
      </ns0:c>
      <ns0:c r="U43" s="8" t="s">
        <ns0:v>35</ns0:v>
      </ns0:c>
      <ns0:c r="V43" s="8"/>
      <ns0:c r="W43" s="8"/>
      <ns0:c r="X43" s="8" t="s">
        <ns0:v>49</ns0:v>
      </ns0:c>
      <ns0:c r="Y43" s="8" t="s">
        <ns0:v>50</ns0:v>
      </ns0:c>
      <ns0:c r="Z43" s="8" t="s">
        <ns0:v>50</ns0:v>
      </ns0:c>
      <ns0:c r="AA43" s="8" t="s">
        <ns0:v>183</ns0:v>
      </ns0:c>
      <ns0:c r="AB43" s="8" t="s">
        <ns0:v>50</ns0:v>
      </ns0:c>
      <ns0:c r="AC43" s="8" t="s">
        <ns0:v>437</ns0:v>
      </ns0:c>
      <ns0:c r="AD43" s="8" t="s">
        <ns0:v>431</ns0:v>
      </ns0:c>
      <ns0:c r="AE43" s="8" t="s">
        <ns0:v>438</ns0:v>
      </ns0:c>
    </ns0:row>
    <ns0:row r="44" spans="1:31" ht="96" customHeight="1">
      <ns0:c r="A44" s="4" t="s">
        <ns0:v>439</ns0:v>
      </ns0:c>
      <ns0:c r="B44" s="4" t="s">
        <ns0:v>440</ns0:v>
      </ns0:c>
      <ns0:c r="C44" s="4" t="s">
        <ns0:v>35</ns0:v>
      </ns0:c>
      <ns0:c r="D44" s="4" t="s">
        <ns0:v>36</ns0:v>
      </ns0:c>
      <ns0:c r="E44" s="4" t="s">
        <ns0:v>441</ns0:v>
      </ns0:c>
      <ns0:c r="F44" s="4" t="s">
        <ns0:v>176</ns0:v>
      </ns0:c>
      <ns0:c r="G44" s="4" t="s">
        <ns0:v>177</ns0:v>
      </ns0:c>
      <ns0:c r="H44" s="4" t="s">
        <ns0:v>224</ns0:v>
      </ns0:c>
      <ns0:c r="I44" s="5" t="s">
        <ns0:v>619</ns0:v>
      </ns0:c>
      <ns0:c r="J44" s="6">
        <ns0:v>46319</ns0:v>
      </ns0:c>
      <ns0:c r="K44" s="7" t="s">
        <ns0:v>42</ns0:v>
      </ns0:c>
      <ns0:c r="L44" s="7"/>
      <ns0:c r="M44" s="7"/>
      <ns0:c r="N44" s="4" t="s">
        <ns0:v>442</ns0:v>
      </ns0:c>
      <ns0:c r="O44" s="4" t="s">
        <ns0:v>44</ns0:v>
      </ns0:c>
      <ns0:c r="P44" s="4" t="s">
        <ns0:v>215</ns0:v>
      </ns0:c>
      <ns0:c r="Q44" s="4" t="s">
        <ns0:v>443</ns0:v>
      </ns0:c>
      <ns0:c r="R44" s="4" t="s">
        <ns0:v>444</ns0:v>
      </ns0:c>
      <ns0:c r="S44" s="4" t="s">
        <ns0:v>445</ns0:v>
      </ns0:c>
      <ns0:c r="T44" s="4" t="s">
        <ns0:v>446</ns0:v>
      </ns0:c>
      <ns0:c r="U44" s="4" t="s">
        <ns0:v>35</ns0:v>
      </ns0:c>
      <ns0:c r="V44" s="6">
        <ns0:v>44630</ns0:v>
      </ns0:c>
      <ns0:c r="W44" s="4"/>
      <ns0:c r="X44" s="4" t="s">
        <ns0:v>49</ns0:v>
      </ns0:c>
      <ns0:c r="Y44" s="4" t="s">
        <ns0:v>50</ns0:v>
      </ns0:c>
      <ns0:c r="Z44" s="4" t="s">
        <ns0:v>51</ns0:v>
      </ns0:c>
      <ns0:c r="AA44" s="4" t="s">
        <ns0:v>183</ns0:v>
      </ns0:c>
      <ns0:c r="AB44" s="4" t="s">
        <ns0:v>50</ns0:v>
      </ns0:c>
      <ns0:c r="AC44" s="4" t="s">
        <ns0:v>447</ns0:v>
      </ns0:c>
      <ns0:c r="AD44" s="4" t="s">
        <ns0:v>440</ns0:v>
      </ns0:c>
      <ns0:c r="AE44" s="4" t="s">
        <ns0:v>448</ns0:v>
      </ns0:c>
    </ns0:row>
    <ns0:row r="45" spans="1:31" ht="110" customHeight="1">
      <ns0:c r="A45" s="8" t="s">
        <ns0:v>449</ns0:v>
      </ns0:c>
      <ns0:c r="B45" s="8" t="s">
        <ns0:v>450</ns0:v>
      </ns0:c>
      <ns0:c r="C45" s="8" t="s">
        <ns0:v>35</ns0:v>
      </ns0:c>
      <ns0:c r="D45" s="8" t="s">
        <ns0:v>36</ns0:v>
      </ns0:c>
      <ns0:c r="E45" s="8" t="s">
        <ns0:v>451</ns0:v>
      </ns0:c>
      <ns0:c r="F45" s="8" t="s">
        <ns0:v>176</ns0:v>
      </ns0:c>
      <ns0:c r="G45" s="8" t="s">
        <ns0:v>177</ns0:v>
      </ns0:c>
      <ns0:c r="H45" s="8" t="s">
        <ns0:v>224</ns0:v>
      </ns0:c>
      <ns0:c r="I45" s="5" t="s">
        <ns0:v>619</ns0:v>
      </ns0:c>
      <ns0:c r="J45" s="9">
        <ns0:v>46319</ns0:v>
      </ns0:c>
      <ns0:c r="K45" s="7" t="s">
        <ns0:v>42</ns0:v>
      </ns0:c>
      <ns0:c r="L45" s="7"/>
      <ns0:c r="M45" s="7"/>
      <ns0:c r="N45" s="8" t="s">
        <ns0:v>452</ns0:v>
      </ns0:c>
      <ns0:c r="O45" s="8" t="s">
        <ns0:v>44</ns0:v>
      </ns0:c>
      <ns0:c r="P45" s="8" t="s">
        <ns0:v>44</ns0:v>
      </ns0:c>
      <ns0:c r="Q45" s="8" t="s">
        <ns0:v>264</ns0:v>
      </ns0:c>
      <ns0:c r="R45" s="8" t="s">
        <ns0:v>265</ns0:v>
      </ns0:c>
      <ns0:c r="S45" s="8" t="s">
        <ns0:v>453</ns0:v>
      </ns0:c>
      <ns0:c r="T45" s="8" t="s">
        <ns0:v>454</ns0:v>
      </ns0:c>
      <ns0:c r="U45" s="8" t="s">
        <ns0:v>35</ns0:v>
      </ns0:c>
      <ns0:c r="V45" s="8"/>
      <ns0:c r="W45" s="8"/>
      <ns0:c r="X45" s="8" t="s">
        <ns0:v>49</ns0:v>
      </ns0:c>
      <ns0:c r="Y45" s="8" t="s">
        <ns0:v>50</ns0:v>
      </ns0:c>
      <ns0:c r="Z45" s="8" t="s">
        <ns0:v>51</ns0:v>
      </ns0:c>
      <ns0:c r="AA45" s="8" t="s">
        <ns0:v>183</ns0:v>
      </ns0:c>
      <ns0:c r="AB45" s="8" t="s">
        <ns0:v>50</ns0:v>
      </ns0:c>
      <ns0:c r="AC45" s="8" t="s">
        <ns0:v>455</ns0:v>
      </ns0:c>
      <ns0:c r="AD45" s="8" t="s">
        <ns0:v>450</ns0:v>
      </ns0:c>
      <ns0:c r="AE45" s="8" t="s">
        <ns0:v>456</ns0:v>
      </ns0:c>
    </ns0:row>
    <ns0:row r="46" spans="1:31" ht="110" customHeight="1">
      <ns0:c r="A46" s="4" t="s">
        <ns0:v>457</ns0:v>
      </ns0:c>
      <ns0:c r="B46" s="4" t="s">
        <ns0:v>458</ns0:v>
      </ns0:c>
      <ns0:c r="C46" s="4" t="s">
        <ns0:v>35</ns0:v>
      </ns0:c>
      <ns0:c r="D46" s="4" t="s">
        <ns0:v>36</ns0:v>
      </ns0:c>
      <ns0:c r="E46" s="4" t="s">
        <ns0:v>459</ns0:v>
      </ns0:c>
      <ns0:c r="F46" s="4" t="s">
        <ns0:v>176</ns0:v>
      </ns0:c>
      <ns0:c r="G46" s="4" t="s">
        <ns0:v>201</ns0:v>
      </ns0:c>
      <ns0:c r="H46" s="4" t="s">
        <ns0:v>224</ns0:v>
      </ns0:c>
      <ns0:c r="I46" s="5" t="s">
        <ns0:v>619</ns0:v>
      </ns0:c>
      <ns0:c r="J46" s="6">
        <ns0:v>46319</ns0:v>
      </ns0:c>
      <ns0:c r="K46" s="7" t="s">
        <ns0:v>42</ns0:v>
      </ns0:c>
      <ns0:c r="L46" s="7"/>
      <ns0:c r="M46" s="7"/>
      <ns0:c r="N46" s="4" t="s">
        <ns0:v>460</ns0:v>
      </ns0:c>
      <ns0:c r="O46" s="4" t="s">
        <ns0:v>461</ns0:v>
      </ns0:c>
      <ns0:c r="P46" s="4" t="s">
        <ns0:v>462</ns0:v>
      </ns0:c>
      <ns0:c r="Q46" s="4" t="s">
        <ns0:v>443</ns0:v>
      </ns0:c>
      <ns0:c r="R46" s="4" t="s">
        <ns0:v>41</ns0:v>
      </ns0:c>
      <ns0:c r="S46" s="4" t="s">
        <ns0:v>463</ns0:v>
      </ns0:c>
      <ns0:c r="T46" s="4" t="s">
        <ns0:v>464</ns0:v>
      </ns0:c>
      <ns0:c r="U46" s="4" t="s">
        <ns0:v>35</ns0:v>
      </ns0:c>
      <ns0:c r="V46" s="4"/>
      <ns0:c r="W46" s="4"/>
      <ns0:c r="X46" s="4" t="s">
        <ns0:v>49</ns0:v>
      </ns0:c>
      <ns0:c r="Y46" s="4" t="s">
        <ns0:v>50</ns0:v>
      </ns0:c>
      <ns0:c r="Z46" s="4" t="s">
        <ns0:v>51</ns0:v>
      </ns0:c>
      <ns0:c r="AA46" s="4" t="s">
        <ns0:v>208</ns0:v>
      </ns0:c>
      <ns0:c r="AB46" s="4" t="s">
        <ns0:v>50</ns0:v>
      </ns0:c>
      <ns0:c r="AC46" s="4" t="s">
        <ns0:v>465</ns0:v>
      </ns0:c>
      <ns0:c r="AD46" s="4" t="s">
        <ns0:v>458</ns0:v>
      </ns0:c>
      <ns0:c r="AE46" s="4" t="s">
        <ns0:v>466</ns0:v>
      </ns0:c>
    </ns0:row>
    <ns0:row r="47" spans="1:31" ht="82" customHeight="1">
      <ns0:c r="A47" s="8" t="s">
        <ns0:v>467</ns0:v>
      </ns0:c>
      <ns0:c r="B47" s="8" t="s">
        <ns0:v>468</ns0:v>
      </ns0:c>
      <ns0:c r="C47" s="8" t="s">
        <ns0:v>35</ns0:v>
      </ns0:c>
      <ns0:c r="D47" s="8" t="s">
        <ns0:v>36</ns0:v>
      </ns0:c>
      <ns0:c r="E47" s="8" t="s">
        <ns0:v>469</ns0:v>
      </ns0:c>
      <ns0:c r="F47" s="8" t="s">
        <ns0:v>176</ns0:v>
      </ns0:c>
      <ns0:c r="G47" s="8" t="s">
        <ns0:v>201</ns0:v>
      </ns0:c>
      <ns0:c r="H47" s="8" t="s">
        <ns0:v>224</ns0:v>
      </ns0:c>
      <ns0:c r="I47" s="5" t="s">
        <ns0:v>619</ns0:v>
      </ns0:c>
      <ns0:c r="J47" s="9">
        <ns0:v>46319</ns0:v>
      </ns0:c>
      <ns0:c r="K47" s="7" t="s">
        <ns0:v>42</ns0:v>
      </ns0:c>
      <ns0:c r="L47" s="7"/>
      <ns0:c r="M47" s="7"/>
      <ns0:c r="N47" s="8" t="s">
        <ns0:v>470</ns0:v>
      </ns0:c>
      <ns0:c r="O47" s="8" t="s">
        <ns0:v>44</ns0:v>
      </ns0:c>
      <ns0:c r="P47" s="8" t="s">
        <ns0:v>44</ns0:v>
      </ns0:c>
      <ns0:c r="Q47" s="8" t="s">
        <ns0:v>471</ns0:v>
      </ns0:c>
      <ns0:c r="R47" s="8" t="s">
        <ns0:v>41</ns0:v>
      </ns0:c>
      <ns0:c r="S47" s="8" t="s">
        <ns0:v>472</ns0:v>
      </ns0:c>
      <ns0:c r="T47" s="8" t="s">
        <ns0:v>473</ns0:v>
      </ns0:c>
      <ns0:c r="U47" s="8" t="s">
        <ns0:v>35</ns0:v>
      </ns0:c>
      <ns0:c r="V47" s="9">
        <ns0:v>41958</ns0:v>
      </ns0:c>
      <ns0:c r="W47" s="8"/>
      <ns0:c r="X47" s="8" t="s">
        <ns0:v>49</ns0:v>
      </ns0:c>
      <ns0:c r="Y47" s="8" t="s">
        <ns0:v>50</ns0:v>
      </ns0:c>
      <ns0:c r="Z47" s="8" t="s">
        <ns0:v>51</ns0:v>
      </ns0:c>
      <ns0:c r="AA47" s="8" t="s">
        <ns0:v>208</ns0:v>
      </ns0:c>
      <ns0:c r="AB47" s="8" t="s">
        <ns0:v>50</ns0:v>
      </ns0:c>
      <ns0:c r="AC47" s="8" t="s">
        <ns0:v>474</ns0:v>
      </ns0:c>
      <ns0:c r="AD47" s="8" t="s">
        <ns0:v>468</ns0:v>
      </ns0:c>
      <ns0:c r="AE47" s="8" t="s">
        <ns0:v>475</ns0:v>
      </ns0:c>
    </ns0:row>
    <ns0:row r="48" spans="1:31" ht="166" customHeight="1">
      <ns0:c r="A48" s="4" t="s">
        <ns0:v>476</ns0:v>
      </ns0:c>
      <ns0:c r="B48" s="4" t="s">
        <ns0:v>477</ns0:v>
      </ns0:c>
      <ns0:c r="C48" s="4" t="s">
        <ns0:v>35</ns0:v>
      </ns0:c>
      <ns0:c r="D48" s="4" t="s">
        <ns0:v>36</ns0:v>
      </ns0:c>
      <ns0:c r="E48" s="4" t="s">
        <ns0:v>478</ns0:v>
      </ns0:c>
      <ns0:c r="F48" s="4" t="s">
        <ns0:v>176</ns0:v>
      </ns0:c>
      <ns0:c r="G48" s="4" t="s">
        <ns0:v>177</ns0:v>
      </ns0:c>
      <ns0:c r="H48" s="4" t="s">
        <ns0:v>41</ns0:v>
      </ns0:c>
      <ns0:c r="I48" s="5" t="s">
        <ns0:v>619</ns0:v>
      </ns0:c>
      <ns0:c r="J48" s="6">
        <ns0:v>46319</ns0:v>
      </ns0:c>
      <ns0:c r="K48" s="7" t="s">
        <ns0:v>42</ns0:v>
      </ns0:c>
      <ns0:c r="L48" s="7"/>
      <ns0:c r="M48" s="7"/>
      <ns0:c r="N48" s="4" t="s">
        <ns0:v>479</ns0:v>
      </ns0:c>
      <ns0:c r="O48" s="4" t="s">
        <ns0:v>44</ns0:v>
      </ns0:c>
      <ns0:c r="P48" s="4" t="s">
        <ns0:v>480</ns0:v>
      </ns0:c>
      <ns0:c r="Q48" s="4" t="s">
        <ns0:v>481</ns0:v>
      </ns0:c>
      <ns0:c r="R48" s="4" t="s">
        <ns0:v>41</ns0:v>
      </ns0:c>
      <ns0:c r="S48" s="4" t="s">
        <ns0:v>482</ns0:v>
      </ns0:c>
      <ns0:c r="T48" s="4" t="s">
        <ns0:v>483</ns0:v>
      </ns0:c>
      <ns0:c r="U48" s="4" t="s">
        <ns0:v>35</ns0:v>
      </ns0:c>
      <ns0:c r="V48" s="4"/>
      <ns0:c r="W48" s="4"/>
      <ns0:c r="X48" s="4" t="s">
        <ns0:v>49</ns0:v>
      </ns0:c>
      <ns0:c r="Y48" s="4" t="s">
        <ns0:v>50</ns0:v>
      </ns0:c>
      <ns0:c r="Z48" s="4" t="s">
        <ns0:v>50</ns0:v>
      </ns0:c>
      <ns0:c r="AA48" s="4" t="s">
        <ns0:v>183</ns0:v>
      </ns0:c>
      <ns0:c r="AB48" s="4" t="s">
        <ns0:v>50</ns0:v>
      </ns0:c>
      <ns0:c r="AC48" s="4" t="s">
        <ns0:v>484</ns0:v>
      </ns0:c>
      <ns0:c r="AD48" s="4" t="s">
        <ns0:v>477</ns0:v>
      </ns0:c>
      <ns0:c r="AE48" s="4" t="s">
        <ns0:v>485</ns0:v>
      </ns0:c>
    </ns0:row>
    <ns0:row r="49" spans="1:31" ht="110" customHeight="1">
      <ns0:c r="A49" s="8" t="s">
        <ns0:v>486</ns0:v>
      </ns0:c>
      <ns0:c r="B49" s="8" t="s">
        <ns0:v>487</ns0:v>
      </ns0:c>
      <ns0:c r="C49" s="8" t="s">
        <ns0:v>123</ns0:v>
      </ns0:c>
      <ns0:c r="D49" s="8" t="s">
        <ns0:v>124</ns0:v>
      </ns0:c>
      <ns0:c r="E49" s="8" t="s">
        <ns0:v>488</ns0:v>
      </ns0:c>
      <ns0:c r="F49" s="8" t="s">
        <ns0:v>176</ns0:v>
      </ns0:c>
      <ns0:c r="G49" s="8" t="s">
        <ns0:v>201</ns0:v>
      </ns0:c>
      <ns0:c r="H49" s="8" t="s">
        <ns0:v>224</ns0:v>
      </ns0:c>
      <ns0:c r="I49" s="5" t="s">
        <ns0:v>619</ns0:v>
      </ns0:c>
      <ns0:c r="J49" s="9">
        <ns0:v>46319</ns0:v>
      </ns0:c>
      <ns0:c r="K49" s="7" t="s">
        <ns0:v>42</ns0:v>
      </ns0:c>
      <ns0:c r="L49" s="7"/>
      <ns0:c r="M49" s="7"/>
      <ns0:c r="N49" s="8" t="s">
        <ns0:v>397</ns0:v>
      </ns0:c>
      <ns0:c r="O49" s="8" t="s">
        <ns0:v>44</ns0:v>
      </ns0:c>
      <ns0:c r="P49" s="8" t="s">
        <ns0:v>44</ns0:v>
      </ns0:c>
      <ns0:c r="Q49" s="8" t="s">
        <ns0:v>41</ns0:v>
      </ns0:c>
      <ns0:c r="R49" s="8" t="s">
        <ns0:v>130</ns0:v>
      </ns0:c>
      <ns0:c r="S49" s="8" t="s">
        <ns0:v>489</ns0:v>
      </ns0:c>
      <ns0:c r="T49" s="8" t="s">
        <ns0:v>490</ns0:v>
      </ns0:c>
      <ns0:c r="U49" s="8" t="s">
        <ns0:v>123</ns0:v>
      </ns0:c>
      <ns0:c r="V49" s="8"/>
      <ns0:c r="W49" s="8"/>
      <ns0:c r="X49" s="8" t="s">
        <ns0:v>49</ns0:v>
      </ns0:c>
      <ns0:c r="Y49" s="8" t="s">
        <ns0:v>50</ns0:v>
      </ns0:c>
      <ns0:c r="Z49" s="8" t="s">
        <ns0:v>51</ns0:v>
      </ns0:c>
      <ns0:c r="AA49" s="8" t="s">
        <ns0:v>208</ns0:v>
      </ns0:c>
      <ns0:c r="AB49" s="8" t="s">
        <ns0:v>50</ns0:v>
      </ns0:c>
      <ns0:c r="AC49" s="8" t="s">
        <ns0:v>491</ns0:v>
      </ns0:c>
      <ns0:c r="AD49" s="8" t="s">
        <ns0:v>487</ns0:v>
      </ns0:c>
      <ns0:c r="AE49" s="8" t="s">
        <ns0:v>492</ns0:v>
      </ns0:c>
    </ns0:row>
    <ns0:row r="50" spans="1:31" ht="110" customHeight="1">
      <ns0:c r="A50" s="4" t="s">
        <ns0:v>493</ns0:v>
      </ns0:c>
      <ns0:c r="B50" s="4" t="s">
        <ns0:v>494</ns0:v>
      </ns0:c>
      <ns0:c r="C50" s="4" t="s">
        <ns0:v>123</ns0:v>
      </ns0:c>
      <ns0:c r="D50" s="4" t="s">
        <ns0:v>124</ns0:v>
      </ns0:c>
      <ns0:c r="E50" s="4" t="s">
        <ns0:v>495</ns0:v>
      </ns0:c>
      <ns0:c r="F50" s="4" t="s">
        <ns0:v>176</ns0:v>
      </ns0:c>
      <ns0:c r="G50" s="4" t="s">
        <ns0:v>201</ns0:v>
      </ns0:c>
      <ns0:c r="H50" s="4" t="s">
        <ns0:v>224</ns0:v>
      </ns0:c>
      <ns0:c r="I50" s="5" t="s">
        <ns0:v>619</ns0:v>
      </ns0:c>
      <ns0:c r="J50" s="6">
        <ns0:v>46319</ns0:v>
      </ns0:c>
      <ns0:c r="K50" s="7" t="s">
        <ns0:v>42</ns0:v>
      </ns0:c>
      <ns0:c r="L50" s="7"/>
      <ns0:c r="M50" s="7"/>
      <ns0:c r="N50" s="4" t="s">
        <ns0:v>496</ns0:v>
      </ns0:c>
      <ns0:c r="O50" s="4" t="s">
        <ns0:v>44</ns0:v>
      </ns0:c>
      <ns0:c r="P50" s="4" t="s">
        <ns0:v>44</ns0:v>
      </ns0:c>
      <ns0:c r="Q50" s="4" t="s">
        <ns0:v>41</ns0:v>
      </ns0:c>
      <ns0:c r="R50" s="4" t="s">
        <ns0:v>130</ns0:v>
      </ns0:c>
      <ns0:c r="S50" s="4" t="s">
        <ns0:v>497</ns0:v>
      </ns0:c>
      <ns0:c r="T50" s="4" t="s">
        <ns0:v>498</ns0:v>
      </ns0:c>
      <ns0:c r="U50" s="4" t="s">
        <ns0:v>123</ns0:v>
      </ns0:c>
      <ns0:c r="V50" s="4"/>
      <ns0:c r="W50" s="4"/>
      <ns0:c r="X50" s="4" t="s">
        <ns0:v>49</ns0:v>
      </ns0:c>
      <ns0:c r="Y50" s="4" t="s">
        <ns0:v>50</ns0:v>
      </ns0:c>
      <ns0:c r="Z50" s="4" t="s">
        <ns0:v>51</ns0:v>
      </ns0:c>
      <ns0:c r="AA50" s="4" t="s">
        <ns0:v>208</ns0:v>
      </ns0:c>
      <ns0:c r="AB50" s="4" t="s">
        <ns0:v>50</ns0:v>
      </ns0:c>
      <ns0:c r="AC50" s="4" t="s">
        <ns0:v>499</ns0:v>
      </ns0:c>
      <ns0:c r="AD50" s="4" t="s">
        <ns0:v>494</ns0:v>
      </ns0:c>
      <ns0:c r="AE50" s="4" t="s">
        <ns0:v>500</ns0:v>
      </ns0:c>
    </ns0:row>
    <ns0:row r="51" spans="1:31" ht="110" customHeight="1">
      <ns0:c r="A51" s="8" t="s">
        <ns0:v>501</ns0:v>
      </ns0:c>
      <ns0:c r="B51" s="8" t="s">
        <ns0:v>502</ns0:v>
      </ns0:c>
      <ns0:c r="C51" s="8" t="s">
        <ns0:v>123</ns0:v>
      </ns0:c>
      <ns0:c r="D51" s="8" t="s">
        <ns0:v>124</ns0:v>
      </ns0:c>
      <ns0:c r="E51" s="8" t="s">
        <ns0:v>503</ns0:v>
      </ns0:c>
      <ns0:c r="F51" s="8" t="s">
        <ns0:v>176</ns0:v>
      </ns0:c>
      <ns0:c r="G51" s="8" t="s">
        <ns0:v>201</ns0:v>
      </ns0:c>
      <ns0:c r="H51" s="8" t="s">
        <ns0:v>224</ns0:v>
      </ns0:c>
      <ns0:c r="I51" s="5" t="s">
        <ns0:v>619</ns0:v>
      </ns0:c>
      <ns0:c r="J51" s="9">
        <ns0:v>46319</ns0:v>
      </ns0:c>
      <ns0:c r="K51" s="7" t="s">
        <ns0:v>42</ns0:v>
      </ns0:c>
      <ns0:c r="L51" s="7"/>
      <ns0:c r="M51" s="7"/>
      <ns0:c r="N51" s="8" t="s">
        <ns0:v>225</ns0:v>
      </ns0:c>
      <ns0:c r="O51" s="8" t="s">
        <ns0:v>44</ns0:v>
      </ns0:c>
      <ns0:c r="P51" s="8" t="s">
        <ns0:v>44</ns0:v>
      </ns0:c>
      <ns0:c r="Q51" s="8" t="s">
        <ns0:v>41</ns0:v>
      </ns0:c>
      <ns0:c r="R51" s="8" t="s">
        <ns0:v>130</ns0:v>
      </ns0:c>
      <ns0:c r="S51" s="8" t="s">
        <ns0:v>504</ns0:v>
      </ns0:c>
      <ns0:c r="T51" s="8" t="s">
        <ns0:v>505</ns0:v>
      </ns0:c>
      <ns0:c r="U51" s="8" t="s">
        <ns0:v>123</ns0:v>
      </ns0:c>
      <ns0:c r="V51" s="8"/>
      <ns0:c r="W51" s="8"/>
      <ns0:c r="X51" s="8" t="s">
        <ns0:v>49</ns0:v>
      </ns0:c>
      <ns0:c r="Y51" s="8" t="s">
        <ns0:v>50</ns0:v>
      </ns0:c>
      <ns0:c r="Z51" s="8" t="s">
        <ns0:v>51</ns0:v>
      </ns0:c>
      <ns0:c r="AA51" s="8" t="s">
        <ns0:v>208</ns0:v>
      </ns0:c>
      <ns0:c r="AB51" s="8" t="s">
        <ns0:v>50</ns0:v>
      </ns0:c>
      <ns0:c r="AC51" s="8" t="s">
        <ns0:v>506</ns0:v>
      </ns0:c>
      <ns0:c r="AD51" s="8" t="s">
        <ns0:v>502</ns0:v>
      </ns0:c>
      <ns0:c r="AE51" s="8" t="s">
        <ns0:v>507</ns0:v>
      </ns0:c>
    </ns0:row>
    <ns0:row r="52" spans="1:31" ht="124" customHeight="1">
      <ns0:c r="A52" s="4" t="s">
        <ns0:v>508</ns0:v>
      </ns0:c>
      <ns0:c r="B52" s="4" t="s">
        <ns0:v>509</ns0:v>
      </ns0:c>
      <ns0:c r="C52" s="4" t="s">
        <ns0:v>123</ns0:v>
      </ns0:c>
      <ns0:c r="D52" s="4" t="s">
        <ns0:v>124</ns0:v>
      </ns0:c>
      <ns0:c r="E52" s="4" t="s">
        <ns0:v>510</ns0:v>
      </ns0:c>
      <ns0:c r="F52" s="4" t="s">
        <ns0:v>176</ns0:v>
      </ns0:c>
      <ns0:c r="G52" s="4" t="s">
        <ns0:v>201</ns0:v>
      </ns0:c>
      <ns0:c r="H52" s="4" t="s">
        <ns0:v>224</ns0:v>
      </ns0:c>
      <ns0:c r="I52" s="5" t="s">
        <ns0:v>619</ns0:v>
      </ns0:c>
      <ns0:c r="J52" s="6">
        <ns0:v>46319</ns0:v>
      </ns0:c>
      <ns0:c r="K52" s="7" t="s">
        <ns0:v>42</ns0:v>
      </ns0:c>
      <ns0:c r="L52" s="7"/>
      <ns0:c r="M52" s="7"/>
      <ns0:c r="N52" s="4" t="s">
        <ns0:v>511</ns0:v>
      </ns0:c>
      <ns0:c r="O52" s="4" t="s">
        <ns0:v>44</ns0:v>
      </ns0:c>
      <ns0:c r="P52" s="4" t="s">
        <ns0:v>44</ns0:v>
      </ns0:c>
      <ns0:c r="Q52" s="4" t="s">
        <ns0:v>41</ns0:v>
      </ns0:c>
      <ns0:c r="R52" s="4" t="s">
        <ns0:v>130</ns0:v>
      </ns0:c>
      <ns0:c r="S52" s="4" t="s">
        <ns0:v>512</ns0:v>
      </ns0:c>
      <ns0:c r="T52" s="4" t="s">
        <ns0:v>513</ns0:v>
      </ns0:c>
      <ns0:c r="U52" s="4" t="s">
        <ns0:v>514</ns0:v>
      </ns0:c>
      <ns0:c r="V52" s="4"/>
      <ns0:c r="W52" s="4"/>
      <ns0:c r="X52" s="4" t="s">
        <ns0:v>49</ns0:v>
      </ns0:c>
      <ns0:c r="Y52" s="4" t="s">
        <ns0:v>50</ns0:v>
      </ns0:c>
      <ns0:c r="Z52" s="4" t="s">
        <ns0:v>51</ns0:v>
      </ns0:c>
      <ns0:c r="AA52" s="4" t="s">
        <ns0:v>208</ns0:v>
      </ns0:c>
      <ns0:c r="AB52" s="4" t="s">
        <ns0:v>50</ns0:v>
      </ns0:c>
      <ns0:c r="AC52" s="4" t="s">
        <ns0:v>515</ns0:v>
      </ns0:c>
      <ns0:c r="AD52" s="4" t="s">
        <ns0:v>509</ns0:v>
      </ns0:c>
      <ns0:c r="AE52" s="4" t="s">
        <ns0:v>516</ns0:v>
      </ns0:c>
    </ns0:row>
    <ns0:row r="53" spans="1:31" ht="124" customHeight="1">
      <ns0:c r="A53" s="8" t="s">
        <ns0:v>517</ns0:v>
      </ns0:c>
      <ns0:c r="B53" s="8" t="s">
        <ns0:v>518</ns0:v>
      </ns0:c>
      <ns0:c r="C53" s="8" t="s">
        <ns0:v>123</ns0:v>
      </ns0:c>
      <ns0:c r="D53" s="8" t="s">
        <ns0:v>124</ns0:v>
      </ns0:c>
      <ns0:c r="E53" s="8" t="s">
        <ns0:v>519</ns0:v>
      </ns0:c>
      <ns0:c r="F53" s="8" t="s">
        <ns0:v>176</ns0:v>
      </ns0:c>
      <ns0:c r="G53" s="8" t="s">
        <ns0:v>201</ns0:v>
      </ns0:c>
      <ns0:c r="H53" s="8" t="s">
        <ns0:v>283</ns0:v>
      </ns0:c>
      <ns0:c r="I53" s="5" t="s">
        <ns0:v>619</ns0:v>
      </ns0:c>
      <ns0:c r="J53" s="9">
        <ns0:v>46319</ns0:v>
      </ns0:c>
      <ns0:c r="K53" s="7" t="s">
        <ns0:v>42</ns0:v>
      </ns0:c>
      <ns0:c r="L53" s="7"/>
      <ns0:c r="M53" s="7"/>
      <ns0:c r="N53" s="8" t="s">
        <ns0:v>520</ns0:v>
      </ns0:c>
      <ns0:c r="O53" s="8" t="s">
        <ns0:v>44</ns0:v>
      </ns0:c>
      <ns0:c r="P53" s="8" t="s">
        <ns0:v>44</ns0:v>
      </ns0:c>
      <ns0:c r="Q53" s="8" t="s">
        <ns0:v>41</ns0:v>
      </ns0:c>
      <ns0:c r="R53" s="8" t="s">
        <ns0:v>130</ns0:v>
      </ns0:c>
      <ns0:c r="S53" s="8" t="s">
        <ns0:v>521</ns0:v>
      </ns0:c>
      <ns0:c r="T53" s="8" t="s">
        <ns0:v>522</ns0:v>
      </ns0:c>
      <ns0:c r="U53" s="8" t="s">
        <ns0:v>514</ns0:v>
      </ns0:c>
      <ns0:c r="V53" s="8"/>
      <ns0:c r="W53" s="8"/>
      <ns0:c r="X53" s="8" t="s">
        <ns0:v>49</ns0:v>
      </ns0:c>
      <ns0:c r="Y53" s="8" t="s">
        <ns0:v>50</ns0:v>
      </ns0:c>
      <ns0:c r="Z53" s="8" t="s">
        <ns0:v>51</ns0:v>
      </ns0:c>
      <ns0:c r="AA53" s="8" t="s">
        <ns0:v>208</ns0:v>
      </ns0:c>
      <ns0:c r="AB53" s="8" t="s">
        <ns0:v>50</ns0:v>
      </ns0:c>
      <ns0:c r="AC53" s="8" t="s">
        <ns0:v>523</ns0:v>
      </ns0:c>
      <ns0:c r="AD53" s="8" t="s">
        <ns0:v>518</ns0:v>
      </ns0:c>
      <ns0:c r="AE53" s="8" t="s">
        <ns0:v>524</ns0:v>
      </ns0:c>
    </ns0:row>
    <ns0:row r="54" spans="1:31" ht="110" customHeight="1">
      <ns0:c r="A54" s="4" t="s">
        <ns0:v>525</ns0:v>
      </ns0:c>
      <ns0:c r="B54" s="4" t="s">
        <ns0:v>526</ns0:v>
      </ns0:c>
      <ns0:c r="C54" s="4" t="s">
        <ns0:v>123</ns0:v>
      </ns0:c>
      <ns0:c r="D54" s="4" t="s">
        <ns0:v>124</ns0:v>
      </ns0:c>
      <ns0:c r="E54" s="4" t="s">
        <ns0:v>527</ns0:v>
      </ns0:c>
      <ns0:c r="F54" s="4" t="s">
        <ns0:v>176</ns0:v>
      </ns0:c>
      <ns0:c r="G54" s="4" t="s">
        <ns0:v>201</ns0:v>
      </ns0:c>
      <ns0:c r="H54" s="4" t="s">
        <ns0:v>224</ns0:v>
      </ns0:c>
      <ns0:c r="I54" s="5" t="s">
        <ns0:v>619</ns0:v>
      </ns0:c>
      <ns0:c r="J54" s="6">
        <ns0:v>46319</ns0:v>
      </ns0:c>
      <ns0:c r="K54" s="7" t="s">
        <ns0:v>42</ns0:v>
      </ns0:c>
      <ns0:c r="L54" s="7"/>
      <ns0:c r="M54" s="7"/>
      <ns0:c r="N54" s="4" t="s">
        <ns0:v>98</ns0:v>
      </ns0:c>
      <ns0:c r="O54" s="4" t="s">
        <ns0:v>44</ns0:v>
      </ns0:c>
      <ns0:c r="P54" s="4" t="s">
        <ns0:v>44</ns0:v>
      </ns0:c>
      <ns0:c r="Q54" s="4" t="s">
        <ns0:v>41</ns0:v>
      </ns0:c>
      <ns0:c r="R54" s="4" t="s">
        <ns0:v>130</ns0:v>
      </ns0:c>
      <ns0:c r="S54" s="4" t="s">
        <ns0:v>528</ns0:v>
      </ns0:c>
      <ns0:c r="T54" s="4" t="s">
        <ns0:v>529</ns0:v>
      </ns0:c>
      <ns0:c r="U54" s="4" t="s">
        <ns0:v>123</ns0:v>
      </ns0:c>
      <ns0:c r="V54" s="4"/>
      <ns0:c r="W54" s="4"/>
      <ns0:c r="X54" s="4" t="s">
        <ns0:v>49</ns0:v>
      </ns0:c>
      <ns0:c r="Y54" s="4" t="s">
        <ns0:v>50</ns0:v>
      </ns0:c>
      <ns0:c r="Z54" s="4" t="s">
        <ns0:v>51</ns0:v>
      </ns0:c>
      <ns0:c r="AA54" s="4" t="s">
        <ns0:v>208</ns0:v>
      </ns0:c>
      <ns0:c r="AB54" s="4" t="s">
        <ns0:v>50</ns0:v>
      </ns0:c>
      <ns0:c r="AC54" s="4" t="s">
        <ns0:v>499</ns0:v>
      </ns0:c>
      <ns0:c r="AD54" s="4" t="s">
        <ns0:v>526</ns0:v>
      </ns0:c>
      <ns0:c r="AE54" s="4" t="s">
        <ns0:v>530</ns0:v>
      </ns0:c>
    </ns0:row>
    <ns0:row r="55" spans="1:31" ht="138" customHeight="1">
      <ns0:c r="A55" s="8" t="s">
        <ns0:v>531</ns0:v>
      </ns0:c>
      <ns0:c r="B55" s="8" t="s">
        <ns0:v>532</ns0:v>
      </ns0:c>
      <ns0:c r="C55" s="8" t="s">
        <ns0:v>123</ns0:v>
      </ns0:c>
      <ns0:c r="D55" s="8" t="s">
        <ns0:v>124</ns0:v>
      </ns0:c>
      <ns0:c r="E55" s="8" t="s">
        <ns0:v>533</ns0:v>
      </ns0:c>
      <ns0:c r="F55" s="8" t="s">
        <ns0:v>176</ns0:v>
      </ns0:c>
      <ns0:c r="G55" s="8" t="s">
        <ns0:v>201</ns0:v>
      </ns0:c>
      <ns0:c r="H55" s="8" t="s">
        <ns0:v>224</ns0:v>
      </ns0:c>
      <ns0:c r="I55" s="5" t="s">
        <ns0:v>619</ns0:v>
      </ns0:c>
      <ns0:c r="J55" s="9">
        <ns0:v>46319</ns0:v>
      </ns0:c>
      <ns0:c r="K55" s="7" t="s">
        <ns0:v>42</ns0:v>
      </ns0:c>
      <ns0:c r="L55" s="7"/>
      <ns0:c r="M55" s="7"/>
      <ns0:c r="N55" s="8" t="s">
        <ns0:v>534</ns0:v>
      </ns0:c>
      <ns0:c r="O55" s="8" t="s">
        <ns0:v>44</ns0:v>
      </ns0:c>
      <ns0:c r="P55" s="8" t="s">
        <ns0:v>44</ns0:v>
      </ns0:c>
      <ns0:c r="Q55" s="8" t="s">
        <ns0:v>41</ns0:v>
      </ns0:c>
      <ns0:c r="R55" s="8" t="s">
        <ns0:v>130</ns0:v>
      </ns0:c>
      <ns0:c r="S55" s="8" t="s">
        <ns0:v>535</ns0:v>
      </ns0:c>
      <ns0:c r="T55" s="8" t="s">
        <ns0:v>536</ns0:v>
      </ns0:c>
      <ns0:c r="U55" s="8" t="s">
        <ns0:v>123</ns0:v>
      </ns0:c>
      <ns0:c r="V55" s="8"/>
      <ns0:c r="W55" s="8"/>
      <ns0:c r="X55" s="8" t="s">
        <ns0:v>49</ns0:v>
      </ns0:c>
      <ns0:c r="Y55" s="8" t="s">
        <ns0:v>50</ns0:v>
      </ns0:c>
      <ns0:c r="Z55" s="8" t="s">
        <ns0:v>51</ns0:v>
      </ns0:c>
      <ns0:c r="AA55" s="8" t="s">
        <ns0:v>208</ns0:v>
      </ns0:c>
      <ns0:c r="AB55" s="8" t="s">
        <ns0:v>50</ns0:v>
      </ns0:c>
      <ns0:c r="AC55" s="8" t="s">
        <ns0:v>537</ns0:v>
      </ns0:c>
      <ns0:c r="AD55" s="8" t="s">
        <ns0:v>532</ns0:v>
      </ns0:c>
      <ns0:c r="AE55" s="8" t="s">
        <ns0:v>538</ns0:v>
      </ns0:c>
    </ns0:row>
    <ns0:row r="56" spans="1:31" ht="138" customHeight="1">
      <ns0:c r="A56" s="4" t="s">
        <ns0:v>539</ns0:v>
      </ns0:c>
      <ns0:c r="B56" s="4" t="s">
        <ns0:v>540</ns0:v>
      </ns0:c>
      <ns0:c r="C56" s="4" t="s">
        <ns0:v>123</ns0:v>
      </ns0:c>
      <ns0:c r="D56" s="4" t="s">
        <ns0:v>124</ns0:v>
      </ns0:c>
      <ns0:c r="E56" s="4" t="s">
        <ns0:v>541</ns0:v>
      </ns0:c>
      <ns0:c r="F56" s="4" t="s">
        <ns0:v>176</ns0:v>
      </ns0:c>
      <ns0:c r="G56" s="4" t="s">
        <ns0:v>177</ns0:v>
      </ns0:c>
      <ns0:c r="H56" s="4" t="s">
        <ns0:v>224</ns0:v>
      </ns0:c>
      <ns0:c r="I56" s="5" t="s">
        <ns0:v>619</ns0:v>
      </ns0:c>
      <ns0:c r="J56" s="6">
        <ns0:v>46319</ns0:v>
      </ns0:c>
      <ns0:c r="K56" s="7" t="s">
        <ns0:v>42</ns0:v>
      </ns0:c>
      <ns0:c r="L56" s="7"/>
      <ns0:c r="M56" s="7"/>
      <ns0:c r="N56" s="4" t="s">
        <ns0:v>496</ns0:v>
      </ns0:c>
      <ns0:c r="O56" s="4" t="s">
        <ns0:v>44</ns0:v>
      </ns0:c>
      <ns0:c r="P56" s="4" t="s">
        <ns0:v>44</ns0:v>
      </ns0:c>
      <ns0:c r="Q56" s="4" t="s">
        <ns0:v>41</ns0:v>
      </ns0:c>
      <ns0:c r="R56" s="4" t="s">
        <ns0:v>130</ns0:v>
      </ns0:c>
      <ns0:c r="S56" s="4" t="s">
        <ns0:v>542</ns0:v>
      </ns0:c>
      <ns0:c r="T56" s="4" t="s">
        <ns0:v>543</ns0:v>
      </ns0:c>
      <ns0:c r="U56" s="4" t="s">
        <ns0:v>123</ns0:v>
      </ns0:c>
      <ns0:c r="V56" s="4"/>
      <ns0:c r="W56" s="4"/>
      <ns0:c r="X56" s="4" t="s">
        <ns0:v>49</ns0:v>
      </ns0:c>
      <ns0:c r="Y56" s="4" t="s">
        <ns0:v>50</ns0:v>
      </ns0:c>
      <ns0:c r="Z56" s="4" t="s">
        <ns0:v>51</ns0:v>
      </ns0:c>
      <ns0:c r="AA56" s="4" t="s">
        <ns0:v>183</ns0:v>
      </ns0:c>
      <ns0:c r="AB56" s="4" t="s">
        <ns0:v>50</ns0:v>
      </ns0:c>
      <ns0:c r="AC56" s="4" t="s">
        <ns0:v>544</ns0:v>
      </ns0:c>
      <ns0:c r="AD56" s="4" t="s">
        <ns0:v>540</ns0:v>
      </ns0:c>
      <ns0:c r="AE56" s="4" t="s">
        <ns0:v>545</ns0:v>
      </ns0:c>
    </ns0:row>
    <ns0:row r="57" spans="1:31" ht="138" customHeight="1">
      <ns0:c r="A57" s="8" t="s">
        <ns0:v>546</ns0:v>
      </ns0:c>
      <ns0:c r="B57" s="8" t="s">
        <ns0:v>547</ns0:v>
      </ns0:c>
      <ns0:c r="C57" s="8" t="s">
        <ns0:v>123</ns0:v>
      </ns0:c>
      <ns0:c r="D57" s="8" t="s">
        <ns0:v>124</ns0:v>
      </ns0:c>
      <ns0:c r="E57" s="8" t="s">
        <ns0:v>548</ns0:v>
      </ns0:c>
      <ns0:c r="F57" s="8" t="s">
        <ns0:v>176</ns0:v>
      </ns0:c>
      <ns0:c r="G57" s="8" t="s">
        <ns0:v>177</ns0:v>
      </ns0:c>
      <ns0:c r="H57" s="8" t="s">
        <ns0:v>41</ns0:v>
      </ns0:c>
      <ns0:c r="I57" s="5" t="s">
        <ns0:v>619</ns0:v>
      </ns0:c>
      <ns0:c r="J57" s="9">
        <ns0:v>46319</ns0:v>
      </ns0:c>
      <ns0:c r="K57" s="7" t="s">
        <ns0:v>42</ns0:v>
      </ns0:c>
      <ns0:c r="L57" s="7"/>
      <ns0:c r="M57" s="7"/>
      <ns0:c r="N57" s="8" t="s">
        <ns0:v>179</ns0:v>
      </ns0:c>
      <ns0:c r="O57" s="8" t="s">
        <ns0:v>44</ns0:v>
      </ns0:c>
      <ns0:c r="P57" s="8" t="s">
        <ns0:v>44</ns0:v>
      </ns0:c>
      <ns0:c r="Q57" s="8" t="s">
        <ns0:v>41</ns0:v>
      </ns0:c>
      <ns0:c r="R57" s="8" t="s">
        <ns0:v>549</ns0:v>
      </ns0:c>
      <ns0:c r="S57" s="8" t="s">
        <ns0:v>550</ns0:v>
      </ns0:c>
      <ns0:c r="T57" s="8" t="s">
        <ns0:v>551</ns0:v>
      </ns0:c>
      <ns0:c r="U57" s="8" t="s">
        <ns0:v>514</ns0:v>
      </ns0:c>
      <ns0:c r="V57" s="9">
        <ns0:v>45017</ns0:v>
      </ns0:c>
      <ns0:c r="W57" s="8"/>
      <ns0:c r="X57" s="8" t="s">
        <ns0:v>49</ns0:v>
      </ns0:c>
      <ns0:c r="Y57" s="8" t="s">
        <ns0:v>50</ns0:v>
      </ns0:c>
      <ns0:c r="Z57" s="8" t="s">
        <ns0:v>50</ns0:v>
      </ns0:c>
      <ns0:c r="AA57" s="8" t="s">
        <ns0:v>183</ns0:v>
      </ns0:c>
      <ns0:c r="AB57" s="8" t="s">
        <ns0:v>50</ns0:v>
      </ns0:c>
      <ns0:c r="AC57" s="8" t="s">
        <ns0:v>552</ns0:v>
      </ns0:c>
      <ns0:c r="AD57" s="8" t="s">
        <ns0:v>547</ns0:v>
      </ns0:c>
      <ns0:c r="AE57" s="8" t="s">
        <ns0:v>553</ns0:v>
      </ns0:c>
    </ns0:row>
    <ns0:row r="58" spans="1:31" ht="208" customHeight="1">
      <ns0:c r="A58" s="4" t="s">
        <ns0:v>554</ns0:v>
      </ns0:c>
      <ns0:c r="B58" s="4" t="s">
        <ns0:v>555</ns0:v>
      </ns0:c>
      <ns0:c r="C58" s="4" t="s">
        <ns0:v>123</ns0:v>
      </ns0:c>
      <ns0:c r="D58" s="4" t="s">
        <ns0:v>124</ns0:v>
      </ns0:c>
      <ns0:c r="E58" s="4" t="s">
        <ns0:v>556</ns0:v>
      </ns0:c>
      <ns0:c r="F58" s="4" t="s">
        <ns0:v>176</ns0:v>
      </ns0:c>
      <ns0:c r="G58" s="4" t="s">
        <ns0:v>177</ns0:v>
      </ns0:c>
      <ns0:c r="H58" s="4" t="s">
        <ns0:v>41</ns0:v>
      </ns0:c>
      <ns0:c r="I58" s="5" t="s">
        <ns0:v>619</ns0:v>
      </ns0:c>
      <ns0:c r="J58" s="6">
        <ns0:v>46319</ns0:v>
      </ns0:c>
      <ns0:c r="K58" s="7" t="s">
        <ns0:v>42</ns0:v>
      </ns0:c>
      <ns0:c r="L58" s="7"/>
      <ns0:c r="M58" s="7"/>
      <ns0:c r="N58" s="4" t="s">
        <ns0:v>557</ns0:v>
      </ns0:c>
      <ns0:c r="O58" s="4" t="s">
        <ns0:v>44</ns0:v>
      </ns0:c>
      <ns0:c r="P58" s="4" t="s">
        <ns0:v>62</ns0:v>
      </ns0:c>
      <ns0:c r="Q58" s="4" t="s">
        <ns0:v>41</ns0:v>
      </ns0:c>
      <ns0:c r="R58" s="4" t="s">
        <ns0:v>558</ns0:v>
      </ns0:c>
      <ns0:c r="S58" s="4" t="s">
        <ns0:v>559</ns0:v>
      </ns0:c>
      <ns0:c r="T58" s="4" t="s">
        <ns0:v>560</ns0:v>
      </ns0:c>
      <ns0:c r="U58" s="4" t="s">
        <ns0:v>514</ns0:v>
      </ns0:c>
      <ns0:c r="V58" s="6">
        <ns0:v>43678</ns0:v>
      </ns0:c>
      <ns0:c r="W58" s="6">
        <ns0:v>45504</ns0:v>
      </ns0:c>
      <ns0:c r="X58" s="4" t="s">
        <ns0:v>49</ns0:v>
      </ns0:c>
      <ns0:c r="Y58" s="4" t="s">
        <ns0:v>50</ns0:v>
      </ns0:c>
      <ns0:c r="Z58" s="4" t="s">
        <ns0:v>50</ns0:v>
      </ns0:c>
      <ns0:c r="AA58" s="4" t="s">
        <ns0:v>183</ns0:v>
      </ns0:c>
      <ns0:c r="AB58" s="4" t="s">
        <ns0:v>50</ns0:v>
      </ns0:c>
      <ns0:c r="AC58" s="4" t="s">
        <ns0:v>561</ns0:v>
      </ns0:c>
      <ns0:c r="AD58" s="4" t="s">
        <ns0:v>555</ns0:v>
      </ns0:c>
      <ns0:c r="AE58" s="4" t="s">
        <ns0:v>562</ns0:v>
      </ns0:c>
    </ns0:row>
    <ns0:row r="59" spans="1:31" ht="208" customHeight="1">
      <ns0:c r="A59" s="8" t="s">
        <ns0:v>563</ns0:v>
      </ns0:c>
      <ns0:c r="B59" s="8" t="s">
        <ns0:v>564</ns0:v>
      </ns0:c>
      <ns0:c r="C59" s="8" t="s">
        <ns0:v>123</ns0:v>
      </ns0:c>
      <ns0:c r="D59" s="8" t="s">
        <ns0:v>124</ns0:v>
      </ns0:c>
      <ns0:c r="E59" s="8" t="s">
        <ns0:v>565</ns0:v>
      </ns0:c>
      <ns0:c r="F59" s="8" t="s">
        <ns0:v>176</ns0:v>
      </ns0:c>
      <ns0:c r="G59" s="8" t="s">
        <ns0:v>177</ns0:v>
      </ns0:c>
      <ns0:c r="H59" s="8" t="s">
        <ns0:v>41</ns0:v>
      </ns0:c>
      <ns0:c r="I59" s="5" t="s">
        <ns0:v>619</ns0:v>
      </ns0:c>
      <ns0:c r="J59" s="9">
        <ns0:v>46319</ns0:v>
      </ns0:c>
      <ns0:c r="K59" s="7" t="s">
        <ns0:v>42</ns0:v>
      </ns0:c>
      <ns0:c r="L59" s="7"/>
      <ns0:c r="M59" s="7"/>
      <ns0:c r="N59" s="8" t="s">
        <ns0:v>179</ns0:v>
      </ns0:c>
      <ns0:c r="O59" s="8" t="s">
        <ns0:v>44</ns0:v>
      </ns0:c>
      <ns0:c r="P59" s="8" t="s">
        <ns0:v>44</ns0:v>
      </ns0:c>
      <ns0:c r="Q59" s="8" t="s">
        <ns0:v>41</ns0:v>
      </ns0:c>
      <ns0:c r="R59" s="8" t="s">
        <ns0:v>549</ns0:v>
      </ns0:c>
      <ns0:c r="S59" s="8" t="s">
        <ns0:v>566</ns0:v>
      </ns0:c>
      <ns0:c r="T59" s="8" t="s">
        <ns0:v>567</ns0:v>
      </ns0:c>
      <ns0:c r="U59" s="8" t="s">
        <ns0:v>514</ns0:v>
      </ns0:c>
      <ns0:c r="V59" s="9">
        <ns0:v>43117</ns0:v>
      </ns0:c>
      <ns0:c r="W59" s="8"/>
      <ns0:c r="X59" s="8" t="s">
        <ns0:v>49</ns0:v>
      </ns0:c>
      <ns0:c r="Y59" s="8" t="s">
        <ns0:v>50</ns0:v>
      </ns0:c>
      <ns0:c r="Z59" s="8" t="s">
        <ns0:v>50</ns0:v>
      </ns0:c>
      <ns0:c r="AA59" s="8" t="s">
        <ns0:v>183</ns0:v>
      </ns0:c>
      <ns0:c r="AB59" s="8" t="s">
        <ns0:v>50</ns0:v>
      </ns0:c>
      <ns0:c r="AC59" s="8" t="s">
        <ns0:v>568</ns0:v>
      </ns0:c>
      <ns0:c r="AD59" s="8" t="s">
        <ns0:v>564</ns0:v>
      </ns0:c>
      <ns0:c r="AE59" s="8" t="s">
        <ns0:v>569</ns0:v>
      </ns0:c>
    </ns0:row>
    <ns0:row r="60" spans="1:31" ht="110" customHeight="1">
      <ns0:c r="A60" s="4" t="s">
        <ns0:v>570</ns0:v>
      </ns0:c>
      <ns0:c r="B60" s="4" t="s">
        <ns0:v>571</ns0:v>
      </ns0:c>
      <ns0:c r="C60" s="4" t="s">
        <ns0:v>123</ns0:v>
      </ns0:c>
      <ns0:c r="D60" s="4" t="s">
        <ns0:v>124</ns0:v>
      </ns0:c>
      <ns0:c r="E60" s="4" t="s">
        <ns0:v>572</ns0:v>
      </ns0:c>
      <ns0:c r="F60" s="4" t="s">
        <ns0:v>176</ns0:v>
      </ns0:c>
      <ns0:c r="G60" s="4" t="s">
        <ns0:v>201</ns0:v>
      </ns0:c>
      <ns0:c r="H60" s="4" t="s">
        <ns0:v>224</ns0:v>
      </ns0:c>
      <ns0:c r="I60" s="5" t="s">
        <ns0:v>619</ns0:v>
      </ns0:c>
      <ns0:c r="J60" s="6">
        <ns0:v>46319</ns0:v>
      </ns0:c>
      <ns0:c r="K60" s="7" t="s">
        <ns0:v>42</ns0:v>
      </ns0:c>
      <ns0:c r="L60" s="7"/>
      <ns0:c r="M60" s="7"/>
      <ns0:c r="N60" s="4" t="s">
        <ns0:v>284</ns0:v>
      </ns0:c>
      <ns0:c r="O60" s="4" t="s">
        <ns0:v>44</ns0:v>
      </ns0:c>
      <ns0:c r="P60" s="4" t="s">
        <ns0:v>44</ns0:v>
      </ns0:c>
      <ns0:c r="Q60" s="4" t="s">
        <ns0:v>41</ns0:v>
      </ns0:c>
      <ns0:c r="R60" s="4" t="s">
        <ns0:v>573</ns0:v>
      </ns0:c>
      <ns0:c r="S60" s="4" t="s">
        <ns0:v>574</ns0:v>
      </ns0:c>
      <ns0:c r="T60" s="4" t="s">
        <ns0:v>575</ns0:v>
      </ns0:c>
      <ns0:c r="U60" s="4" t="s">
        <ns0:v>514</ns0:v>
      </ns0:c>
      <ns0:c r="V60" s="4"/>
      <ns0:c r="W60" s="4"/>
      <ns0:c r="X60" s="4" t="s">
        <ns0:v>49</ns0:v>
      </ns0:c>
      <ns0:c r="Y60" s="4" t="s">
        <ns0:v>50</ns0:v>
      </ns0:c>
      <ns0:c r="Z60" s="4" t="s">
        <ns0:v>51</ns0:v>
      </ns0:c>
      <ns0:c r="AA60" s="4" t="s">
        <ns0:v>208</ns0:v>
      </ns0:c>
      <ns0:c r="AB60" s="4" t="s">
        <ns0:v>50</ns0:v>
      </ns0:c>
      <ns0:c r="AC60" s="4" t="s">
        <ns0:v>576</ns0:v>
      </ns0:c>
      <ns0:c r="AD60" s="4" t="s">
        <ns0:v>571</ns0:v>
      </ns0:c>
      <ns0:c r="AE60" s="4" t="s">
        <ns0:v>577</ns0:v>
      </ns0:c>
    </ns0:row>
    <ns0:row r="61" spans="1:31" ht="124" customHeight="1">
      <ns0:c r="A61" s="8" t="s">
        <ns0:v>578</ns0:v>
      </ns0:c>
      <ns0:c r="B61" s="8" t="s">
        <ns0:v>579</ns0:v>
      </ns0:c>
      <ns0:c r="C61" s="8" t="s">
        <ns0:v>123</ns0:v>
      </ns0:c>
      <ns0:c r="D61" s="8" t="s">
        <ns0:v>124</ns0:v>
      </ns0:c>
      <ns0:c r="E61" s="8" t="s">
        <ns0:v>580</ns0:v>
      </ns0:c>
      <ns0:c r="F61" s="8" t="s">
        <ns0:v>176</ns0:v>
      </ns0:c>
      <ns0:c r="G61" s="8" t="s">
        <ns0:v>201</ns0:v>
      </ns0:c>
      <ns0:c r="H61" s="8" t="s">
        <ns0:v>224</ns0:v>
      </ns0:c>
      <ns0:c r="I61" s="5" t="s">
        <ns0:v>619</ns0:v>
      </ns0:c>
      <ns0:c r="J61" s="9">
        <ns0:v>46319</ns0:v>
      </ns0:c>
      <ns0:c r="K61" s="7" t="s">
        <ns0:v>42</ns0:v>
      </ns0:c>
      <ns0:c r="L61" s="7"/>
      <ns0:c r="M61" s="7"/>
      <ns0:c r="N61" s="8" t="s">
        <ns0:v>496</ns0:v>
      </ns0:c>
      <ns0:c r="O61" s="8" t="s">
        <ns0:v>44</ns0:v>
      </ns0:c>
      <ns0:c r="P61" s="8" t="s">
        <ns0:v>581</ns0:v>
      </ns0:c>
      <ns0:c r="Q61" s="8" t="s">
        <ns0:v>41</ns0:v>
      </ns0:c>
      <ns0:c r="R61" s="8" t="s">
        <ns0:v>130</ns0:v>
      </ns0:c>
      <ns0:c r="S61" s="8" t="s">
        <ns0:v>582</ns0:v>
      </ns0:c>
      <ns0:c r="T61" s="8" t="s">
        <ns0:v>583</ns0:v>
      </ns0:c>
      <ns0:c r="U61" s="8" t="s">
        <ns0:v>123</ns0:v>
      </ns0:c>
      <ns0:c r="V61" s="8"/>
      <ns0:c r="W61" s="8"/>
      <ns0:c r="X61" s="8" t="s">
        <ns0:v>49</ns0:v>
      </ns0:c>
      <ns0:c r="Y61" s="8" t="s">
        <ns0:v>50</ns0:v>
      </ns0:c>
      <ns0:c r="Z61" s="8" t="s">
        <ns0:v>51</ns0:v>
      </ns0:c>
      <ns0:c r="AA61" s="8" t="s">
        <ns0:v>208</ns0:v>
      </ns0:c>
      <ns0:c r="AB61" s="8" t="s">
        <ns0:v>50</ns0:v>
      </ns0:c>
      <ns0:c r="AC61" s="8" t="s">
        <ns0:v>584</ns0:v>
      </ns0:c>
      <ns0:c r="AD61" s="8" t="s">
        <ns0:v>579</ns0:v>
      </ns0:c>
      <ns0:c r="AE61" s="8" t="s">
        <ns0:v>585</ns0:v>
      </ns0:c>
    </ns0:row>
    <ns0:row r="62" spans="1:31" ht="110" customHeight="1">
      <ns0:c r="A62" s="4" t="s">
        <ns0:v>586</ns0:v>
      </ns0:c>
      <ns0:c r="B62" s="4" t="s">
        <ns0:v>587</ns0:v>
      </ns0:c>
      <ns0:c r="C62" s="4" t="s">
        <ns0:v>123</ns0:v>
      </ns0:c>
      <ns0:c r="D62" s="4" t="s">
        <ns0:v>124</ns0:v>
      </ns0:c>
      <ns0:c r="E62" s="4" t="s">
        <ns0:v>588</ns0:v>
      </ns0:c>
      <ns0:c r="F62" s="4" t="s">
        <ns0:v>176</ns0:v>
      </ns0:c>
      <ns0:c r="G62" s="4" t="s">
        <ns0:v>177</ns0:v>
      </ns0:c>
      <ns0:c r="H62" s="4" t="s">
        <ns0:v>224</ns0:v>
      </ns0:c>
      <ns0:c r="I62" s="5" t="s">
        <ns0:v>619</ns0:v>
      </ns0:c>
      <ns0:c r="J62" s="6">
        <ns0:v>46319</ns0:v>
      </ns0:c>
      <ns0:c r="K62" s="7" t="s">
        <ns0:v>42</ns0:v>
      </ns0:c>
      <ns0:c r="L62" s="7"/>
      <ns0:c r="M62" s="7"/>
      <ns0:c r="N62" s="4" t="s">
        <ns0:v>589</ns0:v>
      </ns0:c>
      <ns0:c r="O62" s="4" t="s">
        <ns0:v>44</ns0:v>
      </ns0:c>
      <ns0:c r="P62" s="4" t="s">
        <ns0:v>44</ns0:v>
      </ns0:c>
      <ns0:c r="Q62" s="4" t="s">
        <ns0:v>41</ns0:v>
      </ns0:c>
      <ns0:c r="R62" s="4" t="s">
        <ns0:v>130</ns0:v>
      </ns0:c>
      <ns0:c r="S62" s="4" t="s">
        <ns0:v>590</ns0:v>
      </ns0:c>
      <ns0:c r="T62" s="4" t="s">
        <ns0:v>591</ns0:v>
      </ns0:c>
      <ns0:c r="U62" s="4" t="s">
        <ns0:v>123</ns0:v>
      </ns0:c>
      <ns0:c r="V62" s="4"/>
      <ns0:c r="W62" s="4"/>
      <ns0:c r="X62" s="4" t="s">
        <ns0:v>49</ns0:v>
      </ns0:c>
      <ns0:c r="Y62" s="4" t="s">
        <ns0:v>50</ns0:v>
      </ns0:c>
      <ns0:c r="Z62" s="4" t="s">
        <ns0:v>51</ns0:v>
      </ns0:c>
      <ns0:c r="AA62" s="4" t="s">
        <ns0:v>183</ns0:v>
      </ns0:c>
      <ns0:c r="AB62" s="4" t="s">
        <ns0:v>50</ns0:v>
      </ns0:c>
      <ns0:c r="AC62" s="4" t="s">
        <ns0:v>592</ns0:v>
      </ns0:c>
      <ns0:c r="AD62" s="4" t="s">
        <ns0:v>587</ns0:v>
      </ns0:c>
      <ns0:c r="AE62" s="4" t="s">
        <ns0:v>593</ns0:v>
      </ns0:c>
    </ns0:row>
    <ns0:row r="63" spans="1:31" ht="152" customHeight="1">
      <ns0:c r="A63" s="8" t="s">
        <ns0:v>594</ns0:v>
      </ns0:c>
      <ns0:c r="B63" s="8" t="s">
        <ns0:v>595</ns0:v>
      </ns0:c>
      <ns0:c r="C63" s="8" t="s">
        <ns0:v>123</ns0:v>
      </ns0:c>
      <ns0:c r="D63" s="8" t="s">
        <ns0:v>124</ns0:v>
      </ns0:c>
      <ns0:c r="E63" s="8" t="s">
        <ns0:v>596</ns0:v>
      </ns0:c>
      <ns0:c r="F63" s="8" t="s">
        <ns0:v>176</ns0:v>
      </ns0:c>
      <ns0:c r="G63" s="8" t="s">
        <ns0:v>177</ns0:v>
      </ns0:c>
      <ns0:c r="H63" s="8" t="s">
        <ns0:v>41</ns0:v>
      </ns0:c>
      <ns0:c r="I63" s="5" t="s">
        <ns0:v>619</ns0:v>
      </ns0:c>
      <ns0:c r="J63" s="9">
        <ns0:v>46319</ns0:v>
      </ns0:c>
      <ns0:c r="K63" s="7" t="s">
        <ns0:v>42</ns0:v>
      </ns0:c>
      <ns0:c r="L63" s="7"/>
      <ns0:c r="M63" s="7"/>
      <ns0:c r="N63" s="8" t="s">
        <ns0:v>597</ns0:v>
      </ns0:c>
      <ns0:c r="O63" s="8" t="s">
        <ns0:v>44</ns0:v>
      </ns0:c>
      <ns0:c r="P63" s="8" t="s">
        <ns0:v>44</ns0:v>
      </ns0:c>
      <ns0:c r="Q63" s="8" t="s">
        <ns0:v>41</ns0:v>
      </ns0:c>
      <ns0:c r="R63" s="8" t="s">
        <ns0:v>598</ns0:v>
      </ns0:c>
      <ns0:c r="S63" s="8" t="s">
        <ns0:v>599</ns0:v>
      </ns0:c>
      <ns0:c r="T63" s="8" t="s">
        <ns0:v>600</ns0:v>
      </ns0:c>
      <ns0:c r="U63" s="8" t="s">
        <ns0:v>514</ns0:v>
      </ns0:c>
      <ns0:c r="V63" s="9">
        <ns0:v>45471</ns0:v>
      </ns0:c>
      <ns0:c r="W63" s="8"/>
      <ns0:c r="X63" s="8" t="s">
        <ns0:v>49</ns0:v>
      </ns0:c>
      <ns0:c r="Y63" s="8" t="s">
        <ns0:v>50</ns0:v>
      </ns0:c>
      <ns0:c r="Z63" s="8" t="s">
        <ns0:v>50</ns0:v>
      </ns0:c>
      <ns0:c r="AA63" s="8" t="s">
        <ns0:v>183</ns0:v>
      </ns0:c>
      <ns0:c r="AB63" s="8" t="s">
        <ns0:v>50</ns0:v>
      </ns0:c>
      <ns0:c r="AC63" s="8" t="s">
        <ns0:v>601</ns0:v>
      </ns0:c>
      <ns0:c r="AD63" s="8" t="s">
        <ns0:v>595</ns0:v>
      </ns0:c>
      <ns0:c r="AE63" s="8" t="s">
        <ns0:v>602</ns0:v>
      </ns0:c>
    </ns0:row>
    <ns0:row r="64" spans="1:31" ht="152" customHeight="1">
      <ns0:c r="A64" s="4" t="s">
        <ns0:v>603</ns0:v>
      </ns0:c>
      <ns0:c r="B64" s="4" t="s">
        <ns0:v>604</ns0:v>
      </ns0:c>
      <ns0:c r="C64" s="4" t="s">
        <ns0:v>123</ns0:v>
      </ns0:c>
      <ns0:c r="D64" s="4" t="s">
        <ns0:v>124</ns0:v>
      </ns0:c>
      <ns0:c r="E64" s="4" t="s">
        <ns0:v>605</ns0:v>
      </ns0:c>
      <ns0:c r="F64" s="4" t="s">
        <ns0:v>176</ns0:v>
      </ns0:c>
      <ns0:c r="G64" s="4" t="s">
        <ns0:v>201</ns0:v>
      </ns0:c>
      <ns0:c r="H64" s="4" t="s">
        <ns0:v>283</ns0:v>
      </ns0:c>
      <ns0:c r="I64" s="5" t="s">
        <ns0:v>619</ns0:v>
      </ns0:c>
      <ns0:c r="J64" s="6">
        <ns0:v>46319</ns0:v>
      </ns0:c>
      <ns0:c r="K64" s="7" t="s">
        <ns0:v>42</ns0:v>
      </ns0:c>
      <ns0:c r="L64" s="7"/>
      <ns0:c r="M64" s="7"/>
      <ns0:c r="N64" s="4" t="s">
        <ns0:v>284</ns0:v>
      </ns0:c>
      <ns0:c r="O64" s="4" t="s">
        <ns0:v>99</ns0:v>
      </ns0:c>
      <ns0:c r="P64" s="4" t="s">
        <ns0:v>44</ns0:v>
      </ns0:c>
      <ns0:c r="Q64" s="4" t="s">
        <ns0:v>41</ns0:v>
      </ns0:c>
      <ns0:c r="R64" s="4" t="s">
        <ns0:v>606</ns0:v>
      </ns0:c>
      <ns0:c r="S64" s="4" t="s">
        <ns0:v>607</ns0:v>
      </ns0:c>
      <ns0:c r="T64" s="4" t="s">
        <ns0:v>608</ns0:v>
      </ns0:c>
      <ns0:c r="U64" s="4" t="s">
        <ns0:v>514</ns0:v>
      </ns0:c>
      <ns0:c r="V64" s="4"/>
      <ns0:c r="W64" s="4"/>
      <ns0:c r="X64" s="4" t="s">
        <ns0:v>49</ns0:v>
      </ns0:c>
      <ns0:c r="Y64" s="4" t="s">
        <ns0:v>50</ns0:v>
      </ns0:c>
      <ns0:c r="Z64" s="4" t="s">
        <ns0:v>51</ns0:v>
      </ns0:c>
      <ns0:c r="AA64" s="4" t="s">
        <ns0:v>208</ns0:v>
      </ns0:c>
      <ns0:c r="AB64" s="4" t="s">
        <ns0:v>50</ns0:v>
      </ns0:c>
      <ns0:c r="AC64" s="4" t="s">
        <ns0:v>609</ns0:v>
      </ns0:c>
      <ns0:c r="AD64" s="4" t="s">
        <ns0:v>604</ns0:v>
      </ns0:c>
      <ns0:c r="AE64" s="4" t="s">
        <ns0:v>610</ns0:v>
      </ns0:c>
    </ns0:row>
    <ns0:row r="65" spans="1:31" ht="96" customHeight="1">
      <ns0:c r="A65" s="8" t="s">
        <ns0:v>611</ns0:v>
      </ns0:c>
      <ns0:c r="B65" s="8" t="s">
        <ns0:v>612</ns0:v>
      </ns0:c>
      <ns0:c r="C65" s="8" t="s">
        <ns0:v>123</ns0:v>
      </ns0:c>
      <ns0:c r="D65" s="8" t="s">
        <ns0:v>124</ns0:v>
      </ns0:c>
      <ns0:c r="E65" s="8" t="s">
        <ns0:v>613</ns0:v>
      </ns0:c>
      <ns0:c r="F65" s="8" t="s">
        <ns0:v>176</ns0:v>
      </ns0:c>
      <ns0:c r="G65" s="8" t="s">
        <ns0:v>177</ns0:v>
      </ns0:c>
      <ns0:c r="H65" s="8" t="s">
        <ns0:v>224</ns0:v>
      </ns0:c>
      <ns0:c r="I65" s="5" t="s">
        <ns0:v>619</ns0:v>
      </ns0:c>
      <ns0:c r="J65" s="9">
        <ns0:v>46319</ns0:v>
      </ns0:c>
      <ns0:c r="K65" s="7" t="s">
        <ns0:v>42</ns0:v>
      </ns0:c>
      <ns0:c r="L65" s="7"/>
      <ns0:c r="M65" s="7"/>
      <ns0:c r="N65" s="8" t="s">
        <ns0:v>381</ns0:v>
      </ns0:c>
      <ns0:c r="O65" s="8" t="s">
        <ns0:v>461</ns0:v>
      </ns0:c>
      <ns0:c r="P65" s="8" t="s">
        <ns0:v>44</ns0:v>
      </ns0:c>
      <ns0:c r="Q65" s="8" t="s">
        <ns0:v>41</ns0:v>
      </ns0:c>
      <ns0:c r="R65" s="8" t="s">
        <ns0:v>614</ns0:v>
      </ns0:c>
      <ns0:c r="S65" s="8" t="s">
        <ns0:v>615</ns0:v>
      </ns0:c>
      <ns0:c r="T65" s="8" t="s">
        <ns0:v>616</ns0:v>
      </ns0:c>
      <ns0:c r="U65" s="8" t="s">
        <ns0:v>514</ns0:v>
      </ns0:c>
      <ns0:c r="V65" s="8"/>
      <ns0:c r="W65" s="8"/>
      <ns0:c r="X65" s="8" t="s">
        <ns0:v>49</ns0:v>
      </ns0:c>
      <ns0:c r="Y65" s="8" t="s">
        <ns0:v>50</ns0:v>
      </ns0:c>
      <ns0:c r="Z65" s="8" t="s">
        <ns0:v>51</ns0:v>
      </ns0:c>
      <ns0:c r="AA65" s="8" t="s">
        <ns0:v>183</ns0:v>
      </ns0:c>
      <ns0:c r="AB65" s="8" t="s">
        <ns0:v>50</ns0:v>
      </ns0:c>
      <ns0:c r="AC65" s="8" t="s">
        <ns0:v>617</ns0:v>
      </ns0:c>
      <ns0:c r="AD65" s="8" t="s">
        <ns0:v>612</ns0:v>
      </ns0:c>
      <ns0:c r="AE65" s="8" t="s">
        <ns0:v>618</ns0:v>
      </ns0:c>
    </ns0:row>
  </ns0:sheetData>
  <ns0:conditionalFormatting sqref="K6:K65">
    <ns0:cfRule type="containsText" dxfId="0" priority="1" stopIfTrue="1" operator="containsText" text="Approved">
      <ns0:formula>NOT(ISERROR(SEARCH("Approved",K6)))</ns0:formula>
    </ns0:cfRule>
  </ns0:conditionalFormatting>
  <ns0:dataValidations count="1">
    <ns0:dataValidation type="list" allowBlank="1" showInputMessage="1" showErrorMessage="1" sqref="K6:K65">
      <ns0:formula1>"Not started,In review,Approved,Needs correction,Not applicable,Excluded"</ns0:formula1>
    </ns0:dataValidation>
  </ns0:dataValidations>
  <ns0:hyperlinks>
    <ns0:hyperlink ref="I6" ns1:id="rId1"/>
    <ns0:hyperlink ref="I7" ns1:id="rId2"/>
    <ns0:hyperlink ref="I8" ns1:id="rId3"/>
    <ns0:hyperlink ref="I9" ns1:id="rId4"/>
    <ns0:hyperlink ref="I10" ns1:id="rId5"/>
    <ns0:hyperlink ref="I11" ns1:id="rId6"/>
    <ns0:hyperlink ref="I12" ns1:id="rId7"/>
    <ns0:hyperlink ref="I13" ns1:id="rId8"/>
    <ns0:hyperlink ref="I14" ns1:id="rId9"/>
    <ns0:hyperlink ref="I15" ns1:id="rId10"/>
    <ns0:hyperlink ref="I16" ns1:id="rId11"/>
    <ns0:hyperlink ref="I17" ns1:id="rId12"/>
    <ns0:hyperlink ref="I18" ns1:id="rId13"/>
    <ns0:hyperlink ref="I19" ns1:id="rId14"/>
    <ns0:hyperlink ref="I20" ns1:id="rId15"/>
    <ns0:hyperlink ref="I21" ns1:id="rId16"/>
    <ns0:hyperlink ref="I22" ns1:id="rId17"/>
    <ns0:hyperlink ref="I23" ns1:id="rId18"/>
    <ns0:hyperlink ref="I24" ns1:id="rId19"/>
    <ns0:hyperlink ref="I25" ns1:id="rId20"/>
    <ns0:hyperlink ref="I26" ns1:id="rId21"/>
    <ns0:hyperlink ref="I27" ns1:id="rId22"/>
    <ns0:hyperlink ref="I28" ns1:id="rId23"/>
    <ns0:hyperlink ref="I29" ns1:id="rId24"/>
    <ns0:hyperlink ref="I30" ns1:id="rId25"/>
    <ns0:hyperlink ref="I31" ns1:id="rId26"/>
    <ns0:hyperlink ref="I32" ns1:id="rId27"/>
    <ns0:hyperlink ref="I33" ns1:id="rId28"/>
    <ns0:hyperlink ref="I34" ns1:id="rId29"/>
    <ns0:hyperlink ref="I35" ns1:id="rId30"/>
    <ns0:hyperlink ref="I36" ns1:id="rId31"/>
    <ns0:hyperlink ref="I37" ns1:id="rId32"/>
    <ns0:hyperlink ref="I38" ns1:id="rId33"/>
    <ns0:hyperlink ref="I39" ns1:id="rId34"/>
    <ns0:hyperlink ref="I40" ns1:id="rId35"/>
    <ns0:hyperlink ref="I41" ns1:id="rId36"/>
    <ns0:hyperlink ref="I42" ns1:id="rId37"/>
    <ns0:hyperlink ref="I43" ns1:id="rId38"/>
    <ns0:hyperlink ref="I44" ns1:id="rId39"/>
    <ns0:hyperlink ref="I45" ns1:id="rId40"/>
    <ns0:hyperlink ref="I46" ns1:id="rId41"/>
    <ns0:hyperlink ref="I47" ns1:id="rId42"/>
    <ns0:hyperlink ref="I48" ns1:id="rId43"/>
    <ns0:hyperlink ref="I49" ns1:id="rId44"/>
    <ns0:hyperlink ref="I50" ns1:id="rId45"/>
    <ns0:hyperlink ref="I51" ns1:id="rId46"/>
    <ns0:hyperlink ref="I52" ns1:id="rId47"/>
    <ns0:hyperlink ref="I53" ns1:id="rId48"/>
    <ns0:hyperlink ref="I54" ns1:id="rId49"/>
    <ns0:hyperlink ref="I55" ns1:id="rId50"/>
    <ns0:hyperlink ref="I56" ns1:id="rId51"/>
    <ns0:hyperlink ref="I57" ns1:id="rId52"/>
    <ns0:hyperlink ref="I58" ns1:id="rId53"/>
    <ns0:hyperlink ref="I59" ns1:id="rId54"/>
    <ns0:hyperlink ref="I60" ns1:id="rId55"/>
    <ns0:hyperlink ref="I61" ns1:id="rId56"/>
    <ns0:hyperlink ref="I62" ns1:id="rId57"/>
    <ns0:hyperlink ref="I63" ns1:id="rId58"/>
    <ns0:hyperlink ref="I64" ns1:id="rId59"/>
    <ns0:hyperlink ref="I65" ns1:id="rId60"/>
  </ns0:hyperlinks>
  <ns0:pageMargins left="0.7" right="0.7" top="0.75" bottom="0.75" header="0.3" footer="0.3"/>
  <ns0:pageSetup paperSize="9" fitToHeight="0" orientation="landscape"/>
  <ns0:tableParts count="1">
    <ns0:tablePart ns1:id="rId61"/>
  </ns0:tableParts>
</ns0:worksheet>
</file>

<file path=xl/worksheets/sheet2.xml><?xml version="1.0" encoding="utf-8"?>
<worksheet xmlns="http://schemas.openxmlformats.org/spreadsheetml/2006/main" xmlns:r="http://schemas.openxmlformats.org/officeDocument/2006/relationships">
  <sheetPr>
    <pageSetUpPr fitToPage="1"/>
  </sheetPr>
  <dimension ref="A2:P584"/>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cols>
    <col min="1" max="1" width="13.7109375" customWidth="1"/>
    <col min="2" max="2" width="48.7109375" customWidth="1"/>
    <col min="3" max="3" width="24.7109375" customWidth="1"/>
    <col min="4" max="4" width="30.7109375" customWidth="1"/>
    <col min="5" max="5" width="90.7109375" customWidth="1"/>
    <col min="6" max="6" width="42.7109375" customWidth="1"/>
    <col min="7" max="7" width="65.7109375" customWidth="1"/>
    <col min="8" max="8" width="22.7109375" customWidth="1"/>
    <col min="9" max="9" width="70.7109375" customWidth="1"/>
    <col min="10" max="10" width="22.7109375" customWidth="1"/>
    <col min="11" max="11" width="70.7109375" customWidth="1"/>
    <col min="12" max="12" width="50.7109375" customWidth="1"/>
    <col min="13" max="13" width="38.7109375" customWidth="1"/>
    <col min="14" max="14" width="35.7109375" customWidth="1"/>
    <col min="15" max="15" width="20.7109375" customWidth="1"/>
    <col min="16" max="16" width="60.7109375" customWidth="1"/>
  </cols>
  <sheetData>
    <row r="2" spans="1:16" ht="28" customHeight="1">
      <c r="A2" s="1" t="s">
        <v>620</v>
      </c>
    </row>
    <row r="3" spans="1:16" ht="22" customHeight="1">
      <c r="A3" s="2" t="s">
        <v>621</v>
      </c>
    </row>
    <row r="5" spans="1:16" ht="45" customHeight="1">
      <c r="A5" s="3" t="s">
        <v>622</v>
      </c>
      <c r="B5" s="3" t="s">
        <v>3</v>
      </c>
      <c r="C5" s="3" t="s">
        <v>623</v>
      </c>
      <c r="D5" s="3" t="s">
        <v>624</v>
      </c>
      <c r="E5" s="3" t="s">
        <v>625</v>
      </c>
      <c r="F5" s="3" t="s">
        <v>626</v>
      </c>
      <c r="G5" s="3" t="s">
        <v>627</v>
      </c>
      <c r="H5" s="3" t="s">
        <v>12</v>
      </c>
      <c r="I5" s="3" t="s">
        <v>628</v>
      </c>
      <c r="J5" s="3" t="s">
        <v>629</v>
      </c>
      <c r="K5" s="3" t="s">
        <v>630</v>
      </c>
      <c r="L5" s="3" t="s">
        <v>631</v>
      </c>
      <c r="M5" s="3" t="s">
        <v>632</v>
      </c>
      <c r="N5" s="3" t="s">
        <v>633</v>
      </c>
      <c r="O5" s="3" t="s">
        <v>634</v>
      </c>
      <c r="P5" s="3" t="s">
        <v>635</v>
      </c>
    </row>
    <row r="6" spans="1:16" ht="40" customHeight="1">
      <c r="A6" s="4" t="s">
        <v>33</v>
      </c>
      <c r="B6" s="4" t="s">
        <v>34</v>
      </c>
      <c r="C6" s="4" t="s">
        <v>636</v>
      </c>
      <c r="D6" s="4" t="s">
        <v>637</v>
      </c>
      <c r="E6" s="4" t="s">
        <v>638</v>
      </c>
      <c r="F6" s="4" t="s">
        <v>639</v>
      </c>
      <c r="G6" s="4" t="s">
        <v>640</v>
      </c>
      <c r="H6" s="7" t="s">
        <v>42</v>
      </c>
      <c r="I6" s="7"/>
      <c r="J6" s="4" t="s">
        <v>641</v>
      </c>
      <c r="K6" s="4" t="s">
        <v>41</v>
      </c>
      <c r="L6" s="4" t="s">
        <v>41</v>
      </c>
      <c r="M6" s="4" t="s">
        <v>642</v>
      </c>
      <c r="N6" s="7" t="s">
        <v>643</v>
      </c>
      <c r="O6" s="7"/>
      <c r="P6" s="7"/>
    </row>
    <row r="7" spans="1:16" ht="40" customHeight="1">
      <c r="A7" s="8" t="s">
        <v>33</v>
      </c>
      <c r="B7" s="8" t="s">
        <v>34</v>
      </c>
      <c r="C7" s="8" t="s">
        <v>644</v>
      </c>
      <c r="D7" s="8" t="s">
        <v>645</v>
      </c>
      <c r="E7" s="8" t="s">
        <v>646</v>
      </c>
      <c r="F7" s="8" t="s">
        <v>647</v>
      </c>
      <c r="G7" s="8"/>
      <c r="H7" s="7" t="s">
        <v>42</v>
      </c>
      <c r="I7" s="7"/>
      <c r="J7" s="8" t="s">
        <v>641</v>
      </c>
      <c r="K7" s="8" t="s">
        <v>41</v>
      </c>
      <c r="L7" s="8" t="s">
        <v>41</v>
      </c>
      <c r="M7" s="8" t="s">
        <v>642</v>
      </c>
      <c r="N7" s="7" t="s">
        <v>643</v>
      </c>
      <c r="O7" s="7"/>
      <c r="P7" s="7"/>
    </row>
    <row r="8" spans="1:16" ht="40" customHeight="1">
      <c r="A8" s="4" t="s">
        <v>33</v>
      </c>
      <c r="B8" s="4" t="s">
        <v>34</v>
      </c>
      <c r="C8" s="4" t="s">
        <v>648</v>
      </c>
      <c r="D8" s="4" t="s">
        <v>649</v>
      </c>
      <c r="E8" s="4" t="s">
        <v>650</v>
      </c>
      <c r="F8" s="4" t="s">
        <v>651</v>
      </c>
      <c r="G8" s="4"/>
      <c r="H8" s="7" t="s">
        <v>42</v>
      </c>
      <c r="I8" s="7"/>
      <c r="J8" s="4" t="s">
        <v>641</v>
      </c>
      <c r="K8" s="4" t="s">
        <v>41</v>
      </c>
      <c r="L8" s="4" t="s">
        <v>41</v>
      </c>
      <c r="M8" s="4" t="s">
        <v>642</v>
      </c>
      <c r="N8" s="7" t="s">
        <v>643</v>
      </c>
      <c r="O8" s="7"/>
      <c r="P8" s="7"/>
    </row>
    <row r="9" spans="1:16" ht="40" customHeight="1">
      <c r="A9" s="8" t="s">
        <v>33</v>
      </c>
      <c r="B9" s="8" t="s">
        <v>34</v>
      </c>
      <c r="C9" s="8" t="s">
        <v>652</v>
      </c>
      <c r="D9" s="8" t="s">
        <v>653</v>
      </c>
      <c r="E9" s="8" t="s">
        <v>654</v>
      </c>
      <c r="F9" s="8" t="s">
        <v>655</v>
      </c>
      <c r="G9" s="8"/>
      <c r="H9" s="7" t="s">
        <v>42</v>
      </c>
      <c r="I9" s="7"/>
      <c r="J9" s="8" t="s">
        <v>641</v>
      </c>
      <c r="K9" s="8" t="s">
        <v>41</v>
      </c>
      <c r="L9" s="8" t="s">
        <v>41</v>
      </c>
      <c r="M9" s="8" t="s">
        <v>642</v>
      </c>
      <c r="N9" s="7" t="s">
        <v>643</v>
      </c>
      <c r="O9" s="7"/>
      <c r="P9" s="7"/>
    </row>
    <row r="10" spans="1:16" ht="40" customHeight="1">
      <c r="A10" s="4" t="s">
        <v>33</v>
      </c>
      <c r="B10" s="4" t="s">
        <v>34</v>
      </c>
      <c r="C10" s="4" t="s">
        <v>656</v>
      </c>
      <c r="D10" s="4" t="s">
        <v>657</v>
      </c>
      <c r="E10" s="4" t="s">
        <v>658</v>
      </c>
      <c r="F10" s="4" t="s">
        <v>659</v>
      </c>
      <c r="G10" s="4" t="s">
        <v>660</v>
      </c>
      <c r="H10" s="7" t="s">
        <v>42</v>
      </c>
      <c r="I10" s="7"/>
      <c r="J10" s="4" t="s">
        <v>641</v>
      </c>
      <c r="K10" s="4" t="s">
        <v>41</v>
      </c>
      <c r="L10" s="4" t="s">
        <v>41</v>
      </c>
      <c r="M10" s="4" t="s">
        <v>642</v>
      </c>
      <c r="N10" s="7" t="s">
        <v>643</v>
      </c>
      <c r="O10" s="7"/>
      <c r="P10" s="7"/>
    </row>
    <row r="11" spans="1:16" ht="40" customHeight="1">
      <c r="A11" s="8" t="s">
        <v>33</v>
      </c>
      <c r="B11" s="8" t="s">
        <v>34</v>
      </c>
      <c r="C11" s="8" t="s">
        <v>661</v>
      </c>
      <c r="D11" s="8" t="s">
        <v>662</v>
      </c>
      <c r="E11" s="8" t="s">
        <v>663</v>
      </c>
      <c r="F11" s="8" t="s">
        <v>664</v>
      </c>
      <c r="G11" s="8" t="s">
        <v>665</v>
      </c>
      <c r="H11" s="7" t="s">
        <v>42</v>
      </c>
      <c r="I11" s="7"/>
      <c r="J11" s="8" t="s">
        <v>641</v>
      </c>
      <c r="K11" s="8" t="s">
        <v>41</v>
      </c>
      <c r="L11" s="8" t="s">
        <v>41</v>
      </c>
      <c r="M11" s="8" t="s">
        <v>642</v>
      </c>
      <c r="N11" s="7" t="s">
        <v>643</v>
      </c>
      <c r="O11" s="7"/>
      <c r="P11" s="7"/>
    </row>
    <row r="12" spans="1:16" ht="40" customHeight="1">
      <c r="A12" s="4" t="s">
        <v>33</v>
      </c>
      <c r="B12" s="4" t="s">
        <v>34</v>
      </c>
      <c r="C12" s="4" t="s">
        <v>666</v>
      </c>
      <c r="D12" s="4" t="s">
        <v>667</v>
      </c>
      <c r="E12" s="4" t="s">
        <v>668</v>
      </c>
      <c r="F12" s="4" t="s">
        <v>669</v>
      </c>
      <c r="G12" s="4" t="s">
        <v>670</v>
      </c>
      <c r="H12" s="7" t="s">
        <v>42</v>
      </c>
      <c r="I12" s="7"/>
      <c r="J12" s="4" t="s">
        <v>641</v>
      </c>
      <c r="K12" s="4" t="s">
        <v>41</v>
      </c>
      <c r="L12" s="4" t="s">
        <v>41</v>
      </c>
      <c r="M12" s="4" t="s">
        <v>642</v>
      </c>
      <c r="N12" s="7" t="s">
        <v>643</v>
      </c>
      <c r="O12" s="7"/>
      <c r="P12" s="7"/>
    </row>
    <row r="13" spans="1:16" ht="40" customHeight="1">
      <c r="A13" s="8" t="s">
        <v>55</v>
      </c>
      <c r="B13" s="8" t="s">
        <v>56</v>
      </c>
      <c r="C13" s="8" t="s">
        <v>671</v>
      </c>
      <c r="D13" s="8" t="s">
        <v>637</v>
      </c>
      <c r="E13" s="8" t="s">
        <v>672</v>
      </c>
      <c r="F13" s="8" t="s">
        <v>673</v>
      </c>
      <c r="G13" s="8" t="s">
        <v>674</v>
      </c>
      <c r="H13" s="7" t="s">
        <v>42</v>
      </c>
      <c r="I13" s="7"/>
      <c r="J13" s="8" t="s">
        <v>641</v>
      </c>
      <c r="K13" s="8" t="s">
        <v>41</v>
      </c>
      <c r="L13" s="8" t="s">
        <v>41</v>
      </c>
      <c r="M13" s="8" t="s">
        <v>642</v>
      </c>
      <c r="N13" s="7" t="s">
        <v>643</v>
      </c>
      <c r="O13" s="7"/>
      <c r="P13" s="7"/>
    </row>
    <row r="14" spans="1:16" ht="40" customHeight="1">
      <c r="A14" s="4" t="s">
        <v>55</v>
      </c>
      <c r="B14" s="4" t="s">
        <v>56</v>
      </c>
      <c r="C14" s="4" t="s">
        <v>675</v>
      </c>
      <c r="D14" s="4" t="s">
        <v>645</v>
      </c>
      <c r="E14" s="4" t="s">
        <v>676</v>
      </c>
      <c r="F14" s="4" t="s">
        <v>677</v>
      </c>
      <c r="G14" s="4"/>
      <c r="H14" s="7" t="s">
        <v>42</v>
      </c>
      <c r="I14" s="7"/>
      <c r="J14" s="4" t="s">
        <v>641</v>
      </c>
      <c r="K14" s="4" t="s">
        <v>41</v>
      </c>
      <c r="L14" s="4" t="s">
        <v>41</v>
      </c>
      <c r="M14" s="4" t="s">
        <v>642</v>
      </c>
      <c r="N14" s="7" t="s">
        <v>643</v>
      </c>
      <c r="O14" s="7"/>
      <c r="P14" s="7"/>
    </row>
    <row r="15" spans="1:16" ht="40" customHeight="1">
      <c r="A15" s="8" t="s">
        <v>55</v>
      </c>
      <c r="B15" s="8" t="s">
        <v>56</v>
      </c>
      <c r="C15" s="8" t="s">
        <v>678</v>
      </c>
      <c r="D15" s="8" t="s">
        <v>653</v>
      </c>
      <c r="E15" s="8" t="s">
        <v>679</v>
      </c>
      <c r="F15" s="8" t="s">
        <v>680</v>
      </c>
      <c r="G15" s="8"/>
      <c r="H15" s="7" t="s">
        <v>42</v>
      </c>
      <c r="I15" s="7"/>
      <c r="J15" s="8" t="s">
        <v>641</v>
      </c>
      <c r="K15" s="8" t="s">
        <v>41</v>
      </c>
      <c r="L15" s="8" t="s">
        <v>41</v>
      </c>
      <c r="M15" s="8" t="s">
        <v>642</v>
      </c>
      <c r="N15" s="7" t="s">
        <v>643</v>
      </c>
      <c r="O15" s="7"/>
      <c r="P15" s="7"/>
    </row>
    <row r="16" spans="1:16" ht="40" customHeight="1">
      <c r="A16" s="4" t="s">
        <v>55</v>
      </c>
      <c r="B16" s="4" t="s">
        <v>56</v>
      </c>
      <c r="C16" s="4" t="s">
        <v>681</v>
      </c>
      <c r="D16" s="4" t="s">
        <v>662</v>
      </c>
      <c r="E16" s="4" t="s">
        <v>682</v>
      </c>
      <c r="F16" s="4" t="s">
        <v>683</v>
      </c>
      <c r="G16" s="4" t="s">
        <v>684</v>
      </c>
      <c r="H16" s="7" t="s">
        <v>42</v>
      </c>
      <c r="I16" s="7"/>
      <c r="J16" s="4" t="s">
        <v>641</v>
      </c>
      <c r="K16" s="4" t="s">
        <v>41</v>
      </c>
      <c r="L16" s="4" t="s">
        <v>41</v>
      </c>
      <c r="M16" s="4" t="s">
        <v>642</v>
      </c>
      <c r="N16" s="7" t="s">
        <v>643</v>
      </c>
      <c r="O16" s="7"/>
      <c r="P16" s="7"/>
    </row>
    <row r="17" spans="1:16" ht="40" customHeight="1">
      <c r="A17" s="8" t="s">
        <v>55</v>
      </c>
      <c r="B17" s="8" t="s">
        <v>56</v>
      </c>
      <c r="C17" s="8" t="s">
        <v>685</v>
      </c>
      <c r="D17" s="8" t="s">
        <v>667</v>
      </c>
      <c r="E17" s="8" t="s">
        <v>686</v>
      </c>
      <c r="F17" s="8" t="s">
        <v>687</v>
      </c>
      <c r="G17" s="8" t="s">
        <v>688</v>
      </c>
      <c r="H17" s="7" t="s">
        <v>42</v>
      </c>
      <c r="I17" s="7"/>
      <c r="J17" s="8" t="s">
        <v>641</v>
      </c>
      <c r="K17" s="8" t="s">
        <v>41</v>
      </c>
      <c r="L17" s="8" t="s">
        <v>41</v>
      </c>
      <c r="M17" s="8" t="s">
        <v>642</v>
      </c>
      <c r="N17" s="7" t="s">
        <v>643</v>
      </c>
      <c r="O17" s="7"/>
      <c r="P17" s="7"/>
    </row>
    <row r="18" spans="1:16" ht="40" customHeight="1">
      <c r="A18" s="4" t="s">
        <v>67</v>
      </c>
      <c r="B18" s="4" t="s">
        <v>68</v>
      </c>
      <c r="C18" s="4" t="s">
        <v>689</v>
      </c>
      <c r="D18" s="4" t="s">
        <v>637</v>
      </c>
      <c r="E18" s="4" t="s">
        <v>690</v>
      </c>
      <c r="F18" s="4" t="s">
        <v>691</v>
      </c>
      <c r="G18" s="4"/>
      <c r="H18" s="7" t="s">
        <v>42</v>
      </c>
      <c r="I18" s="7"/>
      <c r="J18" s="4" t="s">
        <v>641</v>
      </c>
      <c r="K18" s="4" t="s">
        <v>41</v>
      </c>
      <c r="L18" s="4" t="s">
        <v>41</v>
      </c>
      <c r="M18" s="4" t="s">
        <v>642</v>
      </c>
      <c r="N18" s="7" t="s">
        <v>643</v>
      </c>
      <c r="O18" s="7"/>
      <c r="P18" s="7"/>
    </row>
    <row r="19" spans="1:16" ht="40" customHeight="1">
      <c r="A19" s="8" t="s">
        <v>67</v>
      </c>
      <c r="B19" s="8" t="s">
        <v>68</v>
      </c>
      <c r="C19" s="8" t="s">
        <v>692</v>
      </c>
      <c r="D19" s="8" t="s">
        <v>693</v>
      </c>
      <c r="E19" s="8" t="s">
        <v>694</v>
      </c>
      <c r="F19" s="8" t="s">
        <v>691</v>
      </c>
      <c r="G19" s="8" t="s">
        <v>695</v>
      </c>
      <c r="H19" s="7" t="s">
        <v>42</v>
      </c>
      <c r="I19" s="7"/>
      <c r="J19" s="8" t="s">
        <v>641</v>
      </c>
      <c r="K19" s="8" t="s">
        <v>41</v>
      </c>
      <c r="L19" s="8" t="s">
        <v>41</v>
      </c>
      <c r="M19" s="8" t="s">
        <v>642</v>
      </c>
      <c r="N19" s="7" t="s">
        <v>643</v>
      </c>
      <c r="O19" s="7"/>
      <c r="P19" s="7"/>
    </row>
    <row r="20" spans="1:16" ht="40" customHeight="1">
      <c r="A20" s="4" t="s">
        <v>67</v>
      </c>
      <c r="B20" s="4" t="s">
        <v>68</v>
      </c>
      <c r="C20" s="4" t="s">
        <v>696</v>
      </c>
      <c r="D20" s="4" t="s">
        <v>697</v>
      </c>
      <c r="E20" s="4" t="s">
        <v>698</v>
      </c>
      <c r="F20" s="4" t="s">
        <v>691</v>
      </c>
      <c r="G20" s="4" t="s">
        <v>699</v>
      </c>
      <c r="H20" s="7" t="s">
        <v>42</v>
      </c>
      <c r="I20" s="7"/>
      <c r="J20" s="4" t="s">
        <v>641</v>
      </c>
      <c r="K20" s="4" t="s">
        <v>41</v>
      </c>
      <c r="L20" s="4" t="s">
        <v>41</v>
      </c>
      <c r="M20" s="4" t="s">
        <v>642</v>
      </c>
      <c r="N20" s="7" t="s">
        <v>643</v>
      </c>
      <c r="O20" s="7"/>
      <c r="P20" s="7"/>
    </row>
    <row r="21" spans="1:16" ht="40" customHeight="1">
      <c r="A21" s="8" t="s">
        <v>67</v>
      </c>
      <c r="B21" s="8" t="s">
        <v>68</v>
      </c>
      <c r="C21" s="8" t="s">
        <v>700</v>
      </c>
      <c r="D21" s="8" t="s">
        <v>701</v>
      </c>
      <c r="E21" s="8" t="s">
        <v>702</v>
      </c>
      <c r="F21" s="8" t="s">
        <v>691</v>
      </c>
      <c r="G21" s="8"/>
      <c r="H21" s="7" t="s">
        <v>42</v>
      </c>
      <c r="I21" s="7"/>
      <c r="J21" s="8" t="s">
        <v>641</v>
      </c>
      <c r="K21" s="8" t="s">
        <v>41</v>
      </c>
      <c r="L21" s="8" t="s">
        <v>41</v>
      </c>
      <c r="M21" s="8" t="s">
        <v>642</v>
      </c>
      <c r="N21" s="7" t="s">
        <v>643</v>
      </c>
      <c r="O21" s="7"/>
      <c r="P21" s="7"/>
    </row>
    <row r="22" spans="1:16" ht="40" customHeight="1">
      <c r="A22" s="4" t="s">
        <v>67</v>
      </c>
      <c r="B22" s="4" t="s">
        <v>68</v>
      </c>
      <c r="C22" s="4" t="s">
        <v>703</v>
      </c>
      <c r="D22" s="4" t="s">
        <v>704</v>
      </c>
      <c r="E22" s="4" t="s">
        <v>705</v>
      </c>
      <c r="F22" s="4" t="s">
        <v>706</v>
      </c>
      <c r="G22" s="4" t="s">
        <v>707</v>
      </c>
      <c r="H22" s="7" t="s">
        <v>42</v>
      </c>
      <c r="I22" s="7"/>
      <c r="J22" s="4" t="s">
        <v>641</v>
      </c>
      <c r="K22" s="4" t="s">
        <v>41</v>
      </c>
      <c r="L22" s="4" t="s">
        <v>41</v>
      </c>
      <c r="M22" s="4" t="s">
        <v>642</v>
      </c>
      <c r="N22" s="7" t="s">
        <v>643</v>
      </c>
      <c r="O22" s="7"/>
      <c r="P22" s="7"/>
    </row>
    <row r="23" spans="1:16" ht="40" customHeight="1">
      <c r="A23" s="8" t="s">
        <v>67</v>
      </c>
      <c r="B23" s="8" t="s">
        <v>68</v>
      </c>
      <c r="C23" s="8" t="s">
        <v>708</v>
      </c>
      <c r="D23" s="8" t="s">
        <v>704</v>
      </c>
      <c r="E23" s="8" t="s">
        <v>709</v>
      </c>
      <c r="F23" s="8" t="s">
        <v>706</v>
      </c>
      <c r="G23" s="8"/>
      <c r="H23" s="7" t="s">
        <v>42</v>
      </c>
      <c r="I23" s="7"/>
      <c r="J23" s="8" t="s">
        <v>641</v>
      </c>
      <c r="K23" s="8" t="s">
        <v>41</v>
      </c>
      <c r="L23" s="8" t="s">
        <v>41</v>
      </c>
      <c r="M23" s="8" t="s">
        <v>642</v>
      </c>
      <c r="N23" s="7" t="s">
        <v>643</v>
      </c>
      <c r="O23" s="7"/>
      <c r="P23" s="7"/>
    </row>
    <row r="24" spans="1:16" ht="40" customHeight="1">
      <c r="A24" s="4" t="s">
        <v>67</v>
      </c>
      <c r="B24" s="4" t="s">
        <v>68</v>
      </c>
      <c r="C24" s="4" t="s">
        <v>710</v>
      </c>
      <c r="D24" s="4" t="s">
        <v>704</v>
      </c>
      <c r="E24" s="4" t="s">
        <v>711</v>
      </c>
      <c r="F24" s="4" t="s">
        <v>706</v>
      </c>
      <c r="G24" s="4"/>
      <c r="H24" s="7" t="s">
        <v>42</v>
      </c>
      <c r="I24" s="7"/>
      <c r="J24" s="4" t="s">
        <v>641</v>
      </c>
      <c r="K24" s="4" t="s">
        <v>41</v>
      </c>
      <c r="L24" s="4" t="s">
        <v>41</v>
      </c>
      <c r="M24" s="4" t="s">
        <v>642</v>
      </c>
      <c r="N24" s="7" t="s">
        <v>643</v>
      </c>
      <c r="O24" s="7"/>
      <c r="P24" s="7"/>
    </row>
    <row r="25" spans="1:16" ht="40" customHeight="1">
      <c r="A25" s="8" t="s">
        <v>67</v>
      </c>
      <c r="B25" s="8" t="s">
        <v>68</v>
      </c>
      <c r="C25" s="8" t="s">
        <v>712</v>
      </c>
      <c r="D25" s="8" t="s">
        <v>704</v>
      </c>
      <c r="E25" s="8" t="s">
        <v>713</v>
      </c>
      <c r="F25" s="8" t="s">
        <v>706</v>
      </c>
      <c r="G25" s="8" t="s">
        <v>714</v>
      </c>
      <c r="H25" s="7" t="s">
        <v>42</v>
      </c>
      <c r="I25" s="7"/>
      <c r="J25" s="8" t="s">
        <v>641</v>
      </c>
      <c r="K25" s="8" t="s">
        <v>41</v>
      </c>
      <c r="L25" s="8" t="s">
        <v>41</v>
      </c>
      <c r="M25" s="8" t="s">
        <v>642</v>
      </c>
      <c r="N25" s="7" t="s">
        <v>643</v>
      </c>
      <c r="O25" s="7"/>
      <c r="P25" s="7"/>
    </row>
    <row r="26" spans="1:16" ht="40" customHeight="1">
      <c r="A26" s="4" t="s">
        <v>67</v>
      </c>
      <c r="B26" s="4" t="s">
        <v>68</v>
      </c>
      <c r="C26" s="4" t="s">
        <v>715</v>
      </c>
      <c r="D26" s="4" t="s">
        <v>704</v>
      </c>
      <c r="E26" s="4" t="s">
        <v>716</v>
      </c>
      <c r="F26" s="4" t="s">
        <v>706</v>
      </c>
      <c r="G26" s="4"/>
      <c r="H26" s="7" t="s">
        <v>42</v>
      </c>
      <c r="I26" s="7"/>
      <c r="J26" s="4" t="s">
        <v>641</v>
      </c>
      <c r="K26" s="4" t="s">
        <v>41</v>
      </c>
      <c r="L26" s="4" t="s">
        <v>41</v>
      </c>
      <c r="M26" s="4" t="s">
        <v>642</v>
      </c>
      <c r="N26" s="7" t="s">
        <v>643</v>
      </c>
      <c r="O26" s="7"/>
      <c r="P26" s="7"/>
    </row>
    <row r="27" spans="1:16" ht="40" customHeight="1">
      <c r="A27" s="8" t="s">
        <v>67</v>
      </c>
      <c r="B27" s="8" t="s">
        <v>68</v>
      </c>
      <c r="C27" s="8" t="s">
        <v>717</v>
      </c>
      <c r="D27" s="8" t="s">
        <v>718</v>
      </c>
      <c r="E27" s="8" t="s">
        <v>719</v>
      </c>
      <c r="F27" s="8" t="s">
        <v>720</v>
      </c>
      <c r="G27" s="8"/>
      <c r="H27" s="7" t="s">
        <v>42</v>
      </c>
      <c r="I27" s="7"/>
      <c r="J27" s="8" t="s">
        <v>641</v>
      </c>
      <c r="K27" s="8" t="s">
        <v>41</v>
      </c>
      <c r="L27" s="8" t="s">
        <v>41</v>
      </c>
      <c r="M27" s="8" t="s">
        <v>642</v>
      </c>
      <c r="N27" s="7" t="s">
        <v>643</v>
      </c>
      <c r="O27" s="7"/>
      <c r="P27" s="7"/>
    </row>
    <row r="28" spans="1:16" ht="40" customHeight="1">
      <c r="A28" s="4" t="s">
        <v>81</v>
      </c>
      <c r="B28" s="4" t="s">
        <v>82</v>
      </c>
      <c r="C28" s="4" t="s">
        <v>721</v>
      </c>
      <c r="D28" s="4" t="s">
        <v>722</v>
      </c>
      <c r="E28" s="4" t="s">
        <v>723</v>
      </c>
      <c r="F28" s="4" t="s">
        <v>724</v>
      </c>
      <c r="G28" s="4"/>
      <c r="H28" s="7" t="s">
        <v>42</v>
      </c>
      <c r="I28" s="7"/>
      <c r="J28" s="4" t="s">
        <v>641</v>
      </c>
      <c r="K28" s="4" t="s">
        <v>41</v>
      </c>
      <c r="L28" s="4" t="s">
        <v>41</v>
      </c>
      <c r="M28" s="4" t="s">
        <v>642</v>
      </c>
      <c r="N28" s="7" t="s">
        <v>643</v>
      </c>
      <c r="O28" s="7"/>
      <c r="P28" s="7"/>
    </row>
    <row r="29" spans="1:16" ht="40" customHeight="1">
      <c r="A29" s="8" t="s">
        <v>81</v>
      </c>
      <c r="B29" s="8" t="s">
        <v>82</v>
      </c>
      <c r="C29" s="8" t="s">
        <v>725</v>
      </c>
      <c r="D29" s="8" t="s">
        <v>693</v>
      </c>
      <c r="E29" s="8" t="s">
        <v>726</v>
      </c>
      <c r="F29" s="8" t="s">
        <v>727</v>
      </c>
      <c r="G29" s="8" t="s">
        <v>728</v>
      </c>
      <c r="H29" s="7" t="s">
        <v>42</v>
      </c>
      <c r="I29" s="7"/>
      <c r="J29" s="8" t="s">
        <v>641</v>
      </c>
      <c r="K29" s="8" t="s">
        <v>41</v>
      </c>
      <c r="L29" s="8" t="s">
        <v>41</v>
      </c>
      <c r="M29" s="8" t="s">
        <v>642</v>
      </c>
      <c r="N29" s="7" t="s">
        <v>643</v>
      </c>
      <c r="O29" s="7"/>
      <c r="P29" s="7"/>
    </row>
    <row r="30" spans="1:16" ht="40" customHeight="1">
      <c r="A30" s="4" t="s">
        <v>81</v>
      </c>
      <c r="B30" s="4" t="s">
        <v>82</v>
      </c>
      <c r="C30" s="4" t="s">
        <v>729</v>
      </c>
      <c r="D30" s="4" t="s">
        <v>645</v>
      </c>
      <c r="E30" s="4" t="s">
        <v>730</v>
      </c>
      <c r="F30" s="4" t="s">
        <v>731</v>
      </c>
      <c r="G30" s="4"/>
      <c r="H30" s="7" t="s">
        <v>42</v>
      </c>
      <c r="I30" s="7"/>
      <c r="J30" s="4" t="s">
        <v>641</v>
      </c>
      <c r="K30" s="4" t="s">
        <v>41</v>
      </c>
      <c r="L30" s="4" t="s">
        <v>41</v>
      </c>
      <c r="M30" s="4" t="s">
        <v>642</v>
      </c>
      <c r="N30" s="7" t="s">
        <v>643</v>
      </c>
      <c r="O30" s="7"/>
      <c r="P30" s="7"/>
    </row>
    <row r="31" spans="1:16" ht="40" customHeight="1">
      <c r="A31" s="8" t="s">
        <v>81</v>
      </c>
      <c r="B31" s="8" t="s">
        <v>82</v>
      </c>
      <c r="C31" s="8" t="s">
        <v>732</v>
      </c>
      <c r="D31" s="8" t="s">
        <v>704</v>
      </c>
      <c r="E31" s="8" t="s">
        <v>733</v>
      </c>
      <c r="F31" s="8" t="s">
        <v>734</v>
      </c>
      <c r="G31" s="8" t="s">
        <v>735</v>
      </c>
      <c r="H31" s="7" t="s">
        <v>42</v>
      </c>
      <c r="I31" s="7"/>
      <c r="J31" s="8" t="s">
        <v>641</v>
      </c>
      <c r="K31" s="8" t="s">
        <v>41</v>
      </c>
      <c r="L31" s="8" t="s">
        <v>41</v>
      </c>
      <c r="M31" s="8" t="s">
        <v>642</v>
      </c>
      <c r="N31" s="7" t="s">
        <v>643</v>
      </c>
      <c r="O31" s="7"/>
      <c r="P31" s="7"/>
    </row>
    <row r="32" spans="1:16" ht="40" customHeight="1">
      <c r="A32" s="4" t="s">
        <v>81</v>
      </c>
      <c r="B32" s="4" t="s">
        <v>82</v>
      </c>
      <c r="C32" s="4" t="s">
        <v>736</v>
      </c>
      <c r="D32" s="4" t="s">
        <v>653</v>
      </c>
      <c r="E32" s="4" t="s">
        <v>737</v>
      </c>
      <c r="F32" s="4" t="s">
        <v>738</v>
      </c>
      <c r="G32" s="4"/>
      <c r="H32" s="7" t="s">
        <v>42</v>
      </c>
      <c r="I32" s="7"/>
      <c r="J32" s="4" t="s">
        <v>641</v>
      </c>
      <c r="K32" s="4" t="s">
        <v>41</v>
      </c>
      <c r="L32" s="4" t="s">
        <v>41</v>
      </c>
      <c r="M32" s="4" t="s">
        <v>642</v>
      </c>
      <c r="N32" s="7" t="s">
        <v>643</v>
      </c>
      <c r="O32" s="7"/>
      <c r="P32" s="7"/>
    </row>
    <row r="33" spans="1:16" ht="40" customHeight="1">
      <c r="A33" s="8" t="s">
        <v>81</v>
      </c>
      <c r="B33" s="8" t="s">
        <v>82</v>
      </c>
      <c r="C33" s="8" t="s">
        <v>739</v>
      </c>
      <c r="D33" s="8" t="s">
        <v>740</v>
      </c>
      <c r="E33" s="8" t="s">
        <v>741</v>
      </c>
      <c r="F33" s="8" t="s">
        <v>742</v>
      </c>
      <c r="G33" s="8"/>
      <c r="H33" s="7" t="s">
        <v>42</v>
      </c>
      <c r="I33" s="7"/>
      <c r="J33" s="8" t="s">
        <v>641</v>
      </c>
      <c r="K33" s="8" t="s">
        <v>41</v>
      </c>
      <c r="L33" s="8" t="s">
        <v>41</v>
      </c>
      <c r="M33" s="8" t="s">
        <v>642</v>
      </c>
      <c r="N33" s="7" t="s">
        <v>643</v>
      </c>
      <c r="O33" s="7"/>
      <c r="P33" s="7"/>
    </row>
    <row r="34" spans="1:16" ht="40" customHeight="1">
      <c r="A34" s="4" t="s">
        <v>81</v>
      </c>
      <c r="B34" s="4" t="s">
        <v>82</v>
      </c>
      <c r="C34" s="4" t="s">
        <v>743</v>
      </c>
      <c r="D34" s="4" t="s">
        <v>744</v>
      </c>
      <c r="E34" s="4" t="s">
        <v>745</v>
      </c>
      <c r="F34" s="4" t="s">
        <v>746</v>
      </c>
      <c r="G34" s="4" t="s">
        <v>747</v>
      </c>
      <c r="H34" s="7" t="s">
        <v>42</v>
      </c>
      <c r="I34" s="7"/>
      <c r="J34" s="4" t="s">
        <v>641</v>
      </c>
      <c r="K34" s="4" t="s">
        <v>41</v>
      </c>
      <c r="L34" s="4" t="s">
        <v>41</v>
      </c>
      <c r="M34" s="4" t="s">
        <v>642</v>
      </c>
      <c r="N34" s="7" t="s">
        <v>643</v>
      </c>
      <c r="O34" s="7"/>
      <c r="P34" s="7"/>
    </row>
    <row r="35" spans="1:16" ht="40" customHeight="1">
      <c r="A35" s="8" t="s">
        <v>92</v>
      </c>
      <c r="B35" s="8" t="s">
        <v>93</v>
      </c>
      <c r="C35" s="8" t="s">
        <v>748</v>
      </c>
      <c r="D35" s="8" t="s">
        <v>749</v>
      </c>
      <c r="E35" s="8" t="s">
        <v>750</v>
      </c>
      <c r="F35" s="8" t="s">
        <v>751</v>
      </c>
      <c r="G35" s="8"/>
      <c r="H35" s="7" t="s">
        <v>42</v>
      </c>
      <c r="I35" s="7"/>
      <c r="J35" s="8" t="s">
        <v>641</v>
      </c>
      <c r="K35" s="8" t="s">
        <v>41</v>
      </c>
      <c r="L35" s="8" t="s">
        <v>41</v>
      </c>
      <c r="M35" s="8" t="s">
        <v>642</v>
      </c>
      <c r="N35" s="7" t="s">
        <v>643</v>
      </c>
      <c r="O35" s="7"/>
      <c r="P35" s="7"/>
    </row>
    <row r="36" spans="1:16" ht="40" customHeight="1">
      <c r="A36" s="4" t="s">
        <v>92</v>
      </c>
      <c r="B36" s="4" t="s">
        <v>93</v>
      </c>
      <c r="C36" s="4" t="s">
        <v>752</v>
      </c>
      <c r="D36" s="4" t="s">
        <v>693</v>
      </c>
      <c r="E36" s="4" t="s">
        <v>694</v>
      </c>
      <c r="F36" s="4" t="s">
        <v>751</v>
      </c>
      <c r="G36" s="4" t="s">
        <v>753</v>
      </c>
      <c r="H36" s="7" t="s">
        <v>42</v>
      </c>
      <c r="I36" s="7"/>
      <c r="J36" s="4" t="s">
        <v>641</v>
      </c>
      <c r="K36" s="4" t="s">
        <v>41</v>
      </c>
      <c r="L36" s="4" t="s">
        <v>41</v>
      </c>
      <c r="M36" s="4" t="s">
        <v>642</v>
      </c>
      <c r="N36" s="7" t="s">
        <v>643</v>
      </c>
      <c r="O36" s="7"/>
      <c r="P36" s="7"/>
    </row>
    <row r="37" spans="1:16" ht="40" customHeight="1">
      <c r="A37" s="8" t="s">
        <v>92</v>
      </c>
      <c r="B37" s="8" t="s">
        <v>93</v>
      </c>
      <c r="C37" s="8" t="s">
        <v>754</v>
      </c>
      <c r="D37" s="8" t="s">
        <v>755</v>
      </c>
      <c r="E37" s="8" t="s">
        <v>756</v>
      </c>
      <c r="F37" s="8" t="s">
        <v>751</v>
      </c>
      <c r="G37" s="8" t="s">
        <v>757</v>
      </c>
      <c r="H37" s="7" t="s">
        <v>42</v>
      </c>
      <c r="I37" s="7"/>
      <c r="J37" s="8" t="s">
        <v>641</v>
      </c>
      <c r="K37" s="8" t="s">
        <v>41</v>
      </c>
      <c r="L37" s="8" t="s">
        <v>41</v>
      </c>
      <c r="M37" s="8" t="s">
        <v>642</v>
      </c>
      <c r="N37" s="7" t="s">
        <v>643</v>
      </c>
      <c r="O37" s="7"/>
      <c r="P37" s="7"/>
    </row>
    <row r="38" spans="1:16" ht="40" customHeight="1">
      <c r="A38" s="4" t="s">
        <v>92</v>
      </c>
      <c r="B38" s="4" t="s">
        <v>93</v>
      </c>
      <c r="C38" s="4" t="s">
        <v>758</v>
      </c>
      <c r="D38" s="4" t="s">
        <v>704</v>
      </c>
      <c r="E38" s="4" t="s">
        <v>759</v>
      </c>
      <c r="F38" s="4" t="s">
        <v>760</v>
      </c>
      <c r="G38" s="4" t="s">
        <v>761</v>
      </c>
      <c r="H38" s="7" t="s">
        <v>42</v>
      </c>
      <c r="I38" s="7"/>
      <c r="J38" s="4" t="s">
        <v>641</v>
      </c>
      <c r="K38" s="4" t="s">
        <v>41</v>
      </c>
      <c r="L38" s="4" t="s">
        <v>41</v>
      </c>
      <c r="M38" s="4" t="s">
        <v>642</v>
      </c>
      <c r="N38" s="7" t="s">
        <v>643</v>
      </c>
      <c r="O38" s="7"/>
      <c r="P38" s="7"/>
    </row>
    <row r="39" spans="1:16" ht="40" customHeight="1">
      <c r="A39" s="8" t="s">
        <v>92</v>
      </c>
      <c r="B39" s="8" t="s">
        <v>93</v>
      </c>
      <c r="C39" s="8" t="s">
        <v>762</v>
      </c>
      <c r="D39" s="8" t="s">
        <v>704</v>
      </c>
      <c r="E39" s="8" t="s">
        <v>763</v>
      </c>
      <c r="F39" s="8" t="s">
        <v>760</v>
      </c>
      <c r="G39" s="8" t="s">
        <v>764</v>
      </c>
      <c r="H39" s="7" t="s">
        <v>42</v>
      </c>
      <c r="I39" s="7"/>
      <c r="J39" s="8" t="s">
        <v>641</v>
      </c>
      <c r="K39" s="8" t="s">
        <v>41</v>
      </c>
      <c r="L39" s="8" t="s">
        <v>41</v>
      </c>
      <c r="M39" s="8" t="s">
        <v>642</v>
      </c>
      <c r="N39" s="7" t="s">
        <v>643</v>
      </c>
      <c r="O39" s="7"/>
      <c r="P39" s="7"/>
    </row>
    <row r="40" spans="1:16" ht="40" customHeight="1">
      <c r="A40" s="4" t="s">
        <v>92</v>
      </c>
      <c r="B40" s="4" t="s">
        <v>93</v>
      </c>
      <c r="C40" s="4" t="s">
        <v>765</v>
      </c>
      <c r="D40" s="4" t="s">
        <v>701</v>
      </c>
      <c r="E40" s="4" t="s">
        <v>766</v>
      </c>
      <c r="F40" s="4" t="s">
        <v>767</v>
      </c>
      <c r="G40" s="4"/>
      <c r="H40" s="7" t="s">
        <v>42</v>
      </c>
      <c r="I40" s="7"/>
      <c r="J40" s="4" t="s">
        <v>641</v>
      </c>
      <c r="K40" s="4" t="s">
        <v>41</v>
      </c>
      <c r="L40" s="4" t="s">
        <v>41</v>
      </c>
      <c r="M40" s="4" t="s">
        <v>642</v>
      </c>
      <c r="N40" s="7" t="s">
        <v>643</v>
      </c>
      <c r="O40" s="7"/>
      <c r="P40" s="7"/>
    </row>
    <row r="41" spans="1:16" ht="40" customHeight="1">
      <c r="A41" s="8" t="s">
        <v>92</v>
      </c>
      <c r="B41" s="8" t="s">
        <v>93</v>
      </c>
      <c r="C41" s="8" t="s">
        <v>768</v>
      </c>
      <c r="D41" s="8" t="s">
        <v>769</v>
      </c>
      <c r="E41" s="8" t="s">
        <v>770</v>
      </c>
      <c r="F41" s="8" t="s">
        <v>771</v>
      </c>
      <c r="G41" s="8"/>
      <c r="H41" s="7" t="s">
        <v>42</v>
      </c>
      <c r="I41" s="7"/>
      <c r="J41" s="8" t="s">
        <v>641</v>
      </c>
      <c r="K41" s="8" t="s">
        <v>41</v>
      </c>
      <c r="L41" s="8" t="s">
        <v>41</v>
      </c>
      <c r="M41" s="8" t="s">
        <v>642</v>
      </c>
      <c r="N41" s="7" t="s">
        <v>643</v>
      </c>
      <c r="O41" s="7"/>
      <c r="P41" s="7"/>
    </row>
    <row r="42" spans="1:16" ht="40" customHeight="1">
      <c r="A42" s="4" t="s">
        <v>107</v>
      </c>
      <c r="B42" s="4" t="s">
        <v>108</v>
      </c>
      <c r="C42" s="4" t="s">
        <v>772</v>
      </c>
      <c r="D42" s="4" t="s">
        <v>773</v>
      </c>
      <c r="E42" s="4" t="s">
        <v>774</v>
      </c>
      <c r="F42" s="4" t="s">
        <v>775</v>
      </c>
      <c r="G42" s="4" t="s">
        <v>776</v>
      </c>
      <c r="H42" s="7" t="s">
        <v>42</v>
      </c>
      <c r="I42" s="7"/>
      <c r="J42" s="4" t="s">
        <v>641</v>
      </c>
      <c r="K42" s="4" t="s">
        <v>41</v>
      </c>
      <c r="L42" s="4" t="s">
        <v>41</v>
      </c>
      <c r="M42" s="4" t="s">
        <v>642</v>
      </c>
      <c r="N42" s="7" t="s">
        <v>643</v>
      </c>
      <c r="O42" s="7"/>
      <c r="P42" s="7"/>
    </row>
    <row r="43" spans="1:16" ht="40" customHeight="1">
      <c r="A43" s="8" t="s">
        <v>107</v>
      </c>
      <c r="B43" s="8" t="s">
        <v>108</v>
      </c>
      <c r="C43" s="8" t="s">
        <v>777</v>
      </c>
      <c r="D43" s="8" t="s">
        <v>693</v>
      </c>
      <c r="E43" s="8" t="s">
        <v>778</v>
      </c>
      <c r="F43" s="8" t="s">
        <v>779</v>
      </c>
      <c r="G43" s="8" t="s">
        <v>780</v>
      </c>
      <c r="H43" s="7" t="s">
        <v>42</v>
      </c>
      <c r="I43" s="7"/>
      <c r="J43" s="8" t="s">
        <v>641</v>
      </c>
      <c r="K43" s="8" t="s">
        <v>41</v>
      </c>
      <c r="L43" s="8" t="s">
        <v>41</v>
      </c>
      <c r="M43" s="8" t="s">
        <v>642</v>
      </c>
      <c r="N43" s="7" t="s">
        <v>643</v>
      </c>
      <c r="O43" s="7"/>
      <c r="P43" s="7"/>
    </row>
    <row r="44" spans="1:16" ht="40" customHeight="1">
      <c r="A44" s="4" t="s">
        <v>107</v>
      </c>
      <c r="B44" s="4" t="s">
        <v>108</v>
      </c>
      <c r="C44" s="4" t="s">
        <v>781</v>
      </c>
      <c r="D44" s="4" t="s">
        <v>755</v>
      </c>
      <c r="E44" s="4" t="s">
        <v>782</v>
      </c>
      <c r="F44" s="4" t="s">
        <v>775</v>
      </c>
      <c r="G44" s="4" t="s">
        <v>783</v>
      </c>
      <c r="H44" s="7" t="s">
        <v>42</v>
      </c>
      <c r="I44" s="7"/>
      <c r="J44" s="4" t="s">
        <v>641</v>
      </c>
      <c r="K44" s="4" t="s">
        <v>41</v>
      </c>
      <c r="L44" s="4" t="s">
        <v>41</v>
      </c>
      <c r="M44" s="4" t="s">
        <v>642</v>
      </c>
      <c r="N44" s="7" t="s">
        <v>643</v>
      </c>
      <c r="O44" s="7"/>
      <c r="P44" s="7"/>
    </row>
    <row r="45" spans="1:16" ht="40" customHeight="1">
      <c r="A45" s="8" t="s">
        <v>107</v>
      </c>
      <c r="B45" s="8" t="s">
        <v>108</v>
      </c>
      <c r="C45" s="8" t="s">
        <v>784</v>
      </c>
      <c r="D45" s="8" t="s">
        <v>785</v>
      </c>
      <c r="E45" s="8" t="s">
        <v>786</v>
      </c>
      <c r="F45" s="8" t="s">
        <v>787</v>
      </c>
      <c r="G45" s="8" t="s">
        <v>788</v>
      </c>
      <c r="H45" s="7" t="s">
        <v>42</v>
      </c>
      <c r="I45" s="7"/>
      <c r="J45" s="8" t="s">
        <v>641</v>
      </c>
      <c r="K45" s="8" t="s">
        <v>41</v>
      </c>
      <c r="L45" s="8" t="s">
        <v>41</v>
      </c>
      <c r="M45" s="8" t="s">
        <v>642</v>
      </c>
      <c r="N45" s="7" t="s">
        <v>643</v>
      </c>
      <c r="O45" s="7"/>
      <c r="P45" s="7"/>
    </row>
    <row r="46" spans="1:16" ht="40" customHeight="1">
      <c r="A46" s="4" t="s">
        <v>107</v>
      </c>
      <c r="B46" s="4" t="s">
        <v>108</v>
      </c>
      <c r="C46" s="4" t="s">
        <v>789</v>
      </c>
      <c r="D46" s="4" t="s">
        <v>790</v>
      </c>
      <c r="E46" s="4" t="s">
        <v>791</v>
      </c>
      <c r="F46" s="4" t="s">
        <v>792</v>
      </c>
      <c r="G46" s="4" t="s">
        <v>793</v>
      </c>
      <c r="H46" s="7" t="s">
        <v>42</v>
      </c>
      <c r="I46" s="7"/>
      <c r="J46" s="4" t="s">
        <v>641</v>
      </c>
      <c r="K46" s="4" t="s">
        <v>41</v>
      </c>
      <c r="L46" s="4" t="s">
        <v>41</v>
      </c>
      <c r="M46" s="4" t="s">
        <v>642</v>
      </c>
      <c r="N46" s="7" t="s">
        <v>643</v>
      </c>
      <c r="O46" s="7"/>
      <c r="P46" s="7"/>
    </row>
    <row r="47" spans="1:16" ht="40" customHeight="1">
      <c r="A47" s="8" t="s">
        <v>121</v>
      </c>
      <c r="B47" s="8" t="s">
        <v>122</v>
      </c>
      <c r="C47" s="8" t="s">
        <v>794</v>
      </c>
      <c r="D47" s="8" t="s">
        <v>795</v>
      </c>
      <c r="E47" s="8" t="s">
        <v>796</v>
      </c>
      <c r="F47" s="8" t="s">
        <v>797</v>
      </c>
      <c r="G47" s="8" t="s">
        <v>798</v>
      </c>
      <c r="H47" s="7" t="s">
        <v>42</v>
      </c>
      <c r="I47" s="7"/>
      <c r="J47" s="8" t="s">
        <v>641</v>
      </c>
      <c r="K47" s="8" t="s">
        <v>41</v>
      </c>
      <c r="L47" s="8" t="s">
        <v>41</v>
      </c>
      <c r="M47" s="8" t="s">
        <v>642</v>
      </c>
      <c r="N47" s="7" t="s">
        <v>643</v>
      </c>
      <c r="O47" s="7"/>
      <c r="P47" s="7"/>
    </row>
    <row r="48" spans="1:16" ht="40" customHeight="1">
      <c r="A48" s="4" t="s">
        <v>121</v>
      </c>
      <c r="B48" s="4" t="s">
        <v>122</v>
      </c>
      <c r="C48" s="4" t="s">
        <v>799</v>
      </c>
      <c r="D48" s="4" t="s">
        <v>693</v>
      </c>
      <c r="E48" s="4" t="s">
        <v>800</v>
      </c>
      <c r="F48" s="4" t="s">
        <v>801</v>
      </c>
      <c r="G48" s="4" t="s">
        <v>802</v>
      </c>
      <c r="H48" s="7" t="s">
        <v>42</v>
      </c>
      <c r="I48" s="7"/>
      <c r="J48" s="4" t="s">
        <v>641</v>
      </c>
      <c r="K48" s="4" t="s">
        <v>41</v>
      </c>
      <c r="L48" s="4" t="s">
        <v>41</v>
      </c>
      <c r="M48" s="4" t="s">
        <v>642</v>
      </c>
      <c r="N48" s="7" t="s">
        <v>643</v>
      </c>
      <c r="O48" s="7"/>
      <c r="P48" s="7"/>
    </row>
    <row r="49" spans="1:16" ht="40" customHeight="1">
      <c r="A49" s="8" t="s">
        <v>121</v>
      </c>
      <c r="B49" s="8" t="s">
        <v>122</v>
      </c>
      <c r="C49" s="8" t="s">
        <v>803</v>
      </c>
      <c r="D49" s="8" t="s">
        <v>755</v>
      </c>
      <c r="E49" s="8" t="s">
        <v>804</v>
      </c>
      <c r="F49" s="8" t="s">
        <v>805</v>
      </c>
      <c r="G49" s="8" t="s">
        <v>806</v>
      </c>
      <c r="H49" s="7" t="s">
        <v>42</v>
      </c>
      <c r="I49" s="7"/>
      <c r="J49" s="8" t="s">
        <v>641</v>
      </c>
      <c r="K49" s="8" t="s">
        <v>41</v>
      </c>
      <c r="L49" s="8" t="s">
        <v>41</v>
      </c>
      <c r="M49" s="8" t="s">
        <v>642</v>
      </c>
      <c r="N49" s="7" t="s">
        <v>643</v>
      </c>
      <c r="O49" s="7"/>
      <c r="P49" s="7"/>
    </row>
    <row r="50" spans="1:16" ht="40" customHeight="1">
      <c r="A50" s="4" t="s">
        <v>121</v>
      </c>
      <c r="B50" s="4" t="s">
        <v>122</v>
      </c>
      <c r="C50" s="4" t="s">
        <v>807</v>
      </c>
      <c r="D50" s="4" t="s">
        <v>808</v>
      </c>
      <c r="E50" s="4" t="s">
        <v>809</v>
      </c>
      <c r="F50" s="4" t="s">
        <v>810</v>
      </c>
      <c r="G50" s="4" t="s">
        <v>811</v>
      </c>
      <c r="H50" s="7" t="s">
        <v>42</v>
      </c>
      <c r="I50" s="7"/>
      <c r="J50" s="4" t="s">
        <v>641</v>
      </c>
      <c r="K50" s="4" t="s">
        <v>41</v>
      </c>
      <c r="L50" s="4" t="s">
        <v>41</v>
      </c>
      <c r="M50" s="4" t="s">
        <v>642</v>
      </c>
      <c r="N50" s="7" t="s">
        <v>643</v>
      </c>
      <c r="O50" s="7"/>
      <c r="P50" s="7"/>
    </row>
    <row r="51" spans="1:16" ht="40" customHeight="1">
      <c r="A51" s="8" t="s">
        <v>121</v>
      </c>
      <c r="B51" s="8" t="s">
        <v>122</v>
      </c>
      <c r="C51" s="8" t="s">
        <v>812</v>
      </c>
      <c r="D51" s="8" t="s">
        <v>813</v>
      </c>
      <c r="E51" s="8" t="s">
        <v>814</v>
      </c>
      <c r="F51" s="8" t="s">
        <v>805</v>
      </c>
      <c r="G51" s="8" t="s">
        <v>815</v>
      </c>
      <c r="H51" s="7" t="s">
        <v>42</v>
      </c>
      <c r="I51" s="7"/>
      <c r="J51" s="8" t="s">
        <v>641</v>
      </c>
      <c r="K51" s="8" t="s">
        <v>41</v>
      </c>
      <c r="L51" s="8" t="s">
        <v>41</v>
      </c>
      <c r="M51" s="8" t="s">
        <v>642</v>
      </c>
      <c r="N51" s="7" t="s">
        <v>643</v>
      </c>
      <c r="O51" s="7"/>
      <c r="P51" s="7"/>
    </row>
    <row r="52" spans="1:16" ht="40" customHeight="1">
      <c r="A52" s="4" t="s">
        <v>121</v>
      </c>
      <c r="B52" s="4" t="s">
        <v>122</v>
      </c>
      <c r="C52" s="4" t="s">
        <v>816</v>
      </c>
      <c r="D52" s="4" t="s">
        <v>813</v>
      </c>
      <c r="E52" s="4" t="s">
        <v>817</v>
      </c>
      <c r="F52" s="4" t="s">
        <v>805</v>
      </c>
      <c r="G52" s="4"/>
      <c r="H52" s="7" t="s">
        <v>42</v>
      </c>
      <c r="I52" s="7"/>
      <c r="J52" s="4" t="s">
        <v>641</v>
      </c>
      <c r="K52" s="4" t="s">
        <v>41</v>
      </c>
      <c r="L52" s="4" t="s">
        <v>41</v>
      </c>
      <c r="M52" s="4" t="s">
        <v>642</v>
      </c>
      <c r="N52" s="7" t="s">
        <v>643</v>
      </c>
      <c r="O52" s="7"/>
      <c r="P52" s="7"/>
    </row>
    <row r="53" spans="1:16" ht="40" customHeight="1">
      <c r="A53" s="8" t="s">
        <v>121</v>
      </c>
      <c r="B53" s="8" t="s">
        <v>122</v>
      </c>
      <c r="C53" s="8" t="s">
        <v>818</v>
      </c>
      <c r="D53" s="8" t="s">
        <v>813</v>
      </c>
      <c r="E53" s="8" t="s">
        <v>819</v>
      </c>
      <c r="F53" s="8" t="s">
        <v>805</v>
      </c>
      <c r="G53" s="8" t="s">
        <v>820</v>
      </c>
      <c r="H53" s="7" t="s">
        <v>42</v>
      </c>
      <c r="I53" s="7"/>
      <c r="J53" s="8" t="s">
        <v>641</v>
      </c>
      <c r="K53" s="8" t="s">
        <v>41</v>
      </c>
      <c r="L53" s="8" t="s">
        <v>41</v>
      </c>
      <c r="M53" s="8" t="s">
        <v>642</v>
      </c>
      <c r="N53" s="7" t="s">
        <v>643</v>
      </c>
      <c r="O53" s="7"/>
      <c r="P53" s="7"/>
    </row>
    <row r="54" spans="1:16" ht="40" customHeight="1">
      <c r="A54" s="4" t="s">
        <v>136</v>
      </c>
      <c r="B54" s="4" t="s">
        <v>137</v>
      </c>
      <c r="C54" s="4" t="s">
        <v>821</v>
      </c>
      <c r="D54" s="4" t="s">
        <v>693</v>
      </c>
      <c r="E54" s="4" t="s">
        <v>822</v>
      </c>
      <c r="F54" s="4" t="s">
        <v>823</v>
      </c>
      <c r="G54" s="4"/>
      <c r="H54" s="7" t="s">
        <v>42</v>
      </c>
      <c r="I54" s="7"/>
      <c r="J54" s="4" t="s">
        <v>641</v>
      </c>
      <c r="K54" s="4" t="s">
        <v>41</v>
      </c>
      <c r="L54" s="4" t="s">
        <v>41</v>
      </c>
      <c r="M54" s="4" t="s">
        <v>642</v>
      </c>
      <c r="N54" s="7" t="s">
        <v>643</v>
      </c>
      <c r="O54" s="7"/>
      <c r="P54" s="7"/>
    </row>
    <row r="55" spans="1:16" ht="40" customHeight="1">
      <c r="A55" s="8" t="s">
        <v>136</v>
      </c>
      <c r="B55" s="8" t="s">
        <v>137</v>
      </c>
      <c r="C55" s="8" t="s">
        <v>824</v>
      </c>
      <c r="D55" s="8" t="s">
        <v>755</v>
      </c>
      <c r="E55" s="8" t="s">
        <v>825</v>
      </c>
      <c r="F55" s="8" t="s">
        <v>823</v>
      </c>
      <c r="G55" s="8" t="s">
        <v>826</v>
      </c>
      <c r="H55" s="7" t="s">
        <v>42</v>
      </c>
      <c r="I55" s="7"/>
      <c r="J55" s="8" t="s">
        <v>641</v>
      </c>
      <c r="K55" s="8" t="s">
        <v>41</v>
      </c>
      <c r="L55" s="8" t="s">
        <v>41</v>
      </c>
      <c r="M55" s="8" t="s">
        <v>642</v>
      </c>
      <c r="N55" s="7" t="s">
        <v>643</v>
      </c>
      <c r="O55" s="7"/>
      <c r="P55" s="7"/>
    </row>
    <row r="56" spans="1:16" ht="40" customHeight="1">
      <c r="A56" s="4" t="s">
        <v>136</v>
      </c>
      <c r="B56" s="4" t="s">
        <v>137</v>
      </c>
      <c r="C56" s="4" t="s">
        <v>827</v>
      </c>
      <c r="D56" s="4" t="s">
        <v>795</v>
      </c>
      <c r="E56" s="4" t="s">
        <v>828</v>
      </c>
      <c r="F56" s="4" t="s">
        <v>829</v>
      </c>
      <c r="G56" s="4" t="s">
        <v>830</v>
      </c>
      <c r="H56" s="7" t="s">
        <v>42</v>
      </c>
      <c r="I56" s="7"/>
      <c r="J56" s="4" t="s">
        <v>641</v>
      </c>
      <c r="K56" s="4" t="s">
        <v>41</v>
      </c>
      <c r="L56" s="4" t="s">
        <v>41</v>
      </c>
      <c r="M56" s="4" t="s">
        <v>642</v>
      </c>
      <c r="N56" s="7" t="s">
        <v>643</v>
      </c>
      <c r="O56" s="7"/>
      <c r="P56" s="7"/>
    </row>
    <row r="57" spans="1:16" ht="40" customHeight="1">
      <c r="A57" s="8" t="s">
        <v>136</v>
      </c>
      <c r="B57" s="8" t="s">
        <v>137</v>
      </c>
      <c r="C57" s="8" t="s">
        <v>831</v>
      </c>
      <c r="D57" s="8" t="s">
        <v>832</v>
      </c>
      <c r="E57" s="8" t="s">
        <v>833</v>
      </c>
      <c r="F57" s="8" t="s">
        <v>834</v>
      </c>
      <c r="G57" s="8" t="s">
        <v>835</v>
      </c>
      <c r="H57" s="7" t="s">
        <v>42</v>
      </c>
      <c r="I57" s="7"/>
      <c r="J57" s="8" t="s">
        <v>641</v>
      </c>
      <c r="K57" s="8" t="s">
        <v>41</v>
      </c>
      <c r="L57" s="8" t="s">
        <v>41</v>
      </c>
      <c r="M57" s="8" t="s">
        <v>642</v>
      </c>
      <c r="N57" s="7" t="s">
        <v>643</v>
      </c>
      <c r="O57" s="7"/>
      <c r="P57" s="7"/>
    </row>
    <row r="58" spans="1:16" ht="40" customHeight="1">
      <c r="A58" s="4" t="s">
        <v>147</v>
      </c>
      <c r="B58" s="4" t="s">
        <v>148</v>
      </c>
      <c r="C58" s="4" t="s">
        <v>836</v>
      </c>
      <c r="D58" s="4" t="s">
        <v>837</v>
      </c>
      <c r="E58" s="4" t="s">
        <v>838</v>
      </c>
      <c r="F58" s="4" t="s">
        <v>839</v>
      </c>
      <c r="G58" s="4"/>
      <c r="H58" s="7" t="s">
        <v>42</v>
      </c>
      <c r="I58" s="7"/>
      <c r="J58" s="4" t="s">
        <v>641</v>
      </c>
      <c r="K58" s="4" t="s">
        <v>41</v>
      </c>
      <c r="L58" s="4" t="s">
        <v>41</v>
      </c>
      <c r="M58" s="4" t="s">
        <v>642</v>
      </c>
      <c r="N58" s="7" t="s">
        <v>643</v>
      </c>
      <c r="O58" s="7"/>
      <c r="P58" s="7"/>
    </row>
    <row r="59" spans="1:16" ht="40" customHeight="1">
      <c r="A59" s="8" t="s">
        <v>147</v>
      </c>
      <c r="B59" s="8" t="s">
        <v>148</v>
      </c>
      <c r="C59" s="8" t="s">
        <v>840</v>
      </c>
      <c r="D59" s="8" t="s">
        <v>841</v>
      </c>
      <c r="E59" s="8" t="s">
        <v>842</v>
      </c>
      <c r="F59" s="8" t="s">
        <v>843</v>
      </c>
      <c r="G59" s="8"/>
      <c r="H59" s="7" t="s">
        <v>42</v>
      </c>
      <c r="I59" s="7"/>
      <c r="J59" s="8" t="s">
        <v>641</v>
      </c>
      <c r="K59" s="8" t="s">
        <v>41</v>
      </c>
      <c r="L59" s="8" t="s">
        <v>41</v>
      </c>
      <c r="M59" s="8" t="s">
        <v>642</v>
      </c>
      <c r="N59" s="7" t="s">
        <v>643</v>
      </c>
      <c r="O59" s="7"/>
      <c r="P59" s="7"/>
    </row>
    <row r="60" spans="1:16" ht="40" customHeight="1">
      <c r="A60" s="4" t="s">
        <v>147</v>
      </c>
      <c r="B60" s="4" t="s">
        <v>148</v>
      </c>
      <c r="C60" s="4" t="s">
        <v>844</v>
      </c>
      <c r="D60" s="4" t="s">
        <v>755</v>
      </c>
      <c r="E60" s="4" t="s">
        <v>845</v>
      </c>
      <c r="F60" s="4" t="s">
        <v>846</v>
      </c>
      <c r="G60" s="4"/>
      <c r="H60" s="7" t="s">
        <v>42</v>
      </c>
      <c r="I60" s="7"/>
      <c r="J60" s="4" t="s">
        <v>641</v>
      </c>
      <c r="K60" s="4" t="s">
        <v>41</v>
      </c>
      <c r="L60" s="4" t="s">
        <v>41</v>
      </c>
      <c r="M60" s="4" t="s">
        <v>642</v>
      </c>
      <c r="N60" s="7" t="s">
        <v>643</v>
      </c>
      <c r="O60" s="7"/>
      <c r="P60" s="7"/>
    </row>
    <row r="61" spans="1:16" ht="40" customHeight="1">
      <c r="A61" s="8" t="s">
        <v>147</v>
      </c>
      <c r="B61" s="8" t="s">
        <v>148</v>
      </c>
      <c r="C61" s="8" t="s">
        <v>847</v>
      </c>
      <c r="D61" s="8" t="s">
        <v>848</v>
      </c>
      <c r="E61" s="8" t="s">
        <v>849</v>
      </c>
      <c r="F61" s="8" t="s">
        <v>850</v>
      </c>
      <c r="G61" s="8"/>
      <c r="H61" s="7" t="s">
        <v>42</v>
      </c>
      <c r="I61" s="7"/>
      <c r="J61" s="8" t="s">
        <v>641</v>
      </c>
      <c r="K61" s="8" t="s">
        <v>41</v>
      </c>
      <c r="L61" s="8" t="s">
        <v>41</v>
      </c>
      <c r="M61" s="8" t="s">
        <v>642</v>
      </c>
      <c r="N61" s="7" t="s">
        <v>643</v>
      </c>
      <c r="O61" s="7"/>
      <c r="P61" s="7"/>
    </row>
    <row r="62" spans="1:16" ht="40" customHeight="1">
      <c r="A62" s="4" t="s">
        <v>147</v>
      </c>
      <c r="B62" s="4" t="s">
        <v>148</v>
      </c>
      <c r="C62" s="4" t="s">
        <v>851</v>
      </c>
      <c r="D62" s="4" t="s">
        <v>852</v>
      </c>
      <c r="E62" s="4" t="s">
        <v>853</v>
      </c>
      <c r="F62" s="4" t="s">
        <v>854</v>
      </c>
      <c r="G62" s="4"/>
      <c r="H62" s="7" t="s">
        <v>42</v>
      </c>
      <c r="I62" s="7"/>
      <c r="J62" s="4" t="s">
        <v>641</v>
      </c>
      <c r="K62" s="4" t="s">
        <v>41</v>
      </c>
      <c r="L62" s="4" t="s">
        <v>41</v>
      </c>
      <c r="M62" s="4" t="s">
        <v>642</v>
      </c>
      <c r="N62" s="7" t="s">
        <v>643</v>
      </c>
      <c r="O62" s="7"/>
      <c r="P62" s="7"/>
    </row>
    <row r="63" spans="1:16" ht="40" customHeight="1">
      <c r="A63" s="8" t="s">
        <v>147</v>
      </c>
      <c r="B63" s="8" t="s">
        <v>148</v>
      </c>
      <c r="C63" s="8" t="s">
        <v>855</v>
      </c>
      <c r="D63" s="8" t="s">
        <v>856</v>
      </c>
      <c r="E63" s="8" t="s">
        <v>857</v>
      </c>
      <c r="F63" s="8" t="s">
        <v>858</v>
      </c>
      <c r="G63" s="8"/>
      <c r="H63" s="7" t="s">
        <v>42</v>
      </c>
      <c r="I63" s="7"/>
      <c r="J63" s="8" t="s">
        <v>641</v>
      </c>
      <c r="K63" s="8" t="s">
        <v>41</v>
      </c>
      <c r="L63" s="8" t="s">
        <v>41</v>
      </c>
      <c r="M63" s="8" t="s">
        <v>642</v>
      </c>
      <c r="N63" s="7" t="s">
        <v>643</v>
      </c>
      <c r="O63" s="7"/>
      <c r="P63" s="7"/>
    </row>
    <row r="64" spans="1:16" ht="40" customHeight="1">
      <c r="A64" s="4" t="s">
        <v>147</v>
      </c>
      <c r="B64" s="4" t="s">
        <v>148</v>
      </c>
      <c r="C64" s="4" t="s">
        <v>859</v>
      </c>
      <c r="D64" s="4" t="s">
        <v>860</v>
      </c>
      <c r="E64" s="4" t="s">
        <v>861</v>
      </c>
      <c r="F64" s="4" t="s">
        <v>862</v>
      </c>
      <c r="G64" s="4" t="s">
        <v>863</v>
      </c>
      <c r="H64" s="7" t="s">
        <v>42</v>
      </c>
      <c r="I64" s="7"/>
      <c r="J64" s="4" t="s">
        <v>641</v>
      </c>
      <c r="K64" s="4" t="s">
        <v>41</v>
      </c>
      <c r="L64" s="4" t="s">
        <v>41</v>
      </c>
      <c r="M64" s="4" t="s">
        <v>642</v>
      </c>
      <c r="N64" s="7" t="s">
        <v>643</v>
      </c>
      <c r="O64" s="7"/>
      <c r="P64" s="7"/>
    </row>
    <row r="65" spans="1:16" ht="40" customHeight="1">
      <c r="A65" s="8" t="s">
        <v>147</v>
      </c>
      <c r="B65" s="8" t="s">
        <v>148</v>
      </c>
      <c r="C65" s="8" t="s">
        <v>864</v>
      </c>
      <c r="D65" s="8" t="s">
        <v>865</v>
      </c>
      <c r="E65" s="8" t="s">
        <v>866</v>
      </c>
      <c r="F65" s="8" t="s">
        <v>867</v>
      </c>
      <c r="G65" s="8" t="s">
        <v>868</v>
      </c>
      <c r="H65" s="7" t="s">
        <v>42</v>
      </c>
      <c r="I65" s="7"/>
      <c r="J65" s="8" t="s">
        <v>641</v>
      </c>
      <c r="K65" s="8" t="s">
        <v>41</v>
      </c>
      <c r="L65" s="8" t="s">
        <v>41</v>
      </c>
      <c r="M65" s="8" t="s">
        <v>642</v>
      </c>
      <c r="N65" s="7" t="s">
        <v>643</v>
      </c>
      <c r="O65" s="7"/>
      <c r="P65" s="7"/>
    </row>
    <row r="66" spans="1:16" ht="40" customHeight="1">
      <c r="A66" s="4" t="s">
        <v>147</v>
      </c>
      <c r="B66" s="4" t="s">
        <v>148</v>
      </c>
      <c r="C66" s="4" t="s">
        <v>869</v>
      </c>
      <c r="D66" s="4" t="s">
        <v>870</v>
      </c>
      <c r="E66" s="4" t="s">
        <v>871</v>
      </c>
      <c r="F66" s="4" t="s">
        <v>872</v>
      </c>
      <c r="G66" s="4" t="s">
        <v>873</v>
      </c>
      <c r="H66" s="7" t="s">
        <v>42</v>
      </c>
      <c r="I66" s="7"/>
      <c r="J66" s="4" t="s">
        <v>641</v>
      </c>
      <c r="K66" s="4" t="s">
        <v>41</v>
      </c>
      <c r="L66" s="4" t="s">
        <v>41</v>
      </c>
      <c r="M66" s="4" t="s">
        <v>642</v>
      </c>
      <c r="N66" s="7" t="s">
        <v>643</v>
      </c>
      <c r="O66" s="7"/>
      <c r="P66" s="7"/>
    </row>
    <row r="67" spans="1:16" ht="40" customHeight="1">
      <c r="A67" s="8" t="s">
        <v>163</v>
      </c>
      <c r="B67" s="8" t="s">
        <v>164</v>
      </c>
      <c r="C67" s="8" t="s">
        <v>874</v>
      </c>
      <c r="D67" s="8" t="s">
        <v>875</v>
      </c>
      <c r="E67" s="8" t="s">
        <v>876</v>
      </c>
      <c r="F67" s="8" t="s">
        <v>877</v>
      </c>
      <c r="G67" s="8" t="s">
        <v>878</v>
      </c>
      <c r="H67" s="7" t="s">
        <v>42</v>
      </c>
      <c r="I67" s="7"/>
      <c r="J67" s="8" t="s">
        <v>641</v>
      </c>
      <c r="K67" s="8" t="s">
        <v>41</v>
      </c>
      <c r="L67" s="8" t="s">
        <v>41</v>
      </c>
      <c r="M67" s="8" t="s">
        <v>642</v>
      </c>
      <c r="N67" s="7" t="s">
        <v>643</v>
      </c>
      <c r="O67" s="7"/>
      <c r="P67" s="7"/>
    </row>
    <row r="68" spans="1:16" ht="40" customHeight="1">
      <c r="A68" s="4" t="s">
        <v>163</v>
      </c>
      <c r="B68" s="4" t="s">
        <v>164</v>
      </c>
      <c r="C68" s="4" t="s">
        <v>879</v>
      </c>
      <c r="D68" s="4" t="s">
        <v>880</v>
      </c>
      <c r="E68" s="4" t="s">
        <v>881</v>
      </c>
      <c r="F68" s="4" t="s">
        <v>882</v>
      </c>
      <c r="G68" s="4" t="s">
        <v>883</v>
      </c>
      <c r="H68" s="7" t="s">
        <v>42</v>
      </c>
      <c r="I68" s="7"/>
      <c r="J68" s="4" t="s">
        <v>641</v>
      </c>
      <c r="K68" s="4" t="s">
        <v>41</v>
      </c>
      <c r="L68" s="4" t="s">
        <v>41</v>
      </c>
      <c r="M68" s="4" t="s">
        <v>642</v>
      </c>
      <c r="N68" s="7" t="s">
        <v>643</v>
      </c>
      <c r="O68" s="7"/>
      <c r="P68" s="7"/>
    </row>
    <row r="69" spans="1:16" ht="40" customHeight="1">
      <c r="A69" s="8" t="s">
        <v>163</v>
      </c>
      <c r="B69" s="8" t="s">
        <v>164</v>
      </c>
      <c r="C69" s="8" t="s">
        <v>884</v>
      </c>
      <c r="D69" s="8" t="s">
        <v>755</v>
      </c>
      <c r="E69" s="8" t="s">
        <v>885</v>
      </c>
      <c r="F69" s="8" t="s">
        <v>886</v>
      </c>
      <c r="G69" s="8" t="s">
        <v>887</v>
      </c>
      <c r="H69" s="7" t="s">
        <v>42</v>
      </c>
      <c r="I69" s="7"/>
      <c r="J69" s="8" t="s">
        <v>641</v>
      </c>
      <c r="K69" s="8" t="s">
        <v>41</v>
      </c>
      <c r="L69" s="8" t="s">
        <v>41</v>
      </c>
      <c r="M69" s="8" t="s">
        <v>642</v>
      </c>
      <c r="N69" s="7" t="s">
        <v>643</v>
      </c>
      <c r="O69" s="7"/>
      <c r="P69" s="7"/>
    </row>
    <row r="70" spans="1:16" ht="40" customHeight="1">
      <c r="A70" s="4" t="s">
        <v>163</v>
      </c>
      <c r="B70" s="4" t="s">
        <v>164</v>
      </c>
      <c r="C70" s="4" t="s">
        <v>888</v>
      </c>
      <c r="D70" s="4" t="s">
        <v>889</v>
      </c>
      <c r="E70" s="4" t="s">
        <v>890</v>
      </c>
      <c r="F70" s="4" t="s">
        <v>886</v>
      </c>
      <c r="G70" s="4"/>
      <c r="H70" s="7" t="s">
        <v>42</v>
      </c>
      <c r="I70" s="7"/>
      <c r="J70" s="4" t="s">
        <v>641</v>
      </c>
      <c r="K70" s="4" t="s">
        <v>41</v>
      </c>
      <c r="L70" s="4" t="s">
        <v>41</v>
      </c>
      <c r="M70" s="4" t="s">
        <v>642</v>
      </c>
      <c r="N70" s="7" t="s">
        <v>643</v>
      </c>
      <c r="O70" s="7"/>
      <c r="P70" s="7"/>
    </row>
    <row r="71" spans="1:16" ht="40" customHeight="1">
      <c r="A71" s="8" t="s">
        <v>163</v>
      </c>
      <c r="B71" s="8" t="s">
        <v>164</v>
      </c>
      <c r="C71" s="8" t="s">
        <v>891</v>
      </c>
      <c r="D71" s="8" t="s">
        <v>892</v>
      </c>
      <c r="E71" s="8" t="s">
        <v>893</v>
      </c>
      <c r="F71" s="8" t="s">
        <v>886</v>
      </c>
      <c r="G71" s="8" t="s">
        <v>894</v>
      </c>
      <c r="H71" s="7" t="s">
        <v>42</v>
      </c>
      <c r="I71" s="7"/>
      <c r="J71" s="8" t="s">
        <v>641</v>
      </c>
      <c r="K71" s="8" t="s">
        <v>41</v>
      </c>
      <c r="L71" s="8" t="s">
        <v>41</v>
      </c>
      <c r="M71" s="8" t="s">
        <v>642</v>
      </c>
      <c r="N71" s="7" t="s">
        <v>643</v>
      </c>
      <c r="O71" s="7"/>
      <c r="P71" s="7"/>
    </row>
    <row r="72" spans="1:16" ht="40" customHeight="1">
      <c r="A72" s="4" t="s">
        <v>163</v>
      </c>
      <c r="B72" s="4" t="s">
        <v>164</v>
      </c>
      <c r="C72" s="4" t="s">
        <v>895</v>
      </c>
      <c r="D72" s="4" t="s">
        <v>896</v>
      </c>
      <c r="E72" s="4" t="s">
        <v>897</v>
      </c>
      <c r="F72" s="4" t="s">
        <v>898</v>
      </c>
      <c r="G72" s="4" t="s">
        <v>899</v>
      </c>
      <c r="H72" s="7" t="s">
        <v>42</v>
      </c>
      <c r="I72" s="7"/>
      <c r="J72" s="4" t="s">
        <v>641</v>
      </c>
      <c r="K72" s="4" t="s">
        <v>41</v>
      </c>
      <c r="L72" s="4" t="s">
        <v>41</v>
      </c>
      <c r="M72" s="4" t="s">
        <v>642</v>
      </c>
      <c r="N72" s="7" t="s">
        <v>643</v>
      </c>
      <c r="O72" s="7"/>
      <c r="P72" s="7"/>
    </row>
    <row r="73" spans="1:16" ht="40" customHeight="1">
      <c r="A73" s="8" t="s">
        <v>33</v>
      </c>
      <c r="B73" s="8" t="s">
        <v>34</v>
      </c>
      <c r="C73" s="8" t="s">
        <v>900</v>
      </c>
      <c r="D73" s="8" t="s">
        <v>901</v>
      </c>
      <c r="E73" s="8" t="s">
        <v>902</v>
      </c>
      <c r="F73" s="8" t="s">
        <v>903</v>
      </c>
      <c r="G73" s="8" t="s">
        <v>41</v>
      </c>
      <c r="H73" s="7" t="s">
        <v>42</v>
      </c>
      <c r="I73" s="7"/>
      <c r="J73" s="8" t="s">
        <v>637</v>
      </c>
      <c r="K73" s="8" t="s">
        <v>904</v>
      </c>
      <c r="L73" s="8" t="s">
        <v>905</v>
      </c>
      <c r="M73" s="8" t="s">
        <v>906</v>
      </c>
      <c r="N73" s="7" t="s">
        <v>907</v>
      </c>
      <c r="O73" s="7" t="s">
        <v>908</v>
      </c>
      <c r="P73" s="7"/>
    </row>
    <row r="74" spans="1:16" ht="40" customHeight="1">
      <c r="A74" s="4" t="s">
        <v>33</v>
      </c>
      <c r="B74" s="4" t="s">
        <v>34</v>
      </c>
      <c r="C74" s="4" t="s">
        <v>909</v>
      </c>
      <c r="D74" s="4" t="s">
        <v>901</v>
      </c>
      <c r="E74" s="4" t="s">
        <v>910</v>
      </c>
      <c r="F74" s="4" t="s">
        <v>911</v>
      </c>
      <c r="G74" s="4" t="s">
        <v>41</v>
      </c>
      <c r="H74" s="7" t="s">
        <v>42</v>
      </c>
      <c r="I74" s="7"/>
      <c r="J74" s="4" t="s">
        <v>637</v>
      </c>
      <c r="K74" s="4" t="s">
        <v>912</v>
      </c>
      <c r="L74" s="4" t="s">
        <v>905</v>
      </c>
      <c r="M74" s="4" t="s">
        <v>906</v>
      </c>
      <c r="N74" s="7" t="s">
        <v>907</v>
      </c>
      <c r="O74" s="7" t="s">
        <v>908</v>
      </c>
      <c r="P74" s="7"/>
    </row>
    <row r="75" spans="1:16" ht="40" customHeight="1">
      <c r="A75" s="8" t="s">
        <v>33</v>
      </c>
      <c r="B75" s="8" t="s">
        <v>34</v>
      </c>
      <c r="C75" s="8" t="s">
        <v>913</v>
      </c>
      <c r="D75" s="8" t="s">
        <v>914</v>
      </c>
      <c r="E75" s="8" t="s">
        <v>915</v>
      </c>
      <c r="F75" s="8" t="s">
        <v>48</v>
      </c>
      <c r="G75" s="8" t="s">
        <v>916</v>
      </c>
      <c r="H75" s="7" t="s">
        <v>42</v>
      </c>
      <c r="I75" s="7"/>
      <c r="J75" s="8" t="s">
        <v>914</v>
      </c>
      <c r="K75" s="8" t="s">
        <v>41</v>
      </c>
      <c r="L75" s="8" t="s">
        <v>905</v>
      </c>
      <c r="M75" s="8" t="s">
        <v>51</v>
      </c>
      <c r="N75" s="7" t="s">
        <v>907</v>
      </c>
      <c r="O75" s="7"/>
      <c r="P75" s="7"/>
    </row>
    <row r="76" spans="1:16" ht="54" customHeight="1">
      <c r="A76" s="4" t="s">
        <v>55</v>
      </c>
      <c r="B76" s="4" t="s">
        <v>56</v>
      </c>
      <c r="C76" s="4" t="s">
        <v>917</v>
      </c>
      <c r="D76" s="4" t="s">
        <v>901</v>
      </c>
      <c r="E76" s="4" t="s">
        <v>918</v>
      </c>
      <c r="F76" s="4" t="s">
        <v>919</v>
      </c>
      <c r="G76" s="4" t="s">
        <v>41</v>
      </c>
      <c r="H76" s="7" t="s">
        <v>42</v>
      </c>
      <c r="I76" s="7"/>
      <c r="J76" s="4" t="s">
        <v>637</v>
      </c>
      <c r="K76" s="4" t="s">
        <v>920</v>
      </c>
      <c r="L76" s="4" t="s">
        <v>921</v>
      </c>
      <c r="M76" s="4" t="s">
        <v>906</v>
      </c>
      <c r="N76" s="7" t="s">
        <v>907</v>
      </c>
      <c r="O76" s="7" t="s">
        <v>908</v>
      </c>
      <c r="P76" s="7"/>
    </row>
    <row r="77" spans="1:16" ht="40" customHeight="1">
      <c r="A77" s="8" t="s">
        <v>55</v>
      </c>
      <c r="B77" s="8" t="s">
        <v>56</v>
      </c>
      <c r="C77" s="8" t="s">
        <v>922</v>
      </c>
      <c r="D77" s="8" t="s">
        <v>914</v>
      </c>
      <c r="E77" s="8" t="s">
        <v>915</v>
      </c>
      <c r="F77" s="8" t="s">
        <v>64</v>
      </c>
      <c r="G77" s="8" t="s">
        <v>916</v>
      </c>
      <c r="H77" s="7" t="s">
        <v>42</v>
      </c>
      <c r="I77" s="7"/>
      <c r="J77" s="8" t="s">
        <v>914</v>
      </c>
      <c r="K77" s="8" t="s">
        <v>41</v>
      </c>
      <c r="L77" s="8" t="s">
        <v>921</v>
      </c>
      <c r="M77" s="8" t="s">
        <v>51</v>
      </c>
      <c r="N77" s="7" t="s">
        <v>907</v>
      </c>
      <c r="O77" s="7"/>
      <c r="P77" s="7"/>
    </row>
    <row r="78" spans="1:16" ht="40" customHeight="1">
      <c r="A78" s="4" t="s">
        <v>67</v>
      </c>
      <c r="B78" s="4" t="s">
        <v>68</v>
      </c>
      <c r="C78" s="4" t="s">
        <v>923</v>
      </c>
      <c r="D78" s="4" t="s">
        <v>901</v>
      </c>
      <c r="E78" s="4" t="s">
        <v>924</v>
      </c>
      <c r="F78" s="4" t="s">
        <v>925</v>
      </c>
      <c r="G78" s="4" t="s">
        <v>41</v>
      </c>
      <c r="H78" s="7" t="s">
        <v>42</v>
      </c>
      <c r="I78" s="7"/>
      <c r="J78" s="4" t="s">
        <v>637</v>
      </c>
      <c r="K78" s="4" t="s">
        <v>926</v>
      </c>
      <c r="L78" s="4" t="s">
        <v>927</v>
      </c>
      <c r="M78" s="4" t="s">
        <v>906</v>
      </c>
      <c r="N78" s="7" t="s">
        <v>907</v>
      </c>
      <c r="O78" s="7" t="s">
        <v>908</v>
      </c>
      <c r="P78" s="7"/>
    </row>
    <row r="79" spans="1:16" ht="40" customHeight="1">
      <c r="A79" s="8" t="s">
        <v>67</v>
      </c>
      <c r="B79" s="8" t="s">
        <v>68</v>
      </c>
      <c r="C79" s="8" t="s">
        <v>928</v>
      </c>
      <c r="D79" s="8" t="s">
        <v>901</v>
      </c>
      <c r="E79" s="8" t="s">
        <v>929</v>
      </c>
      <c r="F79" s="8" t="s">
        <v>930</v>
      </c>
      <c r="G79" s="8" t="s">
        <v>41</v>
      </c>
      <c r="H79" s="7" t="s">
        <v>42</v>
      </c>
      <c r="I79" s="7"/>
      <c r="J79" s="8" t="s">
        <v>637</v>
      </c>
      <c r="K79" s="8" t="s">
        <v>931</v>
      </c>
      <c r="L79" s="8" t="s">
        <v>927</v>
      </c>
      <c r="M79" s="8" t="s">
        <v>906</v>
      </c>
      <c r="N79" s="7" t="s">
        <v>907</v>
      </c>
      <c r="O79" s="7" t="s">
        <v>908</v>
      </c>
      <c r="P79" s="7"/>
    </row>
    <row r="80" spans="1:16" ht="40" customHeight="1">
      <c r="A80" s="4" t="s">
        <v>67</v>
      </c>
      <c r="B80" s="4" t="s">
        <v>68</v>
      </c>
      <c r="C80" s="4" t="s">
        <v>932</v>
      </c>
      <c r="D80" s="4" t="s">
        <v>901</v>
      </c>
      <c r="E80" s="4" t="s">
        <v>933</v>
      </c>
      <c r="F80" s="4" t="s">
        <v>934</v>
      </c>
      <c r="G80" s="4" t="s">
        <v>41</v>
      </c>
      <c r="H80" s="7" t="s">
        <v>42</v>
      </c>
      <c r="I80" s="7"/>
      <c r="J80" s="4" t="s">
        <v>637</v>
      </c>
      <c r="K80" s="4" t="s">
        <v>935</v>
      </c>
      <c r="L80" s="4" t="s">
        <v>927</v>
      </c>
      <c r="M80" s="4" t="s">
        <v>906</v>
      </c>
      <c r="N80" s="7" t="s">
        <v>907</v>
      </c>
      <c r="O80" s="7" t="s">
        <v>908</v>
      </c>
      <c r="P80" s="7"/>
    </row>
    <row r="81" spans="1:16" ht="40" customHeight="1">
      <c r="A81" s="8" t="s">
        <v>67</v>
      </c>
      <c r="B81" s="8" t="s">
        <v>68</v>
      </c>
      <c r="C81" s="8" t="s">
        <v>936</v>
      </c>
      <c r="D81" s="8" t="s">
        <v>901</v>
      </c>
      <c r="E81" s="8" t="s">
        <v>937</v>
      </c>
      <c r="F81" s="8" t="s">
        <v>938</v>
      </c>
      <c r="G81" s="8" t="s">
        <v>41</v>
      </c>
      <c r="H81" s="7" t="s">
        <v>42</v>
      </c>
      <c r="I81" s="7"/>
      <c r="J81" s="8" t="s">
        <v>637</v>
      </c>
      <c r="K81" s="8" t="s">
        <v>939</v>
      </c>
      <c r="L81" s="8" t="s">
        <v>927</v>
      </c>
      <c r="M81" s="8" t="s">
        <v>906</v>
      </c>
      <c r="N81" s="7" t="s">
        <v>907</v>
      </c>
      <c r="O81" s="7" t="s">
        <v>908</v>
      </c>
      <c r="P81" s="7"/>
    </row>
    <row r="82" spans="1:16" ht="40" customHeight="1">
      <c r="A82" s="4" t="s">
        <v>67</v>
      </c>
      <c r="B82" s="4" t="s">
        <v>68</v>
      </c>
      <c r="C82" s="4" t="s">
        <v>940</v>
      </c>
      <c r="D82" s="4" t="s">
        <v>901</v>
      </c>
      <c r="E82" s="4" t="s">
        <v>941</v>
      </c>
      <c r="F82" s="4" t="s">
        <v>942</v>
      </c>
      <c r="G82" s="4" t="s">
        <v>41</v>
      </c>
      <c r="H82" s="7" t="s">
        <v>42</v>
      </c>
      <c r="I82" s="7"/>
      <c r="J82" s="4" t="s">
        <v>637</v>
      </c>
      <c r="K82" s="4" t="s">
        <v>943</v>
      </c>
      <c r="L82" s="4" t="s">
        <v>927</v>
      </c>
      <c r="M82" s="4" t="s">
        <v>906</v>
      </c>
      <c r="N82" s="7" t="s">
        <v>907</v>
      </c>
      <c r="O82" s="7" t="s">
        <v>908</v>
      </c>
      <c r="P82" s="7"/>
    </row>
    <row r="83" spans="1:16" ht="40" customHeight="1">
      <c r="A83" s="8" t="s">
        <v>67</v>
      </c>
      <c r="B83" s="8" t="s">
        <v>68</v>
      </c>
      <c r="C83" s="8" t="s">
        <v>944</v>
      </c>
      <c r="D83" s="8" t="s">
        <v>901</v>
      </c>
      <c r="E83" s="8" t="s">
        <v>945</v>
      </c>
      <c r="F83" s="8" t="s">
        <v>946</v>
      </c>
      <c r="G83" s="8" t="s">
        <v>41</v>
      </c>
      <c r="H83" s="7" t="s">
        <v>42</v>
      </c>
      <c r="I83" s="7"/>
      <c r="J83" s="8" t="s">
        <v>637</v>
      </c>
      <c r="K83" s="8" t="s">
        <v>947</v>
      </c>
      <c r="L83" s="8" t="s">
        <v>927</v>
      </c>
      <c r="M83" s="8" t="s">
        <v>906</v>
      </c>
      <c r="N83" s="7" t="s">
        <v>907</v>
      </c>
      <c r="O83" s="7" t="s">
        <v>908</v>
      </c>
      <c r="P83" s="7"/>
    </row>
    <row r="84" spans="1:16" ht="54" customHeight="1">
      <c r="A84" s="4" t="s">
        <v>67</v>
      </c>
      <c r="B84" s="4" t="s">
        <v>68</v>
      </c>
      <c r="C84" s="4" t="s">
        <v>948</v>
      </c>
      <c r="D84" s="4" t="s">
        <v>949</v>
      </c>
      <c r="E84" s="4" t="s">
        <v>950</v>
      </c>
      <c r="F84" s="4" t="s">
        <v>951</v>
      </c>
      <c r="G84" s="4" t="s">
        <v>41</v>
      </c>
      <c r="H84" s="7" t="s">
        <v>42</v>
      </c>
      <c r="I84" s="7"/>
      <c r="J84" s="4" t="s">
        <v>914</v>
      </c>
      <c r="K84" s="4" t="s">
        <v>952</v>
      </c>
      <c r="L84" s="4" t="s">
        <v>927</v>
      </c>
      <c r="M84" s="4" t="s">
        <v>906</v>
      </c>
      <c r="N84" s="7" t="s">
        <v>907</v>
      </c>
      <c r="O84" s="7" t="s">
        <v>908</v>
      </c>
      <c r="P84" s="7"/>
    </row>
    <row r="85" spans="1:16" ht="54" customHeight="1">
      <c r="A85" s="8" t="s">
        <v>67</v>
      </c>
      <c r="B85" s="8" t="s">
        <v>68</v>
      </c>
      <c r="C85" s="8" t="s">
        <v>953</v>
      </c>
      <c r="D85" s="8" t="s">
        <v>949</v>
      </c>
      <c r="E85" s="8" t="s">
        <v>954</v>
      </c>
      <c r="F85" s="8" t="s">
        <v>955</v>
      </c>
      <c r="G85" s="8" t="s">
        <v>41</v>
      </c>
      <c r="H85" s="7" t="s">
        <v>42</v>
      </c>
      <c r="I85" s="7"/>
      <c r="J85" s="8" t="s">
        <v>914</v>
      </c>
      <c r="K85" s="8" t="s">
        <v>956</v>
      </c>
      <c r="L85" s="8" t="s">
        <v>927</v>
      </c>
      <c r="M85" s="8" t="s">
        <v>906</v>
      </c>
      <c r="N85" s="7" t="s">
        <v>907</v>
      </c>
      <c r="O85" s="7" t="s">
        <v>908</v>
      </c>
      <c r="P85" s="7"/>
    </row>
    <row r="86" spans="1:16" ht="40" customHeight="1">
      <c r="A86" s="4" t="s">
        <v>67</v>
      </c>
      <c r="B86" s="4" t="s">
        <v>68</v>
      </c>
      <c r="C86" s="4" t="s">
        <v>957</v>
      </c>
      <c r="D86" s="4" t="s">
        <v>949</v>
      </c>
      <c r="E86" s="4" t="s">
        <v>958</v>
      </c>
      <c r="F86" s="4" t="s">
        <v>959</v>
      </c>
      <c r="G86" s="4" t="s">
        <v>41</v>
      </c>
      <c r="H86" s="7" t="s">
        <v>42</v>
      </c>
      <c r="I86" s="7"/>
      <c r="J86" s="4" t="s">
        <v>914</v>
      </c>
      <c r="K86" s="4" t="s">
        <v>960</v>
      </c>
      <c r="L86" s="4" t="s">
        <v>927</v>
      </c>
      <c r="M86" s="4" t="s">
        <v>906</v>
      </c>
      <c r="N86" s="7" t="s">
        <v>907</v>
      </c>
      <c r="O86" s="7" t="s">
        <v>908</v>
      </c>
      <c r="P86" s="7"/>
    </row>
    <row r="87" spans="1:16" ht="40" customHeight="1">
      <c r="A87" s="8" t="s">
        <v>67</v>
      </c>
      <c r="B87" s="8" t="s">
        <v>68</v>
      </c>
      <c r="C87" s="8" t="s">
        <v>961</v>
      </c>
      <c r="D87" s="8" t="s">
        <v>949</v>
      </c>
      <c r="E87" s="8" t="s">
        <v>962</v>
      </c>
      <c r="F87" s="8" t="s">
        <v>963</v>
      </c>
      <c r="G87" s="8" t="s">
        <v>41</v>
      </c>
      <c r="H87" s="7" t="s">
        <v>42</v>
      </c>
      <c r="I87" s="7"/>
      <c r="J87" s="8" t="s">
        <v>914</v>
      </c>
      <c r="K87" s="8" t="s">
        <v>964</v>
      </c>
      <c r="L87" s="8" t="s">
        <v>927</v>
      </c>
      <c r="M87" s="8" t="s">
        <v>906</v>
      </c>
      <c r="N87" s="7" t="s">
        <v>907</v>
      </c>
      <c r="O87" s="7" t="s">
        <v>908</v>
      </c>
      <c r="P87" s="7"/>
    </row>
    <row r="88" spans="1:16" ht="40" customHeight="1">
      <c r="A88" s="4" t="s">
        <v>67</v>
      </c>
      <c r="B88" s="4" t="s">
        <v>68</v>
      </c>
      <c r="C88" s="4" t="s">
        <v>965</v>
      </c>
      <c r="D88" s="4" t="s">
        <v>949</v>
      </c>
      <c r="E88" s="4" t="s">
        <v>966</v>
      </c>
      <c r="F88" s="4" t="s">
        <v>967</v>
      </c>
      <c r="G88" s="4" t="s">
        <v>41</v>
      </c>
      <c r="H88" s="7" t="s">
        <v>42</v>
      </c>
      <c r="I88" s="7"/>
      <c r="J88" s="4" t="s">
        <v>914</v>
      </c>
      <c r="K88" s="4" t="s">
        <v>968</v>
      </c>
      <c r="L88" s="4" t="s">
        <v>927</v>
      </c>
      <c r="M88" s="4" t="s">
        <v>906</v>
      </c>
      <c r="N88" s="7" t="s">
        <v>907</v>
      </c>
      <c r="O88" s="7" t="s">
        <v>908</v>
      </c>
      <c r="P88" s="7"/>
    </row>
    <row r="89" spans="1:16" ht="68" customHeight="1">
      <c r="A89" s="8" t="s">
        <v>67</v>
      </c>
      <c r="B89" s="8" t="s">
        <v>68</v>
      </c>
      <c r="C89" s="8" t="s">
        <v>969</v>
      </c>
      <c r="D89" s="8" t="s">
        <v>949</v>
      </c>
      <c r="E89" s="8" t="s">
        <v>970</v>
      </c>
      <c r="F89" s="8" t="s">
        <v>971</v>
      </c>
      <c r="G89" s="8" t="s">
        <v>41</v>
      </c>
      <c r="H89" s="7" t="s">
        <v>42</v>
      </c>
      <c r="I89" s="7"/>
      <c r="J89" s="8" t="s">
        <v>914</v>
      </c>
      <c r="K89" s="8" t="s">
        <v>972</v>
      </c>
      <c r="L89" s="8" t="s">
        <v>927</v>
      </c>
      <c r="M89" s="8" t="s">
        <v>906</v>
      </c>
      <c r="N89" s="7" t="s">
        <v>907</v>
      </c>
      <c r="O89" s="7" t="s">
        <v>908</v>
      </c>
      <c r="P89" s="7"/>
    </row>
    <row r="90" spans="1:16" ht="82" customHeight="1">
      <c r="A90" s="4" t="s">
        <v>67</v>
      </c>
      <c r="B90" s="4" t="s">
        <v>68</v>
      </c>
      <c r="C90" s="4" t="s">
        <v>973</v>
      </c>
      <c r="D90" s="4" t="s">
        <v>949</v>
      </c>
      <c r="E90" s="4" t="s">
        <v>974</v>
      </c>
      <c r="F90" s="4" t="s">
        <v>975</v>
      </c>
      <c r="G90" s="4" t="s">
        <v>41</v>
      </c>
      <c r="H90" s="7" t="s">
        <v>42</v>
      </c>
      <c r="I90" s="7"/>
      <c r="J90" s="4" t="s">
        <v>914</v>
      </c>
      <c r="K90" s="4" t="s">
        <v>976</v>
      </c>
      <c r="L90" s="4" t="s">
        <v>927</v>
      </c>
      <c r="M90" s="4" t="s">
        <v>906</v>
      </c>
      <c r="N90" s="7" t="s">
        <v>907</v>
      </c>
      <c r="O90" s="7" t="s">
        <v>908</v>
      </c>
      <c r="P90" s="7"/>
    </row>
    <row r="91" spans="1:16" ht="68" customHeight="1">
      <c r="A91" s="8" t="s">
        <v>67</v>
      </c>
      <c r="B91" s="8" t="s">
        <v>68</v>
      </c>
      <c r="C91" s="8" t="s">
        <v>977</v>
      </c>
      <c r="D91" s="8" t="s">
        <v>949</v>
      </c>
      <c r="E91" s="8" t="s">
        <v>978</v>
      </c>
      <c r="F91" s="8" t="s">
        <v>979</v>
      </c>
      <c r="G91" s="8" t="s">
        <v>41</v>
      </c>
      <c r="H91" s="7" t="s">
        <v>42</v>
      </c>
      <c r="I91" s="7"/>
      <c r="J91" s="8" t="s">
        <v>914</v>
      </c>
      <c r="K91" s="8" t="s">
        <v>980</v>
      </c>
      <c r="L91" s="8" t="s">
        <v>927</v>
      </c>
      <c r="M91" s="8" t="s">
        <v>906</v>
      </c>
      <c r="N91" s="7" t="s">
        <v>907</v>
      </c>
      <c r="O91" s="7" t="s">
        <v>908</v>
      </c>
      <c r="P91" s="7"/>
    </row>
    <row r="92" spans="1:16" ht="40" customHeight="1">
      <c r="A92" s="4" t="s">
        <v>81</v>
      </c>
      <c r="B92" s="4" t="s">
        <v>82</v>
      </c>
      <c r="C92" s="4" t="s">
        <v>981</v>
      </c>
      <c r="D92" s="4" t="s">
        <v>901</v>
      </c>
      <c r="E92" s="4" t="s">
        <v>982</v>
      </c>
      <c r="F92" s="4" t="s">
        <v>983</v>
      </c>
      <c r="G92" s="4" t="s">
        <v>41</v>
      </c>
      <c r="H92" s="7" t="s">
        <v>42</v>
      </c>
      <c r="I92" s="7"/>
      <c r="J92" s="4" t="s">
        <v>637</v>
      </c>
      <c r="K92" s="4" t="s">
        <v>904</v>
      </c>
      <c r="L92" s="4" t="s">
        <v>984</v>
      </c>
      <c r="M92" s="4" t="s">
        <v>906</v>
      </c>
      <c r="N92" s="7" t="s">
        <v>907</v>
      </c>
      <c r="O92" s="7" t="s">
        <v>908</v>
      </c>
      <c r="P92" s="7"/>
    </row>
    <row r="93" spans="1:16" ht="40" customHeight="1">
      <c r="A93" s="8" t="s">
        <v>81</v>
      </c>
      <c r="B93" s="8" t="s">
        <v>82</v>
      </c>
      <c r="C93" s="8" t="s">
        <v>985</v>
      </c>
      <c r="D93" s="8" t="s">
        <v>901</v>
      </c>
      <c r="E93" s="8" t="s">
        <v>986</v>
      </c>
      <c r="F93" s="8" t="s">
        <v>987</v>
      </c>
      <c r="G93" s="8" t="s">
        <v>41</v>
      </c>
      <c r="H93" s="7" t="s">
        <v>42</v>
      </c>
      <c r="I93" s="7"/>
      <c r="J93" s="8" t="s">
        <v>637</v>
      </c>
      <c r="K93" s="8" t="s">
        <v>988</v>
      </c>
      <c r="L93" s="8" t="s">
        <v>984</v>
      </c>
      <c r="M93" s="8" t="s">
        <v>906</v>
      </c>
      <c r="N93" s="7" t="s">
        <v>907</v>
      </c>
      <c r="O93" s="7" t="s">
        <v>908</v>
      </c>
      <c r="P93" s="7"/>
    </row>
    <row r="94" spans="1:16" ht="40" customHeight="1">
      <c r="A94" s="4" t="s">
        <v>81</v>
      </c>
      <c r="B94" s="4" t="s">
        <v>82</v>
      </c>
      <c r="C94" s="4" t="s">
        <v>989</v>
      </c>
      <c r="D94" s="4" t="s">
        <v>901</v>
      </c>
      <c r="E94" s="4" t="s">
        <v>990</v>
      </c>
      <c r="F94" s="4" t="s">
        <v>991</v>
      </c>
      <c r="G94" s="4" t="s">
        <v>41</v>
      </c>
      <c r="H94" s="7" t="s">
        <v>42</v>
      </c>
      <c r="I94" s="7"/>
      <c r="J94" s="4" t="s">
        <v>637</v>
      </c>
      <c r="K94" s="4" t="s">
        <v>992</v>
      </c>
      <c r="L94" s="4" t="s">
        <v>984</v>
      </c>
      <c r="M94" s="4" t="s">
        <v>906</v>
      </c>
      <c r="N94" s="7" t="s">
        <v>907</v>
      </c>
      <c r="O94" s="7" t="s">
        <v>908</v>
      </c>
      <c r="P94" s="7"/>
    </row>
    <row r="95" spans="1:16" ht="54" customHeight="1">
      <c r="A95" s="8" t="s">
        <v>81</v>
      </c>
      <c r="B95" s="8" t="s">
        <v>82</v>
      </c>
      <c r="C95" s="8" t="s">
        <v>993</v>
      </c>
      <c r="D95" s="8" t="s">
        <v>901</v>
      </c>
      <c r="E95" s="8" t="s">
        <v>994</v>
      </c>
      <c r="F95" s="8" t="s">
        <v>995</v>
      </c>
      <c r="G95" s="8" t="s">
        <v>41</v>
      </c>
      <c r="H95" s="7" t="s">
        <v>42</v>
      </c>
      <c r="I95" s="7"/>
      <c r="J95" s="8" t="s">
        <v>637</v>
      </c>
      <c r="K95" s="8" t="s">
        <v>996</v>
      </c>
      <c r="L95" s="8" t="s">
        <v>984</v>
      </c>
      <c r="M95" s="8" t="s">
        <v>906</v>
      </c>
      <c r="N95" s="7" t="s">
        <v>907</v>
      </c>
      <c r="O95" s="7" t="s">
        <v>908</v>
      </c>
      <c r="P95" s="7"/>
    </row>
    <row r="96" spans="1:16" ht="40" customHeight="1">
      <c r="A96" s="4" t="s">
        <v>81</v>
      </c>
      <c r="B96" s="4" t="s">
        <v>82</v>
      </c>
      <c r="C96" s="4" t="s">
        <v>997</v>
      </c>
      <c r="D96" s="4" t="s">
        <v>901</v>
      </c>
      <c r="E96" s="4" t="s">
        <v>998</v>
      </c>
      <c r="F96" s="4" t="s">
        <v>999</v>
      </c>
      <c r="G96" s="4" t="s">
        <v>41</v>
      </c>
      <c r="H96" s="7" t="s">
        <v>42</v>
      </c>
      <c r="I96" s="7"/>
      <c r="J96" s="4" t="s">
        <v>637</v>
      </c>
      <c r="K96" s="4" t="s">
        <v>1000</v>
      </c>
      <c r="L96" s="4" t="s">
        <v>984</v>
      </c>
      <c r="M96" s="4" t="s">
        <v>906</v>
      </c>
      <c r="N96" s="7" t="s">
        <v>907</v>
      </c>
      <c r="O96" s="7" t="s">
        <v>908</v>
      </c>
      <c r="P96" s="7"/>
    </row>
    <row r="97" spans="1:16" ht="54" customHeight="1">
      <c r="A97" s="8" t="s">
        <v>81</v>
      </c>
      <c r="B97" s="8" t="s">
        <v>82</v>
      </c>
      <c r="C97" s="8" t="s">
        <v>1001</v>
      </c>
      <c r="D97" s="8" t="s">
        <v>1002</v>
      </c>
      <c r="E97" s="8" t="s">
        <v>1003</v>
      </c>
      <c r="F97" s="8" t="s">
        <v>1004</v>
      </c>
      <c r="G97" s="8" t="s">
        <v>1003</v>
      </c>
      <c r="H97" s="7" t="s">
        <v>42</v>
      </c>
      <c r="I97" s="7"/>
      <c r="J97" s="8" t="s">
        <v>914</v>
      </c>
      <c r="K97" s="8" t="s">
        <v>952</v>
      </c>
      <c r="L97" s="8" t="s">
        <v>984</v>
      </c>
      <c r="M97" s="8" t="s">
        <v>906</v>
      </c>
      <c r="N97" s="7" t="s">
        <v>907</v>
      </c>
      <c r="O97" s="7" t="s">
        <v>908</v>
      </c>
      <c r="P97" s="7"/>
    </row>
    <row r="98" spans="1:16" ht="40" customHeight="1">
      <c r="A98" s="4" t="s">
        <v>92</v>
      </c>
      <c r="B98" s="4" t="s">
        <v>105</v>
      </c>
      <c r="C98" s="4" t="s">
        <v>1005</v>
      </c>
      <c r="D98" s="4" t="s">
        <v>901</v>
      </c>
      <c r="E98" s="4" t="s">
        <v>1006</v>
      </c>
      <c r="F98" s="4" t="s">
        <v>1007</v>
      </c>
      <c r="G98" s="4" t="s">
        <v>41</v>
      </c>
      <c r="H98" s="7" t="s">
        <v>42</v>
      </c>
      <c r="I98" s="7"/>
      <c r="J98" s="4" t="s">
        <v>637</v>
      </c>
      <c r="K98" s="4" t="s">
        <v>904</v>
      </c>
      <c r="L98" s="4" t="s">
        <v>1008</v>
      </c>
      <c r="M98" s="4" t="s">
        <v>906</v>
      </c>
      <c r="N98" s="7" t="s">
        <v>907</v>
      </c>
      <c r="O98" s="7" t="s">
        <v>908</v>
      </c>
      <c r="P98" s="7"/>
    </row>
    <row r="99" spans="1:16" ht="40" customHeight="1">
      <c r="A99" s="8" t="s">
        <v>92</v>
      </c>
      <c r="B99" s="8" t="s">
        <v>105</v>
      </c>
      <c r="C99" s="8" t="s">
        <v>1009</v>
      </c>
      <c r="D99" s="8" t="s">
        <v>901</v>
      </c>
      <c r="E99" s="8" t="s">
        <v>1010</v>
      </c>
      <c r="F99" s="8" t="s">
        <v>1011</v>
      </c>
      <c r="G99" s="8" t="s">
        <v>41</v>
      </c>
      <c r="H99" s="7" t="s">
        <v>42</v>
      </c>
      <c r="I99" s="7"/>
      <c r="J99" s="8" t="s">
        <v>637</v>
      </c>
      <c r="K99" s="8" t="s">
        <v>912</v>
      </c>
      <c r="L99" s="8" t="s">
        <v>1008</v>
      </c>
      <c r="M99" s="8" t="s">
        <v>906</v>
      </c>
      <c r="N99" s="7" t="s">
        <v>907</v>
      </c>
      <c r="O99" s="7" t="s">
        <v>908</v>
      </c>
      <c r="P99" s="7"/>
    </row>
    <row r="100" spans="1:16" ht="40" customHeight="1">
      <c r="A100" s="4" t="s">
        <v>92</v>
      </c>
      <c r="B100" s="4" t="s">
        <v>105</v>
      </c>
      <c r="C100" s="4" t="s">
        <v>1012</v>
      </c>
      <c r="D100" s="4" t="s">
        <v>901</v>
      </c>
      <c r="E100" s="4" t="s">
        <v>1013</v>
      </c>
      <c r="F100" s="4" t="s">
        <v>1014</v>
      </c>
      <c r="G100" s="4" t="s">
        <v>41</v>
      </c>
      <c r="H100" s="7" t="s">
        <v>42</v>
      </c>
      <c r="I100" s="7"/>
      <c r="J100" s="4" t="s">
        <v>637</v>
      </c>
      <c r="K100" s="4" t="s">
        <v>1015</v>
      </c>
      <c r="L100" s="4" t="s">
        <v>1008</v>
      </c>
      <c r="M100" s="4" t="s">
        <v>906</v>
      </c>
      <c r="N100" s="7" t="s">
        <v>907</v>
      </c>
      <c r="O100" s="7" t="s">
        <v>908</v>
      </c>
      <c r="P100" s="7"/>
    </row>
    <row r="101" spans="1:16" ht="40" customHeight="1">
      <c r="A101" s="8" t="s">
        <v>92</v>
      </c>
      <c r="B101" s="8" t="s">
        <v>105</v>
      </c>
      <c r="C101" s="8" t="s">
        <v>1016</v>
      </c>
      <c r="D101" s="8" t="s">
        <v>901</v>
      </c>
      <c r="E101" s="8" t="s">
        <v>1017</v>
      </c>
      <c r="F101" s="8" t="s">
        <v>1018</v>
      </c>
      <c r="G101" s="8" t="s">
        <v>41</v>
      </c>
      <c r="H101" s="7" t="s">
        <v>42</v>
      </c>
      <c r="I101" s="7"/>
      <c r="J101" s="8" t="s">
        <v>637</v>
      </c>
      <c r="K101" s="8" t="s">
        <v>1019</v>
      </c>
      <c r="L101" s="8" t="s">
        <v>1008</v>
      </c>
      <c r="M101" s="8" t="s">
        <v>906</v>
      </c>
      <c r="N101" s="7" t="s">
        <v>907</v>
      </c>
      <c r="O101" s="7" t="s">
        <v>908</v>
      </c>
      <c r="P101" s="7"/>
    </row>
    <row r="102" spans="1:16" ht="40" customHeight="1">
      <c r="A102" s="4" t="s">
        <v>92</v>
      </c>
      <c r="B102" s="4" t="s">
        <v>105</v>
      </c>
      <c r="C102" s="4" t="s">
        <v>1020</v>
      </c>
      <c r="D102" s="4" t="s">
        <v>949</v>
      </c>
      <c r="E102" s="4" t="s">
        <v>1021</v>
      </c>
      <c r="F102" s="4" t="s">
        <v>1022</v>
      </c>
      <c r="G102" s="4" t="s">
        <v>41</v>
      </c>
      <c r="H102" s="7" t="s">
        <v>42</v>
      </c>
      <c r="I102" s="7"/>
      <c r="J102" s="4" t="s">
        <v>914</v>
      </c>
      <c r="K102" s="4" t="s">
        <v>1023</v>
      </c>
      <c r="L102" s="4" t="s">
        <v>1008</v>
      </c>
      <c r="M102" s="4" t="s">
        <v>906</v>
      </c>
      <c r="N102" s="7" t="s">
        <v>907</v>
      </c>
      <c r="O102" s="7" t="s">
        <v>908</v>
      </c>
      <c r="P102" s="7"/>
    </row>
    <row r="103" spans="1:16" ht="40" customHeight="1">
      <c r="A103" s="8" t="s">
        <v>92</v>
      </c>
      <c r="B103" s="8" t="s">
        <v>105</v>
      </c>
      <c r="C103" s="8" t="s">
        <v>1024</v>
      </c>
      <c r="D103" s="8" t="s">
        <v>949</v>
      </c>
      <c r="E103" s="8" t="s">
        <v>1025</v>
      </c>
      <c r="F103" s="8" t="s">
        <v>1026</v>
      </c>
      <c r="G103" s="8" t="s">
        <v>41</v>
      </c>
      <c r="H103" s="7" t="s">
        <v>42</v>
      </c>
      <c r="I103" s="7"/>
      <c r="J103" s="8" t="s">
        <v>914</v>
      </c>
      <c r="K103" s="8" t="s">
        <v>1027</v>
      </c>
      <c r="L103" s="8" t="s">
        <v>1008</v>
      </c>
      <c r="M103" s="8" t="s">
        <v>906</v>
      </c>
      <c r="N103" s="7" t="s">
        <v>907</v>
      </c>
      <c r="O103" s="7" t="s">
        <v>908</v>
      </c>
      <c r="P103" s="7"/>
    </row>
    <row r="104" spans="1:16" ht="40" customHeight="1">
      <c r="A104" s="4" t="s">
        <v>92</v>
      </c>
      <c r="B104" s="4" t="s">
        <v>105</v>
      </c>
      <c r="C104" s="4" t="s">
        <v>1028</v>
      </c>
      <c r="D104" s="4" t="s">
        <v>949</v>
      </c>
      <c r="E104" s="4" t="s">
        <v>1029</v>
      </c>
      <c r="F104" s="4" t="s">
        <v>1030</v>
      </c>
      <c r="G104" s="4" t="s">
        <v>41</v>
      </c>
      <c r="H104" s="7" t="s">
        <v>42</v>
      </c>
      <c r="I104" s="7"/>
      <c r="J104" s="4" t="s">
        <v>914</v>
      </c>
      <c r="K104" s="4" t="s">
        <v>1031</v>
      </c>
      <c r="L104" s="4" t="s">
        <v>1008</v>
      </c>
      <c r="M104" s="4" t="s">
        <v>906</v>
      </c>
      <c r="N104" s="7" t="s">
        <v>907</v>
      </c>
      <c r="O104" s="7" t="s">
        <v>908</v>
      </c>
      <c r="P104" s="7"/>
    </row>
    <row r="105" spans="1:16" ht="40" customHeight="1">
      <c r="A105" s="8" t="s">
        <v>92</v>
      </c>
      <c r="B105" s="8" t="s">
        <v>105</v>
      </c>
      <c r="C105" s="8" t="s">
        <v>1032</v>
      </c>
      <c r="D105" s="8" t="s">
        <v>949</v>
      </c>
      <c r="E105" s="8" t="s">
        <v>1033</v>
      </c>
      <c r="F105" s="8" t="s">
        <v>1034</v>
      </c>
      <c r="G105" s="8" t="s">
        <v>41</v>
      </c>
      <c r="H105" s="7" t="s">
        <v>42</v>
      </c>
      <c r="I105" s="7"/>
      <c r="J105" s="8" t="s">
        <v>914</v>
      </c>
      <c r="K105" s="8" t="s">
        <v>1035</v>
      </c>
      <c r="L105" s="8" t="s">
        <v>1008</v>
      </c>
      <c r="M105" s="8" t="s">
        <v>906</v>
      </c>
      <c r="N105" s="7" t="s">
        <v>907</v>
      </c>
      <c r="O105" s="7" t="s">
        <v>908</v>
      </c>
      <c r="P105" s="7"/>
    </row>
    <row r="106" spans="1:16" ht="40" customHeight="1">
      <c r="A106" s="4" t="s">
        <v>92</v>
      </c>
      <c r="B106" s="4" t="s">
        <v>105</v>
      </c>
      <c r="C106" s="4" t="s">
        <v>1036</v>
      </c>
      <c r="D106" s="4" t="s">
        <v>949</v>
      </c>
      <c r="E106" s="4" t="s">
        <v>1037</v>
      </c>
      <c r="F106" s="4" t="s">
        <v>1038</v>
      </c>
      <c r="G106" s="4" t="s">
        <v>41</v>
      </c>
      <c r="H106" s="7" t="s">
        <v>42</v>
      </c>
      <c r="I106" s="7"/>
      <c r="J106" s="4" t="s">
        <v>914</v>
      </c>
      <c r="K106" s="4" t="s">
        <v>1039</v>
      </c>
      <c r="L106" s="4" t="s">
        <v>1008</v>
      </c>
      <c r="M106" s="4" t="s">
        <v>906</v>
      </c>
      <c r="N106" s="7" t="s">
        <v>907</v>
      </c>
      <c r="O106" s="7" t="s">
        <v>908</v>
      </c>
      <c r="P106" s="7"/>
    </row>
    <row r="107" spans="1:16" ht="40" customHeight="1">
      <c r="A107" s="8" t="s">
        <v>92</v>
      </c>
      <c r="B107" s="8" t="s">
        <v>105</v>
      </c>
      <c r="C107" s="8" t="s">
        <v>1040</v>
      </c>
      <c r="D107" s="8" t="s">
        <v>949</v>
      </c>
      <c r="E107" s="8" t="s">
        <v>1041</v>
      </c>
      <c r="F107" s="8" t="s">
        <v>1042</v>
      </c>
      <c r="G107" s="8" t="s">
        <v>41</v>
      </c>
      <c r="H107" s="7" t="s">
        <v>42</v>
      </c>
      <c r="I107" s="7"/>
      <c r="J107" s="8" t="s">
        <v>914</v>
      </c>
      <c r="K107" s="8" t="s">
        <v>1043</v>
      </c>
      <c r="L107" s="8" t="s">
        <v>1008</v>
      </c>
      <c r="M107" s="8" t="s">
        <v>906</v>
      </c>
      <c r="N107" s="7" t="s">
        <v>907</v>
      </c>
      <c r="O107" s="7" t="s">
        <v>908</v>
      </c>
      <c r="P107" s="7"/>
    </row>
    <row r="108" spans="1:16" ht="40" customHeight="1">
      <c r="A108" s="4" t="s">
        <v>92</v>
      </c>
      <c r="B108" s="4" t="s">
        <v>105</v>
      </c>
      <c r="C108" s="4" t="s">
        <v>1044</v>
      </c>
      <c r="D108" s="4" t="s">
        <v>949</v>
      </c>
      <c r="E108" s="4" t="s">
        <v>1045</v>
      </c>
      <c r="F108" s="4" t="s">
        <v>1046</v>
      </c>
      <c r="G108" s="4" t="s">
        <v>41</v>
      </c>
      <c r="H108" s="7" t="s">
        <v>42</v>
      </c>
      <c r="I108" s="7"/>
      <c r="J108" s="4" t="s">
        <v>914</v>
      </c>
      <c r="K108" s="4" t="s">
        <v>1047</v>
      </c>
      <c r="L108" s="4" t="s">
        <v>1008</v>
      </c>
      <c r="M108" s="4" t="s">
        <v>906</v>
      </c>
      <c r="N108" s="7" t="s">
        <v>907</v>
      </c>
      <c r="O108" s="7" t="s">
        <v>908</v>
      </c>
      <c r="P108" s="7"/>
    </row>
    <row r="109" spans="1:16" ht="40" customHeight="1">
      <c r="A109" s="8" t="s">
        <v>107</v>
      </c>
      <c r="B109" s="8" t="s">
        <v>108</v>
      </c>
      <c r="C109" s="8" t="s">
        <v>1048</v>
      </c>
      <c r="D109" s="8" t="s">
        <v>901</v>
      </c>
      <c r="E109" s="8" t="s">
        <v>1049</v>
      </c>
      <c r="F109" s="8" t="s">
        <v>1050</v>
      </c>
      <c r="G109" s="8" t="s">
        <v>41</v>
      </c>
      <c r="H109" s="7" t="s">
        <v>42</v>
      </c>
      <c r="I109" s="7"/>
      <c r="J109" s="8" t="s">
        <v>637</v>
      </c>
      <c r="K109" s="8" t="s">
        <v>920</v>
      </c>
      <c r="L109" s="8" t="s">
        <v>1051</v>
      </c>
      <c r="M109" s="8" t="s">
        <v>906</v>
      </c>
      <c r="N109" s="7" t="s">
        <v>907</v>
      </c>
      <c r="O109" s="7" t="s">
        <v>908</v>
      </c>
      <c r="P109" s="7"/>
    </row>
    <row r="110" spans="1:16" ht="40" customHeight="1">
      <c r="A110" s="4" t="s">
        <v>107</v>
      </c>
      <c r="B110" s="4" t="s">
        <v>108</v>
      </c>
      <c r="C110" s="4" t="s">
        <v>1052</v>
      </c>
      <c r="D110" s="4" t="s">
        <v>901</v>
      </c>
      <c r="E110" s="4" t="s">
        <v>1053</v>
      </c>
      <c r="F110" s="4" t="s">
        <v>1054</v>
      </c>
      <c r="G110" s="4" t="s">
        <v>41</v>
      </c>
      <c r="H110" s="7" t="s">
        <v>42</v>
      </c>
      <c r="I110" s="7"/>
      <c r="J110" s="4" t="s">
        <v>637</v>
      </c>
      <c r="K110" s="4" t="s">
        <v>1055</v>
      </c>
      <c r="L110" s="4" t="s">
        <v>1051</v>
      </c>
      <c r="M110" s="4" t="s">
        <v>906</v>
      </c>
      <c r="N110" s="7" t="s">
        <v>907</v>
      </c>
      <c r="O110" s="7" t="s">
        <v>908</v>
      </c>
      <c r="P110" s="7"/>
    </row>
    <row r="111" spans="1:16" ht="40" customHeight="1">
      <c r="A111" s="8" t="s">
        <v>107</v>
      </c>
      <c r="B111" s="8" t="s">
        <v>108</v>
      </c>
      <c r="C111" s="8" t="s">
        <v>1056</v>
      </c>
      <c r="D111" s="8" t="s">
        <v>901</v>
      </c>
      <c r="E111" s="8" t="s">
        <v>1057</v>
      </c>
      <c r="F111" s="8" t="s">
        <v>1058</v>
      </c>
      <c r="G111" s="8" t="s">
        <v>41</v>
      </c>
      <c r="H111" s="7" t="s">
        <v>42</v>
      </c>
      <c r="I111" s="7"/>
      <c r="J111" s="8" t="s">
        <v>637</v>
      </c>
      <c r="K111" s="8" t="s">
        <v>1059</v>
      </c>
      <c r="L111" s="8" t="s">
        <v>1051</v>
      </c>
      <c r="M111" s="8" t="s">
        <v>906</v>
      </c>
      <c r="N111" s="7" t="s">
        <v>907</v>
      </c>
      <c r="O111" s="7" t="s">
        <v>908</v>
      </c>
      <c r="P111" s="7"/>
    </row>
    <row r="112" spans="1:16" ht="40" customHeight="1">
      <c r="A112" s="4" t="s">
        <v>107</v>
      </c>
      <c r="B112" s="4" t="s">
        <v>108</v>
      </c>
      <c r="C112" s="4" t="s">
        <v>1060</v>
      </c>
      <c r="D112" s="4" t="s">
        <v>949</v>
      </c>
      <c r="E112" s="4" t="s">
        <v>1061</v>
      </c>
      <c r="F112" s="4" t="s">
        <v>1062</v>
      </c>
      <c r="G112" s="4" t="s">
        <v>41</v>
      </c>
      <c r="H112" s="7" t="s">
        <v>42</v>
      </c>
      <c r="I112" s="7"/>
      <c r="J112" s="4" t="s">
        <v>914</v>
      </c>
      <c r="K112" s="4" t="s">
        <v>1023</v>
      </c>
      <c r="L112" s="4" t="s">
        <v>1051</v>
      </c>
      <c r="M112" s="4" t="s">
        <v>906</v>
      </c>
      <c r="N112" s="7" t="s">
        <v>907</v>
      </c>
      <c r="O112" s="7" t="s">
        <v>908</v>
      </c>
      <c r="P112" s="7"/>
    </row>
    <row r="113" spans="1:16" ht="40" customHeight="1">
      <c r="A113" s="8" t="s">
        <v>107</v>
      </c>
      <c r="B113" s="8" t="s">
        <v>108</v>
      </c>
      <c r="C113" s="8" t="s">
        <v>1063</v>
      </c>
      <c r="D113" s="8" t="s">
        <v>949</v>
      </c>
      <c r="E113" s="8" t="s">
        <v>1064</v>
      </c>
      <c r="F113" s="8" t="s">
        <v>1065</v>
      </c>
      <c r="G113" s="8" t="s">
        <v>41</v>
      </c>
      <c r="H113" s="7" t="s">
        <v>42</v>
      </c>
      <c r="I113" s="7"/>
      <c r="J113" s="8" t="s">
        <v>914</v>
      </c>
      <c r="K113" s="8" t="s">
        <v>1066</v>
      </c>
      <c r="L113" s="8" t="s">
        <v>1051</v>
      </c>
      <c r="M113" s="8" t="s">
        <v>906</v>
      </c>
      <c r="N113" s="7" t="s">
        <v>907</v>
      </c>
      <c r="O113" s="7" t="s">
        <v>908</v>
      </c>
      <c r="P113" s="7"/>
    </row>
    <row r="114" spans="1:16" ht="40" customHeight="1">
      <c r="A114" s="4" t="s">
        <v>107</v>
      </c>
      <c r="B114" s="4" t="s">
        <v>108</v>
      </c>
      <c r="C114" s="4" t="s">
        <v>1067</v>
      </c>
      <c r="D114" s="4" t="s">
        <v>949</v>
      </c>
      <c r="E114" s="4" t="s">
        <v>1068</v>
      </c>
      <c r="F114" s="4" t="s">
        <v>1069</v>
      </c>
      <c r="G114" s="4" t="s">
        <v>41</v>
      </c>
      <c r="H114" s="7" t="s">
        <v>42</v>
      </c>
      <c r="I114" s="7"/>
      <c r="J114" s="4" t="s">
        <v>914</v>
      </c>
      <c r="K114" s="4" t="s">
        <v>1070</v>
      </c>
      <c r="L114" s="4" t="s">
        <v>1051</v>
      </c>
      <c r="M114" s="4" t="s">
        <v>906</v>
      </c>
      <c r="N114" s="7" t="s">
        <v>907</v>
      </c>
      <c r="O114" s="7" t="s">
        <v>908</v>
      </c>
      <c r="P114" s="7"/>
    </row>
    <row r="115" spans="1:16" ht="40" customHeight="1">
      <c r="A115" s="8" t="s">
        <v>121</v>
      </c>
      <c r="B115" s="8" t="s">
        <v>134</v>
      </c>
      <c r="C115" s="8" t="s">
        <v>1071</v>
      </c>
      <c r="D115" s="8" t="s">
        <v>901</v>
      </c>
      <c r="E115" s="8" t="s">
        <v>1072</v>
      </c>
      <c r="F115" s="8" t="s">
        <v>1073</v>
      </c>
      <c r="G115" s="8" t="s">
        <v>41</v>
      </c>
      <c r="H115" s="7" t="s">
        <v>42</v>
      </c>
      <c r="I115" s="7"/>
      <c r="J115" s="8" t="s">
        <v>637</v>
      </c>
      <c r="K115" s="8" t="s">
        <v>904</v>
      </c>
      <c r="L115" s="8" t="s">
        <v>1074</v>
      </c>
      <c r="M115" s="8" t="s">
        <v>906</v>
      </c>
      <c r="N115" s="7" t="s">
        <v>907</v>
      </c>
      <c r="O115" s="7" t="s">
        <v>908</v>
      </c>
      <c r="P115" s="7"/>
    </row>
    <row r="116" spans="1:16" ht="40" customHeight="1">
      <c r="A116" s="4" t="s">
        <v>121</v>
      </c>
      <c r="B116" s="4" t="s">
        <v>134</v>
      </c>
      <c r="C116" s="4" t="s">
        <v>1075</v>
      </c>
      <c r="D116" s="4" t="s">
        <v>901</v>
      </c>
      <c r="E116" s="4" t="s">
        <v>1076</v>
      </c>
      <c r="F116" s="4" t="s">
        <v>1077</v>
      </c>
      <c r="G116" s="4" t="s">
        <v>41</v>
      </c>
      <c r="H116" s="7" t="s">
        <v>42</v>
      </c>
      <c r="I116" s="7"/>
      <c r="J116" s="4" t="s">
        <v>637</v>
      </c>
      <c r="K116" s="4" t="s">
        <v>912</v>
      </c>
      <c r="L116" s="4" t="s">
        <v>1074</v>
      </c>
      <c r="M116" s="4" t="s">
        <v>906</v>
      </c>
      <c r="N116" s="7" t="s">
        <v>907</v>
      </c>
      <c r="O116" s="7" t="s">
        <v>908</v>
      </c>
      <c r="P116" s="7"/>
    </row>
    <row r="117" spans="1:16" ht="54" customHeight="1">
      <c r="A117" s="8" t="s">
        <v>121</v>
      </c>
      <c r="B117" s="8" t="s">
        <v>134</v>
      </c>
      <c r="C117" s="8" t="s">
        <v>1078</v>
      </c>
      <c r="D117" s="8" t="s">
        <v>901</v>
      </c>
      <c r="E117" s="8" t="s">
        <v>1079</v>
      </c>
      <c r="F117" s="8" t="s">
        <v>1080</v>
      </c>
      <c r="G117" s="8" t="s">
        <v>41</v>
      </c>
      <c r="H117" s="7" t="s">
        <v>42</v>
      </c>
      <c r="I117" s="7"/>
      <c r="J117" s="8" t="s">
        <v>637</v>
      </c>
      <c r="K117" s="8" t="s">
        <v>1015</v>
      </c>
      <c r="L117" s="8" t="s">
        <v>1074</v>
      </c>
      <c r="M117" s="8" t="s">
        <v>906</v>
      </c>
      <c r="N117" s="7" t="s">
        <v>907</v>
      </c>
      <c r="O117" s="7" t="s">
        <v>908</v>
      </c>
      <c r="P117" s="7"/>
    </row>
    <row r="118" spans="1:16" ht="40" customHeight="1">
      <c r="A118" s="4" t="s">
        <v>121</v>
      </c>
      <c r="B118" s="4" t="s">
        <v>134</v>
      </c>
      <c r="C118" s="4" t="s">
        <v>1081</v>
      </c>
      <c r="D118" s="4" t="s">
        <v>901</v>
      </c>
      <c r="E118" s="4" t="s">
        <v>1082</v>
      </c>
      <c r="F118" s="4" t="s">
        <v>1083</v>
      </c>
      <c r="G118" s="4" t="s">
        <v>41</v>
      </c>
      <c r="H118" s="7" t="s">
        <v>42</v>
      </c>
      <c r="I118" s="7"/>
      <c r="J118" s="4" t="s">
        <v>637</v>
      </c>
      <c r="K118" s="4" t="s">
        <v>1019</v>
      </c>
      <c r="L118" s="4" t="s">
        <v>1074</v>
      </c>
      <c r="M118" s="4" t="s">
        <v>906</v>
      </c>
      <c r="N118" s="7" t="s">
        <v>907</v>
      </c>
      <c r="O118" s="7" t="s">
        <v>908</v>
      </c>
      <c r="P118" s="7"/>
    </row>
    <row r="119" spans="1:16" ht="40" customHeight="1">
      <c r="A119" s="8" t="s">
        <v>121</v>
      </c>
      <c r="B119" s="8" t="s">
        <v>134</v>
      </c>
      <c r="C119" s="8" t="s">
        <v>1084</v>
      </c>
      <c r="D119" s="8" t="s">
        <v>901</v>
      </c>
      <c r="E119" s="8" t="s">
        <v>1085</v>
      </c>
      <c r="F119" s="8" t="s">
        <v>1086</v>
      </c>
      <c r="G119" s="8" t="s">
        <v>41</v>
      </c>
      <c r="H119" s="7" t="s">
        <v>42</v>
      </c>
      <c r="I119" s="7"/>
      <c r="J119" s="8" t="s">
        <v>637</v>
      </c>
      <c r="K119" s="8" t="s">
        <v>1087</v>
      </c>
      <c r="L119" s="8" t="s">
        <v>1074</v>
      </c>
      <c r="M119" s="8" t="s">
        <v>906</v>
      </c>
      <c r="N119" s="7" t="s">
        <v>907</v>
      </c>
      <c r="O119" s="7" t="s">
        <v>908</v>
      </c>
      <c r="P119" s="7"/>
    </row>
    <row r="120" spans="1:16" ht="40" customHeight="1">
      <c r="A120" s="4" t="s">
        <v>121</v>
      </c>
      <c r="B120" s="4" t="s">
        <v>134</v>
      </c>
      <c r="C120" s="4" t="s">
        <v>1088</v>
      </c>
      <c r="D120" s="4" t="s">
        <v>901</v>
      </c>
      <c r="E120" s="4" t="s">
        <v>1089</v>
      </c>
      <c r="F120" s="4" t="s">
        <v>1090</v>
      </c>
      <c r="G120" s="4" t="s">
        <v>41</v>
      </c>
      <c r="H120" s="7" t="s">
        <v>42</v>
      </c>
      <c r="I120" s="7"/>
      <c r="J120" s="4" t="s">
        <v>637</v>
      </c>
      <c r="K120" s="4" t="s">
        <v>1091</v>
      </c>
      <c r="L120" s="4" t="s">
        <v>1074</v>
      </c>
      <c r="M120" s="4" t="s">
        <v>906</v>
      </c>
      <c r="N120" s="7" t="s">
        <v>907</v>
      </c>
      <c r="O120" s="7" t="s">
        <v>908</v>
      </c>
      <c r="P120" s="7"/>
    </row>
    <row r="121" spans="1:16" ht="40" customHeight="1">
      <c r="A121" s="8" t="s">
        <v>121</v>
      </c>
      <c r="B121" s="8" t="s">
        <v>134</v>
      </c>
      <c r="C121" s="8" t="s">
        <v>1092</v>
      </c>
      <c r="D121" s="8" t="s">
        <v>901</v>
      </c>
      <c r="E121" s="8" t="s">
        <v>1093</v>
      </c>
      <c r="F121" s="8" t="s">
        <v>1094</v>
      </c>
      <c r="G121" s="8" t="s">
        <v>41</v>
      </c>
      <c r="H121" s="7" t="s">
        <v>42</v>
      </c>
      <c r="I121" s="7"/>
      <c r="J121" s="8" t="s">
        <v>637</v>
      </c>
      <c r="K121" s="8" t="s">
        <v>1095</v>
      </c>
      <c r="L121" s="8" t="s">
        <v>1074</v>
      </c>
      <c r="M121" s="8" t="s">
        <v>906</v>
      </c>
      <c r="N121" s="7" t="s">
        <v>907</v>
      </c>
      <c r="O121" s="7" t="s">
        <v>908</v>
      </c>
      <c r="P121" s="7"/>
    </row>
    <row r="122" spans="1:16" ht="40" customHeight="1">
      <c r="A122" s="4" t="s">
        <v>121</v>
      </c>
      <c r="B122" s="4" t="s">
        <v>134</v>
      </c>
      <c r="C122" s="4" t="s">
        <v>1096</v>
      </c>
      <c r="D122" s="4" t="s">
        <v>901</v>
      </c>
      <c r="E122" s="4" t="s">
        <v>1097</v>
      </c>
      <c r="F122" s="4" t="s">
        <v>1098</v>
      </c>
      <c r="G122" s="4" t="s">
        <v>41</v>
      </c>
      <c r="H122" s="7" t="s">
        <v>42</v>
      </c>
      <c r="I122" s="7"/>
      <c r="J122" s="4" t="s">
        <v>637</v>
      </c>
      <c r="K122" s="4" t="s">
        <v>1099</v>
      </c>
      <c r="L122" s="4" t="s">
        <v>1074</v>
      </c>
      <c r="M122" s="4" t="s">
        <v>906</v>
      </c>
      <c r="N122" s="7" t="s">
        <v>907</v>
      </c>
      <c r="O122" s="7" t="s">
        <v>908</v>
      </c>
      <c r="P122" s="7"/>
    </row>
    <row r="123" spans="1:16" ht="40" customHeight="1">
      <c r="A123" s="8" t="s">
        <v>121</v>
      </c>
      <c r="B123" s="8" t="s">
        <v>134</v>
      </c>
      <c r="C123" s="8" t="s">
        <v>1100</v>
      </c>
      <c r="D123" s="8" t="s">
        <v>901</v>
      </c>
      <c r="E123" s="8" t="s">
        <v>1101</v>
      </c>
      <c r="F123" s="8" t="s">
        <v>1102</v>
      </c>
      <c r="G123" s="8" t="s">
        <v>41</v>
      </c>
      <c r="H123" s="7" t="s">
        <v>42</v>
      </c>
      <c r="I123" s="7"/>
      <c r="J123" s="8" t="s">
        <v>637</v>
      </c>
      <c r="K123" s="8" t="s">
        <v>1103</v>
      </c>
      <c r="L123" s="8" t="s">
        <v>1074</v>
      </c>
      <c r="M123" s="8" t="s">
        <v>906</v>
      </c>
      <c r="N123" s="7" t="s">
        <v>907</v>
      </c>
      <c r="O123" s="7" t="s">
        <v>908</v>
      </c>
      <c r="P123" s="7"/>
    </row>
    <row r="124" spans="1:16" ht="40" customHeight="1">
      <c r="A124" s="4" t="s">
        <v>121</v>
      </c>
      <c r="B124" s="4" t="s">
        <v>134</v>
      </c>
      <c r="C124" s="4" t="s">
        <v>1104</v>
      </c>
      <c r="D124" s="4" t="s">
        <v>901</v>
      </c>
      <c r="E124" s="4" t="s">
        <v>1105</v>
      </c>
      <c r="F124" s="4" t="s">
        <v>1106</v>
      </c>
      <c r="G124" s="4" t="s">
        <v>41</v>
      </c>
      <c r="H124" s="7" t="s">
        <v>42</v>
      </c>
      <c r="I124" s="7"/>
      <c r="J124" s="4" t="s">
        <v>637</v>
      </c>
      <c r="K124" s="4" t="s">
        <v>1107</v>
      </c>
      <c r="L124" s="4" t="s">
        <v>1074</v>
      </c>
      <c r="M124" s="4" t="s">
        <v>906</v>
      </c>
      <c r="N124" s="7" t="s">
        <v>907</v>
      </c>
      <c r="O124" s="7" t="s">
        <v>908</v>
      </c>
      <c r="P124" s="7"/>
    </row>
    <row r="125" spans="1:16" ht="40" customHeight="1">
      <c r="A125" s="8" t="s">
        <v>121</v>
      </c>
      <c r="B125" s="8" t="s">
        <v>134</v>
      </c>
      <c r="C125" s="8" t="s">
        <v>1108</v>
      </c>
      <c r="D125" s="8" t="s">
        <v>901</v>
      </c>
      <c r="E125" s="8" t="s">
        <v>1109</v>
      </c>
      <c r="F125" s="8" t="s">
        <v>1110</v>
      </c>
      <c r="G125" s="8" t="s">
        <v>41</v>
      </c>
      <c r="H125" s="7" t="s">
        <v>42</v>
      </c>
      <c r="I125" s="7"/>
      <c r="J125" s="8" t="s">
        <v>637</v>
      </c>
      <c r="K125" s="8" t="s">
        <v>1111</v>
      </c>
      <c r="L125" s="8" t="s">
        <v>1074</v>
      </c>
      <c r="M125" s="8" t="s">
        <v>906</v>
      </c>
      <c r="N125" s="7" t="s">
        <v>907</v>
      </c>
      <c r="O125" s="7" t="s">
        <v>908</v>
      </c>
      <c r="P125" s="7"/>
    </row>
    <row r="126" spans="1:16" ht="40" customHeight="1">
      <c r="A126" s="4" t="s">
        <v>121</v>
      </c>
      <c r="B126" s="4" t="s">
        <v>134</v>
      </c>
      <c r="C126" s="4" t="s">
        <v>1112</v>
      </c>
      <c r="D126" s="4" t="s">
        <v>901</v>
      </c>
      <c r="E126" s="4" t="s">
        <v>1113</v>
      </c>
      <c r="F126" s="4" t="s">
        <v>1114</v>
      </c>
      <c r="G126" s="4" t="s">
        <v>41</v>
      </c>
      <c r="H126" s="7" t="s">
        <v>42</v>
      </c>
      <c r="I126" s="7"/>
      <c r="J126" s="4" t="s">
        <v>637</v>
      </c>
      <c r="K126" s="4" t="s">
        <v>1115</v>
      </c>
      <c r="L126" s="4" t="s">
        <v>1074</v>
      </c>
      <c r="M126" s="4" t="s">
        <v>906</v>
      </c>
      <c r="N126" s="7" t="s">
        <v>907</v>
      </c>
      <c r="O126" s="7" t="s">
        <v>908</v>
      </c>
      <c r="P126" s="7"/>
    </row>
    <row r="127" spans="1:16" ht="40" customHeight="1">
      <c r="A127" s="8" t="s">
        <v>121</v>
      </c>
      <c r="B127" s="8" t="s">
        <v>134</v>
      </c>
      <c r="C127" s="8" t="s">
        <v>1116</v>
      </c>
      <c r="D127" s="8" t="s">
        <v>901</v>
      </c>
      <c r="E127" s="8" t="s">
        <v>1117</v>
      </c>
      <c r="F127" s="8" t="s">
        <v>1118</v>
      </c>
      <c r="G127" s="8" t="s">
        <v>41</v>
      </c>
      <c r="H127" s="7" t="s">
        <v>42</v>
      </c>
      <c r="I127" s="7"/>
      <c r="J127" s="8" t="s">
        <v>637</v>
      </c>
      <c r="K127" s="8" t="s">
        <v>1119</v>
      </c>
      <c r="L127" s="8" t="s">
        <v>1074</v>
      </c>
      <c r="M127" s="8" t="s">
        <v>906</v>
      </c>
      <c r="N127" s="7" t="s">
        <v>907</v>
      </c>
      <c r="O127" s="7" t="s">
        <v>908</v>
      </c>
      <c r="P127" s="7"/>
    </row>
    <row r="128" spans="1:16" ht="40" customHeight="1">
      <c r="A128" s="4" t="s">
        <v>121</v>
      </c>
      <c r="B128" s="4" t="s">
        <v>134</v>
      </c>
      <c r="C128" s="4" t="s">
        <v>1120</v>
      </c>
      <c r="D128" s="4" t="s">
        <v>901</v>
      </c>
      <c r="E128" s="4" t="s">
        <v>1121</v>
      </c>
      <c r="F128" s="4" t="s">
        <v>1122</v>
      </c>
      <c r="G128" s="4" t="s">
        <v>41</v>
      </c>
      <c r="H128" s="7" t="s">
        <v>42</v>
      </c>
      <c r="I128" s="7"/>
      <c r="J128" s="4" t="s">
        <v>637</v>
      </c>
      <c r="K128" s="4" t="s">
        <v>1123</v>
      </c>
      <c r="L128" s="4" t="s">
        <v>1074</v>
      </c>
      <c r="M128" s="4" t="s">
        <v>906</v>
      </c>
      <c r="N128" s="7" t="s">
        <v>907</v>
      </c>
      <c r="O128" s="7" t="s">
        <v>908</v>
      </c>
      <c r="P128" s="7"/>
    </row>
    <row r="129" spans="1:16" ht="40" customHeight="1">
      <c r="A129" s="8" t="s">
        <v>121</v>
      </c>
      <c r="B129" s="8" t="s">
        <v>134</v>
      </c>
      <c r="C129" s="8" t="s">
        <v>1124</v>
      </c>
      <c r="D129" s="8" t="s">
        <v>901</v>
      </c>
      <c r="E129" s="8" t="s">
        <v>1125</v>
      </c>
      <c r="F129" s="8" t="s">
        <v>1126</v>
      </c>
      <c r="G129" s="8" t="s">
        <v>41</v>
      </c>
      <c r="H129" s="7" t="s">
        <v>42</v>
      </c>
      <c r="I129" s="7"/>
      <c r="J129" s="8" t="s">
        <v>637</v>
      </c>
      <c r="K129" s="8" t="s">
        <v>1127</v>
      </c>
      <c r="L129" s="8" t="s">
        <v>1074</v>
      </c>
      <c r="M129" s="8" t="s">
        <v>906</v>
      </c>
      <c r="N129" s="7" t="s">
        <v>907</v>
      </c>
      <c r="O129" s="7" t="s">
        <v>908</v>
      </c>
      <c r="P129" s="7"/>
    </row>
    <row r="130" spans="1:16" ht="40" customHeight="1">
      <c r="A130" s="4" t="s">
        <v>121</v>
      </c>
      <c r="B130" s="4" t="s">
        <v>134</v>
      </c>
      <c r="C130" s="4" t="s">
        <v>1128</v>
      </c>
      <c r="D130" s="4" t="s">
        <v>901</v>
      </c>
      <c r="E130" s="4" t="s">
        <v>1129</v>
      </c>
      <c r="F130" s="4" t="s">
        <v>1130</v>
      </c>
      <c r="G130" s="4" t="s">
        <v>41</v>
      </c>
      <c r="H130" s="7" t="s">
        <v>42</v>
      </c>
      <c r="I130" s="7"/>
      <c r="J130" s="4" t="s">
        <v>637</v>
      </c>
      <c r="K130" s="4" t="s">
        <v>1131</v>
      </c>
      <c r="L130" s="4" t="s">
        <v>1074</v>
      </c>
      <c r="M130" s="4" t="s">
        <v>906</v>
      </c>
      <c r="N130" s="7" t="s">
        <v>907</v>
      </c>
      <c r="O130" s="7" t="s">
        <v>908</v>
      </c>
      <c r="P130" s="7"/>
    </row>
    <row r="131" spans="1:16" ht="40" customHeight="1">
      <c r="A131" s="8" t="s">
        <v>121</v>
      </c>
      <c r="B131" s="8" t="s">
        <v>134</v>
      </c>
      <c r="C131" s="8" t="s">
        <v>1132</v>
      </c>
      <c r="D131" s="8" t="s">
        <v>914</v>
      </c>
      <c r="E131" s="8" t="s">
        <v>915</v>
      </c>
      <c r="F131" s="8" t="s">
        <v>132</v>
      </c>
      <c r="G131" s="8" t="s">
        <v>916</v>
      </c>
      <c r="H131" s="7" t="s">
        <v>42</v>
      </c>
      <c r="I131" s="7"/>
      <c r="J131" s="8" t="s">
        <v>914</v>
      </c>
      <c r="K131" s="8" t="s">
        <v>41</v>
      </c>
      <c r="L131" s="8" t="s">
        <v>1074</v>
      </c>
      <c r="M131" s="8" t="s">
        <v>51</v>
      </c>
      <c r="N131" s="7" t="s">
        <v>907</v>
      </c>
      <c r="O131" s="7"/>
      <c r="P131" s="7"/>
    </row>
    <row r="132" spans="1:16" ht="40" customHeight="1">
      <c r="A132" s="4" t="s">
        <v>136</v>
      </c>
      <c r="B132" s="4" t="s">
        <v>145</v>
      </c>
      <c r="C132" s="4" t="s">
        <v>1133</v>
      </c>
      <c r="D132" s="4" t="s">
        <v>901</v>
      </c>
      <c r="E132" s="4" t="s">
        <v>1072</v>
      </c>
      <c r="F132" s="4" t="s">
        <v>1134</v>
      </c>
      <c r="G132" s="4" t="s">
        <v>41</v>
      </c>
      <c r="H132" s="7" t="s">
        <v>42</v>
      </c>
      <c r="I132" s="7"/>
      <c r="J132" s="4" t="s">
        <v>637</v>
      </c>
      <c r="K132" s="4" t="s">
        <v>904</v>
      </c>
      <c r="L132" s="4" t="s">
        <v>1135</v>
      </c>
      <c r="M132" s="4" t="s">
        <v>906</v>
      </c>
      <c r="N132" s="7" t="s">
        <v>907</v>
      </c>
      <c r="O132" s="7" t="s">
        <v>908</v>
      </c>
      <c r="P132" s="7"/>
    </row>
    <row r="133" spans="1:16" ht="40" customHeight="1">
      <c r="A133" s="8" t="s">
        <v>136</v>
      </c>
      <c r="B133" s="8" t="s">
        <v>145</v>
      </c>
      <c r="C133" s="8" t="s">
        <v>1136</v>
      </c>
      <c r="D133" s="8" t="s">
        <v>901</v>
      </c>
      <c r="E133" s="8" t="s">
        <v>1137</v>
      </c>
      <c r="F133" s="8" t="s">
        <v>1138</v>
      </c>
      <c r="G133" s="8" t="s">
        <v>41</v>
      </c>
      <c r="H133" s="7" t="s">
        <v>42</v>
      </c>
      <c r="I133" s="7"/>
      <c r="J133" s="8" t="s">
        <v>637</v>
      </c>
      <c r="K133" s="8" t="s">
        <v>912</v>
      </c>
      <c r="L133" s="8" t="s">
        <v>1135</v>
      </c>
      <c r="M133" s="8" t="s">
        <v>906</v>
      </c>
      <c r="N133" s="7" t="s">
        <v>907</v>
      </c>
      <c r="O133" s="7" t="s">
        <v>908</v>
      </c>
      <c r="P133" s="7"/>
    </row>
    <row r="134" spans="1:16" ht="40" customHeight="1">
      <c r="A134" s="4" t="s">
        <v>136</v>
      </c>
      <c r="B134" s="4" t="s">
        <v>145</v>
      </c>
      <c r="C134" s="4" t="s">
        <v>1139</v>
      </c>
      <c r="D134" s="4" t="s">
        <v>901</v>
      </c>
      <c r="E134" s="4" t="s">
        <v>1140</v>
      </c>
      <c r="F134" s="4" t="s">
        <v>1141</v>
      </c>
      <c r="G134" s="4" t="s">
        <v>41</v>
      </c>
      <c r="H134" s="7" t="s">
        <v>42</v>
      </c>
      <c r="I134" s="7"/>
      <c r="J134" s="4" t="s">
        <v>637</v>
      </c>
      <c r="K134" s="4" t="s">
        <v>1015</v>
      </c>
      <c r="L134" s="4" t="s">
        <v>1135</v>
      </c>
      <c r="M134" s="4" t="s">
        <v>906</v>
      </c>
      <c r="N134" s="7" t="s">
        <v>907</v>
      </c>
      <c r="O134" s="7" t="s">
        <v>908</v>
      </c>
      <c r="P134" s="7"/>
    </row>
    <row r="135" spans="1:16" ht="40" customHeight="1">
      <c r="A135" s="8" t="s">
        <v>136</v>
      </c>
      <c r="B135" s="8" t="s">
        <v>145</v>
      </c>
      <c r="C135" s="8" t="s">
        <v>1142</v>
      </c>
      <c r="D135" s="8" t="s">
        <v>901</v>
      </c>
      <c r="E135" s="8" t="s">
        <v>1143</v>
      </c>
      <c r="F135" s="8" t="s">
        <v>1144</v>
      </c>
      <c r="G135" s="8" t="s">
        <v>41</v>
      </c>
      <c r="H135" s="7" t="s">
        <v>42</v>
      </c>
      <c r="I135" s="7"/>
      <c r="J135" s="8" t="s">
        <v>637</v>
      </c>
      <c r="K135" s="8" t="s">
        <v>1019</v>
      </c>
      <c r="L135" s="8" t="s">
        <v>1135</v>
      </c>
      <c r="M135" s="8" t="s">
        <v>906</v>
      </c>
      <c r="N135" s="7" t="s">
        <v>907</v>
      </c>
      <c r="O135" s="7" t="s">
        <v>908</v>
      </c>
      <c r="P135" s="7"/>
    </row>
    <row r="136" spans="1:16" ht="54" customHeight="1">
      <c r="A136" s="4" t="s">
        <v>136</v>
      </c>
      <c r="B136" s="4" t="s">
        <v>145</v>
      </c>
      <c r="C136" s="4" t="s">
        <v>1145</v>
      </c>
      <c r="D136" s="4" t="s">
        <v>901</v>
      </c>
      <c r="E136" s="4" t="s">
        <v>1079</v>
      </c>
      <c r="F136" s="4" t="s">
        <v>1146</v>
      </c>
      <c r="G136" s="4" t="s">
        <v>41</v>
      </c>
      <c r="H136" s="7" t="s">
        <v>42</v>
      </c>
      <c r="I136" s="7"/>
      <c r="J136" s="4" t="s">
        <v>637</v>
      </c>
      <c r="K136" s="4" t="s">
        <v>1147</v>
      </c>
      <c r="L136" s="4" t="s">
        <v>1135</v>
      </c>
      <c r="M136" s="4" t="s">
        <v>906</v>
      </c>
      <c r="N136" s="7" t="s">
        <v>907</v>
      </c>
      <c r="O136" s="7" t="s">
        <v>908</v>
      </c>
      <c r="P136" s="7"/>
    </row>
    <row r="137" spans="1:16" ht="40" customHeight="1">
      <c r="A137" s="8" t="s">
        <v>136</v>
      </c>
      <c r="B137" s="8" t="s">
        <v>145</v>
      </c>
      <c r="C137" s="8" t="s">
        <v>1148</v>
      </c>
      <c r="D137" s="8" t="s">
        <v>914</v>
      </c>
      <c r="E137" s="8" t="s">
        <v>915</v>
      </c>
      <c r="F137" s="8" t="s">
        <v>144</v>
      </c>
      <c r="G137" s="8" t="s">
        <v>916</v>
      </c>
      <c r="H137" s="7" t="s">
        <v>42</v>
      </c>
      <c r="I137" s="7"/>
      <c r="J137" s="8" t="s">
        <v>914</v>
      </c>
      <c r="K137" s="8" t="s">
        <v>41</v>
      </c>
      <c r="L137" s="8" t="s">
        <v>1135</v>
      </c>
      <c r="M137" s="8" t="s">
        <v>51</v>
      </c>
      <c r="N137" s="7" t="s">
        <v>907</v>
      </c>
      <c r="O137" s="7"/>
      <c r="P137" s="7"/>
    </row>
    <row r="138" spans="1:16" ht="40" customHeight="1">
      <c r="A138" s="4" t="s">
        <v>147</v>
      </c>
      <c r="B138" s="4" t="s">
        <v>148</v>
      </c>
      <c r="C138" s="4" t="s">
        <v>1149</v>
      </c>
      <c r="D138" s="4" t="s">
        <v>901</v>
      </c>
      <c r="E138" s="4" t="s">
        <v>838</v>
      </c>
      <c r="F138" s="4" t="s">
        <v>1150</v>
      </c>
      <c r="G138" s="4" t="s">
        <v>837</v>
      </c>
      <c r="H138" s="7" t="s">
        <v>42</v>
      </c>
      <c r="I138" s="7"/>
      <c r="J138" s="4" t="s">
        <v>637</v>
      </c>
      <c r="K138" s="4" t="s">
        <v>1151</v>
      </c>
      <c r="L138" s="4" t="s">
        <v>1152</v>
      </c>
      <c r="M138" s="4" t="s">
        <v>906</v>
      </c>
      <c r="N138" s="7" t="s">
        <v>907</v>
      </c>
      <c r="O138" s="7" t="s">
        <v>908</v>
      </c>
      <c r="P138" s="7"/>
    </row>
    <row r="139" spans="1:16" ht="40" customHeight="1">
      <c r="A139" s="8" t="s">
        <v>147</v>
      </c>
      <c r="B139" s="8" t="s">
        <v>148</v>
      </c>
      <c r="C139" s="8" t="s">
        <v>1153</v>
      </c>
      <c r="D139" s="8" t="s">
        <v>901</v>
      </c>
      <c r="E139" s="8" t="s">
        <v>842</v>
      </c>
      <c r="F139" s="8" t="s">
        <v>1154</v>
      </c>
      <c r="G139" s="8" t="s">
        <v>841</v>
      </c>
      <c r="H139" s="7" t="s">
        <v>42</v>
      </c>
      <c r="I139" s="7"/>
      <c r="J139" s="8" t="s">
        <v>637</v>
      </c>
      <c r="K139" s="8" t="s">
        <v>1155</v>
      </c>
      <c r="L139" s="8" t="s">
        <v>1152</v>
      </c>
      <c r="M139" s="8" t="s">
        <v>906</v>
      </c>
      <c r="N139" s="7" t="s">
        <v>907</v>
      </c>
      <c r="O139" s="7" t="s">
        <v>908</v>
      </c>
      <c r="P139" s="7"/>
    </row>
    <row r="140" spans="1:16" ht="40" customHeight="1">
      <c r="A140" s="4" t="s">
        <v>147</v>
      </c>
      <c r="B140" s="4" t="s">
        <v>148</v>
      </c>
      <c r="C140" s="4" t="s">
        <v>1156</v>
      </c>
      <c r="D140" s="4" t="s">
        <v>901</v>
      </c>
      <c r="E140" s="4" t="s">
        <v>845</v>
      </c>
      <c r="F140" s="4" t="s">
        <v>1157</v>
      </c>
      <c r="G140" s="4" t="s">
        <v>755</v>
      </c>
      <c r="H140" s="7" t="s">
        <v>42</v>
      </c>
      <c r="I140" s="7"/>
      <c r="J140" s="4" t="s">
        <v>637</v>
      </c>
      <c r="K140" s="4" t="s">
        <v>1158</v>
      </c>
      <c r="L140" s="4" t="s">
        <v>1152</v>
      </c>
      <c r="M140" s="4" t="s">
        <v>906</v>
      </c>
      <c r="N140" s="7" t="s">
        <v>907</v>
      </c>
      <c r="O140" s="7" t="s">
        <v>908</v>
      </c>
      <c r="P140" s="7"/>
    </row>
    <row r="141" spans="1:16" ht="40" customHeight="1">
      <c r="A141" s="8" t="s">
        <v>147</v>
      </c>
      <c r="B141" s="8" t="s">
        <v>148</v>
      </c>
      <c r="C141" s="8" t="s">
        <v>1159</v>
      </c>
      <c r="D141" s="8" t="s">
        <v>901</v>
      </c>
      <c r="E141" s="8" t="s">
        <v>849</v>
      </c>
      <c r="F141" s="8" t="s">
        <v>1160</v>
      </c>
      <c r="G141" s="8" t="s">
        <v>848</v>
      </c>
      <c r="H141" s="7" t="s">
        <v>42</v>
      </c>
      <c r="I141" s="7"/>
      <c r="J141" s="8" t="s">
        <v>637</v>
      </c>
      <c r="K141" s="8" t="s">
        <v>1161</v>
      </c>
      <c r="L141" s="8" t="s">
        <v>1152</v>
      </c>
      <c r="M141" s="8" t="s">
        <v>906</v>
      </c>
      <c r="N141" s="7" t="s">
        <v>907</v>
      </c>
      <c r="O141" s="7" t="s">
        <v>908</v>
      </c>
      <c r="P141" s="7"/>
    </row>
    <row r="142" spans="1:16" ht="40" customHeight="1">
      <c r="A142" s="4" t="s">
        <v>147</v>
      </c>
      <c r="B142" s="4" t="s">
        <v>148</v>
      </c>
      <c r="C142" s="4" t="s">
        <v>1162</v>
      </c>
      <c r="D142" s="4" t="s">
        <v>901</v>
      </c>
      <c r="E142" s="4" t="s">
        <v>853</v>
      </c>
      <c r="F142" s="4" t="s">
        <v>1163</v>
      </c>
      <c r="G142" s="4" t="s">
        <v>852</v>
      </c>
      <c r="H142" s="7" t="s">
        <v>42</v>
      </c>
      <c r="I142" s="7"/>
      <c r="J142" s="4" t="s">
        <v>637</v>
      </c>
      <c r="K142" s="4" t="s">
        <v>1164</v>
      </c>
      <c r="L142" s="4" t="s">
        <v>1152</v>
      </c>
      <c r="M142" s="4" t="s">
        <v>906</v>
      </c>
      <c r="N142" s="7" t="s">
        <v>907</v>
      </c>
      <c r="O142" s="7" t="s">
        <v>908</v>
      </c>
      <c r="P142" s="7"/>
    </row>
    <row r="143" spans="1:16" ht="40" customHeight="1">
      <c r="A143" s="8" t="s">
        <v>147</v>
      </c>
      <c r="B143" s="8" t="s">
        <v>148</v>
      </c>
      <c r="C143" s="8" t="s">
        <v>1165</v>
      </c>
      <c r="D143" s="8" t="s">
        <v>901</v>
      </c>
      <c r="E143" s="8" t="s">
        <v>857</v>
      </c>
      <c r="F143" s="8" t="s">
        <v>1166</v>
      </c>
      <c r="G143" s="8" t="s">
        <v>856</v>
      </c>
      <c r="H143" s="7" t="s">
        <v>42</v>
      </c>
      <c r="I143" s="7"/>
      <c r="J143" s="8" t="s">
        <v>637</v>
      </c>
      <c r="K143" s="8" t="s">
        <v>1167</v>
      </c>
      <c r="L143" s="8" t="s">
        <v>1152</v>
      </c>
      <c r="M143" s="8" t="s">
        <v>906</v>
      </c>
      <c r="N143" s="7" t="s">
        <v>907</v>
      </c>
      <c r="O143" s="7" t="s">
        <v>908</v>
      </c>
      <c r="P143" s="7"/>
    </row>
    <row r="144" spans="1:16" ht="40" customHeight="1">
      <c r="A144" s="4" t="s">
        <v>147</v>
      </c>
      <c r="B144" s="4" t="s">
        <v>148</v>
      </c>
      <c r="C144" s="4" t="s">
        <v>1168</v>
      </c>
      <c r="D144" s="4" t="s">
        <v>901</v>
      </c>
      <c r="E144" s="4" t="s">
        <v>861</v>
      </c>
      <c r="F144" s="4" t="s">
        <v>1169</v>
      </c>
      <c r="G144" s="4" t="s">
        <v>860</v>
      </c>
      <c r="H144" s="7" t="s">
        <v>42</v>
      </c>
      <c r="I144" s="7"/>
      <c r="J144" s="4" t="s">
        <v>637</v>
      </c>
      <c r="K144" s="4" t="s">
        <v>1170</v>
      </c>
      <c r="L144" s="4" t="s">
        <v>1152</v>
      </c>
      <c r="M144" s="4" t="s">
        <v>906</v>
      </c>
      <c r="N144" s="7" t="s">
        <v>907</v>
      </c>
      <c r="O144" s="7" t="s">
        <v>908</v>
      </c>
      <c r="P144" s="7"/>
    </row>
    <row r="145" spans="1:16" ht="40" customHeight="1">
      <c r="A145" s="8" t="s">
        <v>147</v>
      </c>
      <c r="B145" s="8" t="s">
        <v>148</v>
      </c>
      <c r="C145" s="8" t="s">
        <v>1171</v>
      </c>
      <c r="D145" s="8" t="s">
        <v>901</v>
      </c>
      <c r="E145" s="8" t="s">
        <v>866</v>
      </c>
      <c r="F145" s="8" t="s">
        <v>1172</v>
      </c>
      <c r="G145" s="8" t="s">
        <v>865</v>
      </c>
      <c r="H145" s="7" t="s">
        <v>42</v>
      </c>
      <c r="I145" s="7"/>
      <c r="J145" s="8" t="s">
        <v>637</v>
      </c>
      <c r="K145" s="8" t="s">
        <v>1173</v>
      </c>
      <c r="L145" s="8" t="s">
        <v>1152</v>
      </c>
      <c r="M145" s="8" t="s">
        <v>906</v>
      </c>
      <c r="N145" s="7" t="s">
        <v>907</v>
      </c>
      <c r="O145" s="7" t="s">
        <v>908</v>
      </c>
      <c r="P145" s="7"/>
    </row>
    <row r="146" spans="1:16" ht="40" customHeight="1">
      <c r="A146" s="4" t="s">
        <v>147</v>
      </c>
      <c r="B146" s="4" t="s">
        <v>148</v>
      </c>
      <c r="C146" s="4" t="s">
        <v>1174</v>
      </c>
      <c r="D146" s="4" t="s">
        <v>1175</v>
      </c>
      <c r="E146" s="4" t="s">
        <v>871</v>
      </c>
      <c r="F146" s="4" t="s">
        <v>1176</v>
      </c>
      <c r="G146" s="4" t="s">
        <v>870</v>
      </c>
      <c r="H146" s="7" t="s">
        <v>42</v>
      </c>
      <c r="I146" s="7"/>
      <c r="J146" s="4" t="s">
        <v>637</v>
      </c>
      <c r="K146" s="4" t="s">
        <v>1177</v>
      </c>
      <c r="L146" s="4" t="s">
        <v>1152</v>
      </c>
      <c r="M146" s="4" t="s">
        <v>906</v>
      </c>
      <c r="N146" s="7" t="s">
        <v>907</v>
      </c>
      <c r="O146" s="7" t="s">
        <v>908</v>
      </c>
      <c r="P146" s="7"/>
    </row>
    <row r="147" spans="1:16" ht="40" customHeight="1">
      <c r="A147" s="8" t="s">
        <v>163</v>
      </c>
      <c r="B147" s="8" t="s">
        <v>164</v>
      </c>
      <c r="C147" s="8" t="s">
        <v>1178</v>
      </c>
      <c r="D147" s="8" t="s">
        <v>901</v>
      </c>
      <c r="E147" s="8" t="s">
        <v>876</v>
      </c>
      <c r="F147" s="8" t="s">
        <v>1179</v>
      </c>
      <c r="G147" s="8" t="s">
        <v>875</v>
      </c>
      <c r="H147" s="7" t="s">
        <v>42</v>
      </c>
      <c r="I147" s="7"/>
      <c r="J147" s="8" t="s">
        <v>637</v>
      </c>
      <c r="K147" s="8" t="s">
        <v>1151</v>
      </c>
      <c r="L147" s="8" t="s">
        <v>1180</v>
      </c>
      <c r="M147" s="8" t="s">
        <v>906</v>
      </c>
      <c r="N147" s="7" t="s">
        <v>907</v>
      </c>
      <c r="O147" s="7" t="s">
        <v>908</v>
      </c>
      <c r="P147" s="7"/>
    </row>
    <row r="148" spans="1:16" ht="40" customHeight="1">
      <c r="A148" s="4" t="s">
        <v>163</v>
      </c>
      <c r="B148" s="4" t="s">
        <v>164</v>
      </c>
      <c r="C148" s="4" t="s">
        <v>1181</v>
      </c>
      <c r="D148" s="4" t="s">
        <v>901</v>
      </c>
      <c r="E148" s="4" t="s">
        <v>881</v>
      </c>
      <c r="F148" s="4" t="s">
        <v>1182</v>
      </c>
      <c r="G148" s="4" t="s">
        <v>880</v>
      </c>
      <c r="H148" s="7" t="s">
        <v>42</v>
      </c>
      <c r="I148" s="7"/>
      <c r="J148" s="4" t="s">
        <v>637</v>
      </c>
      <c r="K148" s="4" t="s">
        <v>1155</v>
      </c>
      <c r="L148" s="4" t="s">
        <v>1180</v>
      </c>
      <c r="M148" s="4" t="s">
        <v>906</v>
      </c>
      <c r="N148" s="7" t="s">
        <v>907</v>
      </c>
      <c r="O148" s="7" t="s">
        <v>908</v>
      </c>
      <c r="P148" s="7"/>
    </row>
    <row r="149" spans="1:16" ht="40" customHeight="1">
      <c r="A149" s="8" t="s">
        <v>163</v>
      </c>
      <c r="B149" s="8" t="s">
        <v>164</v>
      </c>
      <c r="C149" s="8" t="s">
        <v>1183</v>
      </c>
      <c r="D149" s="8" t="s">
        <v>901</v>
      </c>
      <c r="E149" s="8" t="s">
        <v>885</v>
      </c>
      <c r="F149" s="8" t="s">
        <v>1184</v>
      </c>
      <c r="G149" s="8" t="s">
        <v>755</v>
      </c>
      <c r="H149" s="7" t="s">
        <v>42</v>
      </c>
      <c r="I149" s="7"/>
      <c r="J149" s="8" t="s">
        <v>637</v>
      </c>
      <c r="K149" s="8" t="s">
        <v>1158</v>
      </c>
      <c r="L149" s="8" t="s">
        <v>1180</v>
      </c>
      <c r="M149" s="8" t="s">
        <v>906</v>
      </c>
      <c r="N149" s="7" t="s">
        <v>907</v>
      </c>
      <c r="O149" s="7" t="s">
        <v>908</v>
      </c>
      <c r="P149" s="7"/>
    </row>
    <row r="150" spans="1:16" ht="40" customHeight="1">
      <c r="A150" s="4" t="s">
        <v>163</v>
      </c>
      <c r="B150" s="4" t="s">
        <v>164</v>
      </c>
      <c r="C150" s="4" t="s">
        <v>1185</v>
      </c>
      <c r="D150" s="4" t="s">
        <v>901</v>
      </c>
      <c r="E150" s="4" t="s">
        <v>890</v>
      </c>
      <c r="F150" s="4" t="s">
        <v>1186</v>
      </c>
      <c r="G150" s="4" t="s">
        <v>889</v>
      </c>
      <c r="H150" s="7" t="s">
        <v>42</v>
      </c>
      <c r="I150" s="7"/>
      <c r="J150" s="4" t="s">
        <v>637</v>
      </c>
      <c r="K150" s="4" t="s">
        <v>1161</v>
      </c>
      <c r="L150" s="4" t="s">
        <v>1180</v>
      </c>
      <c r="M150" s="4" t="s">
        <v>906</v>
      </c>
      <c r="N150" s="7" t="s">
        <v>907</v>
      </c>
      <c r="O150" s="7" t="s">
        <v>908</v>
      </c>
      <c r="P150" s="7"/>
    </row>
    <row r="151" spans="1:16" ht="40" customHeight="1">
      <c r="A151" s="8" t="s">
        <v>163</v>
      </c>
      <c r="B151" s="8" t="s">
        <v>164</v>
      </c>
      <c r="C151" s="8" t="s">
        <v>1187</v>
      </c>
      <c r="D151" s="8" t="s">
        <v>1175</v>
      </c>
      <c r="E151" s="8" t="s">
        <v>893</v>
      </c>
      <c r="F151" s="8" t="s">
        <v>1188</v>
      </c>
      <c r="G151" s="8" t="s">
        <v>892</v>
      </c>
      <c r="H151" s="7" t="s">
        <v>42</v>
      </c>
      <c r="I151" s="7"/>
      <c r="J151" s="8" t="s">
        <v>637</v>
      </c>
      <c r="K151" s="8" t="s">
        <v>1164</v>
      </c>
      <c r="L151" s="8" t="s">
        <v>1180</v>
      </c>
      <c r="M151" s="8" t="s">
        <v>906</v>
      </c>
      <c r="N151" s="7" t="s">
        <v>907</v>
      </c>
      <c r="O151" s="7" t="s">
        <v>908</v>
      </c>
      <c r="P151" s="7"/>
    </row>
    <row r="152" spans="1:16" ht="40" customHeight="1">
      <c r="A152" s="4" t="s">
        <v>163</v>
      </c>
      <c r="B152" s="4" t="s">
        <v>164</v>
      </c>
      <c r="C152" s="4" t="s">
        <v>1189</v>
      </c>
      <c r="D152" s="4" t="s">
        <v>901</v>
      </c>
      <c r="E152" s="4" t="s">
        <v>897</v>
      </c>
      <c r="F152" s="4" t="s">
        <v>1190</v>
      </c>
      <c r="G152" s="4" t="s">
        <v>896</v>
      </c>
      <c r="H152" s="7" t="s">
        <v>42</v>
      </c>
      <c r="I152" s="7"/>
      <c r="J152" s="4" t="s">
        <v>637</v>
      </c>
      <c r="K152" s="4" t="s">
        <v>1167</v>
      </c>
      <c r="L152" s="4" t="s">
        <v>1180</v>
      </c>
      <c r="M152" s="4" t="s">
        <v>906</v>
      </c>
      <c r="N152" s="7" t="s">
        <v>907</v>
      </c>
      <c r="O152" s="7" t="s">
        <v>908</v>
      </c>
      <c r="P152" s="7"/>
    </row>
    <row r="153" spans="1:16" ht="40" customHeight="1">
      <c r="A153" s="8" t="s">
        <v>173</v>
      </c>
      <c r="B153" s="8" t="s">
        <v>174</v>
      </c>
      <c r="C153" s="8" t="s">
        <v>1191</v>
      </c>
      <c r="D153" s="8" t="s">
        <v>1002</v>
      </c>
      <c r="E153" s="8" t="s">
        <v>1192</v>
      </c>
      <c r="F153" s="8" t="s">
        <v>1193</v>
      </c>
      <c r="G153" s="8" t="s">
        <v>1192</v>
      </c>
      <c r="H153" s="7" t="s">
        <v>42</v>
      </c>
      <c r="I153" s="7"/>
      <c r="J153" s="8" t="s">
        <v>637</v>
      </c>
      <c r="K153" s="8" t="s">
        <v>920</v>
      </c>
      <c r="L153" s="8" t="s">
        <v>1194</v>
      </c>
      <c r="M153" s="8" t="s">
        <v>906</v>
      </c>
      <c r="N153" s="7" t="s">
        <v>907</v>
      </c>
      <c r="O153" s="7" t="s">
        <v>908</v>
      </c>
      <c r="P153" s="7"/>
    </row>
    <row r="154" spans="1:16" ht="54" customHeight="1">
      <c r="A154" s="4" t="s">
        <v>173</v>
      </c>
      <c r="B154" s="4" t="s">
        <v>174</v>
      </c>
      <c r="C154" s="4" t="s">
        <v>1195</v>
      </c>
      <c r="D154" s="4" t="s">
        <v>901</v>
      </c>
      <c r="E154" s="4" t="s">
        <v>1196</v>
      </c>
      <c r="F154" s="4" t="s">
        <v>1197</v>
      </c>
      <c r="G154" s="4" t="s">
        <v>1192</v>
      </c>
      <c r="H154" s="7" t="s">
        <v>42</v>
      </c>
      <c r="I154" s="7"/>
      <c r="J154" s="4" t="s">
        <v>637</v>
      </c>
      <c r="K154" s="4" t="s">
        <v>988</v>
      </c>
      <c r="L154" s="4" t="s">
        <v>1194</v>
      </c>
      <c r="M154" s="4" t="s">
        <v>906</v>
      </c>
      <c r="N154" s="7" t="s">
        <v>907</v>
      </c>
      <c r="O154" s="7" t="s">
        <v>908</v>
      </c>
      <c r="P154" s="7"/>
    </row>
    <row r="155" spans="1:16" ht="54" customHeight="1">
      <c r="A155" s="8" t="s">
        <v>173</v>
      </c>
      <c r="B155" s="8" t="s">
        <v>174</v>
      </c>
      <c r="C155" s="8" t="s">
        <v>1198</v>
      </c>
      <c r="D155" s="8" t="s">
        <v>901</v>
      </c>
      <c r="E155" s="8" t="s">
        <v>1199</v>
      </c>
      <c r="F155" s="8" t="s">
        <v>1200</v>
      </c>
      <c r="G155" s="8" t="s">
        <v>1192</v>
      </c>
      <c r="H155" s="7" t="s">
        <v>42</v>
      </c>
      <c r="I155" s="7"/>
      <c r="J155" s="8" t="s">
        <v>637</v>
      </c>
      <c r="K155" s="8" t="s">
        <v>992</v>
      </c>
      <c r="L155" s="8" t="s">
        <v>1194</v>
      </c>
      <c r="M155" s="8" t="s">
        <v>906</v>
      </c>
      <c r="N155" s="7" t="s">
        <v>907</v>
      </c>
      <c r="O155" s="7" t="s">
        <v>908</v>
      </c>
      <c r="P155" s="7"/>
    </row>
    <row r="156" spans="1:16" ht="40" customHeight="1">
      <c r="A156" s="4" t="s">
        <v>173</v>
      </c>
      <c r="B156" s="4" t="s">
        <v>174</v>
      </c>
      <c r="C156" s="4" t="s">
        <v>1201</v>
      </c>
      <c r="D156" s="4" t="s">
        <v>901</v>
      </c>
      <c r="E156" s="4" t="s">
        <v>1202</v>
      </c>
      <c r="F156" s="4" t="s">
        <v>1203</v>
      </c>
      <c r="G156" s="4" t="s">
        <v>1192</v>
      </c>
      <c r="H156" s="7" t="s">
        <v>42</v>
      </c>
      <c r="I156" s="7"/>
      <c r="J156" s="4" t="s">
        <v>637</v>
      </c>
      <c r="K156" s="4" t="s">
        <v>996</v>
      </c>
      <c r="L156" s="4" t="s">
        <v>1194</v>
      </c>
      <c r="M156" s="4" t="s">
        <v>906</v>
      </c>
      <c r="N156" s="7" t="s">
        <v>907</v>
      </c>
      <c r="O156" s="7" t="s">
        <v>908</v>
      </c>
      <c r="P156" s="7"/>
    </row>
    <row r="157" spans="1:16" ht="40" customHeight="1">
      <c r="A157" s="8" t="s">
        <v>173</v>
      </c>
      <c r="B157" s="8" t="s">
        <v>174</v>
      </c>
      <c r="C157" s="8" t="s">
        <v>1204</v>
      </c>
      <c r="D157" s="8" t="s">
        <v>901</v>
      </c>
      <c r="E157" s="8" t="s">
        <v>1205</v>
      </c>
      <c r="F157" s="8" t="s">
        <v>1206</v>
      </c>
      <c r="G157" s="8" t="s">
        <v>1192</v>
      </c>
      <c r="H157" s="7" t="s">
        <v>42</v>
      </c>
      <c r="I157" s="7"/>
      <c r="J157" s="8" t="s">
        <v>637</v>
      </c>
      <c r="K157" s="8" t="s">
        <v>1000</v>
      </c>
      <c r="L157" s="8" t="s">
        <v>1194</v>
      </c>
      <c r="M157" s="8" t="s">
        <v>906</v>
      </c>
      <c r="N157" s="7" t="s">
        <v>907</v>
      </c>
      <c r="O157" s="7" t="s">
        <v>908</v>
      </c>
      <c r="P157" s="7"/>
    </row>
    <row r="158" spans="1:16" ht="40" customHeight="1">
      <c r="A158" s="4" t="s">
        <v>173</v>
      </c>
      <c r="B158" s="4" t="s">
        <v>174</v>
      </c>
      <c r="C158" s="4" t="s">
        <v>1207</v>
      </c>
      <c r="D158" s="4" t="s">
        <v>901</v>
      </c>
      <c r="E158" s="4" t="s">
        <v>1208</v>
      </c>
      <c r="F158" s="4" t="s">
        <v>1209</v>
      </c>
      <c r="G158" s="4" t="s">
        <v>1192</v>
      </c>
      <c r="H158" s="7" t="s">
        <v>42</v>
      </c>
      <c r="I158" s="7"/>
      <c r="J158" s="4" t="s">
        <v>637</v>
      </c>
      <c r="K158" s="4" t="s">
        <v>1210</v>
      </c>
      <c r="L158" s="4" t="s">
        <v>1194</v>
      </c>
      <c r="M158" s="4" t="s">
        <v>906</v>
      </c>
      <c r="N158" s="7" t="s">
        <v>907</v>
      </c>
      <c r="O158" s="7" t="s">
        <v>908</v>
      </c>
      <c r="P158" s="7"/>
    </row>
    <row r="159" spans="1:16" ht="40" customHeight="1">
      <c r="A159" s="8" t="s">
        <v>173</v>
      </c>
      <c r="B159" s="8" t="s">
        <v>174</v>
      </c>
      <c r="C159" s="8" t="s">
        <v>1211</v>
      </c>
      <c r="D159" s="8" t="s">
        <v>901</v>
      </c>
      <c r="E159" s="8" t="s">
        <v>1212</v>
      </c>
      <c r="F159" s="8" t="s">
        <v>1213</v>
      </c>
      <c r="G159" s="8" t="s">
        <v>1192</v>
      </c>
      <c r="H159" s="7" t="s">
        <v>42</v>
      </c>
      <c r="I159" s="7"/>
      <c r="J159" s="8" t="s">
        <v>637</v>
      </c>
      <c r="K159" s="8" t="s">
        <v>1214</v>
      </c>
      <c r="L159" s="8" t="s">
        <v>1194</v>
      </c>
      <c r="M159" s="8" t="s">
        <v>906</v>
      </c>
      <c r="N159" s="7" t="s">
        <v>907</v>
      </c>
      <c r="O159" s="7" t="s">
        <v>908</v>
      </c>
      <c r="P159" s="7"/>
    </row>
    <row r="160" spans="1:16" ht="40" customHeight="1">
      <c r="A160" s="4" t="s">
        <v>173</v>
      </c>
      <c r="B160" s="4" t="s">
        <v>174</v>
      </c>
      <c r="C160" s="4" t="s">
        <v>1215</v>
      </c>
      <c r="D160" s="4" t="s">
        <v>1002</v>
      </c>
      <c r="E160" s="4" t="s">
        <v>1216</v>
      </c>
      <c r="F160" s="4" t="s">
        <v>1217</v>
      </c>
      <c r="G160" s="4" t="s">
        <v>1216</v>
      </c>
      <c r="H160" s="7" t="s">
        <v>42</v>
      </c>
      <c r="I160" s="7"/>
      <c r="J160" s="4" t="s">
        <v>637</v>
      </c>
      <c r="K160" s="4" t="s">
        <v>1091</v>
      </c>
      <c r="L160" s="4" t="s">
        <v>1194</v>
      </c>
      <c r="M160" s="4" t="s">
        <v>906</v>
      </c>
      <c r="N160" s="7" t="s">
        <v>907</v>
      </c>
      <c r="O160" s="7" t="s">
        <v>908</v>
      </c>
      <c r="P160" s="7"/>
    </row>
    <row r="161" spans="1:16" ht="40" customHeight="1">
      <c r="A161" s="8" t="s">
        <v>173</v>
      </c>
      <c r="B161" s="8" t="s">
        <v>174</v>
      </c>
      <c r="C161" s="8" t="s">
        <v>1218</v>
      </c>
      <c r="D161" s="8" t="s">
        <v>901</v>
      </c>
      <c r="E161" s="8" t="s">
        <v>1219</v>
      </c>
      <c r="F161" s="8" t="s">
        <v>1220</v>
      </c>
      <c r="G161" s="8" t="s">
        <v>1216</v>
      </c>
      <c r="H161" s="7" t="s">
        <v>42</v>
      </c>
      <c r="I161" s="7"/>
      <c r="J161" s="8" t="s">
        <v>637</v>
      </c>
      <c r="K161" s="8" t="s">
        <v>1221</v>
      </c>
      <c r="L161" s="8" t="s">
        <v>1194</v>
      </c>
      <c r="M161" s="8" t="s">
        <v>906</v>
      </c>
      <c r="N161" s="7" t="s">
        <v>907</v>
      </c>
      <c r="O161" s="7" t="s">
        <v>908</v>
      </c>
      <c r="P161" s="7"/>
    </row>
    <row r="162" spans="1:16" ht="54" customHeight="1">
      <c r="A162" s="4" t="s">
        <v>173</v>
      </c>
      <c r="B162" s="4" t="s">
        <v>174</v>
      </c>
      <c r="C162" s="4" t="s">
        <v>1222</v>
      </c>
      <c r="D162" s="4" t="s">
        <v>901</v>
      </c>
      <c r="E162" s="4" t="s">
        <v>1223</v>
      </c>
      <c r="F162" s="4" t="s">
        <v>1224</v>
      </c>
      <c r="G162" s="4" t="s">
        <v>1216</v>
      </c>
      <c r="H162" s="7" t="s">
        <v>42</v>
      </c>
      <c r="I162" s="7"/>
      <c r="J162" s="4" t="s">
        <v>637</v>
      </c>
      <c r="K162" s="4" t="s">
        <v>1225</v>
      </c>
      <c r="L162" s="4" t="s">
        <v>1194</v>
      </c>
      <c r="M162" s="4" t="s">
        <v>906</v>
      </c>
      <c r="N162" s="7" t="s">
        <v>907</v>
      </c>
      <c r="O162" s="7" t="s">
        <v>908</v>
      </c>
      <c r="P162" s="7"/>
    </row>
    <row r="163" spans="1:16" ht="40" customHeight="1">
      <c r="A163" s="8" t="s">
        <v>173</v>
      </c>
      <c r="B163" s="8" t="s">
        <v>174</v>
      </c>
      <c r="C163" s="8" t="s">
        <v>1226</v>
      </c>
      <c r="D163" s="8" t="s">
        <v>901</v>
      </c>
      <c r="E163" s="8" t="s">
        <v>1227</v>
      </c>
      <c r="F163" s="8" t="s">
        <v>1228</v>
      </c>
      <c r="G163" s="8" t="s">
        <v>1216</v>
      </c>
      <c r="H163" s="7" t="s">
        <v>42</v>
      </c>
      <c r="I163" s="7"/>
      <c r="J163" s="8" t="s">
        <v>637</v>
      </c>
      <c r="K163" s="8" t="s">
        <v>1229</v>
      </c>
      <c r="L163" s="8" t="s">
        <v>1194</v>
      </c>
      <c r="M163" s="8" t="s">
        <v>906</v>
      </c>
      <c r="N163" s="7" t="s">
        <v>907</v>
      </c>
      <c r="O163" s="7" t="s">
        <v>908</v>
      </c>
      <c r="P163" s="7"/>
    </row>
    <row r="164" spans="1:16" ht="40" customHeight="1">
      <c r="A164" s="4" t="s">
        <v>173</v>
      </c>
      <c r="B164" s="4" t="s">
        <v>174</v>
      </c>
      <c r="C164" s="4" t="s">
        <v>1230</v>
      </c>
      <c r="D164" s="4" t="s">
        <v>901</v>
      </c>
      <c r="E164" s="4" t="s">
        <v>1231</v>
      </c>
      <c r="F164" s="4" t="s">
        <v>1232</v>
      </c>
      <c r="G164" s="4" t="s">
        <v>1216</v>
      </c>
      <c r="H164" s="7" t="s">
        <v>42</v>
      </c>
      <c r="I164" s="7"/>
      <c r="J164" s="4" t="s">
        <v>637</v>
      </c>
      <c r="K164" s="4" t="s">
        <v>1233</v>
      </c>
      <c r="L164" s="4" t="s">
        <v>1194</v>
      </c>
      <c r="M164" s="4" t="s">
        <v>906</v>
      </c>
      <c r="N164" s="7" t="s">
        <v>907</v>
      </c>
      <c r="O164" s="7" t="s">
        <v>908</v>
      </c>
      <c r="P164" s="7"/>
    </row>
    <row r="165" spans="1:16" ht="40" customHeight="1">
      <c r="A165" s="8" t="s">
        <v>173</v>
      </c>
      <c r="B165" s="8" t="s">
        <v>174</v>
      </c>
      <c r="C165" s="8" t="s">
        <v>1234</v>
      </c>
      <c r="D165" s="8" t="s">
        <v>914</v>
      </c>
      <c r="E165" s="8" t="s">
        <v>915</v>
      </c>
      <c r="F165" s="8" t="s">
        <v>182</v>
      </c>
      <c r="G165" s="8" t="s">
        <v>916</v>
      </c>
      <c r="H165" s="7" t="s">
        <v>42</v>
      </c>
      <c r="I165" s="7"/>
      <c r="J165" s="8" t="s">
        <v>914</v>
      </c>
      <c r="K165" s="8" t="s">
        <v>41</v>
      </c>
      <c r="L165" s="8" t="s">
        <v>1194</v>
      </c>
      <c r="M165" s="8" t="s">
        <v>51</v>
      </c>
      <c r="N165" s="7" t="s">
        <v>907</v>
      </c>
      <c r="O165" s="7"/>
      <c r="P165" s="7"/>
    </row>
    <row r="166" spans="1:16" ht="54" customHeight="1">
      <c r="A166" s="4" t="s">
        <v>186</v>
      </c>
      <c r="B166" s="4" t="s">
        <v>187</v>
      </c>
      <c r="C166" s="4" t="s">
        <v>1235</v>
      </c>
      <c r="D166" s="4" t="s">
        <v>901</v>
      </c>
      <c r="E166" s="4" t="s">
        <v>1236</v>
      </c>
      <c r="F166" s="4" t="s">
        <v>1237</v>
      </c>
      <c r="G166" s="4" t="s">
        <v>41</v>
      </c>
      <c r="H166" s="7" t="s">
        <v>42</v>
      </c>
      <c r="I166" s="7"/>
      <c r="J166" s="4" t="s">
        <v>637</v>
      </c>
      <c r="K166" s="4" t="s">
        <v>904</v>
      </c>
      <c r="L166" s="4" t="s">
        <v>1238</v>
      </c>
      <c r="M166" s="4" t="s">
        <v>906</v>
      </c>
      <c r="N166" s="7" t="s">
        <v>907</v>
      </c>
      <c r="O166" s="7" t="s">
        <v>908</v>
      </c>
      <c r="P166" s="7"/>
    </row>
    <row r="167" spans="1:16" ht="40" customHeight="1">
      <c r="A167" s="8" t="s">
        <v>186</v>
      </c>
      <c r="B167" s="8" t="s">
        <v>187</v>
      </c>
      <c r="C167" s="8" t="s">
        <v>1239</v>
      </c>
      <c r="D167" s="8" t="s">
        <v>901</v>
      </c>
      <c r="E167" s="8" t="s">
        <v>1240</v>
      </c>
      <c r="F167" s="8" t="s">
        <v>1241</v>
      </c>
      <c r="G167" s="8" t="s">
        <v>41</v>
      </c>
      <c r="H167" s="7" t="s">
        <v>42</v>
      </c>
      <c r="I167" s="7"/>
      <c r="J167" s="8" t="s">
        <v>637</v>
      </c>
      <c r="K167" s="8" t="s">
        <v>912</v>
      </c>
      <c r="L167" s="8" t="s">
        <v>1238</v>
      </c>
      <c r="M167" s="8" t="s">
        <v>906</v>
      </c>
      <c r="N167" s="7" t="s">
        <v>907</v>
      </c>
      <c r="O167" s="7" t="s">
        <v>908</v>
      </c>
      <c r="P167" s="7"/>
    </row>
    <row r="168" spans="1:16" ht="54" customHeight="1">
      <c r="A168" s="4" t="s">
        <v>186</v>
      </c>
      <c r="B168" s="4" t="s">
        <v>187</v>
      </c>
      <c r="C168" s="4" t="s">
        <v>1242</v>
      </c>
      <c r="D168" s="4" t="s">
        <v>901</v>
      </c>
      <c r="E168" s="4" t="s">
        <v>1243</v>
      </c>
      <c r="F168" s="4" t="s">
        <v>1244</v>
      </c>
      <c r="G168" s="4" t="s">
        <v>41</v>
      </c>
      <c r="H168" s="7" t="s">
        <v>42</v>
      </c>
      <c r="I168" s="7"/>
      <c r="J168" s="4" t="s">
        <v>637</v>
      </c>
      <c r="K168" s="4" t="s">
        <v>1015</v>
      </c>
      <c r="L168" s="4" t="s">
        <v>1238</v>
      </c>
      <c r="M168" s="4" t="s">
        <v>906</v>
      </c>
      <c r="N168" s="7" t="s">
        <v>907</v>
      </c>
      <c r="O168" s="7" t="s">
        <v>908</v>
      </c>
      <c r="P168" s="7"/>
    </row>
    <row r="169" spans="1:16" ht="68" customHeight="1">
      <c r="A169" s="8" t="s">
        <v>186</v>
      </c>
      <c r="B169" s="8" t="s">
        <v>187</v>
      </c>
      <c r="C169" s="8" t="s">
        <v>1245</v>
      </c>
      <c r="D169" s="8" t="s">
        <v>901</v>
      </c>
      <c r="E169" s="8" t="s">
        <v>1246</v>
      </c>
      <c r="F169" s="8" t="s">
        <v>1247</v>
      </c>
      <c r="G169" s="8" t="s">
        <v>41</v>
      </c>
      <c r="H169" s="7" t="s">
        <v>42</v>
      </c>
      <c r="I169" s="7"/>
      <c r="J169" s="8" t="s">
        <v>637</v>
      </c>
      <c r="K169" s="8" t="s">
        <v>1019</v>
      </c>
      <c r="L169" s="8" t="s">
        <v>1238</v>
      </c>
      <c r="M169" s="8" t="s">
        <v>906</v>
      </c>
      <c r="N169" s="7" t="s">
        <v>907</v>
      </c>
      <c r="O169" s="7" t="s">
        <v>908</v>
      </c>
      <c r="P169" s="7"/>
    </row>
    <row r="170" spans="1:16" ht="54" customHeight="1">
      <c r="A170" s="4" t="s">
        <v>186</v>
      </c>
      <c r="B170" s="4" t="s">
        <v>187</v>
      </c>
      <c r="C170" s="4" t="s">
        <v>1248</v>
      </c>
      <c r="D170" s="4" t="s">
        <v>901</v>
      </c>
      <c r="E170" s="4" t="s">
        <v>1249</v>
      </c>
      <c r="F170" s="4" t="s">
        <v>1250</v>
      </c>
      <c r="G170" s="4" t="s">
        <v>41</v>
      </c>
      <c r="H170" s="7" t="s">
        <v>42</v>
      </c>
      <c r="I170" s="7"/>
      <c r="J170" s="4" t="s">
        <v>637</v>
      </c>
      <c r="K170" s="4" t="s">
        <v>1147</v>
      </c>
      <c r="L170" s="4" t="s">
        <v>1238</v>
      </c>
      <c r="M170" s="4" t="s">
        <v>906</v>
      </c>
      <c r="N170" s="7" t="s">
        <v>907</v>
      </c>
      <c r="O170" s="7" t="s">
        <v>908</v>
      </c>
      <c r="P170" s="7"/>
    </row>
    <row r="171" spans="1:16" ht="40" customHeight="1">
      <c r="A171" s="8" t="s">
        <v>186</v>
      </c>
      <c r="B171" s="8" t="s">
        <v>187</v>
      </c>
      <c r="C171" s="8" t="s">
        <v>1251</v>
      </c>
      <c r="D171" s="8" t="s">
        <v>901</v>
      </c>
      <c r="E171" s="8" t="s">
        <v>1252</v>
      </c>
      <c r="F171" s="8" t="s">
        <v>1253</v>
      </c>
      <c r="G171" s="8" t="s">
        <v>41</v>
      </c>
      <c r="H171" s="7" t="s">
        <v>42</v>
      </c>
      <c r="I171" s="7"/>
      <c r="J171" s="8" t="s">
        <v>637</v>
      </c>
      <c r="K171" s="8" t="s">
        <v>1254</v>
      </c>
      <c r="L171" s="8" t="s">
        <v>1238</v>
      </c>
      <c r="M171" s="8" t="s">
        <v>906</v>
      </c>
      <c r="N171" s="7" t="s">
        <v>907</v>
      </c>
      <c r="O171" s="7" t="s">
        <v>908</v>
      </c>
      <c r="P171" s="7"/>
    </row>
    <row r="172" spans="1:16" ht="40" customHeight="1">
      <c r="A172" s="4" t="s">
        <v>186</v>
      </c>
      <c r="B172" s="4" t="s">
        <v>187</v>
      </c>
      <c r="C172" s="4" t="s">
        <v>1255</v>
      </c>
      <c r="D172" s="4" t="s">
        <v>901</v>
      </c>
      <c r="E172" s="4" t="s">
        <v>1256</v>
      </c>
      <c r="F172" s="4" t="s">
        <v>1257</v>
      </c>
      <c r="G172" s="4" t="s">
        <v>41</v>
      </c>
      <c r="H172" s="7" t="s">
        <v>42</v>
      </c>
      <c r="I172" s="7"/>
      <c r="J172" s="4" t="s">
        <v>637</v>
      </c>
      <c r="K172" s="4" t="s">
        <v>1258</v>
      </c>
      <c r="L172" s="4" t="s">
        <v>1238</v>
      </c>
      <c r="M172" s="4" t="s">
        <v>906</v>
      </c>
      <c r="N172" s="7" t="s">
        <v>907</v>
      </c>
      <c r="O172" s="7" t="s">
        <v>908</v>
      </c>
      <c r="P172" s="7"/>
    </row>
    <row r="173" spans="1:16" ht="40" customHeight="1">
      <c r="A173" s="8" t="s">
        <v>186</v>
      </c>
      <c r="B173" s="8" t="s">
        <v>187</v>
      </c>
      <c r="C173" s="8" t="s">
        <v>1259</v>
      </c>
      <c r="D173" s="8" t="s">
        <v>901</v>
      </c>
      <c r="E173" s="8" t="s">
        <v>1260</v>
      </c>
      <c r="F173" s="8" t="s">
        <v>1261</v>
      </c>
      <c r="G173" s="8" t="s">
        <v>41</v>
      </c>
      <c r="H173" s="7" t="s">
        <v>42</v>
      </c>
      <c r="I173" s="7"/>
      <c r="J173" s="8" t="s">
        <v>637</v>
      </c>
      <c r="K173" s="8" t="s">
        <v>1262</v>
      </c>
      <c r="L173" s="8" t="s">
        <v>1238</v>
      </c>
      <c r="M173" s="8" t="s">
        <v>906</v>
      </c>
      <c r="N173" s="7" t="s">
        <v>907</v>
      </c>
      <c r="O173" s="7" t="s">
        <v>908</v>
      </c>
      <c r="P173" s="7"/>
    </row>
    <row r="174" spans="1:16" ht="54" customHeight="1">
      <c r="A174" s="4" t="s">
        <v>186</v>
      </c>
      <c r="B174" s="4" t="s">
        <v>187</v>
      </c>
      <c r="C174" s="4" t="s">
        <v>1263</v>
      </c>
      <c r="D174" s="4" t="s">
        <v>901</v>
      </c>
      <c r="E174" s="4" t="s">
        <v>1264</v>
      </c>
      <c r="F174" s="4" t="s">
        <v>1265</v>
      </c>
      <c r="G174" s="4" t="s">
        <v>41</v>
      </c>
      <c r="H174" s="7" t="s">
        <v>42</v>
      </c>
      <c r="I174" s="7"/>
      <c r="J174" s="4" t="s">
        <v>637</v>
      </c>
      <c r="K174" s="4" t="s">
        <v>1266</v>
      </c>
      <c r="L174" s="4" t="s">
        <v>1238</v>
      </c>
      <c r="M174" s="4" t="s">
        <v>906</v>
      </c>
      <c r="N174" s="7" t="s">
        <v>907</v>
      </c>
      <c r="O174" s="7" t="s">
        <v>908</v>
      </c>
      <c r="P174" s="7"/>
    </row>
    <row r="175" spans="1:16" ht="40" customHeight="1">
      <c r="A175" s="8" t="s">
        <v>186</v>
      </c>
      <c r="B175" s="8" t="s">
        <v>187</v>
      </c>
      <c r="C175" s="8" t="s">
        <v>1267</v>
      </c>
      <c r="D175" s="8" t="s">
        <v>1175</v>
      </c>
      <c r="E175" s="8" t="s">
        <v>1268</v>
      </c>
      <c r="F175" s="8" t="s">
        <v>1269</v>
      </c>
      <c r="G175" s="8" t="s">
        <v>41</v>
      </c>
      <c r="H175" s="7" t="s">
        <v>42</v>
      </c>
      <c r="I175" s="7"/>
      <c r="J175" s="8" t="s">
        <v>637</v>
      </c>
      <c r="K175" s="8" t="s">
        <v>988</v>
      </c>
      <c r="L175" s="8" t="s">
        <v>1238</v>
      </c>
      <c r="M175" s="8" t="s">
        <v>906</v>
      </c>
      <c r="N175" s="7" t="s">
        <v>907</v>
      </c>
      <c r="O175" s="7" t="s">
        <v>908</v>
      </c>
      <c r="P175" s="7"/>
    </row>
    <row r="176" spans="1:16" ht="54" customHeight="1">
      <c r="A176" s="4" t="s">
        <v>186</v>
      </c>
      <c r="B176" s="4" t="s">
        <v>187</v>
      </c>
      <c r="C176" s="4" t="s">
        <v>1270</v>
      </c>
      <c r="D176" s="4" t="s">
        <v>901</v>
      </c>
      <c r="E176" s="4" t="s">
        <v>1271</v>
      </c>
      <c r="F176" s="4" t="s">
        <v>1272</v>
      </c>
      <c r="G176" s="4" t="s">
        <v>41</v>
      </c>
      <c r="H176" s="7" t="s">
        <v>42</v>
      </c>
      <c r="I176" s="7"/>
      <c r="J176" s="4" t="s">
        <v>637</v>
      </c>
      <c r="K176" s="4" t="s">
        <v>1055</v>
      </c>
      <c r="L176" s="4" t="s">
        <v>1238</v>
      </c>
      <c r="M176" s="4" t="s">
        <v>906</v>
      </c>
      <c r="N176" s="7" t="s">
        <v>907</v>
      </c>
      <c r="O176" s="7" t="s">
        <v>908</v>
      </c>
      <c r="P176" s="7"/>
    </row>
    <row r="177" spans="1:16" ht="40" customHeight="1">
      <c r="A177" s="8" t="s">
        <v>186</v>
      </c>
      <c r="B177" s="8" t="s">
        <v>187</v>
      </c>
      <c r="C177" s="8" t="s">
        <v>1273</v>
      </c>
      <c r="D177" s="8" t="s">
        <v>901</v>
      </c>
      <c r="E177" s="8" t="s">
        <v>1274</v>
      </c>
      <c r="F177" s="8" t="s">
        <v>1275</v>
      </c>
      <c r="G177" s="8" t="s">
        <v>41</v>
      </c>
      <c r="H177" s="7" t="s">
        <v>42</v>
      </c>
      <c r="I177" s="7"/>
      <c r="J177" s="8" t="s">
        <v>637</v>
      </c>
      <c r="K177" s="8" t="s">
        <v>1059</v>
      </c>
      <c r="L177" s="8" t="s">
        <v>1238</v>
      </c>
      <c r="M177" s="8" t="s">
        <v>906</v>
      </c>
      <c r="N177" s="7" t="s">
        <v>907</v>
      </c>
      <c r="O177" s="7" t="s">
        <v>908</v>
      </c>
      <c r="P177" s="7"/>
    </row>
    <row r="178" spans="1:16" ht="40" customHeight="1">
      <c r="A178" s="4" t="s">
        <v>186</v>
      </c>
      <c r="B178" s="4" t="s">
        <v>187</v>
      </c>
      <c r="C178" s="4" t="s">
        <v>1276</v>
      </c>
      <c r="D178" s="4" t="s">
        <v>1277</v>
      </c>
      <c r="E178" s="4" t="s">
        <v>1278</v>
      </c>
      <c r="F178" s="4" t="s">
        <v>1279</v>
      </c>
      <c r="G178" s="4" t="s">
        <v>41</v>
      </c>
      <c r="H178" s="7" t="s">
        <v>42</v>
      </c>
      <c r="I178" s="7"/>
      <c r="J178" s="4" t="s">
        <v>637</v>
      </c>
      <c r="K178" s="4" t="s">
        <v>1221</v>
      </c>
      <c r="L178" s="4" t="s">
        <v>1238</v>
      </c>
      <c r="M178" s="4" t="s">
        <v>906</v>
      </c>
      <c r="N178" s="7" t="s">
        <v>907</v>
      </c>
      <c r="O178" s="7" t="s">
        <v>908</v>
      </c>
      <c r="P178" s="7"/>
    </row>
    <row r="179" spans="1:16" ht="40" customHeight="1">
      <c r="A179" s="8" t="s">
        <v>186</v>
      </c>
      <c r="B179" s="8" t="s">
        <v>187</v>
      </c>
      <c r="C179" s="8" t="s">
        <v>1280</v>
      </c>
      <c r="D179" s="8" t="s">
        <v>901</v>
      </c>
      <c r="E179" s="8" t="s">
        <v>1281</v>
      </c>
      <c r="F179" s="8" t="s">
        <v>1282</v>
      </c>
      <c r="G179" s="8" t="s">
        <v>41</v>
      </c>
      <c r="H179" s="7" t="s">
        <v>42</v>
      </c>
      <c r="I179" s="7"/>
      <c r="J179" s="8" t="s">
        <v>637</v>
      </c>
      <c r="K179" s="8" t="s">
        <v>1283</v>
      </c>
      <c r="L179" s="8" t="s">
        <v>1238</v>
      </c>
      <c r="M179" s="8" t="s">
        <v>906</v>
      </c>
      <c r="N179" s="7" t="s">
        <v>907</v>
      </c>
      <c r="O179" s="7" t="s">
        <v>908</v>
      </c>
      <c r="P179" s="7"/>
    </row>
    <row r="180" spans="1:16" ht="40" customHeight="1">
      <c r="A180" s="4" t="s">
        <v>186</v>
      </c>
      <c r="B180" s="4" t="s">
        <v>187</v>
      </c>
      <c r="C180" s="4" t="s">
        <v>1284</v>
      </c>
      <c r="D180" s="4" t="s">
        <v>901</v>
      </c>
      <c r="E180" s="4" t="s">
        <v>1285</v>
      </c>
      <c r="F180" s="4" t="s">
        <v>1286</v>
      </c>
      <c r="G180" s="4" t="s">
        <v>41</v>
      </c>
      <c r="H180" s="7" t="s">
        <v>42</v>
      </c>
      <c r="I180" s="7"/>
      <c r="J180" s="4" t="s">
        <v>637</v>
      </c>
      <c r="K180" s="4" t="s">
        <v>1287</v>
      </c>
      <c r="L180" s="4" t="s">
        <v>1238</v>
      </c>
      <c r="M180" s="4" t="s">
        <v>906</v>
      </c>
      <c r="N180" s="7" t="s">
        <v>907</v>
      </c>
      <c r="O180" s="7" t="s">
        <v>908</v>
      </c>
      <c r="P180" s="7"/>
    </row>
    <row r="181" spans="1:16" ht="40" customHeight="1">
      <c r="A181" s="8" t="s">
        <v>186</v>
      </c>
      <c r="B181" s="8" t="s">
        <v>187</v>
      </c>
      <c r="C181" s="8" t="s">
        <v>1288</v>
      </c>
      <c r="D181" s="8" t="s">
        <v>914</v>
      </c>
      <c r="E181" s="8" t="s">
        <v>915</v>
      </c>
      <c r="F181" s="8" t="s">
        <v>195</v>
      </c>
      <c r="G181" s="8" t="s">
        <v>916</v>
      </c>
      <c r="H181" s="7" t="s">
        <v>42</v>
      </c>
      <c r="I181" s="7"/>
      <c r="J181" s="8" t="s">
        <v>914</v>
      </c>
      <c r="K181" s="8" t="s">
        <v>41</v>
      </c>
      <c r="L181" s="8" t="s">
        <v>1238</v>
      </c>
      <c r="M181" s="8" t="s">
        <v>51</v>
      </c>
      <c r="N181" s="7" t="s">
        <v>907</v>
      </c>
      <c r="O181" s="7"/>
      <c r="P181" s="7"/>
    </row>
    <row r="182" spans="1:16" ht="82" customHeight="1">
      <c r="A182" s="4" t="s">
        <v>198</v>
      </c>
      <c r="B182" s="4" t="s">
        <v>199</v>
      </c>
      <c r="C182" s="4" t="s">
        <v>1289</v>
      </c>
      <c r="D182" s="4" t="s">
        <v>901</v>
      </c>
      <c r="E182" s="4" t="s">
        <v>1290</v>
      </c>
      <c r="F182" s="4" t="s">
        <v>1291</v>
      </c>
      <c r="G182" s="4" t="s">
        <v>41</v>
      </c>
      <c r="H182" s="7" t="s">
        <v>42</v>
      </c>
      <c r="I182" s="7"/>
      <c r="J182" s="4" t="s">
        <v>637</v>
      </c>
      <c r="K182" s="4" t="s">
        <v>904</v>
      </c>
      <c r="L182" s="4" t="s">
        <v>1292</v>
      </c>
      <c r="M182" s="4" t="s">
        <v>906</v>
      </c>
      <c r="N182" s="7" t="s">
        <v>907</v>
      </c>
      <c r="O182" s="7" t="s">
        <v>908</v>
      </c>
      <c r="P182" s="7"/>
    </row>
    <row r="183" spans="1:16" ht="82" customHeight="1">
      <c r="A183" s="8" t="s">
        <v>198</v>
      </c>
      <c r="B183" s="8" t="s">
        <v>199</v>
      </c>
      <c r="C183" s="8" t="s">
        <v>1293</v>
      </c>
      <c r="D183" s="8" t="s">
        <v>901</v>
      </c>
      <c r="E183" s="8" t="s">
        <v>1294</v>
      </c>
      <c r="F183" s="8" t="s">
        <v>1295</v>
      </c>
      <c r="G183" s="8" t="s">
        <v>41</v>
      </c>
      <c r="H183" s="7" t="s">
        <v>42</v>
      </c>
      <c r="I183" s="7"/>
      <c r="J183" s="8" t="s">
        <v>637</v>
      </c>
      <c r="K183" s="8" t="s">
        <v>912</v>
      </c>
      <c r="L183" s="8" t="s">
        <v>1292</v>
      </c>
      <c r="M183" s="8" t="s">
        <v>906</v>
      </c>
      <c r="N183" s="7" t="s">
        <v>907</v>
      </c>
      <c r="O183" s="7" t="s">
        <v>908</v>
      </c>
      <c r="P183" s="7"/>
    </row>
    <row r="184" spans="1:16" ht="82" customHeight="1">
      <c r="A184" s="4" t="s">
        <v>198</v>
      </c>
      <c r="B184" s="4" t="s">
        <v>199</v>
      </c>
      <c r="C184" s="4" t="s">
        <v>1296</v>
      </c>
      <c r="D184" s="4" t="s">
        <v>901</v>
      </c>
      <c r="E184" s="4" t="s">
        <v>1297</v>
      </c>
      <c r="F184" s="4" t="s">
        <v>1298</v>
      </c>
      <c r="G184" s="4" t="s">
        <v>41</v>
      </c>
      <c r="H184" s="7" t="s">
        <v>42</v>
      </c>
      <c r="I184" s="7"/>
      <c r="J184" s="4" t="s">
        <v>637</v>
      </c>
      <c r="K184" s="4" t="s">
        <v>1015</v>
      </c>
      <c r="L184" s="4" t="s">
        <v>1292</v>
      </c>
      <c r="M184" s="4" t="s">
        <v>906</v>
      </c>
      <c r="N184" s="7" t="s">
        <v>907</v>
      </c>
      <c r="O184" s="7" t="s">
        <v>908</v>
      </c>
      <c r="P184" s="7"/>
    </row>
    <row r="185" spans="1:16" ht="82" customHeight="1">
      <c r="A185" s="8" t="s">
        <v>198</v>
      </c>
      <c r="B185" s="8" t="s">
        <v>199</v>
      </c>
      <c r="C185" s="8" t="s">
        <v>1299</v>
      </c>
      <c r="D185" s="8" t="s">
        <v>901</v>
      </c>
      <c r="E185" s="8" t="s">
        <v>1300</v>
      </c>
      <c r="F185" s="8" t="s">
        <v>1301</v>
      </c>
      <c r="G185" s="8" t="s">
        <v>41</v>
      </c>
      <c r="H185" s="7" t="s">
        <v>42</v>
      </c>
      <c r="I185" s="7"/>
      <c r="J185" s="8" t="s">
        <v>637</v>
      </c>
      <c r="K185" s="8" t="s">
        <v>1019</v>
      </c>
      <c r="L185" s="8" t="s">
        <v>1292</v>
      </c>
      <c r="M185" s="8" t="s">
        <v>906</v>
      </c>
      <c r="N185" s="7" t="s">
        <v>907</v>
      </c>
      <c r="O185" s="7" t="s">
        <v>908</v>
      </c>
      <c r="P185" s="7"/>
    </row>
    <row r="186" spans="1:16" ht="82" customHeight="1">
      <c r="A186" s="4" t="s">
        <v>198</v>
      </c>
      <c r="B186" s="4" t="s">
        <v>199</v>
      </c>
      <c r="C186" s="4" t="s">
        <v>1302</v>
      </c>
      <c r="D186" s="4" t="s">
        <v>901</v>
      </c>
      <c r="E186" s="4" t="s">
        <v>1303</v>
      </c>
      <c r="F186" s="4" t="s">
        <v>1304</v>
      </c>
      <c r="G186" s="4" t="s">
        <v>41</v>
      </c>
      <c r="H186" s="7" t="s">
        <v>42</v>
      </c>
      <c r="I186" s="7"/>
      <c r="J186" s="4" t="s">
        <v>637</v>
      </c>
      <c r="K186" s="4" t="s">
        <v>1147</v>
      </c>
      <c r="L186" s="4" t="s">
        <v>1292</v>
      </c>
      <c r="M186" s="4" t="s">
        <v>906</v>
      </c>
      <c r="N186" s="7" t="s">
        <v>907</v>
      </c>
      <c r="O186" s="7" t="s">
        <v>908</v>
      </c>
      <c r="P186" s="7"/>
    </row>
    <row r="187" spans="1:16" ht="82" customHeight="1">
      <c r="A187" s="8" t="s">
        <v>198</v>
      </c>
      <c r="B187" s="8" t="s">
        <v>199</v>
      </c>
      <c r="C187" s="8" t="s">
        <v>1305</v>
      </c>
      <c r="D187" s="8" t="s">
        <v>901</v>
      </c>
      <c r="E187" s="8" t="s">
        <v>1306</v>
      </c>
      <c r="F187" s="8" t="s">
        <v>1307</v>
      </c>
      <c r="G187" s="8" t="s">
        <v>41</v>
      </c>
      <c r="H187" s="7" t="s">
        <v>42</v>
      </c>
      <c r="I187" s="7"/>
      <c r="J187" s="8" t="s">
        <v>637</v>
      </c>
      <c r="K187" s="8" t="s">
        <v>1254</v>
      </c>
      <c r="L187" s="8" t="s">
        <v>1292</v>
      </c>
      <c r="M187" s="8" t="s">
        <v>906</v>
      </c>
      <c r="N187" s="7" t="s">
        <v>907</v>
      </c>
      <c r="O187" s="7" t="s">
        <v>908</v>
      </c>
      <c r="P187" s="7"/>
    </row>
    <row r="188" spans="1:16" ht="82" customHeight="1">
      <c r="A188" s="4" t="s">
        <v>198</v>
      </c>
      <c r="B188" s="4" t="s">
        <v>199</v>
      </c>
      <c r="C188" s="4" t="s">
        <v>1308</v>
      </c>
      <c r="D188" s="4" t="s">
        <v>901</v>
      </c>
      <c r="E188" s="4" t="s">
        <v>1309</v>
      </c>
      <c r="F188" s="4" t="s">
        <v>1310</v>
      </c>
      <c r="G188" s="4" t="s">
        <v>41</v>
      </c>
      <c r="H188" s="7" t="s">
        <v>42</v>
      </c>
      <c r="I188" s="7"/>
      <c r="J188" s="4" t="s">
        <v>637</v>
      </c>
      <c r="K188" s="4" t="s">
        <v>1258</v>
      </c>
      <c r="L188" s="4" t="s">
        <v>1292</v>
      </c>
      <c r="M188" s="4" t="s">
        <v>906</v>
      </c>
      <c r="N188" s="7" t="s">
        <v>907</v>
      </c>
      <c r="O188" s="7" t="s">
        <v>908</v>
      </c>
      <c r="P188" s="7"/>
    </row>
    <row r="189" spans="1:16" ht="82" customHeight="1">
      <c r="A189" s="8" t="s">
        <v>198</v>
      </c>
      <c r="B189" s="8" t="s">
        <v>199</v>
      </c>
      <c r="C189" s="8" t="s">
        <v>1311</v>
      </c>
      <c r="D189" s="8" t="s">
        <v>901</v>
      </c>
      <c r="E189" s="8" t="s">
        <v>1312</v>
      </c>
      <c r="F189" s="8" t="s">
        <v>1313</v>
      </c>
      <c r="G189" s="8" t="s">
        <v>41</v>
      </c>
      <c r="H189" s="7" t="s">
        <v>42</v>
      </c>
      <c r="I189" s="7"/>
      <c r="J189" s="8" t="s">
        <v>637</v>
      </c>
      <c r="K189" s="8" t="s">
        <v>988</v>
      </c>
      <c r="L189" s="8" t="s">
        <v>1292</v>
      </c>
      <c r="M189" s="8" t="s">
        <v>906</v>
      </c>
      <c r="N189" s="7" t="s">
        <v>907</v>
      </c>
      <c r="O189" s="7" t="s">
        <v>908</v>
      </c>
      <c r="P189" s="7"/>
    </row>
    <row r="190" spans="1:16" ht="82" customHeight="1">
      <c r="A190" s="4" t="s">
        <v>198</v>
      </c>
      <c r="B190" s="4" t="s">
        <v>199</v>
      </c>
      <c r="C190" s="4" t="s">
        <v>1314</v>
      </c>
      <c r="D190" s="4" t="s">
        <v>901</v>
      </c>
      <c r="E190" s="4" t="s">
        <v>1315</v>
      </c>
      <c r="F190" s="4" t="s">
        <v>1316</v>
      </c>
      <c r="G190" s="4" t="s">
        <v>41</v>
      </c>
      <c r="H190" s="7" t="s">
        <v>42</v>
      </c>
      <c r="I190" s="7"/>
      <c r="J190" s="4" t="s">
        <v>637</v>
      </c>
      <c r="K190" s="4" t="s">
        <v>1055</v>
      </c>
      <c r="L190" s="4" t="s">
        <v>1292</v>
      </c>
      <c r="M190" s="4" t="s">
        <v>906</v>
      </c>
      <c r="N190" s="7" t="s">
        <v>907</v>
      </c>
      <c r="O190" s="7" t="s">
        <v>908</v>
      </c>
      <c r="P190" s="7"/>
    </row>
    <row r="191" spans="1:16" ht="82" customHeight="1">
      <c r="A191" s="8" t="s">
        <v>198</v>
      </c>
      <c r="B191" s="8" t="s">
        <v>199</v>
      </c>
      <c r="C191" s="8" t="s">
        <v>1317</v>
      </c>
      <c r="D191" s="8" t="s">
        <v>901</v>
      </c>
      <c r="E191" s="8" t="s">
        <v>1318</v>
      </c>
      <c r="F191" s="8" t="s">
        <v>1319</v>
      </c>
      <c r="G191" s="8" t="s">
        <v>41</v>
      </c>
      <c r="H191" s="7" t="s">
        <v>42</v>
      </c>
      <c r="I191" s="7"/>
      <c r="J191" s="8" t="s">
        <v>637</v>
      </c>
      <c r="K191" s="8" t="s">
        <v>1059</v>
      </c>
      <c r="L191" s="8" t="s">
        <v>1292</v>
      </c>
      <c r="M191" s="8" t="s">
        <v>906</v>
      </c>
      <c r="N191" s="7" t="s">
        <v>907</v>
      </c>
      <c r="O191" s="7" t="s">
        <v>908</v>
      </c>
      <c r="P191" s="7"/>
    </row>
    <row r="192" spans="1:16" ht="82" customHeight="1">
      <c r="A192" s="4" t="s">
        <v>198</v>
      </c>
      <c r="B192" s="4" t="s">
        <v>199</v>
      </c>
      <c r="C192" s="4" t="s">
        <v>1320</v>
      </c>
      <c r="D192" s="4" t="s">
        <v>901</v>
      </c>
      <c r="E192" s="4" t="s">
        <v>1321</v>
      </c>
      <c r="F192" s="4" t="s">
        <v>1322</v>
      </c>
      <c r="G192" s="4" t="s">
        <v>41</v>
      </c>
      <c r="H192" s="7" t="s">
        <v>42</v>
      </c>
      <c r="I192" s="7"/>
      <c r="J192" s="4" t="s">
        <v>637</v>
      </c>
      <c r="K192" s="4" t="s">
        <v>1323</v>
      </c>
      <c r="L192" s="4" t="s">
        <v>1292</v>
      </c>
      <c r="M192" s="4" t="s">
        <v>906</v>
      </c>
      <c r="N192" s="7" t="s">
        <v>907</v>
      </c>
      <c r="O192" s="7" t="s">
        <v>908</v>
      </c>
      <c r="P192" s="7"/>
    </row>
    <row r="193" spans="1:16" ht="82" customHeight="1">
      <c r="A193" s="8" t="s">
        <v>198</v>
      </c>
      <c r="B193" s="8" t="s">
        <v>199</v>
      </c>
      <c r="C193" s="8" t="s">
        <v>1324</v>
      </c>
      <c r="D193" s="8" t="s">
        <v>1325</v>
      </c>
      <c r="E193" s="8" t="s">
        <v>1326</v>
      </c>
      <c r="F193" s="8" t="s">
        <v>1327</v>
      </c>
      <c r="G193" s="8" t="s">
        <v>41</v>
      </c>
      <c r="H193" s="7" t="s">
        <v>42</v>
      </c>
      <c r="I193" s="7"/>
      <c r="J193" s="8" t="s">
        <v>637</v>
      </c>
      <c r="K193" s="8" t="s">
        <v>1221</v>
      </c>
      <c r="L193" s="8" t="s">
        <v>1292</v>
      </c>
      <c r="M193" s="8" t="s">
        <v>906</v>
      </c>
      <c r="N193" s="7" t="s">
        <v>907</v>
      </c>
      <c r="O193" s="7" t="s">
        <v>908</v>
      </c>
      <c r="P193" s="7"/>
    </row>
    <row r="194" spans="1:16" ht="82" customHeight="1">
      <c r="A194" s="4" t="s">
        <v>198</v>
      </c>
      <c r="B194" s="4" t="s">
        <v>199</v>
      </c>
      <c r="C194" s="4" t="s">
        <v>1328</v>
      </c>
      <c r="D194" s="4" t="s">
        <v>1325</v>
      </c>
      <c r="E194" s="4" t="s">
        <v>1329</v>
      </c>
      <c r="F194" s="4" t="s">
        <v>1330</v>
      </c>
      <c r="G194" s="4" t="s">
        <v>41</v>
      </c>
      <c r="H194" s="7" t="s">
        <v>42</v>
      </c>
      <c r="I194" s="7"/>
      <c r="J194" s="4" t="s">
        <v>637</v>
      </c>
      <c r="K194" s="4" t="s">
        <v>1283</v>
      </c>
      <c r="L194" s="4" t="s">
        <v>1292</v>
      </c>
      <c r="M194" s="4" t="s">
        <v>906</v>
      </c>
      <c r="N194" s="7" t="s">
        <v>907</v>
      </c>
      <c r="O194" s="7" t="s">
        <v>908</v>
      </c>
      <c r="P194" s="7"/>
    </row>
    <row r="195" spans="1:16" ht="82" customHeight="1">
      <c r="A195" s="8" t="s">
        <v>198</v>
      </c>
      <c r="B195" s="8" t="s">
        <v>199</v>
      </c>
      <c r="C195" s="8" t="s">
        <v>1331</v>
      </c>
      <c r="D195" s="8" t="s">
        <v>1325</v>
      </c>
      <c r="E195" s="8" t="s">
        <v>1332</v>
      </c>
      <c r="F195" s="8" t="s">
        <v>1333</v>
      </c>
      <c r="G195" s="8" t="s">
        <v>41</v>
      </c>
      <c r="H195" s="7" t="s">
        <v>42</v>
      </c>
      <c r="I195" s="7"/>
      <c r="J195" s="8" t="s">
        <v>637</v>
      </c>
      <c r="K195" s="8" t="s">
        <v>1287</v>
      </c>
      <c r="L195" s="8" t="s">
        <v>1292</v>
      </c>
      <c r="M195" s="8" t="s">
        <v>906</v>
      </c>
      <c r="N195" s="7" t="s">
        <v>907</v>
      </c>
      <c r="O195" s="7" t="s">
        <v>908</v>
      </c>
      <c r="P195" s="7"/>
    </row>
    <row r="196" spans="1:16" ht="82" customHeight="1">
      <c r="A196" s="4" t="s">
        <v>198</v>
      </c>
      <c r="B196" s="4" t="s">
        <v>199</v>
      </c>
      <c r="C196" s="4" t="s">
        <v>1334</v>
      </c>
      <c r="D196" s="4" t="s">
        <v>901</v>
      </c>
      <c r="E196" s="4" t="s">
        <v>1335</v>
      </c>
      <c r="F196" s="4" t="s">
        <v>1336</v>
      </c>
      <c r="G196" s="4" t="s">
        <v>41</v>
      </c>
      <c r="H196" s="7" t="s">
        <v>42</v>
      </c>
      <c r="I196" s="7"/>
      <c r="J196" s="4" t="s">
        <v>637</v>
      </c>
      <c r="K196" s="4" t="s">
        <v>1337</v>
      </c>
      <c r="L196" s="4" t="s">
        <v>1292</v>
      </c>
      <c r="M196" s="4" t="s">
        <v>906</v>
      </c>
      <c r="N196" s="7" t="s">
        <v>907</v>
      </c>
      <c r="O196" s="7" t="s">
        <v>908</v>
      </c>
      <c r="P196" s="7"/>
    </row>
    <row r="197" spans="1:16" ht="82" customHeight="1">
      <c r="A197" s="8" t="s">
        <v>198</v>
      </c>
      <c r="B197" s="8" t="s">
        <v>199</v>
      </c>
      <c r="C197" s="8" t="s">
        <v>1338</v>
      </c>
      <c r="D197" s="8" t="s">
        <v>949</v>
      </c>
      <c r="E197" s="8" t="s">
        <v>1339</v>
      </c>
      <c r="F197" s="8" t="s">
        <v>1340</v>
      </c>
      <c r="G197" s="8" t="s">
        <v>41</v>
      </c>
      <c r="H197" s="7" t="s">
        <v>42</v>
      </c>
      <c r="I197" s="7"/>
      <c r="J197" s="8" t="s">
        <v>914</v>
      </c>
      <c r="K197" s="8" t="s">
        <v>952</v>
      </c>
      <c r="L197" s="8" t="s">
        <v>1292</v>
      </c>
      <c r="M197" s="8" t="s">
        <v>906</v>
      </c>
      <c r="N197" s="7" t="s">
        <v>907</v>
      </c>
      <c r="O197" s="7" t="s">
        <v>908</v>
      </c>
      <c r="P197" s="7"/>
    </row>
    <row r="198" spans="1:16" ht="82" customHeight="1">
      <c r="A198" s="4" t="s">
        <v>198</v>
      </c>
      <c r="B198" s="4" t="s">
        <v>199</v>
      </c>
      <c r="C198" s="4" t="s">
        <v>1341</v>
      </c>
      <c r="D198" s="4" t="s">
        <v>949</v>
      </c>
      <c r="E198" s="4" t="s">
        <v>1342</v>
      </c>
      <c r="F198" s="4" t="s">
        <v>1343</v>
      </c>
      <c r="G198" s="4" t="s">
        <v>41</v>
      </c>
      <c r="H198" s="7" t="s">
        <v>42</v>
      </c>
      <c r="I198" s="7"/>
      <c r="J198" s="4" t="s">
        <v>914</v>
      </c>
      <c r="K198" s="4" t="s">
        <v>956</v>
      </c>
      <c r="L198" s="4" t="s">
        <v>1292</v>
      </c>
      <c r="M198" s="4" t="s">
        <v>906</v>
      </c>
      <c r="N198" s="7" t="s">
        <v>907</v>
      </c>
      <c r="O198" s="7" t="s">
        <v>908</v>
      </c>
      <c r="P198" s="7"/>
    </row>
    <row r="199" spans="1:16" ht="82" customHeight="1">
      <c r="A199" s="8" t="s">
        <v>198</v>
      </c>
      <c r="B199" s="8" t="s">
        <v>199</v>
      </c>
      <c r="C199" s="8" t="s">
        <v>1344</v>
      </c>
      <c r="D199" s="8" t="s">
        <v>949</v>
      </c>
      <c r="E199" s="8" t="s">
        <v>1345</v>
      </c>
      <c r="F199" s="8" t="s">
        <v>1346</v>
      </c>
      <c r="G199" s="8" t="s">
        <v>41</v>
      </c>
      <c r="H199" s="7" t="s">
        <v>42</v>
      </c>
      <c r="I199" s="7"/>
      <c r="J199" s="8" t="s">
        <v>914</v>
      </c>
      <c r="K199" s="8" t="s">
        <v>960</v>
      </c>
      <c r="L199" s="8" t="s">
        <v>1292</v>
      </c>
      <c r="M199" s="8" t="s">
        <v>906</v>
      </c>
      <c r="N199" s="7" t="s">
        <v>907</v>
      </c>
      <c r="O199" s="7" t="s">
        <v>908</v>
      </c>
      <c r="P199" s="7"/>
    </row>
    <row r="200" spans="1:16" ht="40" customHeight="1">
      <c r="A200" s="4" t="s">
        <v>211</v>
      </c>
      <c r="B200" s="4" t="s">
        <v>212</v>
      </c>
      <c r="C200" s="4" t="s">
        <v>1347</v>
      </c>
      <c r="D200" s="4" t="s">
        <v>901</v>
      </c>
      <c r="E200" s="4" t="s">
        <v>1348</v>
      </c>
      <c r="F200" s="4" t="s">
        <v>1349</v>
      </c>
      <c r="G200" s="4" t="s">
        <v>41</v>
      </c>
      <c r="H200" s="7" t="s">
        <v>42</v>
      </c>
      <c r="I200" s="7"/>
      <c r="J200" s="4" t="s">
        <v>637</v>
      </c>
      <c r="K200" s="4" t="s">
        <v>904</v>
      </c>
      <c r="L200" s="4" t="s">
        <v>1350</v>
      </c>
      <c r="M200" s="4" t="s">
        <v>906</v>
      </c>
      <c r="N200" s="7" t="s">
        <v>907</v>
      </c>
      <c r="O200" s="7" t="s">
        <v>908</v>
      </c>
      <c r="P200" s="7"/>
    </row>
    <row r="201" spans="1:16" ht="40" customHeight="1">
      <c r="A201" s="8" t="s">
        <v>211</v>
      </c>
      <c r="B201" s="8" t="s">
        <v>212</v>
      </c>
      <c r="C201" s="8" t="s">
        <v>1351</v>
      </c>
      <c r="D201" s="8" t="s">
        <v>901</v>
      </c>
      <c r="E201" s="8" t="s">
        <v>1352</v>
      </c>
      <c r="F201" s="8" t="s">
        <v>1353</v>
      </c>
      <c r="G201" s="8" t="s">
        <v>41</v>
      </c>
      <c r="H201" s="7" t="s">
        <v>42</v>
      </c>
      <c r="I201" s="7"/>
      <c r="J201" s="8" t="s">
        <v>637</v>
      </c>
      <c r="K201" s="8" t="s">
        <v>912</v>
      </c>
      <c r="L201" s="8" t="s">
        <v>1350</v>
      </c>
      <c r="M201" s="8" t="s">
        <v>906</v>
      </c>
      <c r="N201" s="7" t="s">
        <v>907</v>
      </c>
      <c r="O201" s="7" t="s">
        <v>908</v>
      </c>
      <c r="P201" s="7"/>
    </row>
    <row r="202" spans="1:16" ht="40" customHeight="1">
      <c r="A202" s="4" t="s">
        <v>211</v>
      </c>
      <c r="B202" s="4" t="s">
        <v>212</v>
      </c>
      <c r="C202" s="4" t="s">
        <v>1354</v>
      </c>
      <c r="D202" s="4" t="s">
        <v>901</v>
      </c>
      <c r="E202" s="4" t="s">
        <v>1355</v>
      </c>
      <c r="F202" s="4" t="s">
        <v>1356</v>
      </c>
      <c r="G202" s="4" t="s">
        <v>41</v>
      </c>
      <c r="H202" s="7" t="s">
        <v>42</v>
      </c>
      <c r="I202" s="7"/>
      <c r="J202" s="4" t="s">
        <v>637</v>
      </c>
      <c r="K202" s="4" t="s">
        <v>1015</v>
      </c>
      <c r="L202" s="4" t="s">
        <v>1350</v>
      </c>
      <c r="M202" s="4" t="s">
        <v>906</v>
      </c>
      <c r="N202" s="7" t="s">
        <v>907</v>
      </c>
      <c r="O202" s="7" t="s">
        <v>908</v>
      </c>
      <c r="P202" s="7"/>
    </row>
    <row r="203" spans="1:16" ht="40" customHeight="1">
      <c r="A203" s="8" t="s">
        <v>211</v>
      </c>
      <c r="B203" s="8" t="s">
        <v>212</v>
      </c>
      <c r="C203" s="8" t="s">
        <v>1357</v>
      </c>
      <c r="D203" s="8" t="s">
        <v>901</v>
      </c>
      <c r="E203" s="8" t="s">
        <v>1358</v>
      </c>
      <c r="F203" s="8" t="s">
        <v>1359</v>
      </c>
      <c r="G203" s="8" t="s">
        <v>41</v>
      </c>
      <c r="H203" s="7" t="s">
        <v>42</v>
      </c>
      <c r="I203" s="7"/>
      <c r="J203" s="8" t="s">
        <v>637</v>
      </c>
      <c r="K203" s="8" t="s">
        <v>1019</v>
      </c>
      <c r="L203" s="8" t="s">
        <v>1350</v>
      </c>
      <c r="M203" s="8" t="s">
        <v>906</v>
      </c>
      <c r="N203" s="7" t="s">
        <v>907</v>
      </c>
      <c r="O203" s="7" t="s">
        <v>908</v>
      </c>
      <c r="P203" s="7"/>
    </row>
    <row r="204" spans="1:16" ht="40" customHeight="1">
      <c r="A204" s="4" t="s">
        <v>211</v>
      </c>
      <c r="B204" s="4" t="s">
        <v>212</v>
      </c>
      <c r="C204" s="4" t="s">
        <v>1360</v>
      </c>
      <c r="D204" s="4" t="s">
        <v>901</v>
      </c>
      <c r="E204" s="4" t="s">
        <v>1361</v>
      </c>
      <c r="F204" s="4" t="s">
        <v>1362</v>
      </c>
      <c r="G204" s="4" t="s">
        <v>41</v>
      </c>
      <c r="H204" s="7" t="s">
        <v>42</v>
      </c>
      <c r="I204" s="7"/>
      <c r="J204" s="4" t="s">
        <v>637</v>
      </c>
      <c r="K204" s="4" t="s">
        <v>1147</v>
      </c>
      <c r="L204" s="4" t="s">
        <v>1350</v>
      </c>
      <c r="M204" s="4" t="s">
        <v>906</v>
      </c>
      <c r="N204" s="7" t="s">
        <v>907</v>
      </c>
      <c r="O204" s="7" t="s">
        <v>908</v>
      </c>
      <c r="P204" s="7"/>
    </row>
    <row r="205" spans="1:16" ht="40" customHeight="1">
      <c r="A205" s="8" t="s">
        <v>211</v>
      </c>
      <c r="B205" s="8" t="s">
        <v>212</v>
      </c>
      <c r="C205" s="8" t="s">
        <v>1363</v>
      </c>
      <c r="D205" s="8" t="s">
        <v>1325</v>
      </c>
      <c r="E205" s="8" t="s">
        <v>1364</v>
      </c>
      <c r="F205" s="8" t="s">
        <v>1365</v>
      </c>
      <c r="G205" s="8" t="s">
        <v>41</v>
      </c>
      <c r="H205" s="7" t="s">
        <v>42</v>
      </c>
      <c r="I205" s="7"/>
      <c r="J205" s="8" t="s">
        <v>637</v>
      </c>
      <c r="K205" s="8" t="s">
        <v>1254</v>
      </c>
      <c r="L205" s="8" t="s">
        <v>1350</v>
      </c>
      <c r="M205" s="8" t="s">
        <v>906</v>
      </c>
      <c r="N205" s="7" t="s">
        <v>907</v>
      </c>
      <c r="O205" s="7" t="s">
        <v>908</v>
      </c>
      <c r="P205" s="7"/>
    </row>
    <row r="206" spans="1:16" ht="40" customHeight="1">
      <c r="A206" s="4" t="s">
        <v>211</v>
      </c>
      <c r="B206" s="4" t="s">
        <v>212</v>
      </c>
      <c r="C206" s="4" t="s">
        <v>1366</v>
      </c>
      <c r="D206" s="4" t="s">
        <v>901</v>
      </c>
      <c r="E206" s="4" t="s">
        <v>1367</v>
      </c>
      <c r="F206" s="4" t="s">
        <v>1368</v>
      </c>
      <c r="G206" s="4" t="s">
        <v>41</v>
      </c>
      <c r="H206" s="7" t="s">
        <v>42</v>
      </c>
      <c r="I206" s="7"/>
      <c r="J206" s="4" t="s">
        <v>637</v>
      </c>
      <c r="K206" s="4" t="s">
        <v>1258</v>
      </c>
      <c r="L206" s="4" t="s">
        <v>1350</v>
      </c>
      <c r="M206" s="4" t="s">
        <v>906</v>
      </c>
      <c r="N206" s="7" t="s">
        <v>907</v>
      </c>
      <c r="O206" s="7" t="s">
        <v>908</v>
      </c>
      <c r="P206" s="7"/>
    </row>
    <row r="207" spans="1:16" ht="40" customHeight="1">
      <c r="A207" s="8" t="s">
        <v>211</v>
      </c>
      <c r="B207" s="8" t="s">
        <v>212</v>
      </c>
      <c r="C207" s="8" t="s">
        <v>1369</v>
      </c>
      <c r="D207" s="8" t="s">
        <v>914</v>
      </c>
      <c r="E207" s="8" t="s">
        <v>915</v>
      </c>
      <c r="F207" s="8" t="s">
        <v>218</v>
      </c>
      <c r="G207" s="8" t="s">
        <v>916</v>
      </c>
      <c r="H207" s="7" t="s">
        <v>42</v>
      </c>
      <c r="I207" s="7"/>
      <c r="J207" s="8" t="s">
        <v>914</v>
      </c>
      <c r="K207" s="8" t="s">
        <v>41</v>
      </c>
      <c r="L207" s="8" t="s">
        <v>1350</v>
      </c>
      <c r="M207" s="8" t="s">
        <v>51</v>
      </c>
      <c r="N207" s="7" t="s">
        <v>907</v>
      </c>
      <c r="O207" s="7"/>
      <c r="P207" s="7"/>
    </row>
    <row r="208" spans="1:16" ht="40" customHeight="1">
      <c r="A208" s="4" t="s">
        <v>221</v>
      </c>
      <c r="B208" s="4" t="s">
        <v>222</v>
      </c>
      <c r="C208" s="4" t="s">
        <v>1370</v>
      </c>
      <c r="D208" s="4" t="s">
        <v>901</v>
      </c>
      <c r="E208" s="4" t="s">
        <v>1371</v>
      </c>
      <c r="F208" s="4" t="s">
        <v>1372</v>
      </c>
      <c r="G208" s="4" t="s">
        <v>41</v>
      </c>
      <c r="H208" s="7" t="s">
        <v>42</v>
      </c>
      <c r="I208" s="7"/>
      <c r="J208" s="4" t="s">
        <v>637</v>
      </c>
      <c r="K208" s="4" t="s">
        <v>926</v>
      </c>
      <c r="L208" s="4" t="s">
        <v>1373</v>
      </c>
      <c r="M208" s="4" t="s">
        <v>906</v>
      </c>
      <c r="N208" s="7" t="s">
        <v>907</v>
      </c>
      <c r="O208" s="7" t="s">
        <v>908</v>
      </c>
      <c r="P208" s="7"/>
    </row>
    <row r="209" spans="1:16" ht="40" customHeight="1">
      <c r="A209" s="8" t="s">
        <v>221</v>
      </c>
      <c r="B209" s="8" t="s">
        <v>222</v>
      </c>
      <c r="C209" s="8" t="s">
        <v>1374</v>
      </c>
      <c r="D209" s="8" t="s">
        <v>901</v>
      </c>
      <c r="E209" s="8" t="s">
        <v>1375</v>
      </c>
      <c r="F209" s="8" t="s">
        <v>1376</v>
      </c>
      <c r="G209" s="8" t="s">
        <v>41</v>
      </c>
      <c r="H209" s="7" t="s">
        <v>42</v>
      </c>
      <c r="I209" s="7"/>
      <c r="J209" s="8" t="s">
        <v>637</v>
      </c>
      <c r="K209" s="8" t="s">
        <v>1377</v>
      </c>
      <c r="L209" s="8" t="s">
        <v>1373</v>
      </c>
      <c r="M209" s="8" t="s">
        <v>906</v>
      </c>
      <c r="N209" s="7" t="s">
        <v>907</v>
      </c>
      <c r="O209" s="7" t="s">
        <v>908</v>
      </c>
      <c r="P209" s="7"/>
    </row>
    <row r="210" spans="1:16" ht="40" customHeight="1">
      <c r="A210" s="4" t="s">
        <v>221</v>
      </c>
      <c r="B210" s="4" t="s">
        <v>222</v>
      </c>
      <c r="C210" s="4" t="s">
        <v>1378</v>
      </c>
      <c r="D210" s="4" t="s">
        <v>901</v>
      </c>
      <c r="E210" s="4" t="s">
        <v>1379</v>
      </c>
      <c r="F210" s="4" t="s">
        <v>1380</v>
      </c>
      <c r="G210" s="4" t="s">
        <v>41</v>
      </c>
      <c r="H210" s="7" t="s">
        <v>42</v>
      </c>
      <c r="I210" s="7"/>
      <c r="J210" s="4" t="s">
        <v>637</v>
      </c>
      <c r="K210" s="4" t="s">
        <v>1381</v>
      </c>
      <c r="L210" s="4" t="s">
        <v>1373</v>
      </c>
      <c r="M210" s="4" t="s">
        <v>906</v>
      </c>
      <c r="N210" s="7" t="s">
        <v>907</v>
      </c>
      <c r="O210" s="7" t="s">
        <v>908</v>
      </c>
      <c r="P210" s="7"/>
    </row>
    <row r="211" spans="1:16" ht="40" customHeight="1">
      <c r="A211" s="8" t="s">
        <v>221</v>
      </c>
      <c r="B211" s="8" t="s">
        <v>222</v>
      </c>
      <c r="C211" s="8" t="s">
        <v>1382</v>
      </c>
      <c r="D211" s="8" t="s">
        <v>901</v>
      </c>
      <c r="E211" s="8" t="s">
        <v>1383</v>
      </c>
      <c r="F211" s="8" t="s">
        <v>1384</v>
      </c>
      <c r="G211" s="8" t="s">
        <v>41</v>
      </c>
      <c r="H211" s="7" t="s">
        <v>42</v>
      </c>
      <c r="I211" s="7"/>
      <c r="J211" s="8" t="s">
        <v>637</v>
      </c>
      <c r="K211" s="8" t="s">
        <v>1385</v>
      </c>
      <c r="L211" s="8" t="s">
        <v>1373</v>
      </c>
      <c r="M211" s="8" t="s">
        <v>906</v>
      </c>
      <c r="N211" s="7" t="s">
        <v>907</v>
      </c>
      <c r="O211" s="7" t="s">
        <v>908</v>
      </c>
      <c r="P211" s="7"/>
    </row>
    <row r="212" spans="1:16" ht="40" customHeight="1">
      <c r="A212" s="4" t="s">
        <v>221</v>
      </c>
      <c r="B212" s="4" t="s">
        <v>222</v>
      </c>
      <c r="C212" s="4" t="s">
        <v>1386</v>
      </c>
      <c r="D212" s="4" t="s">
        <v>914</v>
      </c>
      <c r="E212" s="4" t="s">
        <v>915</v>
      </c>
      <c r="F212" s="4" t="s">
        <v>228</v>
      </c>
      <c r="G212" s="4" t="s">
        <v>916</v>
      </c>
      <c r="H212" s="7" t="s">
        <v>42</v>
      </c>
      <c r="I212" s="7"/>
      <c r="J212" s="4" t="s">
        <v>914</v>
      </c>
      <c r="K212" s="4" t="s">
        <v>41</v>
      </c>
      <c r="L212" s="4" t="s">
        <v>1373</v>
      </c>
      <c r="M212" s="4" t="s">
        <v>51</v>
      </c>
      <c r="N212" s="7" t="s">
        <v>907</v>
      </c>
      <c r="O212" s="7"/>
      <c r="P212" s="7"/>
    </row>
    <row r="213" spans="1:16" ht="54" customHeight="1">
      <c r="A213" s="8" t="s">
        <v>231</v>
      </c>
      <c r="B213" s="8" t="s">
        <v>232</v>
      </c>
      <c r="C213" s="8" t="s">
        <v>1387</v>
      </c>
      <c r="D213" s="8" t="s">
        <v>901</v>
      </c>
      <c r="E213" s="8" t="s">
        <v>1388</v>
      </c>
      <c r="F213" s="8" t="s">
        <v>1389</v>
      </c>
      <c r="G213" s="8" t="s">
        <v>41</v>
      </c>
      <c r="H213" s="7" t="s">
        <v>42</v>
      </c>
      <c r="I213" s="7"/>
      <c r="J213" s="8" t="s">
        <v>637</v>
      </c>
      <c r="K213" s="8" t="s">
        <v>920</v>
      </c>
      <c r="L213" s="8" t="s">
        <v>1390</v>
      </c>
      <c r="M213" s="8" t="s">
        <v>906</v>
      </c>
      <c r="N213" s="7" t="s">
        <v>907</v>
      </c>
      <c r="O213" s="7" t="s">
        <v>908</v>
      </c>
      <c r="P213" s="7"/>
    </row>
    <row r="214" spans="1:16" ht="82" customHeight="1">
      <c r="A214" s="4" t="s">
        <v>231</v>
      </c>
      <c r="B214" s="4" t="s">
        <v>232</v>
      </c>
      <c r="C214" s="4" t="s">
        <v>1391</v>
      </c>
      <c r="D214" s="4" t="s">
        <v>901</v>
      </c>
      <c r="E214" s="4" t="s">
        <v>1392</v>
      </c>
      <c r="F214" s="4" t="s">
        <v>1393</v>
      </c>
      <c r="G214" s="4" t="s">
        <v>41</v>
      </c>
      <c r="H214" s="7" t="s">
        <v>42</v>
      </c>
      <c r="I214" s="7"/>
      <c r="J214" s="4" t="s">
        <v>637</v>
      </c>
      <c r="K214" s="4" t="s">
        <v>988</v>
      </c>
      <c r="L214" s="4" t="s">
        <v>1390</v>
      </c>
      <c r="M214" s="4" t="s">
        <v>906</v>
      </c>
      <c r="N214" s="7" t="s">
        <v>907</v>
      </c>
      <c r="O214" s="7" t="s">
        <v>908</v>
      </c>
      <c r="P214" s="7"/>
    </row>
    <row r="215" spans="1:16" ht="54" customHeight="1">
      <c r="A215" s="8" t="s">
        <v>231</v>
      </c>
      <c r="B215" s="8" t="s">
        <v>232</v>
      </c>
      <c r="C215" s="8" t="s">
        <v>1394</v>
      </c>
      <c r="D215" s="8" t="s">
        <v>901</v>
      </c>
      <c r="E215" s="8" t="s">
        <v>1395</v>
      </c>
      <c r="F215" s="8" t="s">
        <v>1396</v>
      </c>
      <c r="G215" s="8" t="s">
        <v>41</v>
      </c>
      <c r="H215" s="7" t="s">
        <v>42</v>
      </c>
      <c r="I215" s="7"/>
      <c r="J215" s="8" t="s">
        <v>637</v>
      </c>
      <c r="K215" s="8" t="s">
        <v>992</v>
      </c>
      <c r="L215" s="8" t="s">
        <v>1390</v>
      </c>
      <c r="M215" s="8" t="s">
        <v>906</v>
      </c>
      <c r="N215" s="7" t="s">
        <v>907</v>
      </c>
      <c r="O215" s="7" t="s">
        <v>908</v>
      </c>
      <c r="P215" s="7"/>
    </row>
    <row r="216" spans="1:16" ht="54" customHeight="1">
      <c r="A216" s="4" t="s">
        <v>231</v>
      </c>
      <c r="B216" s="4" t="s">
        <v>232</v>
      </c>
      <c r="C216" s="4" t="s">
        <v>1397</v>
      </c>
      <c r="D216" s="4" t="s">
        <v>901</v>
      </c>
      <c r="E216" s="4" t="s">
        <v>1398</v>
      </c>
      <c r="F216" s="4" t="s">
        <v>1399</v>
      </c>
      <c r="G216" s="4" t="s">
        <v>41</v>
      </c>
      <c r="H216" s="7" t="s">
        <v>42</v>
      </c>
      <c r="I216" s="7"/>
      <c r="J216" s="4" t="s">
        <v>637</v>
      </c>
      <c r="K216" s="4" t="s">
        <v>996</v>
      </c>
      <c r="L216" s="4" t="s">
        <v>1390</v>
      </c>
      <c r="M216" s="4" t="s">
        <v>906</v>
      </c>
      <c r="N216" s="7" t="s">
        <v>907</v>
      </c>
      <c r="O216" s="7" t="s">
        <v>908</v>
      </c>
      <c r="P216" s="7"/>
    </row>
    <row r="217" spans="1:16" ht="54" customHeight="1">
      <c r="A217" s="8" t="s">
        <v>231</v>
      </c>
      <c r="B217" s="8" t="s">
        <v>232</v>
      </c>
      <c r="C217" s="8" t="s">
        <v>1400</v>
      </c>
      <c r="D217" s="8" t="s">
        <v>901</v>
      </c>
      <c r="E217" s="8" t="s">
        <v>1401</v>
      </c>
      <c r="F217" s="8" t="s">
        <v>1402</v>
      </c>
      <c r="G217" s="8" t="s">
        <v>41</v>
      </c>
      <c r="H217" s="7" t="s">
        <v>42</v>
      </c>
      <c r="I217" s="7"/>
      <c r="J217" s="8" t="s">
        <v>637</v>
      </c>
      <c r="K217" s="8" t="s">
        <v>1000</v>
      </c>
      <c r="L217" s="8" t="s">
        <v>1390</v>
      </c>
      <c r="M217" s="8" t="s">
        <v>906</v>
      </c>
      <c r="N217" s="7" t="s">
        <v>907</v>
      </c>
      <c r="O217" s="7" t="s">
        <v>908</v>
      </c>
      <c r="P217" s="7"/>
    </row>
    <row r="218" spans="1:16" ht="54" customHeight="1">
      <c r="A218" s="4" t="s">
        <v>231</v>
      </c>
      <c r="B218" s="4" t="s">
        <v>232</v>
      </c>
      <c r="C218" s="4" t="s">
        <v>1403</v>
      </c>
      <c r="D218" s="4" t="s">
        <v>949</v>
      </c>
      <c r="E218" s="4" t="s">
        <v>1404</v>
      </c>
      <c r="F218" s="4" t="s">
        <v>1405</v>
      </c>
      <c r="G218" s="4" t="s">
        <v>41</v>
      </c>
      <c r="H218" s="7" t="s">
        <v>42</v>
      </c>
      <c r="I218" s="7"/>
      <c r="J218" s="4" t="s">
        <v>914</v>
      </c>
      <c r="K218" s="4" t="s">
        <v>952</v>
      </c>
      <c r="L218" s="4" t="s">
        <v>1390</v>
      </c>
      <c r="M218" s="4" t="s">
        <v>906</v>
      </c>
      <c r="N218" s="7" t="s">
        <v>907</v>
      </c>
      <c r="O218" s="7" t="s">
        <v>908</v>
      </c>
      <c r="P218" s="7"/>
    </row>
    <row r="219" spans="1:16" ht="54" customHeight="1">
      <c r="A219" s="8" t="s">
        <v>231</v>
      </c>
      <c r="B219" s="8" t="s">
        <v>232</v>
      </c>
      <c r="C219" s="8" t="s">
        <v>1406</v>
      </c>
      <c r="D219" s="8" t="s">
        <v>949</v>
      </c>
      <c r="E219" s="8" t="s">
        <v>1407</v>
      </c>
      <c r="F219" s="8" t="s">
        <v>1408</v>
      </c>
      <c r="G219" s="8" t="s">
        <v>41</v>
      </c>
      <c r="H219" s="7" t="s">
        <v>42</v>
      </c>
      <c r="I219" s="7"/>
      <c r="J219" s="8" t="s">
        <v>914</v>
      </c>
      <c r="K219" s="8" t="s">
        <v>956</v>
      </c>
      <c r="L219" s="8" t="s">
        <v>1390</v>
      </c>
      <c r="M219" s="8" t="s">
        <v>906</v>
      </c>
      <c r="N219" s="7" t="s">
        <v>907</v>
      </c>
      <c r="O219" s="7" t="s">
        <v>908</v>
      </c>
      <c r="P219" s="7"/>
    </row>
    <row r="220" spans="1:16" ht="54" customHeight="1">
      <c r="A220" s="4" t="s">
        <v>231</v>
      </c>
      <c r="B220" s="4" t="s">
        <v>232</v>
      </c>
      <c r="C220" s="4" t="s">
        <v>1409</v>
      </c>
      <c r="D220" s="4" t="s">
        <v>949</v>
      </c>
      <c r="E220" s="4" t="s">
        <v>1410</v>
      </c>
      <c r="F220" s="4" t="s">
        <v>1411</v>
      </c>
      <c r="G220" s="4" t="s">
        <v>41</v>
      </c>
      <c r="H220" s="7" t="s">
        <v>42</v>
      </c>
      <c r="I220" s="7"/>
      <c r="J220" s="4" t="s">
        <v>914</v>
      </c>
      <c r="K220" s="4" t="s">
        <v>960</v>
      </c>
      <c r="L220" s="4" t="s">
        <v>1390</v>
      </c>
      <c r="M220" s="4" t="s">
        <v>906</v>
      </c>
      <c r="N220" s="7" t="s">
        <v>907</v>
      </c>
      <c r="O220" s="7" t="s">
        <v>908</v>
      </c>
      <c r="P220" s="7"/>
    </row>
    <row r="221" spans="1:16" ht="54" customHeight="1">
      <c r="A221" s="8" t="s">
        <v>231</v>
      </c>
      <c r="B221" s="8" t="s">
        <v>232</v>
      </c>
      <c r="C221" s="8" t="s">
        <v>1412</v>
      </c>
      <c r="D221" s="8" t="s">
        <v>949</v>
      </c>
      <c r="E221" s="8" t="s">
        <v>1413</v>
      </c>
      <c r="F221" s="8" t="s">
        <v>1414</v>
      </c>
      <c r="G221" s="8" t="s">
        <v>41</v>
      </c>
      <c r="H221" s="7" t="s">
        <v>42</v>
      </c>
      <c r="I221" s="7"/>
      <c r="J221" s="8" t="s">
        <v>914</v>
      </c>
      <c r="K221" s="8" t="s">
        <v>1415</v>
      </c>
      <c r="L221" s="8" t="s">
        <v>1390</v>
      </c>
      <c r="M221" s="8" t="s">
        <v>906</v>
      </c>
      <c r="N221" s="7" t="s">
        <v>907</v>
      </c>
      <c r="O221" s="7" t="s">
        <v>908</v>
      </c>
      <c r="P221" s="7"/>
    </row>
    <row r="222" spans="1:16" ht="54" customHeight="1">
      <c r="A222" s="4" t="s">
        <v>231</v>
      </c>
      <c r="B222" s="4" t="s">
        <v>232</v>
      </c>
      <c r="C222" s="4" t="s">
        <v>1416</v>
      </c>
      <c r="D222" s="4" t="s">
        <v>949</v>
      </c>
      <c r="E222" s="4" t="s">
        <v>1417</v>
      </c>
      <c r="F222" s="4" t="s">
        <v>1418</v>
      </c>
      <c r="G222" s="4" t="s">
        <v>41</v>
      </c>
      <c r="H222" s="7" t="s">
        <v>42</v>
      </c>
      <c r="I222" s="7"/>
      <c r="J222" s="4" t="s">
        <v>914</v>
      </c>
      <c r="K222" s="4" t="s">
        <v>1419</v>
      </c>
      <c r="L222" s="4" t="s">
        <v>1390</v>
      </c>
      <c r="M222" s="4" t="s">
        <v>906</v>
      </c>
      <c r="N222" s="7" t="s">
        <v>907</v>
      </c>
      <c r="O222" s="7" t="s">
        <v>908</v>
      </c>
      <c r="P222" s="7"/>
    </row>
    <row r="223" spans="1:16" ht="40" customHeight="1">
      <c r="A223" s="8" t="s">
        <v>240</v>
      </c>
      <c r="B223" s="8" t="s">
        <v>241</v>
      </c>
      <c r="C223" s="8" t="s">
        <v>1420</v>
      </c>
      <c r="D223" s="8" t="s">
        <v>1002</v>
      </c>
      <c r="E223" s="8" t="s">
        <v>637</v>
      </c>
      <c r="F223" s="8" t="s">
        <v>1421</v>
      </c>
      <c r="G223" s="8" t="s">
        <v>637</v>
      </c>
      <c r="H223" s="7" t="s">
        <v>42</v>
      </c>
      <c r="I223" s="7"/>
      <c r="J223" s="8" t="s">
        <v>637</v>
      </c>
      <c r="K223" s="8" t="s">
        <v>920</v>
      </c>
      <c r="L223" s="8" t="s">
        <v>1422</v>
      </c>
      <c r="M223" s="8" t="s">
        <v>906</v>
      </c>
      <c r="N223" s="7" t="s">
        <v>907</v>
      </c>
      <c r="O223" s="7" t="s">
        <v>908</v>
      </c>
      <c r="P223" s="7"/>
    </row>
    <row r="224" spans="1:16" ht="40" customHeight="1">
      <c r="A224" s="4" t="s">
        <v>240</v>
      </c>
      <c r="B224" s="4" t="s">
        <v>241</v>
      </c>
      <c r="C224" s="4" t="s">
        <v>1423</v>
      </c>
      <c r="D224" s="4" t="s">
        <v>901</v>
      </c>
      <c r="E224" s="4" t="s">
        <v>1424</v>
      </c>
      <c r="F224" s="4" t="s">
        <v>1425</v>
      </c>
      <c r="G224" s="4" t="s">
        <v>637</v>
      </c>
      <c r="H224" s="7" t="s">
        <v>42</v>
      </c>
      <c r="I224" s="7"/>
      <c r="J224" s="4" t="s">
        <v>637</v>
      </c>
      <c r="K224" s="4" t="s">
        <v>988</v>
      </c>
      <c r="L224" s="4" t="s">
        <v>1422</v>
      </c>
      <c r="M224" s="4" t="s">
        <v>906</v>
      </c>
      <c r="N224" s="7" t="s">
        <v>907</v>
      </c>
      <c r="O224" s="7" t="s">
        <v>908</v>
      </c>
      <c r="P224" s="7"/>
    </row>
    <row r="225" spans="1:16" ht="40" customHeight="1">
      <c r="A225" s="8" t="s">
        <v>240</v>
      </c>
      <c r="B225" s="8" t="s">
        <v>241</v>
      </c>
      <c r="C225" s="8" t="s">
        <v>1426</v>
      </c>
      <c r="D225" s="8" t="s">
        <v>901</v>
      </c>
      <c r="E225" s="8" t="s">
        <v>1427</v>
      </c>
      <c r="F225" s="8" t="s">
        <v>1428</v>
      </c>
      <c r="G225" s="8" t="s">
        <v>637</v>
      </c>
      <c r="H225" s="7" t="s">
        <v>42</v>
      </c>
      <c r="I225" s="7"/>
      <c r="J225" s="8" t="s">
        <v>637</v>
      </c>
      <c r="K225" s="8" t="s">
        <v>992</v>
      </c>
      <c r="L225" s="8" t="s">
        <v>1422</v>
      </c>
      <c r="M225" s="8" t="s">
        <v>906</v>
      </c>
      <c r="N225" s="7" t="s">
        <v>907</v>
      </c>
      <c r="O225" s="7" t="s">
        <v>908</v>
      </c>
      <c r="P225" s="7"/>
    </row>
    <row r="226" spans="1:16" ht="40" customHeight="1">
      <c r="A226" s="4" t="s">
        <v>240</v>
      </c>
      <c r="B226" s="4" t="s">
        <v>241</v>
      </c>
      <c r="C226" s="4" t="s">
        <v>1429</v>
      </c>
      <c r="D226" s="4" t="s">
        <v>901</v>
      </c>
      <c r="E226" s="4" t="s">
        <v>1430</v>
      </c>
      <c r="F226" s="4" t="s">
        <v>1431</v>
      </c>
      <c r="G226" s="4" t="s">
        <v>637</v>
      </c>
      <c r="H226" s="7" t="s">
        <v>42</v>
      </c>
      <c r="I226" s="7"/>
      <c r="J226" s="4" t="s">
        <v>637</v>
      </c>
      <c r="K226" s="4" t="s">
        <v>996</v>
      </c>
      <c r="L226" s="4" t="s">
        <v>1422</v>
      </c>
      <c r="M226" s="4" t="s">
        <v>906</v>
      </c>
      <c r="N226" s="7" t="s">
        <v>907</v>
      </c>
      <c r="O226" s="7" t="s">
        <v>908</v>
      </c>
      <c r="P226" s="7"/>
    </row>
    <row r="227" spans="1:16" ht="40" customHeight="1">
      <c r="A227" s="8" t="s">
        <v>240</v>
      </c>
      <c r="B227" s="8" t="s">
        <v>241</v>
      </c>
      <c r="C227" s="8" t="s">
        <v>1432</v>
      </c>
      <c r="D227" s="8" t="s">
        <v>914</v>
      </c>
      <c r="E227" s="8" t="s">
        <v>915</v>
      </c>
      <c r="F227" s="8" t="s">
        <v>246</v>
      </c>
      <c r="G227" s="8" t="s">
        <v>916</v>
      </c>
      <c r="H227" s="7" t="s">
        <v>42</v>
      </c>
      <c r="I227" s="7"/>
      <c r="J227" s="8" t="s">
        <v>914</v>
      </c>
      <c r="K227" s="8" t="s">
        <v>41</v>
      </c>
      <c r="L227" s="8" t="s">
        <v>1422</v>
      </c>
      <c r="M227" s="8" t="s">
        <v>51</v>
      </c>
      <c r="N227" s="7" t="s">
        <v>907</v>
      </c>
      <c r="O227" s="7"/>
      <c r="P227" s="7"/>
    </row>
    <row r="228" spans="1:16" ht="40" customHeight="1">
      <c r="A228" s="4" t="s">
        <v>249</v>
      </c>
      <c r="B228" s="4" t="s">
        <v>250</v>
      </c>
      <c r="C228" s="4" t="s">
        <v>1433</v>
      </c>
      <c r="D228" s="4" t="s">
        <v>901</v>
      </c>
      <c r="E228" s="4" t="s">
        <v>1434</v>
      </c>
      <c r="F228" s="4" t="s">
        <v>1435</v>
      </c>
      <c r="G228" s="4" t="s">
        <v>41</v>
      </c>
      <c r="H228" s="7" t="s">
        <v>42</v>
      </c>
      <c r="I228" s="7"/>
      <c r="J228" s="4" t="s">
        <v>637</v>
      </c>
      <c r="K228" s="4" t="s">
        <v>904</v>
      </c>
      <c r="L228" s="4" t="s">
        <v>1436</v>
      </c>
      <c r="M228" s="4" t="s">
        <v>906</v>
      </c>
      <c r="N228" s="7" t="s">
        <v>907</v>
      </c>
      <c r="O228" s="7" t="s">
        <v>908</v>
      </c>
      <c r="P228" s="7"/>
    </row>
    <row r="229" spans="1:16" ht="40" customHeight="1">
      <c r="A229" s="8" t="s">
        <v>249</v>
      </c>
      <c r="B229" s="8" t="s">
        <v>250</v>
      </c>
      <c r="C229" s="8" t="s">
        <v>1437</v>
      </c>
      <c r="D229" s="8" t="s">
        <v>901</v>
      </c>
      <c r="E229" s="8" t="s">
        <v>1438</v>
      </c>
      <c r="F229" s="8" t="s">
        <v>1439</v>
      </c>
      <c r="G229" s="8" t="s">
        <v>41</v>
      </c>
      <c r="H229" s="7" t="s">
        <v>42</v>
      </c>
      <c r="I229" s="7"/>
      <c r="J229" s="8" t="s">
        <v>637</v>
      </c>
      <c r="K229" s="8" t="s">
        <v>912</v>
      </c>
      <c r="L229" s="8" t="s">
        <v>1436</v>
      </c>
      <c r="M229" s="8" t="s">
        <v>906</v>
      </c>
      <c r="N229" s="7" t="s">
        <v>907</v>
      </c>
      <c r="O229" s="7" t="s">
        <v>908</v>
      </c>
      <c r="P229" s="7"/>
    </row>
    <row r="230" spans="1:16" ht="40" customHeight="1">
      <c r="A230" s="4" t="s">
        <v>249</v>
      </c>
      <c r="B230" s="4" t="s">
        <v>250</v>
      </c>
      <c r="C230" s="4" t="s">
        <v>1440</v>
      </c>
      <c r="D230" s="4" t="s">
        <v>901</v>
      </c>
      <c r="E230" s="4" t="s">
        <v>1441</v>
      </c>
      <c r="F230" s="4" t="s">
        <v>1442</v>
      </c>
      <c r="G230" s="4" t="s">
        <v>41</v>
      </c>
      <c r="H230" s="7" t="s">
        <v>42</v>
      </c>
      <c r="I230" s="7"/>
      <c r="J230" s="4" t="s">
        <v>637</v>
      </c>
      <c r="K230" s="4" t="s">
        <v>1015</v>
      </c>
      <c r="L230" s="4" t="s">
        <v>1436</v>
      </c>
      <c r="M230" s="4" t="s">
        <v>906</v>
      </c>
      <c r="N230" s="7" t="s">
        <v>907</v>
      </c>
      <c r="O230" s="7" t="s">
        <v>908</v>
      </c>
      <c r="P230" s="7"/>
    </row>
    <row r="231" spans="1:16" ht="40" customHeight="1">
      <c r="A231" s="8" t="s">
        <v>249</v>
      </c>
      <c r="B231" s="8" t="s">
        <v>250</v>
      </c>
      <c r="C231" s="8" t="s">
        <v>1443</v>
      </c>
      <c r="D231" s="8" t="s">
        <v>901</v>
      </c>
      <c r="E231" s="8" t="s">
        <v>1444</v>
      </c>
      <c r="F231" s="8" t="s">
        <v>1445</v>
      </c>
      <c r="G231" s="8" t="s">
        <v>41</v>
      </c>
      <c r="H231" s="7" t="s">
        <v>42</v>
      </c>
      <c r="I231" s="7"/>
      <c r="J231" s="8" t="s">
        <v>637</v>
      </c>
      <c r="K231" s="8" t="s">
        <v>1019</v>
      </c>
      <c r="L231" s="8" t="s">
        <v>1436</v>
      </c>
      <c r="M231" s="8" t="s">
        <v>906</v>
      </c>
      <c r="N231" s="7" t="s">
        <v>907</v>
      </c>
      <c r="O231" s="7" t="s">
        <v>908</v>
      </c>
      <c r="P231" s="7"/>
    </row>
    <row r="232" spans="1:16" ht="40" customHeight="1">
      <c r="A232" s="4" t="s">
        <v>249</v>
      </c>
      <c r="B232" s="4" t="s">
        <v>250</v>
      </c>
      <c r="C232" s="4" t="s">
        <v>1446</v>
      </c>
      <c r="D232" s="4" t="s">
        <v>901</v>
      </c>
      <c r="E232" s="4" t="s">
        <v>1447</v>
      </c>
      <c r="F232" s="4" t="s">
        <v>1448</v>
      </c>
      <c r="G232" s="4" t="s">
        <v>41</v>
      </c>
      <c r="H232" s="7" t="s">
        <v>42</v>
      </c>
      <c r="I232" s="7"/>
      <c r="J232" s="4" t="s">
        <v>637</v>
      </c>
      <c r="K232" s="4" t="s">
        <v>1147</v>
      </c>
      <c r="L232" s="4" t="s">
        <v>1436</v>
      </c>
      <c r="M232" s="4" t="s">
        <v>906</v>
      </c>
      <c r="N232" s="7" t="s">
        <v>907</v>
      </c>
      <c r="O232" s="7" t="s">
        <v>908</v>
      </c>
      <c r="P232" s="7"/>
    </row>
    <row r="233" spans="1:16" ht="40" customHeight="1">
      <c r="A233" s="8" t="s">
        <v>249</v>
      </c>
      <c r="B233" s="8" t="s">
        <v>250</v>
      </c>
      <c r="C233" s="8" t="s">
        <v>1449</v>
      </c>
      <c r="D233" s="8" t="s">
        <v>901</v>
      </c>
      <c r="E233" s="8" t="s">
        <v>1450</v>
      </c>
      <c r="F233" s="8" t="s">
        <v>1451</v>
      </c>
      <c r="G233" s="8" t="s">
        <v>41</v>
      </c>
      <c r="H233" s="7" t="s">
        <v>42</v>
      </c>
      <c r="I233" s="7"/>
      <c r="J233" s="8" t="s">
        <v>637</v>
      </c>
      <c r="K233" s="8" t="s">
        <v>1254</v>
      </c>
      <c r="L233" s="8" t="s">
        <v>1436</v>
      </c>
      <c r="M233" s="8" t="s">
        <v>906</v>
      </c>
      <c r="N233" s="7" t="s">
        <v>907</v>
      </c>
      <c r="O233" s="7" t="s">
        <v>908</v>
      </c>
      <c r="P233" s="7"/>
    </row>
    <row r="234" spans="1:16" ht="40" customHeight="1">
      <c r="A234" s="4" t="s">
        <v>249</v>
      </c>
      <c r="B234" s="4" t="s">
        <v>250</v>
      </c>
      <c r="C234" s="4" t="s">
        <v>1452</v>
      </c>
      <c r="D234" s="4" t="s">
        <v>949</v>
      </c>
      <c r="E234" s="4" t="s">
        <v>1453</v>
      </c>
      <c r="F234" s="4" t="s">
        <v>1454</v>
      </c>
      <c r="G234" s="4" t="s">
        <v>41</v>
      </c>
      <c r="H234" s="7" t="s">
        <v>42</v>
      </c>
      <c r="I234" s="7"/>
      <c r="J234" s="4" t="s">
        <v>914</v>
      </c>
      <c r="K234" s="4" t="s">
        <v>952</v>
      </c>
      <c r="L234" s="4" t="s">
        <v>1436</v>
      </c>
      <c r="M234" s="4" t="s">
        <v>906</v>
      </c>
      <c r="N234" s="7" t="s">
        <v>907</v>
      </c>
      <c r="O234" s="7" t="s">
        <v>908</v>
      </c>
      <c r="P234" s="7"/>
    </row>
    <row r="235" spans="1:16" ht="54" customHeight="1">
      <c r="A235" s="8" t="s">
        <v>249</v>
      </c>
      <c r="B235" s="8" t="s">
        <v>250</v>
      </c>
      <c r="C235" s="8" t="s">
        <v>1455</v>
      </c>
      <c r="D235" s="8" t="s">
        <v>949</v>
      </c>
      <c r="E235" s="8" t="s">
        <v>1456</v>
      </c>
      <c r="F235" s="8" t="s">
        <v>1457</v>
      </c>
      <c r="G235" s="8" t="s">
        <v>41</v>
      </c>
      <c r="H235" s="7" t="s">
        <v>42</v>
      </c>
      <c r="I235" s="7"/>
      <c r="J235" s="8" t="s">
        <v>914</v>
      </c>
      <c r="K235" s="8" t="s">
        <v>1458</v>
      </c>
      <c r="L235" s="8" t="s">
        <v>1436</v>
      </c>
      <c r="M235" s="8" t="s">
        <v>906</v>
      </c>
      <c r="N235" s="7" t="s">
        <v>907</v>
      </c>
      <c r="O235" s="7" t="s">
        <v>908</v>
      </c>
      <c r="P235" s="7"/>
    </row>
    <row r="236" spans="1:16" ht="40" customHeight="1">
      <c r="A236" s="4" t="s">
        <v>249</v>
      </c>
      <c r="B236" s="4" t="s">
        <v>250</v>
      </c>
      <c r="C236" s="4" t="s">
        <v>1459</v>
      </c>
      <c r="D236" s="4" t="s">
        <v>949</v>
      </c>
      <c r="E236" s="4" t="s">
        <v>1460</v>
      </c>
      <c r="F236" s="4" t="s">
        <v>1461</v>
      </c>
      <c r="G236" s="4" t="s">
        <v>41</v>
      </c>
      <c r="H236" s="7" t="s">
        <v>42</v>
      </c>
      <c r="I236" s="7"/>
      <c r="J236" s="4" t="s">
        <v>914</v>
      </c>
      <c r="K236" s="4" t="s">
        <v>1066</v>
      </c>
      <c r="L236" s="4" t="s">
        <v>1436</v>
      </c>
      <c r="M236" s="4" t="s">
        <v>906</v>
      </c>
      <c r="N236" s="7" t="s">
        <v>907</v>
      </c>
      <c r="O236" s="7" t="s">
        <v>908</v>
      </c>
      <c r="P236" s="7"/>
    </row>
    <row r="237" spans="1:16" ht="54" customHeight="1">
      <c r="A237" s="8" t="s">
        <v>249</v>
      </c>
      <c r="B237" s="8" t="s">
        <v>250</v>
      </c>
      <c r="C237" s="8" t="s">
        <v>1462</v>
      </c>
      <c r="D237" s="8" t="s">
        <v>949</v>
      </c>
      <c r="E237" s="8" t="s">
        <v>1463</v>
      </c>
      <c r="F237" s="8" t="s">
        <v>1464</v>
      </c>
      <c r="G237" s="8" t="s">
        <v>41</v>
      </c>
      <c r="H237" s="7" t="s">
        <v>42</v>
      </c>
      <c r="I237" s="7"/>
      <c r="J237" s="8" t="s">
        <v>914</v>
      </c>
      <c r="K237" s="8" t="s">
        <v>1465</v>
      </c>
      <c r="L237" s="8" t="s">
        <v>1436</v>
      </c>
      <c r="M237" s="8" t="s">
        <v>906</v>
      </c>
      <c r="N237" s="7" t="s">
        <v>907</v>
      </c>
      <c r="O237" s="7" t="s">
        <v>908</v>
      </c>
      <c r="P237" s="7"/>
    </row>
    <row r="238" spans="1:16" ht="40" customHeight="1">
      <c r="A238" s="4" t="s">
        <v>249</v>
      </c>
      <c r="B238" s="4" t="s">
        <v>250</v>
      </c>
      <c r="C238" s="4" t="s">
        <v>1466</v>
      </c>
      <c r="D238" s="4" t="s">
        <v>949</v>
      </c>
      <c r="E238" s="4" t="s">
        <v>1467</v>
      </c>
      <c r="F238" s="4" t="s">
        <v>1468</v>
      </c>
      <c r="G238" s="4" t="s">
        <v>41</v>
      </c>
      <c r="H238" s="7" t="s">
        <v>42</v>
      </c>
      <c r="I238" s="7"/>
      <c r="J238" s="4" t="s">
        <v>914</v>
      </c>
      <c r="K238" s="4" t="s">
        <v>1469</v>
      </c>
      <c r="L238" s="4" t="s">
        <v>1436</v>
      </c>
      <c r="M238" s="4" t="s">
        <v>906</v>
      </c>
      <c r="N238" s="7" t="s">
        <v>907</v>
      </c>
      <c r="O238" s="7" t="s">
        <v>908</v>
      </c>
      <c r="P238" s="7"/>
    </row>
    <row r="239" spans="1:16" ht="54" customHeight="1">
      <c r="A239" s="8" t="s">
        <v>249</v>
      </c>
      <c r="B239" s="8" t="s">
        <v>250</v>
      </c>
      <c r="C239" s="8" t="s">
        <v>1470</v>
      </c>
      <c r="D239" s="8" t="s">
        <v>949</v>
      </c>
      <c r="E239" s="8" t="s">
        <v>1471</v>
      </c>
      <c r="F239" s="8" t="s">
        <v>1472</v>
      </c>
      <c r="G239" s="8" t="s">
        <v>41</v>
      </c>
      <c r="H239" s="7" t="s">
        <v>42</v>
      </c>
      <c r="I239" s="7"/>
      <c r="J239" s="8" t="s">
        <v>914</v>
      </c>
      <c r="K239" s="8" t="s">
        <v>1473</v>
      </c>
      <c r="L239" s="8" t="s">
        <v>1436</v>
      </c>
      <c r="M239" s="8" t="s">
        <v>906</v>
      </c>
      <c r="N239" s="7" t="s">
        <v>907</v>
      </c>
      <c r="O239" s="7" t="s">
        <v>908</v>
      </c>
      <c r="P239" s="7"/>
    </row>
    <row r="240" spans="1:16" ht="40" customHeight="1">
      <c r="A240" s="4" t="s">
        <v>249</v>
      </c>
      <c r="B240" s="4" t="s">
        <v>250</v>
      </c>
      <c r="C240" s="4" t="s">
        <v>1474</v>
      </c>
      <c r="D240" s="4" t="s">
        <v>949</v>
      </c>
      <c r="E240" s="4" t="s">
        <v>1475</v>
      </c>
      <c r="F240" s="4" t="s">
        <v>1476</v>
      </c>
      <c r="G240" s="4" t="s">
        <v>41</v>
      </c>
      <c r="H240" s="7" t="s">
        <v>42</v>
      </c>
      <c r="I240" s="7"/>
      <c r="J240" s="4" t="s">
        <v>914</v>
      </c>
      <c r="K240" s="4" t="s">
        <v>1477</v>
      </c>
      <c r="L240" s="4" t="s">
        <v>1436</v>
      </c>
      <c r="M240" s="4" t="s">
        <v>906</v>
      </c>
      <c r="N240" s="7" t="s">
        <v>907</v>
      </c>
      <c r="O240" s="7" t="s">
        <v>908</v>
      </c>
      <c r="P240" s="7"/>
    </row>
    <row r="241" spans="1:16" ht="54" customHeight="1">
      <c r="A241" s="8" t="s">
        <v>249</v>
      </c>
      <c r="B241" s="8" t="s">
        <v>250</v>
      </c>
      <c r="C241" s="8" t="s">
        <v>1478</v>
      </c>
      <c r="D241" s="8" t="s">
        <v>949</v>
      </c>
      <c r="E241" s="8" t="s">
        <v>1479</v>
      </c>
      <c r="F241" s="8" t="s">
        <v>1480</v>
      </c>
      <c r="G241" s="8" t="s">
        <v>41</v>
      </c>
      <c r="H241" s="7" t="s">
        <v>42</v>
      </c>
      <c r="I241" s="7"/>
      <c r="J241" s="8" t="s">
        <v>914</v>
      </c>
      <c r="K241" s="8" t="s">
        <v>1481</v>
      </c>
      <c r="L241" s="8" t="s">
        <v>1436</v>
      </c>
      <c r="M241" s="8" t="s">
        <v>906</v>
      </c>
      <c r="N241" s="7" t="s">
        <v>907</v>
      </c>
      <c r="O241" s="7" t="s">
        <v>908</v>
      </c>
      <c r="P241" s="7"/>
    </row>
    <row r="242" spans="1:16" ht="40" customHeight="1">
      <c r="A242" s="4" t="s">
        <v>249</v>
      </c>
      <c r="B242" s="4" t="s">
        <v>250</v>
      </c>
      <c r="C242" s="4" t="s">
        <v>1482</v>
      </c>
      <c r="D242" s="4" t="s">
        <v>949</v>
      </c>
      <c r="E242" s="4" t="s">
        <v>1483</v>
      </c>
      <c r="F242" s="4" t="s">
        <v>1484</v>
      </c>
      <c r="G242" s="4" t="s">
        <v>41</v>
      </c>
      <c r="H242" s="7" t="s">
        <v>42</v>
      </c>
      <c r="I242" s="7"/>
      <c r="J242" s="4" t="s">
        <v>914</v>
      </c>
      <c r="K242" s="4" t="s">
        <v>1485</v>
      </c>
      <c r="L242" s="4" t="s">
        <v>1436</v>
      </c>
      <c r="M242" s="4" t="s">
        <v>906</v>
      </c>
      <c r="N242" s="7" t="s">
        <v>907</v>
      </c>
      <c r="O242" s="7" t="s">
        <v>908</v>
      </c>
      <c r="P242" s="7"/>
    </row>
    <row r="243" spans="1:16" ht="54" customHeight="1">
      <c r="A243" s="8" t="s">
        <v>249</v>
      </c>
      <c r="B243" s="8" t="s">
        <v>250</v>
      </c>
      <c r="C243" s="8" t="s">
        <v>1486</v>
      </c>
      <c r="D243" s="8" t="s">
        <v>949</v>
      </c>
      <c r="E243" s="8" t="s">
        <v>1487</v>
      </c>
      <c r="F243" s="8" t="s">
        <v>1488</v>
      </c>
      <c r="G243" s="8" t="s">
        <v>41</v>
      </c>
      <c r="H243" s="7" t="s">
        <v>42</v>
      </c>
      <c r="I243" s="7"/>
      <c r="J243" s="8" t="s">
        <v>914</v>
      </c>
      <c r="K243" s="8" t="s">
        <v>1489</v>
      </c>
      <c r="L243" s="8" t="s">
        <v>1436</v>
      </c>
      <c r="M243" s="8" t="s">
        <v>906</v>
      </c>
      <c r="N243" s="7" t="s">
        <v>907</v>
      </c>
      <c r="O243" s="7" t="s">
        <v>908</v>
      </c>
      <c r="P243" s="7"/>
    </row>
    <row r="244" spans="1:16" ht="40" customHeight="1">
      <c r="A244" s="4" t="s">
        <v>260</v>
      </c>
      <c r="B244" s="4" t="s">
        <v>261</v>
      </c>
      <c r="C244" s="4" t="s">
        <v>1490</v>
      </c>
      <c r="D244" s="4" t="s">
        <v>901</v>
      </c>
      <c r="E244" s="4" t="s">
        <v>1491</v>
      </c>
      <c r="F244" s="4" t="s">
        <v>1492</v>
      </c>
      <c r="G244" s="4" t="s">
        <v>41</v>
      </c>
      <c r="H244" s="7" t="s">
        <v>42</v>
      </c>
      <c r="I244" s="7"/>
      <c r="J244" s="4" t="s">
        <v>637</v>
      </c>
      <c r="K244" s="4" t="s">
        <v>920</v>
      </c>
      <c r="L244" s="4" t="s">
        <v>1493</v>
      </c>
      <c r="M244" s="4" t="s">
        <v>906</v>
      </c>
      <c r="N244" s="7" t="s">
        <v>907</v>
      </c>
      <c r="O244" s="7" t="s">
        <v>908</v>
      </c>
      <c r="P244" s="7"/>
    </row>
    <row r="245" spans="1:16" ht="40" customHeight="1">
      <c r="A245" s="8" t="s">
        <v>260</v>
      </c>
      <c r="B245" s="8" t="s">
        <v>261</v>
      </c>
      <c r="C245" s="8" t="s">
        <v>1494</v>
      </c>
      <c r="D245" s="8" t="s">
        <v>901</v>
      </c>
      <c r="E245" s="8" t="s">
        <v>1495</v>
      </c>
      <c r="F245" s="8" t="s">
        <v>1496</v>
      </c>
      <c r="G245" s="8" t="s">
        <v>41</v>
      </c>
      <c r="H245" s="7" t="s">
        <v>42</v>
      </c>
      <c r="I245" s="7"/>
      <c r="J245" s="8" t="s">
        <v>637</v>
      </c>
      <c r="K245" s="8" t="s">
        <v>1087</v>
      </c>
      <c r="L245" s="8" t="s">
        <v>1493</v>
      </c>
      <c r="M245" s="8" t="s">
        <v>906</v>
      </c>
      <c r="N245" s="7" t="s">
        <v>907</v>
      </c>
      <c r="O245" s="7" t="s">
        <v>908</v>
      </c>
      <c r="P245" s="7"/>
    </row>
    <row r="246" spans="1:16" ht="40" customHeight="1">
      <c r="A246" s="4" t="s">
        <v>260</v>
      </c>
      <c r="B246" s="4" t="s">
        <v>261</v>
      </c>
      <c r="C246" s="4" t="s">
        <v>1497</v>
      </c>
      <c r="D246" s="4" t="s">
        <v>901</v>
      </c>
      <c r="E246" s="4" t="s">
        <v>1498</v>
      </c>
      <c r="F246" s="4" t="s">
        <v>1499</v>
      </c>
      <c r="G246" s="4" t="s">
        <v>41</v>
      </c>
      <c r="H246" s="7" t="s">
        <v>42</v>
      </c>
      <c r="I246" s="7"/>
      <c r="J246" s="4" t="s">
        <v>637</v>
      </c>
      <c r="K246" s="4" t="s">
        <v>1091</v>
      </c>
      <c r="L246" s="4" t="s">
        <v>1493</v>
      </c>
      <c r="M246" s="4" t="s">
        <v>906</v>
      </c>
      <c r="N246" s="7" t="s">
        <v>907</v>
      </c>
      <c r="O246" s="7" t="s">
        <v>908</v>
      </c>
      <c r="P246" s="7"/>
    </row>
    <row r="247" spans="1:16" ht="40" customHeight="1">
      <c r="A247" s="8" t="s">
        <v>260</v>
      </c>
      <c r="B247" s="8" t="s">
        <v>261</v>
      </c>
      <c r="C247" s="8" t="s">
        <v>1500</v>
      </c>
      <c r="D247" s="8" t="s">
        <v>901</v>
      </c>
      <c r="E247" s="8" t="s">
        <v>1501</v>
      </c>
      <c r="F247" s="8" t="s">
        <v>1502</v>
      </c>
      <c r="G247" s="8" t="s">
        <v>41</v>
      </c>
      <c r="H247" s="7" t="s">
        <v>42</v>
      </c>
      <c r="I247" s="7"/>
      <c r="J247" s="8" t="s">
        <v>637</v>
      </c>
      <c r="K247" s="8" t="s">
        <v>1095</v>
      </c>
      <c r="L247" s="8" t="s">
        <v>1493</v>
      </c>
      <c r="M247" s="8" t="s">
        <v>906</v>
      </c>
      <c r="N247" s="7" t="s">
        <v>907</v>
      </c>
      <c r="O247" s="7" t="s">
        <v>908</v>
      </c>
      <c r="P247" s="7"/>
    </row>
    <row r="248" spans="1:16" ht="40" customHeight="1">
      <c r="A248" s="4" t="s">
        <v>260</v>
      </c>
      <c r="B248" s="4" t="s">
        <v>261</v>
      </c>
      <c r="C248" s="4" t="s">
        <v>1503</v>
      </c>
      <c r="D248" s="4" t="s">
        <v>901</v>
      </c>
      <c r="E248" s="4" t="s">
        <v>1504</v>
      </c>
      <c r="F248" s="4" t="s">
        <v>1505</v>
      </c>
      <c r="G248" s="4" t="s">
        <v>41</v>
      </c>
      <c r="H248" s="7" t="s">
        <v>42</v>
      </c>
      <c r="I248" s="7"/>
      <c r="J248" s="4" t="s">
        <v>637</v>
      </c>
      <c r="K248" s="4" t="s">
        <v>1099</v>
      </c>
      <c r="L248" s="4" t="s">
        <v>1493</v>
      </c>
      <c r="M248" s="4" t="s">
        <v>906</v>
      </c>
      <c r="N248" s="7" t="s">
        <v>907</v>
      </c>
      <c r="O248" s="7" t="s">
        <v>908</v>
      </c>
      <c r="P248" s="7"/>
    </row>
    <row r="249" spans="1:16" ht="54" customHeight="1">
      <c r="A249" s="8" t="s">
        <v>260</v>
      </c>
      <c r="B249" s="8" t="s">
        <v>261</v>
      </c>
      <c r="C249" s="8" t="s">
        <v>1506</v>
      </c>
      <c r="D249" s="8" t="s">
        <v>901</v>
      </c>
      <c r="E249" s="8" t="s">
        <v>1507</v>
      </c>
      <c r="F249" s="8" t="s">
        <v>1508</v>
      </c>
      <c r="G249" s="8" t="s">
        <v>41</v>
      </c>
      <c r="H249" s="7" t="s">
        <v>42</v>
      </c>
      <c r="I249" s="7"/>
      <c r="J249" s="8" t="s">
        <v>637</v>
      </c>
      <c r="K249" s="8" t="s">
        <v>1103</v>
      </c>
      <c r="L249" s="8" t="s">
        <v>1493</v>
      </c>
      <c r="M249" s="8" t="s">
        <v>906</v>
      </c>
      <c r="N249" s="7" t="s">
        <v>907</v>
      </c>
      <c r="O249" s="7" t="s">
        <v>908</v>
      </c>
      <c r="P249" s="7"/>
    </row>
    <row r="250" spans="1:16" ht="40" customHeight="1">
      <c r="A250" s="4" t="s">
        <v>260</v>
      </c>
      <c r="B250" s="4" t="s">
        <v>261</v>
      </c>
      <c r="C250" s="4" t="s">
        <v>1509</v>
      </c>
      <c r="D250" s="4" t="s">
        <v>901</v>
      </c>
      <c r="E250" s="4" t="s">
        <v>1510</v>
      </c>
      <c r="F250" s="4" t="s">
        <v>1511</v>
      </c>
      <c r="G250" s="4" t="s">
        <v>41</v>
      </c>
      <c r="H250" s="7" t="s">
        <v>42</v>
      </c>
      <c r="I250" s="7"/>
      <c r="J250" s="4" t="s">
        <v>637</v>
      </c>
      <c r="K250" s="4" t="s">
        <v>1107</v>
      </c>
      <c r="L250" s="4" t="s">
        <v>1493</v>
      </c>
      <c r="M250" s="4" t="s">
        <v>906</v>
      </c>
      <c r="N250" s="7" t="s">
        <v>907</v>
      </c>
      <c r="O250" s="7" t="s">
        <v>908</v>
      </c>
      <c r="P250" s="7"/>
    </row>
    <row r="251" spans="1:16" ht="40" customHeight="1">
      <c r="A251" s="8" t="s">
        <v>260</v>
      </c>
      <c r="B251" s="8" t="s">
        <v>261</v>
      </c>
      <c r="C251" s="8" t="s">
        <v>1512</v>
      </c>
      <c r="D251" s="8" t="s">
        <v>901</v>
      </c>
      <c r="E251" s="8" t="s">
        <v>1513</v>
      </c>
      <c r="F251" s="8" t="s">
        <v>1514</v>
      </c>
      <c r="G251" s="8" t="s">
        <v>41</v>
      </c>
      <c r="H251" s="7" t="s">
        <v>42</v>
      </c>
      <c r="I251" s="7"/>
      <c r="J251" s="8" t="s">
        <v>637</v>
      </c>
      <c r="K251" s="8" t="s">
        <v>1111</v>
      </c>
      <c r="L251" s="8" t="s">
        <v>1493</v>
      </c>
      <c r="M251" s="8" t="s">
        <v>906</v>
      </c>
      <c r="N251" s="7" t="s">
        <v>907</v>
      </c>
      <c r="O251" s="7" t="s">
        <v>908</v>
      </c>
      <c r="P251" s="7"/>
    </row>
    <row r="252" spans="1:16" ht="40" customHeight="1">
      <c r="A252" s="4" t="s">
        <v>260</v>
      </c>
      <c r="B252" s="4" t="s">
        <v>261</v>
      </c>
      <c r="C252" s="4" t="s">
        <v>1515</v>
      </c>
      <c r="D252" s="4" t="s">
        <v>949</v>
      </c>
      <c r="E252" s="4" t="s">
        <v>1516</v>
      </c>
      <c r="F252" s="4" t="s">
        <v>1517</v>
      </c>
      <c r="G252" s="4" t="s">
        <v>41</v>
      </c>
      <c r="H252" s="7" t="s">
        <v>42</v>
      </c>
      <c r="I252" s="7"/>
      <c r="J252" s="4" t="s">
        <v>914</v>
      </c>
      <c r="K252" s="4" t="s">
        <v>1023</v>
      </c>
      <c r="L252" s="4" t="s">
        <v>1493</v>
      </c>
      <c r="M252" s="4" t="s">
        <v>906</v>
      </c>
      <c r="N252" s="7" t="s">
        <v>907</v>
      </c>
      <c r="O252" s="7" t="s">
        <v>908</v>
      </c>
      <c r="P252" s="7"/>
    </row>
    <row r="253" spans="1:16" ht="40" customHeight="1">
      <c r="A253" s="8" t="s">
        <v>260</v>
      </c>
      <c r="B253" s="8" t="s">
        <v>261</v>
      </c>
      <c r="C253" s="8" t="s">
        <v>1518</v>
      </c>
      <c r="D253" s="8" t="s">
        <v>949</v>
      </c>
      <c r="E253" s="8" t="s">
        <v>1519</v>
      </c>
      <c r="F253" s="8" t="s">
        <v>1520</v>
      </c>
      <c r="G253" s="8" t="s">
        <v>41</v>
      </c>
      <c r="H253" s="7" t="s">
        <v>42</v>
      </c>
      <c r="I253" s="7"/>
      <c r="J253" s="8" t="s">
        <v>914</v>
      </c>
      <c r="K253" s="8" t="s">
        <v>1458</v>
      </c>
      <c r="L253" s="8" t="s">
        <v>1493</v>
      </c>
      <c r="M253" s="8" t="s">
        <v>906</v>
      </c>
      <c r="N253" s="7" t="s">
        <v>907</v>
      </c>
      <c r="O253" s="7" t="s">
        <v>908</v>
      </c>
      <c r="P253" s="7"/>
    </row>
    <row r="254" spans="1:16" ht="40" customHeight="1">
      <c r="A254" s="4" t="s">
        <v>260</v>
      </c>
      <c r="B254" s="4" t="s">
        <v>261</v>
      </c>
      <c r="C254" s="4" t="s">
        <v>1521</v>
      </c>
      <c r="D254" s="4" t="s">
        <v>949</v>
      </c>
      <c r="E254" s="4" t="s">
        <v>1522</v>
      </c>
      <c r="F254" s="4" t="s">
        <v>1523</v>
      </c>
      <c r="G254" s="4" t="s">
        <v>41</v>
      </c>
      <c r="H254" s="7" t="s">
        <v>42</v>
      </c>
      <c r="I254" s="7"/>
      <c r="J254" s="4" t="s">
        <v>914</v>
      </c>
      <c r="K254" s="4" t="s">
        <v>1524</v>
      </c>
      <c r="L254" s="4" t="s">
        <v>1493</v>
      </c>
      <c r="M254" s="4" t="s">
        <v>906</v>
      </c>
      <c r="N254" s="7" t="s">
        <v>907</v>
      </c>
      <c r="O254" s="7" t="s">
        <v>908</v>
      </c>
      <c r="P254" s="7"/>
    </row>
    <row r="255" spans="1:16" ht="82" customHeight="1">
      <c r="A255" s="8" t="s">
        <v>270</v>
      </c>
      <c r="B255" s="8" t="s">
        <v>271</v>
      </c>
      <c r="C255" s="8" t="s">
        <v>1525</v>
      </c>
      <c r="D255" s="8" t="s">
        <v>901</v>
      </c>
      <c r="E255" s="8" t="s">
        <v>1526</v>
      </c>
      <c r="F255" s="8" t="s">
        <v>1527</v>
      </c>
      <c r="G255" s="8" t="s">
        <v>41</v>
      </c>
      <c r="H255" s="7" t="s">
        <v>42</v>
      </c>
      <c r="I255" s="7"/>
      <c r="J255" s="8" t="s">
        <v>637</v>
      </c>
      <c r="K255" s="8" t="s">
        <v>904</v>
      </c>
      <c r="L255" s="8" t="s">
        <v>1528</v>
      </c>
      <c r="M255" s="8" t="s">
        <v>906</v>
      </c>
      <c r="N255" s="7" t="s">
        <v>907</v>
      </c>
      <c r="O255" s="7" t="s">
        <v>908</v>
      </c>
      <c r="P255" s="7"/>
    </row>
    <row r="256" spans="1:16" ht="82" customHeight="1">
      <c r="A256" s="4" t="s">
        <v>270</v>
      </c>
      <c r="B256" s="4" t="s">
        <v>271</v>
      </c>
      <c r="C256" s="4" t="s">
        <v>1529</v>
      </c>
      <c r="D256" s="4" t="s">
        <v>901</v>
      </c>
      <c r="E256" s="4" t="s">
        <v>1530</v>
      </c>
      <c r="F256" s="4" t="s">
        <v>1531</v>
      </c>
      <c r="G256" s="4" t="s">
        <v>41</v>
      </c>
      <c r="H256" s="7" t="s">
        <v>42</v>
      </c>
      <c r="I256" s="7"/>
      <c r="J256" s="4" t="s">
        <v>637</v>
      </c>
      <c r="K256" s="4" t="s">
        <v>912</v>
      </c>
      <c r="L256" s="4" t="s">
        <v>1528</v>
      </c>
      <c r="M256" s="4" t="s">
        <v>906</v>
      </c>
      <c r="N256" s="7" t="s">
        <v>907</v>
      </c>
      <c r="O256" s="7" t="s">
        <v>908</v>
      </c>
      <c r="P256" s="7"/>
    </row>
    <row r="257" spans="1:16" ht="82" customHeight="1">
      <c r="A257" s="8" t="s">
        <v>270</v>
      </c>
      <c r="B257" s="8" t="s">
        <v>271</v>
      </c>
      <c r="C257" s="8" t="s">
        <v>1532</v>
      </c>
      <c r="D257" s="8" t="s">
        <v>901</v>
      </c>
      <c r="E257" s="8" t="s">
        <v>1533</v>
      </c>
      <c r="F257" s="8" t="s">
        <v>1534</v>
      </c>
      <c r="G257" s="8" t="s">
        <v>41</v>
      </c>
      <c r="H257" s="7" t="s">
        <v>42</v>
      </c>
      <c r="I257" s="7"/>
      <c r="J257" s="8" t="s">
        <v>637</v>
      </c>
      <c r="K257" s="8" t="s">
        <v>1015</v>
      </c>
      <c r="L257" s="8" t="s">
        <v>1528</v>
      </c>
      <c r="M257" s="8" t="s">
        <v>906</v>
      </c>
      <c r="N257" s="7" t="s">
        <v>907</v>
      </c>
      <c r="O257" s="7" t="s">
        <v>908</v>
      </c>
      <c r="P257" s="7"/>
    </row>
    <row r="258" spans="1:16" ht="82" customHeight="1">
      <c r="A258" s="4" t="s">
        <v>270</v>
      </c>
      <c r="B258" s="4" t="s">
        <v>271</v>
      </c>
      <c r="C258" s="4" t="s">
        <v>1535</v>
      </c>
      <c r="D258" s="4" t="s">
        <v>901</v>
      </c>
      <c r="E258" s="4" t="s">
        <v>1536</v>
      </c>
      <c r="F258" s="4" t="s">
        <v>1537</v>
      </c>
      <c r="G258" s="4" t="s">
        <v>41</v>
      </c>
      <c r="H258" s="7" t="s">
        <v>42</v>
      </c>
      <c r="I258" s="7"/>
      <c r="J258" s="4" t="s">
        <v>637</v>
      </c>
      <c r="K258" s="4" t="s">
        <v>1019</v>
      </c>
      <c r="L258" s="4" t="s">
        <v>1528</v>
      </c>
      <c r="M258" s="4" t="s">
        <v>906</v>
      </c>
      <c r="N258" s="7" t="s">
        <v>907</v>
      </c>
      <c r="O258" s="7" t="s">
        <v>908</v>
      </c>
      <c r="P258" s="7"/>
    </row>
    <row r="259" spans="1:16" ht="82" customHeight="1">
      <c r="A259" s="8" t="s">
        <v>270</v>
      </c>
      <c r="B259" s="8" t="s">
        <v>271</v>
      </c>
      <c r="C259" s="8" t="s">
        <v>1538</v>
      </c>
      <c r="D259" s="8" t="s">
        <v>1325</v>
      </c>
      <c r="E259" s="8" t="s">
        <v>1539</v>
      </c>
      <c r="F259" s="8" t="s">
        <v>1540</v>
      </c>
      <c r="G259" s="8" t="s">
        <v>41</v>
      </c>
      <c r="H259" s="7" t="s">
        <v>42</v>
      </c>
      <c r="I259" s="7"/>
      <c r="J259" s="8" t="s">
        <v>637</v>
      </c>
      <c r="K259" s="8" t="s">
        <v>1055</v>
      </c>
      <c r="L259" s="8" t="s">
        <v>1528</v>
      </c>
      <c r="M259" s="8" t="s">
        <v>906</v>
      </c>
      <c r="N259" s="7" t="s">
        <v>907</v>
      </c>
      <c r="O259" s="7" t="s">
        <v>908</v>
      </c>
      <c r="P259" s="7"/>
    </row>
    <row r="260" spans="1:16" ht="82" customHeight="1">
      <c r="A260" s="4" t="s">
        <v>270</v>
      </c>
      <c r="B260" s="4" t="s">
        <v>271</v>
      </c>
      <c r="C260" s="4" t="s">
        <v>1541</v>
      </c>
      <c r="D260" s="4" t="s">
        <v>901</v>
      </c>
      <c r="E260" s="4" t="s">
        <v>1542</v>
      </c>
      <c r="F260" s="4" t="s">
        <v>1543</v>
      </c>
      <c r="G260" s="4" t="s">
        <v>41</v>
      </c>
      <c r="H260" s="7" t="s">
        <v>42</v>
      </c>
      <c r="I260" s="7"/>
      <c r="J260" s="4" t="s">
        <v>637</v>
      </c>
      <c r="K260" s="4" t="s">
        <v>1095</v>
      </c>
      <c r="L260" s="4" t="s">
        <v>1528</v>
      </c>
      <c r="M260" s="4" t="s">
        <v>906</v>
      </c>
      <c r="N260" s="7" t="s">
        <v>907</v>
      </c>
      <c r="O260" s="7" t="s">
        <v>908</v>
      </c>
      <c r="P260" s="7"/>
    </row>
    <row r="261" spans="1:16" ht="82" customHeight="1">
      <c r="A261" s="8" t="s">
        <v>270</v>
      </c>
      <c r="B261" s="8" t="s">
        <v>271</v>
      </c>
      <c r="C261" s="8" t="s">
        <v>1544</v>
      </c>
      <c r="D261" s="8" t="s">
        <v>914</v>
      </c>
      <c r="E261" s="8" t="s">
        <v>915</v>
      </c>
      <c r="F261" s="8" t="s">
        <v>277</v>
      </c>
      <c r="G261" s="8" t="s">
        <v>916</v>
      </c>
      <c r="H261" s="7" t="s">
        <v>42</v>
      </c>
      <c r="I261" s="7"/>
      <c r="J261" s="8" t="s">
        <v>914</v>
      </c>
      <c r="K261" s="8" t="s">
        <v>41</v>
      </c>
      <c r="L261" s="8" t="s">
        <v>1528</v>
      </c>
      <c r="M261" s="8" t="s">
        <v>51</v>
      </c>
      <c r="N261" s="7" t="s">
        <v>907</v>
      </c>
      <c r="O261" s="7"/>
      <c r="P261" s="7"/>
    </row>
    <row r="262" spans="1:16" ht="54" customHeight="1">
      <c r="A262" s="4" t="s">
        <v>280</v>
      </c>
      <c r="B262" s="4" t="s">
        <v>281</v>
      </c>
      <c r="C262" s="4" t="s">
        <v>1545</v>
      </c>
      <c r="D262" s="4" t="s">
        <v>901</v>
      </c>
      <c r="E262" s="4" t="s">
        <v>1546</v>
      </c>
      <c r="F262" s="4" t="s">
        <v>1547</v>
      </c>
      <c r="G262" s="4" t="s">
        <v>41</v>
      </c>
      <c r="H262" s="7" t="s">
        <v>42</v>
      </c>
      <c r="I262" s="7"/>
      <c r="J262" s="4" t="s">
        <v>637</v>
      </c>
      <c r="K262" s="4" t="s">
        <v>904</v>
      </c>
      <c r="L262" s="4" t="s">
        <v>1548</v>
      </c>
      <c r="M262" s="4" t="s">
        <v>906</v>
      </c>
      <c r="N262" s="7" t="s">
        <v>907</v>
      </c>
      <c r="O262" s="7" t="s">
        <v>908</v>
      </c>
      <c r="P262" s="7"/>
    </row>
    <row r="263" spans="1:16" ht="40" customHeight="1">
      <c r="A263" s="8" t="s">
        <v>280</v>
      </c>
      <c r="B263" s="8" t="s">
        <v>281</v>
      </c>
      <c r="C263" s="8" t="s">
        <v>1549</v>
      </c>
      <c r="D263" s="8" t="s">
        <v>901</v>
      </c>
      <c r="E263" s="8" t="s">
        <v>1550</v>
      </c>
      <c r="F263" s="8" t="s">
        <v>1551</v>
      </c>
      <c r="G263" s="8" t="s">
        <v>41</v>
      </c>
      <c r="H263" s="7" t="s">
        <v>42</v>
      </c>
      <c r="I263" s="7"/>
      <c r="J263" s="8" t="s">
        <v>637</v>
      </c>
      <c r="K263" s="8" t="s">
        <v>912</v>
      </c>
      <c r="L263" s="8" t="s">
        <v>1548</v>
      </c>
      <c r="M263" s="8" t="s">
        <v>906</v>
      </c>
      <c r="N263" s="7" t="s">
        <v>907</v>
      </c>
      <c r="O263" s="7" t="s">
        <v>908</v>
      </c>
      <c r="P263" s="7"/>
    </row>
    <row r="264" spans="1:16" ht="40" customHeight="1">
      <c r="A264" s="4" t="s">
        <v>280</v>
      </c>
      <c r="B264" s="4" t="s">
        <v>281</v>
      </c>
      <c r="C264" s="4" t="s">
        <v>1552</v>
      </c>
      <c r="D264" s="4" t="s">
        <v>914</v>
      </c>
      <c r="E264" s="4" t="s">
        <v>915</v>
      </c>
      <c r="F264" s="4" t="s">
        <v>288</v>
      </c>
      <c r="G264" s="4" t="s">
        <v>916</v>
      </c>
      <c r="H264" s="7" t="s">
        <v>42</v>
      </c>
      <c r="I264" s="7"/>
      <c r="J264" s="4" t="s">
        <v>914</v>
      </c>
      <c r="K264" s="4" t="s">
        <v>41</v>
      </c>
      <c r="L264" s="4" t="s">
        <v>1548</v>
      </c>
      <c r="M264" s="4" t="s">
        <v>51</v>
      </c>
      <c r="N264" s="7" t="s">
        <v>907</v>
      </c>
      <c r="O264" s="7"/>
      <c r="P264" s="7"/>
    </row>
    <row r="265" spans="1:16" ht="40" customHeight="1">
      <c r="A265" s="8" t="s">
        <v>291</v>
      </c>
      <c r="B265" s="8" t="s">
        <v>292</v>
      </c>
      <c r="C265" s="8" t="s">
        <v>1553</v>
      </c>
      <c r="D265" s="8" t="s">
        <v>901</v>
      </c>
      <c r="E265" s="8" t="s">
        <v>1554</v>
      </c>
      <c r="F265" s="8" t="s">
        <v>1555</v>
      </c>
      <c r="G265" s="8" t="s">
        <v>41</v>
      </c>
      <c r="H265" s="7" t="s">
        <v>42</v>
      </c>
      <c r="I265" s="7"/>
      <c r="J265" s="8" t="s">
        <v>637</v>
      </c>
      <c r="K265" s="8" t="s">
        <v>904</v>
      </c>
      <c r="L265" s="8" t="s">
        <v>1556</v>
      </c>
      <c r="M265" s="8" t="s">
        <v>906</v>
      </c>
      <c r="N265" s="7" t="s">
        <v>907</v>
      </c>
      <c r="O265" s="7" t="s">
        <v>908</v>
      </c>
      <c r="P265" s="7"/>
    </row>
    <row r="266" spans="1:16" ht="40" customHeight="1">
      <c r="A266" s="4" t="s">
        <v>291</v>
      </c>
      <c r="B266" s="4" t="s">
        <v>292</v>
      </c>
      <c r="C266" s="4" t="s">
        <v>1557</v>
      </c>
      <c r="D266" s="4" t="s">
        <v>901</v>
      </c>
      <c r="E266" s="4" t="s">
        <v>1558</v>
      </c>
      <c r="F266" s="4" t="s">
        <v>1559</v>
      </c>
      <c r="G266" s="4" t="s">
        <v>41</v>
      </c>
      <c r="H266" s="7" t="s">
        <v>42</v>
      </c>
      <c r="I266" s="7"/>
      <c r="J266" s="4" t="s">
        <v>637</v>
      </c>
      <c r="K266" s="4" t="s">
        <v>912</v>
      </c>
      <c r="L266" s="4" t="s">
        <v>1556</v>
      </c>
      <c r="M266" s="4" t="s">
        <v>906</v>
      </c>
      <c r="N266" s="7" t="s">
        <v>907</v>
      </c>
      <c r="O266" s="7" t="s">
        <v>908</v>
      </c>
      <c r="P266" s="7"/>
    </row>
    <row r="267" spans="1:16" ht="40" customHeight="1">
      <c r="A267" s="8" t="s">
        <v>291</v>
      </c>
      <c r="B267" s="8" t="s">
        <v>292</v>
      </c>
      <c r="C267" s="8" t="s">
        <v>1560</v>
      </c>
      <c r="D267" s="8" t="s">
        <v>901</v>
      </c>
      <c r="E267" s="8" t="s">
        <v>1561</v>
      </c>
      <c r="F267" s="8" t="s">
        <v>1562</v>
      </c>
      <c r="G267" s="8" t="s">
        <v>41</v>
      </c>
      <c r="H267" s="7" t="s">
        <v>42</v>
      </c>
      <c r="I267" s="7"/>
      <c r="J267" s="8" t="s">
        <v>637</v>
      </c>
      <c r="K267" s="8" t="s">
        <v>1015</v>
      </c>
      <c r="L267" s="8" t="s">
        <v>1556</v>
      </c>
      <c r="M267" s="8" t="s">
        <v>906</v>
      </c>
      <c r="N267" s="7" t="s">
        <v>907</v>
      </c>
      <c r="O267" s="7" t="s">
        <v>908</v>
      </c>
      <c r="P267" s="7"/>
    </row>
    <row r="268" spans="1:16" ht="40" customHeight="1">
      <c r="A268" s="4" t="s">
        <v>291</v>
      </c>
      <c r="B268" s="4" t="s">
        <v>292</v>
      </c>
      <c r="C268" s="4" t="s">
        <v>1563</v>
      </c>
      <c r="D268" s="4" t="s">
        <v>901</v>
      </c>
      <c r="E268" s="4" t="s">
        <v>1564</v>
      </c>
      <c r="F268" s="4" t="s">
        <v>1565</v>
      </c>
      <c r="G268" s="4" t="s">
        <v>41</v>
      </c>
      <c r="H268" s="7" t="s">
        <v>42</v>
      </c>
      <c r="I268" s="7"/>
      <c r="J268" s="4" t="s">
        <v>637</v>
      </c>
      <c r="K268" s="4" t="s">
        <v>988</v>
      </c>
      <c r="L268" s="4" t="s">
        <v>1556</v>
      </c>
      <c r="M268" s="4" t="s">
        <v>906</v>
      </c>
      <c r="N268" s="7" t="s">
        <v>907</v>
      </c>
      <c r="O268" s="7" t="s">
        <v>908</v>
      </c>
      <c r="P268" s="7"/>
    </row>
    <row r="269" spans="1:16" ht="40" customHeight="1">
      <c r="A269" s="8" t="s">
        <v>291</v>
      </c>
      <c r="B269" s="8" t="s">
        <v>292</v>
      </c>
      <c r="C269" s="8" t="s">
        <v>1566</v>
      </c>
      <c r="D269" s="8" t="s">
        <v>901</v>
      </c>
      <c r="E269" s="8" t="s">
        <v>1567</v>
      </c>
      <c r="F269" s="8" t="s">
        <v>1568</v>
      </c>
      <c r="G269" s="8" t="s">
        <v>41</v>
      </c>
      <c r="H269" s="7" t="s">
        <v>42</v>
      </c>
      <c r="I269" s="7"/>
      <c r="J269" s="8" t="s">
        <v>637</v>
      </c>
      <c r="K269" s="8" t="s">
        <v>1055</v>
      </c>
      <c r="L269" s="8" t="s">
        <v>1556</v>
      </c>
      <c r="M269" s="8" t="s">
        <v>906</v>
      </c>
      <c r="N269" s="7" t="s">
        <v>907</v>
      </c>
      <c r="O269" s="7" t="s">
        <v>908</v>
      </c>
      <c r="P269" s="7"/>
    </row>
    <row r="270" spans="1:16" ht="40" customHeight="1">
      <c r="A270" s="4" t="s">
        <v>291</v>
      </c>
      <c r="B270" s="4" t="s">
        <v>292</v>
      </c>
      <c r="C270" s="4" t="s">
        <v>1569</v>
      </c>
      <c r="D270" s="4" t="s">
        <v>901</v>
      </c>
      <c r="E270" s="4" t="s">
        <v>1570</v>
      </c>
      <c r="F270" s="4" t="s">
        <v>1571</v>
      </c>
      <c r="G270" s="4" t="s">
        <v>41</v>
      </c>
      <c r="H270" s="7" t="s">
        <v>42</v>
      </c>
      <c r="I270" s="7"/>
      <c r="J270" s="4" t="s">
        <v>637</v>
      </c>
      <c r="K270" s="4" t="s">
        <v>1059</v>
      </c>
      <c r="L270" s="4" t="s">
        <v>1556</v>
      </c>
      <c r="M270" s="4" t="s">
        <v>906</v>
      </c>
      <c r="N270" s="7" t="s">
        <v>907</v>
      </c>
      <c r="O270" s="7" t="s">
        <v>908</v>
      </c>
      <c r="P270" s="7"/>
    </row>
    <row r="271" spans="1:16" ht="40" customHeight="1">
      <c r="A271" s="8" t="s">
        <v>291</v>
      </c>
      <c r="B271" s="8" t="s">
        <v>292</v>
      </c>
      <c r="C271" s="8" t="s">
        <v>1572</v>
      </c>
      <c r="D271" s="8" t="s">
        <v>901</v>
      </c>
      <c r="E271" s="8" t="s">
        <v>1573</v>
      </c>
      <c r="F271" s="8" t="s">
        <v>1574</v>
      </c>
      <c r="G271" s="8" t="s">
        <v>41</v>
      </c>
      <c r="H271" s="7" t="s">
        <v>42</v>
      </c>
      <c r="I271" s="7"/>
      <c r="J271" s="8" t="s">
        <v>637</v>
      </c>
      <c r="K271" s="8" t="s">
        <v>1221</v>
      </c>
      <c r="L271" s="8" t="s">
        <v>1556</v>
      </c>
      <c r="M271" s="8" t="s">
        <v>906</v>
      </c>
      <c r="N271" s="7" t="s">
        <v>907</v>
      </c>
      <c r="O271" s="7" t="s">
        <v>908</v>
      </c>
      <c r="P271" s="7"/>
    </row>
    <row r="272" spans="1:16" ht="40" customHeight="1">
      <c r="A272" s="4" t="s">
        <v>291</v>
      </c>
      <c r="B272" s="4" t="s">
        <v>292</v>
      </c>
      <c r="C272" s="4" t="s">
        <v>1575</v>
      </c>
      <c r="D272" s="4" t="s">
        <v>901</v>
      </c>
      <c r="E272" s="4" t="s">
        <v>1576</v>
      </c>
      <c r="F272" s="4" t="s">
        <v>1577</v>
      </c>
      <c r="G272" s="4" t="s">
        <v>41</v>
      </c>
      <c r="H272" s="7" t="s">
        <v>42</v>
      </c>
      <c r="I272" s="7"/>
      <c r="J272" s="4" t="s">
        <v>637</v>
      </c>
      <c r="K272" s="4" t="s">
        <v>1283</v>
      </c>
      <c r="L272" s="4" t="s">
        <v>1556</v>
      </c>
      <c r="M272" s="4" t="s">
        <v>906</v>
      </c>
      <c r="N272" s="7" t="s">
        <v>907</v>
      </c>
      <c r="O272" s="7" t="s">
        <v>908</v>
      </c>
      <c r="P272" s="7"/>
    </row>
    <row r="273" spans="1:16" ht="40" customHeight="1">
      <c r="A273" s="8" t="s">
        <v>291</v>
      </c>
      <c r="B273" s="8" t="s">
        <v>292</v>
      </c>
      <c r="C273" s="8" t="s">
        <v>1578</v>
      </c>
      <c r="D273" s="8" t="s">
        <v>901</v>
      </c>
      <c r="E273" s="8" t="s">
        <v>1579</v>
      </c>
      <c r="F273" s="8" t="s">
        <v>1580</v>
      </c>
      <c r="G273" s="8" t="s">
        <v>41</v>
      </c>
      <c r="H273" s="7" t="s">
        <v>42</v>
      </c>
      <c r="I273" s="7"/>
      <c r="J273" s="8" t="s">
        <v>637</v>
      </c>
      <c r="K273" s="8" t="s">
        <v>1287</v>
      </c>
      <c r="L273" s="8" t="s">
        <v>1556</v>
      </c>
      <c r="M273" s="8" t="s">
        <v>906</v>
      </c>
      <c r="N273" s="7" t="s">
        <v>907</v>
      </c>
      <c r="O273" s="7" t="s">
        <v>908</v>
      </c>
      <c r="P273" s="7"/>
    </row>
    <row r="274" spans="1:16" ht="40" customHeight="1">
      <c r="A274" s="4" t="s">
        <v>291</v>
      </c>
      <c r="B274" s="4" t="s">
        <v>292</v>
      </c>
      <c r="C274" s="4" t="s">
        <v>1581</v>
      </c>
      <c r="D274" s="4" t="s">
        <v>914</v>
      </c>
      <c r="E274" s="4" t="s">
        <v>915</v>
      </c>
      <c r="F274" s="4" t="s">
        <v>296</v>
      </c>
      <c r="G274" s="4" t="s">
        <v>916</v>
      </c>
      <c r="H274" s="7" t="s">
        <v>42</v>
      </c>
      <c r="I274" s="7"/>
      <c r="J274" s="4" t="s">
        <v>914</v>
      </c>
      <c r="K274" s="4" t="s">
        <v>41</v>
      </c>
      <c r="L274" s="4" t="s">
        <v>1556</v>
      </c>
      <c r="M274" s="4" t="s">
        <v>51</v>
      </c>
      <c r="N274" s="7" t="s">
        <v>907</v>
      </c>
      <c r="O274" s="7"/>
      <c r="P274" s="7"/>
    </row>
    <row r="275" spans="1:16" ht="40" customHeight="1">
      <c r="A275" s="8" t="s">
        <v>299</v>
      </c>
      <c r="B275" s="8" t="s">
        <v>300</v>
      </c>
      <c r="C275" s="8" t="s">
        <v>1582</v>
      </c>
      <c r="D275" s="8" t="s">
        <v>901</v>
      </c>
      <c r="E275" s="8" t="s">
        <v>1583</v>
      </c>
      <c r="F275" s="8" t="s">
        <v>1584</v>
      </c>
      <c r="G275" s="8" t="s">
        <v>41</v>
      </c>
      <c r="H275" s="7" t="s">
        <v>42</v>
      </c>
      <c r="I275" s="7"/>
      <c r="J275" s="8" t="s">
        <v>637</v>
      </c>
      <c r="K275" s="8" t="s">
        <v>904</v>
      </c>
      <c r="L275" s="8" t="s">
        <v>1585</v>
      </c>
      <c r="M275" s="8" t="s">
        <v>906</v>
      </c>
      <c r="N275" s="7" t="s">
        <v>907</v>
      </c>
      <c r="O275" s="7" t="s">
        <v>908</v>
      </c>
      <c r="P275" s="7"/>
    </row>
    <row r="276" spans="1:16" ht="40" customHeight="1">
      <c r="A276" s="4" t="s">
        <v>299</v>
      </c>
      <c r="B276" s="4" t="s">
        <v>300</v>
      </c>
      <c r="C276" s="4" t="s">
        <v>1586</v>
      </c>
      <c r="D276" s="4" t="s">
        <v>901</v>
      </c>
      <c r="E276" s="4" t="s">
        <v>1587</v>
      </c>
      <c r="F276" s="4" t="s">
        <v>1588</v>
      </c>
      <c r="G276" s="4" t="s">
        <v>41</v>
      </c>
      <c r="H276" s="7" t="s">
        <v>42</v>
      </c>
      <c r="I276" s="7"/>
      <c r="J276" s="4" t="s">
        <v>637</v>
      </c>
      <c r="K276" s="4" t="s">
        <v>912</v>
      </c>
      <c r="L276" s="4" t="s">
        <v>1585</v>
      </c>
      <c r="M276" s="4" t="s">
        <v>906</v>
      </c>
      <c r="N276" s="7" t="s">
        <v>907</v>
      </c>
      <c r="O276" s="7" t="s">
        <v>908</v>
      </c>
      <c r="P276" s="7"/>
    </row>
    <row r="277" spans="1:16" ht="40" customHeight="1">
      <c r="A277" s="8" t="s">
        <v>299</v>
      </c>
      <c r="B277" s="8" t="s">
        <v>300</v>
      </c>
      <c r="C277" s="8" t="s">
        <v>1589</v>
      </c>
      <c r="D277" s="8" t="s">
        <v>914</v>
      </c>
      <c r="E277" s="8" t="s">
        <v>915</v>
      </c>
      <c r="F277" s="8" t="s">
        <v>305</v>
      </c>
      <c r="G277" s="8" t="s">
        <v>916</v>
      </c>
      <c r="H277" s="7" t="s">
        <v>42</v>
      </c>
      <c r="I277" s="7"/>
      <c r="J277" s="8" t="s">
        <v>914</v>
      </c>
      <c r="K277" s="8" t="s">
        <v>41</v>
      </c>
      <c r="L277" s="8" t="s">
        <v>1585</v>
      </c>
      <c r="M277" s="8" t="s">
        <v>51</v>
      </c>
      <c r="N277" s="7" t="s">
        <v>907</v>
      </c>
      <c r="O277" s="7"/>
      <c r="P277" s="7"/>
    </row>
    <row r="278" spans="1:16" ht="40" customHeight="1">
      <c r="A278" s="4" t="s">
        <v>308</v>
      </c>
      <c r="B278" s="4" t="s">
        <v>309</v>
      </c>
      <c r="C278" s="4" t="s">
        <v>1590</v>
      </c>
      <c r="D278" s="4" t="s">
        <v>901</v>
      </c>
      <c r="E278" s="4" t="s">
        <v>1591</v>
      </c>
      <c r="F278" s="4" t="s">
        <v>1592</v>
      </c>
      <c r="G278" s="4" t="s">
        <v>41</v>
      </c>
      <c r="H278" s="7" t="s">
        <v>42</v>
      </c>
      <c r="I278" s="7"/>
      <c r="J278" s="4" t="s">
        <v>637</v>
      </c>
      <c r="K278" s="4" t="s">
        <v>904</v>
      </c>
      <c r="L278" s="4" t="s">
        <v>1593</v>
      </c>
      <c r="M278" s="4" t="s">
        <v>906</v>
      </c>
      <c r="N278" s="7" t="s">
        <v>907</v>
      </c>
      <c r="O278" s="7" t="s">
        <v>908</v>
      </c>
      <c r="P278" s="7"/>
    </row>
    <row r="279" spans="1:16" ht="40" customHeight="1">
      <c r="A279" s="8" t="s">
        <v>308</v>
      </c>
      <c r="B279" s="8" t="s">
        <v>309</v>
      </c>
      <c r="C279" s="8" t="s">
        <v>1594</v>
      </c>
      <c r="D279" s="8" t="s">
        <v>914</v>
      </c>
      <c r="E279" s="8" t="s">
        <v>915</v>
      </c>
      <c r="F279" s="8" t="s">
        <v>315</v>
      </c>
      <c r="G279" s="8" t="s">
        <v>916</v>
      </c>
      <c r="H279" s="7" t="s">
        <v>42</v>
      </c>
      <c r="I279" s="7"/>
      <c r="J279" s="8" t="s">
        <v>914</v>
      </c>
      <c r="K279" s="8" t="s">
        <v>41</v>
      </c>
      <c r="L279" s="8" t="s">
        <v>1593</v>
      </c>
      <c r="M279" s="8" t="s">
        <v>51</v>
      </c>
      <c r="N279" s="7" t="s">
        <v>907</v>
      </c>
      <c r="O279" s="7"/>
      <c r="P279" s="7"/>
    </row>
    <row r="280" spans="1:16" ht="54" customHeight="1">
      <c r="A280" s="4" t="s">
        <v>318</v>
      </c>
      <c r="B280" s="4" t="s">
        <v>319</v>
      </c>
      <c r="C280" s="4" t="s">
        <v>1595</v>
      </c>
      <c r="D280" s="4" t="s">
        <v>901</v>
      </c>
      <c r="E280" s="4" t="s">
        <v>1596</v>
      </c>
      <c r="F280" s="4" t="s">
        <v>1597</v>
      </c>
      <c r="G280" s="4" t="s">
        <v>41</v>
      </c>
      <c r="H280" s="7" t="s">
        <v>42</v>
      </c>
      <c r="I280" s="7"/>
      <c r="J280" s="4" t="s">
        <v>637</v>
      </c>
      <c r="K280" s="4" t="s">
        <v>904</v>
      </c>
      <c r="L280" s="4" t="s">
        <v>1598</v>
      </c>
      <c r="M280" s="4" t="s">
        <v>906</v>
      </c>
      <c r="N280" s="7" t="s">
        <v>907</v>
      </c>
      <c r="O280" s="7" t="s">
        <v>908</v>
      </c>
      <c r="P280" s="7"/>
    </row>
    <row r="281" spans="1:16" ht="54" customHeight="1">
      <c r="A281" s="8" t="s">
        <v>318</v>
      </c>
      <c r="B281" s="8" t="s">
        <v>319</v>
      </c>
      <c r="C281" s="8" t="s">
        <v>1599</v>
      </c>
      <c r="D281" s="8" t="s">
        <v>901</v>
      </c>
      <c r="E281" s="8" t="s">
        <v>1600</v>
      </c>
      <c r="F281" s="8" t="s">
        <v>1601</v>
      </c>
      <c r="G281" s="8" t="s">
        <v>41</v>
      </c>
      <c r="H281" s="7" t="s">
        <v>42</v>
      </c>
      <c r="I281" s="7"/>
      <c r="J281" s="8" t="s">
        <v>637</v>
      </c>
      <c r="K281" s="8" t="s">
        <v>1087</v>
      </c>
      <c r="L281" s="8" t="s">
        <v>1598</v>
      </c>
      <c r="M281" s="8" t="s">
        <v>906</v>
      </c>
      <c r="N281" s="7" t="s">
        <v>907</v>
      </c>
      <c r="O281" s="7" t="s">
        <v>908</v>
      </c>
      <c r="P281" s="7"/>
    </row>
    <row r="282" spans="1:16" ht="54" customHeight="1">
      <c r="A282" s="4" t="s">
        <v>318</v>
      </c>
      <c r="B282" s="4" t="s">
        <v>319</v>
      </c>
      <c r="C282" s="4" t="s">
        <v>1602</v>
      </c>
      <c r="D282" s="4" t="s">
        <v>901</v>
      </c>
      <c r="E282" s="4" t="s">
        <v>1603</v>
      </c>
      <c r="F282" s="4" t="s">
        <v>1604</v>
      </c>
      <c r="G282" s="4" t="s">
        <v>41</v>
      </c>
      <c r="H282" s="7" t="s">
        <v>42</v>
      </c>
      <c r="I282" s="7"/>
      <c r="J282" s="4" t="s">
        <v>637</v>
      </c>
      <c r="K282" s="4" t="s">
        <v>1091</v>
      </c>
      <c r="L282" s="4" t="s">
        <v>1598</v>
      </c>
      <c r="M282" s="4" t="s">
        <v>906</v>
      </c>
      <c r="N282" s="7" t="s">
        <v>907</v>
      </c>
      <c r="O282" s="7" t="s">
        <v>908</v>
      </c>
      <c r="P282" s="7"/>
    </row>
    <row r="283" spans="1:16" ht="54" customHeight="1">
      <c r="A283" s="8" t="s">
        <v>318</v>
      </c>
      <c r="B283" s="8" t="s">
        <v>319</v>
      </c>
      <c r="C283" s="8" t="s">
        <v>1605</v>
      </c>
      <c r="D283" s="8" t="s">
        <v>901</v>
      </c>
      <c r="E283" s="8" t="s">
        <v>1606</v>
      </c>
      <c r="F283" s="8" t="s">
        <v>1607</v>
      </c>
      <c r="G283" s="8" t="s">
        <v>41</v>
      </c>
      <c r="H283" s="7" t="s">
        <v>42</v>
      </c>
      <c r="I283" s="7"/>
      <c r="J283" s="8" t="s">
        <v>637</v>
      </c>
      <c r="K283" s="8" t="s">
        <v>1221</v>
      </c>
      <c r="L283" s="8" t="s">
        <v>1598</v>
      </c>
      <c r="M283" s="8" t="s">
        <v>906</v>
      </c>
      <c r="N283" s="7" t="s">
        <v>907</v>
      </c>
      <c r="O283" s="7" t="s">
        <v>908</v>
      </c>
      <c r="P283" s="7"/>
    </row>
    <row r="284" spans="1:16" ht="54" customHeight="1">
      <c r="A284" s="4" t="s">
        <v>318</v>
      </c>
      <c r="B284" s="4" t="s">
        <v>319</v>
      </c>
      <c r="C284" s="4" t="s">
        <v>1608</v>
      </c>
      <c r="D284" s="4" t="s">
        <v>901</v>
      </c>
      <c r="E284" s="4" t="s">
        <v>1609</v>
      </c>
      <c r="F284" s="4" t="s">
        <v>1610</v>
      </c>
      <c r="G284" s="4" t="s">
        <v>41</v>
      </c>
      <c r="H284" s="7" t="s">
        <v>42</v>
      </c>
      <c r="I284" s="7"/>
      <c r="J284" s="4" t="s">
        <v>637</v>
      </c>
      <c r="K284" s="4" t="s">
        <v>1225</v>
      </c>
      <c r="L284" s="4" t="s">
        <v>1598</v>
      </c>
      <c r="M284" s="4" t="s">
        <v>906</v>
      </c>
      <c r="N284" s="7" t="s">
        <v>907</v>
      </c>
      <c r="O284" s="7" t="s">
        <v>908</v>
      </c>
      <c r="P284" s="7"/>
    </row>
    <row r="285" spans="1:16" ht="54" customHeight="1">
      <c r="A285" s="8" t="s">
        <v>318</v>
      </c>
      <c r="B285" s="8" t="s">
        <v>319</v>
      </c>
      <c r="C285" s="8" t="s">
        <v>1611</v>
      </c>
      <c r="D285" s="8" t="s">
        <v>901</v>
      </c>
      <c r="E285" s="8" t="s">
        <v>1612</v>
      </c>
      <c r="F285" s="8" t="s">
        <v>1613</v>
      </c>
      <c r="G285" s="8" t="s">
        <v>41</v>
      </c>
      <c r="H285" s="7" t="s">
        <v>42</v>
      </c>
      <c r="I285" s="7"/>
      <c r="J285" s="8" t="s">
        <v>637</v>
      </c>
      <c r="K285" s="8" t="s">
        <v>1283</v>
      </c>
      <c r="L285" s="8" t="s">
        <v>1598</v>
      </c>
      <c r="M285" s="8" t="s">
        <v>906</v>
      </c>
      <c r="N285" s="7" t="s">
        <v>907</v>
      </c>
      <c r="O285" s="7" t="s">
        <v>908</v>
      </c>
      <c r="P285" s="7"/>
    </row>
    <row r="286" spans="1:16" ht="54" customHeight="1">
      <c r="A286" s="4" t="s">
        <v>318</v>
      </c>
      <c r="B286" s="4" t="s">
        <v>319</v>
      </c>
      <c r="C286" s="4" t="s">
        <v>1614</v>
      </c>
      <c r="D286" s="4" t="s">
        <v>901</v>
      </c>
      <c r="E286" s="4" t="s">
        <v>1615</v>
      </c>
      <c r="F286" s="4" t="s">
        <v>1616</v>
      </c>
      <c r="G286" s="4" t="s">
        <v>41</v>
      </c>
      <c r="H286" s="7" t="s">
        <v>42</v>
      </c>
      <c r="I286" s="7"/>
      <c r="J286" s="4" t="s">
        <v>637</v>
      </c>
      <c r="K286" s="4" t="s">
        <v>1103</v>
      </c>
      <c r="L286" s="4" t="s">
        <v>1598</v>
      </c>
      <c r="M286" s="4" t="s">
        <v>906</v>
      </c>
      <c r="N286" s="7" t="s">
        <v>907</v>
      </c>
      <c r="O286" s="7" t="s">
        <v>908</v>
      </c>
      <c r="P286" s="7"/>
    </row>
    <row r="287" spans="1:16" ht="54" customHeight="1">
      <c r="A287" s="8" t="s">
        <v>318</v>
      </c>
      <c r="B287" s="8" t="s">
        <v>319</v>
      </c>
      <c r="C287" s="8" t="s">
        <v>1617</v>
      </c>
      <c r="D287" s="8" t="s">
        <v>901</v>
      </c>
      <c r="E287" s="8" t="s">
        <v>1618</v>
      </c>
      <c r="F287" s="8" t="s">
        <v>1619</v>
      </c>
      <c r="G287" s="8" t="s">
        <v>41</v>
      </c>
      <c r="H287" s="7" t="s">
        <v>42</v>
      </c>
      <c r="I287" s="7"/>
      <c r="J287" s="8" t="s">
        <v>637</v>
      </c>
      <c r="K287" s="8" t="s">
        <v>1620</v>
      </c>
      <c r="L287" s="8" t="s">
        <v>1598</v>
      </c>
      <c r="M287" s="8" t="s">
        <v>906</v>
      </c>
      <c r="N287" s="7" t="s">
        <v>907</v>
      </c>
      <c r="O287" s="7" t="s">
        <v>908</v>
      </c>
      <c r="P287" s="7"/>
    </row>
    <row r="288" spans="1:16" ht="54" customHeight="1">
      <c r="A288" s="4" t="s">
        <v>318</v>
      </c>
      <c r="B288" s="4" t="s">
        <v>319</v>
      </c>
      <c r="C288" s="4" t="s">
        <v>1621</v>
      </c>
      <c r="D288" s="4" t="s">
        <v>901</v>
      </c>
      <c r="E288" s="4" t="s">
        <v>1622</v>
      </c>
      <c r="F288" s="4" t="s">
        <v>1623</v>
      </c>
      <c r="G288" s="4" t="s">
        <v>41</v>
      </c>
      <c r="H288" s="7" t="s">
        <v>42</v>
      </c>
      <c r="I288" s="7"/>
      <c r="J288" s="4" t="s">
        <v>637</v>
      </c>
      <c r="K288" s="4" t="s">
        <v>1624</v>
      </c>
      <c r="L288" s="4" t="s">
        <v>1598</v>
      </c>
      <c r="M288" s="4" t="s">
        <v>906</v>
      </c>
      <c r="N288" s="7" t="s">
        <v>907</v>
      </c>
      <c r="O288" s="7" t="s">
        <v>908</v>
      </c>
      <c r="P288" s="7"/>
    </row>
    <row r="289" spans="1:16" ht="54" customHeight="1">
      <c r="A289" s="8" t="s">
        <v>318</v>
      </c>
      <c r="B289" s="8" t="s">
        <v>319</v>
      </c>
      <c r="C289" s="8" t="s">
        <v>1625</v>
      </c>
      <c r="D289" s="8" t="s">
        <v>901</v>
      </c>
      <c r="E289" s="8" t="s">
        <v>1626</v>
      </c>
      <c r="F289" s="8" t="s">
        <v>1627</v>
      </c>
      <c r="G289" s="8" t="s">
        <v>41</v>
      </c>
      <c r="H289" s="7" t="s">
        <v>42</v>
      </c>
      <c r="I289" s="7"/>
      <c r="J289" s="8" t="s">
        <v>637</v>
      </c>
      <c r="K289" s="8" t="s">
        <v>1628</v>
      </c>
      <c r="L289" s="8" t="s">
        <v>1598</v>
      </c>
      <c r="M289" s="8" t="s">
        <v>906</v>
      </c>
      <c r="N289" s="7" t="s">
        <v>907</v>
      </c>
      <c r="O289" s="7" t="s">
        <v>908</v>
      </c>
      <c r="P289" s="7"/>
    </row>
    <row r="290" spans="1:16" ht="54" customHeight="1">
      <c r="A290" s="4" t="s">
        <v>318</v>
      </c>
      <c r="B290" s="4" t="s">
        <v>319</v>
      </c>
      <c r="C290" s="4" t="s">
        <v>1629</v>
      </c>
      <c r="D290" s="4" t="s">
        <v>901</v>
      </c>
      <c r="E290" s="4" t="s">
        <v>1630</v>
      </c>
      <c r="F290" s="4" t="s">
        <v>1631</v>
      </c>
      <c r="G290" s="4" t="s">
        <v>41</v>
      </c>
      <c r="H290" s="7" t="s">
        <v>42</v>
      </c>
      <c r="I290" s="7"/>
      <c r="J290" s="4" t="s">
        <v>637</v>
      </c>
      <c r="K290" s="4" t="s">
        <v>1632</v>
      </c>
      <c r="L290" s="4" t="s">
        <v>1598</v>
      </c>
      <c r="M290" s="4" t="s">
        <v>906</v>
      </c>
      <c r="N290" s="7" t="s">
        <v>907</v>
      </c>
      <c r="O290" s="7" t="s">
        <v>908</v>
      </c>
      <c r="P290" s="7"/>
    </row>
    <row r="291" spans="1:16" ht="54" customHeight="1">
      <c r="A291" s="8" t="s">
        <v>318</v>
      </c>
      <c r="B291" s="8" t="s">
        <v>319</v>
      </c>
      <c r="C291" s="8" t="s">
        <v>1633</v>
      </c>
      <c r="D291" s="8" t="s">
        <v>901</v>
      </c>
      <c r="E291" s="8" t="s">
        <v>1634</v>
      </c>
      <c r="F291" s="8" t="s">
        <v>1635</v>
      </c>
      <c r="G291" s="8" t="s">
        <v>41</v>
      </c>
      <c r="H291" s="7" t="s">
        <v>42</v>
      </c>
      <c r="I291" s="7"/>
      <c r="J291" s="8" t="s">
        <v>637</v>
      </c>
      <c r="K291" s="8" t="s">
        <v>1636</v>
      </c>
      <c r="L291" s="8" t="s">
        <v>1598</v>
      </c>
      <c r="M291" s="8" t="s">
        <v>906</v>
      </c>
      <c r="N291" s="7" t="s">
        <v>907</v>
      </c>
      <c r="O291" s="7" t="s">
        <v>908</v>
      </c>
      <c r="P291" s="7"/>
    </row>
    <row r="292" spans="1:16" ht="54" customHeight="1">
      <c r="A292" s="4" t="s">
        <v>318</v>
      </c>
      <c r="B292" s="4" t="s">
        <v>319</v>
      </c>
      <c r="C292" s="4" t="s">
        <v>1637</v>
      </c>
      <c r="D292" s="4" t="s">
        <v>901</v>
      </c>
      <c r="E292" s="4" t="s">
        <v>1638</v>
      </c>
      <c r="F292" s="4" t="s">
        <v>1639</v>
      </c>
      <c r="G292" s="4" t="s">
        <v>41</v>
      </c>
      <c r="H292" s="7" t="s">
        <v>42</v>
      </c>
      <c r="I292" s="7"/>
      <c r="J292" s="4" t="s">
        <v>637</v>
      </c>
      <c r="K292" s="4" t="s">
        <v>1640</v>
      </c>
      <c r="L292" s="4" t="s">
        <v>1598</v>
      </c>
      <c r="M292" s="4" t="s">
        <v>906</v>
      </c>
      <c r="N292" s="7" t="s">
        <v>907</v>
      </c>
      <c r="O292" s="7" t="s">
        <v>908</v>
      </c>
      <c r="P292" s="7"/>
    </row>
    <row r="293" spans="1:16" ht="54" customHeight="1">
      <c r="A293" s="8" t="s">
        <v>318</v>
      </c>
      <c r="B293" s="8" t="s">
        <v>319</v>
      </c>
      <c r="C293" s="8" t="s">
        <v>1641</v>
      </c>
      <c r="D293" s="8" t="s">
        <v>901</v>
      </c>
      <c r="E293" s="8" t="s">
        <v>1642</v>
      </c>
      <c r="F293" s="8" t="s">
        <v>1643</v>
      </c>
      <c r="G293" s="8" t="s">
        <v>41</v>
      </c>
      <c r="H293" s="7" t="s">
        <v>42</v>
      </c>
      <c r="I293" s="7"/>
      <c r="J293" s="8" t="s">
        <v>637</v>
      </c>
      <c r="K293" s="8" t="s">
        <v>1644</v>
      </c>
      <c r="L293" s="8" t="s">
        <v>1598</v>
      </c>
      <c r="M293" s="8" t="s">
        <v>906</v>
      </c>
      <c r="N293" s="7" t="s">
        <v>907</v>
      </c>
      <c r="O293" s="7" t="s">
        <v>908</v>
      </c>
      <c r="P293" s="7"/>
    </row>
    <row r="294" spans="1:16" ht="54" customHeight="1">
      <c r="A294" s="4" t="s">
        <v>318</v>
      </c>
      <c r="B294" s="4" t="s">
        <v>319</v>
      </c>
      <c r="C294" s="4" t="s">
        <v>1645</v>
      </c>
      <c r="D294" s="4" t="s">
        <v>901</v>
      </c>
      <c r="E294" s="4" t="s">
        <v>1646</v>
      </c>
      <c r="F294" s="4" t="s">
        <v>1647</v>
      </c>
      <c r="G294" s="4" t="s">
        <v>41</v>
      </c>
      <c r="H294" s="7" t="s">
        <v>42</v>
      </c>
      <c r="I294" s="7"/>
      <c r="J294" s="4" t="s">
        <v>637</v>
      </c>
      <c r="K294" s="4" t="s">
        <v>1115</v>
      </c>
      <c r="L294" s="4" t="s">
        <v>1598</v>
      </c>
      <c r="M294" s="4" t="s">
        <v>906</v>
      </c>
      <c r="N294" s="7" t="s">
        <v>907</v>
      </c>
      <c r="O294" s="7" t="s">
        <v>908</v>
      </c>
      <c r="P294" s="7"/>
    </row>
    <row r="295" spans="1:16" ht="54" customHeight="1">
      <c r="A295" s="8" t="s">
        <v>318</v>
      </c>
      <c r="B295" s="8" t="s">
        <v>319</v>
      </c>
      <c r="C295" s="8" t="s">
        <v>1648</v>
      </c>
      <c r="D295" s="8" t="s">
        <v>901</v>
      </c>
      <c r="E295" s="8" t="s">
        <v>1603</v>
      </c>
      <c r="F295" s="8" t="s">
        <v>1649</v>
      </c>
      <c r="G295" s="8" t="s">
        <v>41</v>
      </c>
      <c r="H295" s="7" t="s">
        <v>42</v>
      </c>
      <c r="I295" s="7"/>
      <c r="J295" s="8" t="s">
        <v>637</v>
      </c>
      <c r="K295" s="8" t="s">
        <v>1119</v>
      </c>
      <c r="L295" s="8" t="s">
        <v>1598</v>
      </c>
      <c r="M295" s="8" t="s">
        <v>906</v>
      </c>
      <c r="N295" s="7" t="s">
        <v>907</v>
      </c>
      <c r="O295" s="7" t="s">
        <v>908</v>
      </c>
      <c r="P295" s="7"/>
    </row>
    <row r="296" spans="1:16" ht="54" customHeight="1">
      <c r="A296" s="4" t="s">
        <v>318</v>
      </c>
      <c r="B296" s="4" t="s">
        <v>319</v>
      </c>
      <c r="C296" s="4" t="s">
        <v>1650</v>
      </c>
      <c r="D296" s="4" t="s">
        <v>901</v>
      </c>
      <c r="E296" s="4" t="s">
        <v>1651</v>
      </c>
      <c r="F296" s="4" t="s">
        <v>1652</v>
      </c>
      <c r="G296" s="4" t="s">
        <v>41</v>
      </c>
      <c r="H296" s="7" t="s">
        <v>42</v>
      </c>
      <c r="I296" s="7"/>
      <c r="J296" s="4" t="s">
        <v>637</v>
      </c>
      <c r="K296" s="4" t="s">
        <v>1653</v>
      </c>
      <c r="L296" s="4" t="s">
        <v>1598</v>
      </c>
      <c r="M296" s="4" t="s">
        <v>906</v>
      </c>
      <c r="N296" s="7" t="s">
        <v>907</v>
      </c>
      <c r="O296" s="7" t="s">
        <v>908</v>
      </c>
      <c r="P296" s="7"/>
    </row>
    <row r="297" spans="1:16" ht="54" customHeight="1">
      <c r="A297" s="8" t="s">
        <v>318</v>
      </c>
      <c r="B297" s="8" t="s">
        <v>319</v>
      </c>
      <c r="C297" s="8" t="s">
        <v>1654</v>
      </c>
      <c r="D297" s="8" t="s">
        <v>901</v>
      </c>
      <c r="E297" s="8" t="s">
        <v>1655</v>
      </c>
      <c r="F297" s="8" t="s">
        <v>1656</v>
      </c>
      <c r="G297" s="8" t="s">
        <v>41</v>
      </c>
      <c r="H297" s="7" t="s">
        <v>42</v>
      </c>
      <c r="I297" s="7"/>
      <c r="J297" s="8" t="s">
        <v>637</v>
      </c>
      <c r="K297" s="8" t="s">
        <v>1657</v>
      </c>
      <c r="L297" s="8" t="s">
        <v>1598</v>
      </c>
      <c r="M297" s="8" t="s">
        <v>906</v>
      </c>
      <c r="N297" s="7" t="s">
        <v>907</v>
      </c>
      <c r="O297" s="7" t="s">
        <v>908</v>
      </c>
      <c r="P297" s="7"/>
    </row>
    <row r="298" spans="1:16" ht="54" customHeight="1">
      <c r="A298" s="4" t="s">
        <v>318</v>
      </c>
      <c r="B298" s="4" t="s">
        <v>319</v>
      </c>
      <c r="C298" s="4" t="s">
        <v>1658</v>
      </c>
      <c r="D298" s="4" t="s">
        <v>901</v>
      </c>
      <c r="E298" s="4" t="s">
        <v>1659</v>
      </c>
      <c r="F298" s="4" t="s">
        <v>1660</v>
      </c>
      <c r="G298" s="4" t="s">
        <v>41</v>
      </c>
      <c r="H298" s="7" t="s">
        <v>42</v>
      </c>
      <c r="I298" s="7"/>
      <c r="J298" s="4" t="s">
        <v>637</v>
      </c>
      <c r="K298" s="4" t="s">
        <v>1661</v>
      </c>
      <c r="L298" s="4" t="s">
        <v>1598</v>
      </c>
      <c r="M298" s="4" t="s">
        <v>906</v>
      </c>
      <c r="N298" s="7" t="s">
        <v>907</v>
      </c>
      <c r="O298" s="7" t="s">
        <v>908</v>
      </c>
      <c r="P298" s="7"/>
    </row>
    <row r="299" spans="1:16" ht="54" customHeight="1">
      <c r="A299" s="8" t="s">
        <v>318</v>
      </c>
      <c r="B299" s="8" t="s">
        <v>319</v>
      </c>
      <c r="C299" s="8" t="s">
        <v>1662</v>
      </c>
      <c r="D299" s="8" t="s">
        <v>901</v>
      </c>
      <c r="E299" s="8" t="s">
        <v>1663</v>
      </c>
      <c r="F299" s="8" t="s">
        <v>1664</v>
      </c>
      <c r="G299" s="8" t="s">
        <v>41</v>
      </c>
      <c r="H299" s="7" t="s">
        <v>42</v>
      </c>
      <c r="I299" s="7"/>
      <c r="J299" s="8" t="s">
        <v>637</v>
      </c>
      <c r="K299" s="8" t="s">
        <v>1665</v>
      </c>
      <c r="L299" s="8" t="s">
        <v>1598</v>
      </c>
      <c r="M299" s="8" t="s">
        <v>906</v>
      </c>
      <c r="N299" s="7" t="s">
        <v>907</v>
      </c>
      <c r="O299" s="7" t="s">
        <v>908</v>
      </c>
      <c r="P299" s="7"/>
    </row>
    <row r="300" spans="1:16" ht="54" customHeight="1">
      <c r="A300" s="4" t="s">
        <v>318</v>
      </c>
      <c r="B300" s="4" t="s">
        <v>319</v>
      </c>
      <c r="C300" s="4" t="s">
        <v>1666</v>
      </c>
      <c r="D300" s="4" t="s">
        <v>901</v>
      </c>
      <c r="E300" s="4" t="s">
        <v>1667</v>
      </c>
      <c r="F300" s="4" t="s">
        <v>1668</v>
      </c>
      <c r="G300" s="4" t="s">
        <v>41</v>
      </c>
      <c r="H300" s="7" t="s">
        <v>42</v>
      </c>
      <c r="I300" s="7"/>
      <c r="J300" s="4" t="s">
        <v>637</v>
      </c>
      <c r="K300" s="4" t="s">
        <v>1669</v>
      </c>
      <c r="L300" s="4" t="s">
        <v>1598</v>
      </c>
      <c r="M300" s="4" t="s">
        <v>906</v>
      </c>
      <c r="N300" s="7" t="s">
        <v>907</v>
      </c>
      <c r="O300" s="7" t="s">
        <v>908</v>
      </c>
      <c r="P300" s="7"/>
    </row>
    <row r="301" spans="1:16" ht="54" customHeight="1">
      <c r="A301" s="8" t="s">
        <v>318</v>
      </c>
      <c r="B301" s="8" t="s">
        <v>319</v>
      </c>
      <c r="C301" s="8" t="s">
        <v>1670</v>
      </c>
      <c r="D301" s="8" t="s">
        <v>901</v>
      </c>
      <c r="E301" s="8" t="s">
        <v>1671</v>
      </c>
      <c r="F301" s="8" t="s">
        <v>1672</v>
      </c>
      <c r="G301" s="8" t="s">
        <v>41</v>
      </c>
      <c r="H301" s="7" t="s">
        <v>42</v>
      </c>
      <c r="I301" s="7"/>
      <c r="J301" s="8" t="s">
        <v>637</v>
      </c>
      <c r="K301" s="8" t="s">
        <v>1127</v>
      </c>
      <c r="L301" s="8" t="s">
        <v>1598</v>
      </c>
      <c r="M301" s="8" t="s">
        <v>906</v>
      </c>
      <c r="N301" s="7" t="s">
        <v>907</v>
      </c>
      <c r="O301" s="7" t="s">
        <v>908</v>
      </c>
      <c r="P301" s="7"/>
    </row>
    <row r="302" spans="1:16" ht="54" customHeight="1">
      <c r="A302" s="4" t="s">
        <v>318</v>
      </c>
      <c r="B302" s="4" t="s">
        <v>319</v>
      </c>
      <c r="C302" s="4" t="s">
        <v>1673</v>
      </c>
      <c r="D302" s="4" t="s">
        <v>901</v>
      </c>
      <c r="E302" s="4" t="s">
        <v>1674</v>
      </c>
      <c r="F302" s="4" t="s">
        <v>1675</v>
      </c>
      <c r="G302" s="4" t="s">
        <v>41</v>
      </c>
      <c r="H302" s="7" t="s">
        <v>42</v>
      </c>
      <c r="I302" s="7"/>
      <c r="J302" s="4" t="s">
        <v>637</v>
      </c>
      <c r="K302" s="4" t="s">
        <v>1131</v>
      </c>
      <c r="L302" s="4" t="s">
        <v>1598</v>
      </c>
      <c r="M302" s="4" t="s">
        <v>906</v>
      </c>
      <c r="N302" s="7" t="s">
        <v>907</v>
      </c>
      <c r="O302" s="7" t="s">
        <v>908</v>
      </c>
      <c r="P302" s="7"/>
    </row>
    <row r="303" spans="1:16" ht="54" customHeight="1">
      <c r="A303" s="8" t="s">
        <v>318</v>
      </c>
      <c r="B303" s="8" t="s">
        <v>319</v>
      </c>
      <c r="C303" s="8" t="s">
        <v>1676</v>
      </c>
      <c r="D303" s="8" t="s">
        <v>901</v>
      </c>
      <c r="E303" s="8" t="s">
        <v>1677</v>
      </c>
      <c r="F303" s="8" t="s">
        <v>1678</v>
      </c>
      <c r="G303" s="8" t="s">
        <v>41</v>
      </c>
      <c r="H303" s="7" t="s">
        <v>42</v>
      </c>
      <c r="I303" s="7"/>
      <c r="J303" s="8" t="s">
        <v>637</v>
      </c>
      <c r="K303" s="8" t="s">
        <v>1679</v>
      </c>
      <c r="L303" s="8" t="s">
        <v>1598</v>
      </c>
      <c r="M303" s="8" t="s">
        <v>906</v>
      </c>
      <c r="N303" s="7" t="s">
        <v>907</v>
      </c>
      <c r="O303" s="7" t="s">
        <v>908</v>
      </c>
      <c r="P303" s="7"/>
    </row>
    <row r="304" spans="1:16" ht="54" customHeight="1">
      <c r="A304" s="4" t="s">
        <v>318</v>
      </c>
      <c r="B304" s="4" t="s">
        <v>319</v>
      </c>
      <c r="C304" s="4" t="s">
        <v>1680</v>
      </c>
      <c r="D304" s="4" t="s">
        <v>901</v>
      </c>
      <c r="E304" s="4" t="s">
        <v>1681</v>
      </c>
      <c r="F304" s="4" t="s">
        <v>1682</v>
      </c>
      <c r="G304" s="4" t="s">
        <v>41</v>
      </c>
      <c r="H304" s="7" t="s">
        <v>42</v>
      </c>
      <c r="I304" s="7"/>
      <c r="J304" s="4" t="s">
        <v>637</v>
      </c>
      <c r="K304" s="4" t="s">
        <v>1683</v>
      </c>
      <c r="L304" s="4" t="s">
        <v>1598</v>
      </c>
      <c r="M304" s="4" t="s">
        <v>906</v>
      </c>
      <c r="N304" s="7" t="s">
        <v>907</v>
      </c>
      <c r="O304" s="7" t="s">
        <v>908</v>
      </c>
      <c r="P304" s="7"/>
    </row>
    <row r="305" spans="1:16" ht="54" customHeight="1">
      <c r="A305" s="8" t="s">
        <v>318</v>
      </c>
      <c r="B305" s="8" t="s">
        <v>319</v>
      </c>
      <c r="C305" s="8" t="s">
        <v>1684</v>
      </c>
      <c r="D305" s="8" t="s">
        <v>1325</v>
      </c>
      <c r="E305" s="8" t="s">
        <v>1685</v>
      </c>
      <c r="F305" s="8" t="s">
        <v>1686</v>
      </c>
      <c r="G305" s="8" t="s">
        <v>41</v>
      </c>
      <c r="H305" s="7" t="s">
        <v>42</v>
      </c>
      <c r="I305" s="7"/>
      <c r="J305" s="8" t="s">
        <v>637</v>
      </c>
      <c r="K305" s="8" t="s">
        <v>1687</v>
      </c>
      <c r="L305" s="8" t="s">
        <v>1598</v>
      </c>
      <c r="M305" s="8" t="s">
        <v>906</v>
      </c>
      <c r="N305" s="7" t="s">
        <v>907</v>
      </c>
      <c r="O305" s="7" t="s">
        <v>908</v>
      </c>
      <c r="P305" s="7"/>
    </row>
    <row r="306" spans="1:16" ht="82" customHeight="1">
      <c r="A306" s="4" t="s">
        <v>318</v>
      </c>
      <c r="B306" s="4" t="s">
        <v>319</v>
      </c>
      <c r="C306" s="4" t="s">
        <v>1688</v>
      </c>
      <c r="D306" s="4" t="s">
        <v>1325</v>
      </c>
      <c r="E306" s="4" t="s">
        <v>1689</v>
      </c>
      <c r="F306" s="4" t="s">
        <v>1690</v>
      </c>
      <c r="G306" s="4" t="s">
        <v>41</v>
      </c>
      <c r="H306" s="7" t="s">
        <v>42</v>
      </c>
      <c r="I306" s="7"/>
      <c r="J306" s="4" t="s">
        <v>637</v>
      </c>
      <c r="K306" s="4" t="s">
        <v>1691</v>
      </c>
      <c r="L306" s="4" t="s">
        <v>1598</v>
      </c>
      <c r="M306" s="4" t="s">
        <v>906</v>
      </c>
      <c r="N306" s="7" t="s">
        <v>907</v>
      </c>
      <c r="O306" s="7" t="s">
        <v>908</v>
      </c>
      <c r="P306" s="7"/>
    </row>
    <row r="307" spans="1:16" ht="54" customHeight="1">
      <c r="A307" s="8" t="s">
        <v>318</v>
      </c>
      <c r="B307" s="8" t="s">
        <v>319</v>
      </c>
      <c r="C307" s="8" t="s">
        <v>1692</v>
      </c>
      <c r="D307" s="8" t="s">
        <v>949</v>
      </c>
      <c r="E307" s="8" t="s">
        <v>1693</v>
      </c>
      <c r="F307" s="8" t="s">
        <v>1694</v>
      </c>
      <c r="G307" s="8" t="s">
        <v>41</v>
      </c>
      <c r="H307" s="7" t="s">
        <v>42</v>
      </c>
      <c r="I307" s="7"/>
      <c r="J307" s="8" t="s">
        <v>914</v>
      </c>
      <c r="K307" s="8" t="s">
        <v>952</v>
      </c>
      <c r="L307" s="8" t="s">
        <v>1598</v>
      </c>
      <c r="M307" s="8" t="s">
        <v>906</v>
      </c>
      <c r="N307" s="7" t="s">
        <v>907</v>
      </c>
      <c r="O307" s="7" t="s">
        <v>908</v>
      </c>
      <c r="P307" s="7"/>
    </row>
    <row r="308" spans="1:16" ht="54" customHeight="1">
      <c r="A308" s="4" t="s">
        <v>318</v>
      </c>
      <c r="B308" s="4" t="s">
        <v>319</v>
      </c>
      <c r="C308" s="4" t="s">
        <v>1695</v>
      </c>
      <c r="D308" s="4" t="s">
        <v>949</v>
      </c>
      <c r="E308" s="4" t="s">
        <v>1696</v>
      </c>
      <c r="F308" s="4" t="s">
        <v>1697</v>
      </c>
      <c r="G308" s="4" t="s">
        <v>41</v>
      </c>
      <c r="H308" s="7" t="s">
        <v>42</v>
      </c>
      <c r="I308" s="7"/>
      <c r="J308" s="4" t="s">
        <v>914</v>
      </c>
      <c r="K308" s="4" t="s">
        <v>956</v>
      </c>
      <c r="L308" s="4" t="s">
        <v>1598</v>
      </c>
      <c r="M308" s="4" t="s">
        <v>906</v>
      </c>
      <c r="N308" s="7" t="s">
        <v>907</v>
      </c>
      <c r="O308" s="7" t="s">
        <v>908</v>
      </c>
      <c r="P308" s="7"/>
    </row>
    <row r="309" spans="1:16" ht="40" customHeight="1">
      <c r="A309" s="8" t="s">
        <v>326</v>
      </c>
      <c r="B309" s="8" t="s">
        <v>327</v>
      </c>
      <c r="C309" s="8" t="s">
        <v>1698</v>
      </c>
      <c r="D309" s="8" t="s">
        <v>901</v>
      </c>
      <c r="E309" s="8" t="s">
        <v>1699</v>
      </c>
      <c r="F309" s="8" t="s">
        <v>1700</v>
      </c>
      <c r="G309" s="8" t="s">
        <v>41</v>
      </c>
      <c r="H309" s="7" t="s">
        <v>42</v>
      </c>
      <c r="I309" s="7"/>
      <c r="J309" s="8" t="s">
        <v>637</v>
      </c>
      <c r="K309" s="8" t="s">
        <v>904</v>
      </c>
      <c r="L309" s="8" t="s">
        <v>1701</v>
      </c>
      <c r="M309" s="8" t="s">
        <v>906</v>
      </c>
      <c r="N309" s="7" t="s">
        <v>907</v>
      </c>
      <c r="O309" s="7" t="s">
        <v>908</v>
      </c>
      <c r="P309" s="7"/>
    </row>
    <row r="310" spans="1:16" ht="40" customHeight="1">
      <c r="A310" s="4" t="s">
        <v>326</v>
      </c>
      <c r="B310" s="4" t="s">
        <v>327</v>
      </c>
      <c r="C310" s="4" t="s">
        <v>1702</v>
      </c>
      <c r="D310" s="4" t="s">
        <v>901</v>
      </c>
      <c r="E310" s="4" t="s">
        <v>1703</v>
      </c>
      <c r="F310" s="4" t="s">
        <v>1704</v>
      </c>
      <c r="G310" s="4" t="s">
        <v>41</v>
      </c>
      <c r="H310" s="7" t="s">
        <v>42</v>
      </c>
      <c r="I310" s="7"/>
      <c r="J310" s="4" t="s">
        <v>637</v>
      </c>
      <c r="K310" s="4" t="s">
        <v>988</v>
      </c>
      <c r="L310" s="4" t="s">
        <v>1701</v>
      </c>
      <c r="M310" s="4" t="s">
        <v>906</v>
      </c>
      <c r="N310" s="7" t="s">
        <v>907</v>
      </c>
      <c r="O310" s="7" t="s">
        <v>908</v>
      </c>
      <c r="P310" s="7"/>
    </row>
    <row r="311" spans="1:16" ht="40" customHeight="1">
      <c r="A311" s="8" t="s">
        <v>326</v>
      </c>
      <c r="B311" s="8" t="s">
        <v>327</v>
      </c>
      <c r="C311" s="8" t="s">
        <v>1705</v>
      </c>
      <c r="D311" s="8" t="s">
        <v>901</v>
      </c>
      <c r="E311" s="8" t="s">
        <v>1706</v>
      </c>
      <c r="F311" s="8" t="s">
        <v>1707</v>
      </c>
      <c r="G311" s="8" t="s">
        <v>41</v>
      </c>
      <c r="H311" s="7" t="s">
        <v>42</v>
      </c>
      <c r="I311" s="7"/>
      <c r="J311" s="8" t="s">
        <v>637</v>
      </c>
      <c r="K311" s="8" t="s">
        <v>992</v>
      </c>
      <c r="L311" s="8" t="s">
        <v>1701</v>
      </c>
      <c r="M311" s="8" t="s">
        <v>906</v>
      </c>
      <c r="N311" s="7" t="s">
        <v>907</v>
      </c>
      <c r="O311" s="7" t="s">
        <v>908</v>
      </c>
      <c r="P311" s="7"/>
    </row>
    <row r="312" spans="1:16" ht="40" customHeight="1">
      <c r="A312" s="4" t="s">
        <v>326</v>
      </c>
      <c r="B312" s="4" t="s">
        <v>327</v>
      </c>
      <c r="C312" s="4" t="s">
        <v>1708</v>
      </c>
      <c r="D312" s="4" t="s">
        <v>901</v>
      </c>
      <c r="E312" s="4" t="s">
        <v>1709</v>
      </c>
      <c r="F312" s="4" t="s">
        <v>1710</v>
      </c>
      <c r="G312" s="4" t="s">
        <v>41</v>
      </c>
      <c r="H312" s="7" t="s">
        <v>42</v>
      </c>
      <c r="I312" s="7"/>
      <c r="J312" s="4" t="s">
        <v>637</v>
      </c>
      <c r="K312" s="4" t="s">
        <v>1055</v>
      </c>
      <c r="L312" s="4" t="s">
        <v>1701</v>
      </c>
      <c r="M312" s="4" t="s">
        <v>906</v>
      </c>
      <c r="N312" s="7" t="s">
        <v>907</v>
      </c>
      <c r="O312" s="7" t="s">
        <v>908</v>
      </c>
      <c r="P312" s="7"/>
    </row>
    <row r="313" spans="1:16" ht="40" customHeight="1">
      <c r="A313" s="8" t="s">
        <v>326</v>
      </c>
      <c r="B313" s="8" t="s">
        <v>327</v>
      </c>
      <c r="C313" s="8" t="s">
        <v>1711</v>
      </c>
      <c r="D313" s="8" t="s">
        <v>901</v>
      </c>
      <c r="E313" s="8" t="s">
        <v>1712</v>
      </c>
      <c r="F313" s="8" t="s">
        <v>1713</v>
      </c>
      <c r="G313" s="8" t="s">
        <v>41</v>
      </c>
      <c r="H313" s="7" t="s">
        <v>42</v>
      </c>
      <c r="I313" s="7"/>
      <c r="J313" s="8" t="s">
        <v>637</v>
      </c>
      <c r="K313" s="8" t="s">
        <v>1221</v>
      </c>
      <c r="L313" s="8" t="s">
        <v>1701</v>
      </c>
      <c r="M313" s="8" t="s">
        <v>906</v>
      </c>
      <c r="N313" s="7" t="s">
        <v>907</v>
      </c>
      <c r="O313" s="7" t="s">
        <v>908</v>
      </c>
      <c r="P313" s="7"/>
    </row>
    <row r="314" spans="1:16" ht="40" customHeight="1">
      <c r="A314" s="4" t="s">
        <v>326</v>
      </c>
      <c r="B314" s="4" t="s">
        <v>327</v>
      </c>
      <c r="C314" s="4" t="s">
        <v>1714</v>
      </c>
      <c r="D314" s="4" t="s">
        <v>901</v>
      </c>
      <c r="E314" s="4" t="s">
        <v>1715</v>
      </c>
      <c r="F314" s="4" t="s">
        <v>1716</v>
      </c>
      <c r="G314" s="4" t="s">
        <v>41</v>
      </c>
      <c r="H314" s="7" t="s">
        <v>42</v>
      </c>
      <c r="I314" s="7"/>
      <c r="J314" s="4" t="s">
        <v>637</v>
      </c>
      <c r="K314" s="4" t="s">
        <v>1225</v>
      </c>
      <c r="L314" s="4" t="s">
        <v>1701</v>
      </c>
      <c r="M314" s="4" t="s">
        <v>906</v>
      </c>
      <c r="N314" s="7" t="s">
        <v>907</v>
      </c>
      <c r="O314" s="7" t="s">
        <v>908</v>
      </c>
      <c r="P314" s="7"/>
    </row>
    <row r="315" spans="1:16" ht="40" customHeight="1">
      <c r="A315" s="8" t="s">
        <v>326</v>
      </c>
      <c r="B315" s="8" t="s">
        <v>327</v>
      </c>
      <c r="C315" s="8" t="s">
        <v>1717</v>
      </c>
      <c r="D315" s="8" t="s">
        <v>901</v>
      </c>
      <c r="E315" s="8" t="s">
        <v>1718</v>
      </c>
      <c r="F315" s="8" t="s">
        <v>1719</v>
      </c>
      <c r="G315" s="8" t="s">
        <v>41</v>
      </c>
      <c r="H315" s="7" t="s">
        <v>42</v>
      </c>
      <c r="I315" s="7"/>
      <c r="J315" s="8" t="s">
        <v>637</v>
      </c>
      <c r="K315" s="8" t="s">
        <v>1229</v>
      </c>
      <c r="L315" s="8" t="s">
        <v>1701</v>
      </c>
      <c r="M315" s="8" t="s">
        <v>906</v>
      </c>
      <c r="N315" s="7" t="s">
        <v>907</v>
      </c>
      <c r="O315" s="7" t="s">
        <v>908</v>
      </c>
      <c r="P315" s="7"/>
    </row>
    <row r="316" spans="1:16" ht="40" customHeight="1">
      <c r="A316" s="4" t="s">
        <v>326</v>
      </c>
      <c r="B316" s="4" t="s">
        <v>327</v>
      </c>
      <c r="C316" s="4" t="s">
        <v>1720</v>
      </c>
      <c r="D316" s="4" t="s">
        <v>914</v>
      </c>
      <c r="E316" s="4" t="s">
        <v>915</v>
      </c>
      <c r="F316" s="4" t="s">
        <v>332</v>
      </c>
      <c r="G316" s="4" t="s">
        <v>916</v>
      </c>
      <c r="H316" s="7" t="s">
        <v>42</v>
      </c>
      <c r="I316" s="7"/>
      <c r="J316" s="4" t="s">
        <v>914</v>
      </c>
      <c r="K316" s="4" t="s">
        <v>41</v>
      </c>
      <c r="L316" s="4" t="s">
        <v>1701</v>
      </c>
      <c r="M316" s="4" t="s">
        <v>51</v>
      </c>
      <c r="N316" s="7" t="s">
        <v>907</v>
      </c>
      <c r="O316" s="7"/>
      <c r="P316" s="7"/>
    </row>
    <row r="317" spans="1:16" ht="40" customHeight="1">
      <c r="A317" s="8" t="s">
        <v>335</v>
      </c>
      <c r="B317" s="8" t="s">
        <v>336</v>
      </c>
      <c r="C317" s="8" t="s">
        <v>1721</v>
      </c>
      <c r="D317" s="8" t="s">
        <v>901</v>
      </c>
      <c r="E317" s="8" t="s">
        <v>1722</v>
      </c>
      <c r="F317" s="8" t="s">
        <v>1723</v>
      </c>
      <c r="G317" s="8" t="s">
        <v>41</v>
      </c>
      <c r="H317" s="7" t="s">
        <v>42</v>
      </c>
      <c r="I317" s="7"/>
      <c r="J317" s="8" t="s">
        <v>637</v>
      </c>
      <c r="K317" s="8" t="s">
        <v>920</v>
      </c>
      <c r="L317" s="8" t="s">
        <v>1724</v>
      </c>
      <c r="M317" s="8" t="s">
        <v>906</v>
      </c>
      <c r="N317" s="7" t="s">
        <v>907</v>
      </c>
      <c r="O317" s="7" t="s">
        <v>908</v>
      </c>
      <c r="P317" s="7"/>
    </row>
    <row r="318" spans="1:16" ht="40" customHeight="1">
      <c r="A318" s="4" t="s">
        <v>335</v>
      </c>
      <c r="B318" s="4" t="s">
        <v>336</v>
      </c>
      <c r="C318" s="4" t="s">
        <v>1725</v>
      </c>
      <c r="D318" s="4" t="s">
        <v>914</v>
      </c>
      <c r="E318" s="4" t="s">
        <v>915</v>
      </c>
      <c r="F318" s="4" t="s">
        <v>341</v>
      </c>
      <c r="G318" s="4" t="s">
        <v>916</v>
      </c>
      <c r="H318" s="7" t="s">
        <v>42</v>
      </c>
      <c r="I318" s="7"/>
      <c r="J318" s="4" t="s">
        <v>914</v>
      </c>
      <c r="K318" s="4" t="s">
        <v>41</v>
      </c>
      <c r="L318" s="4" t="s">
        <v>1724</v>
      </c>
      <c r="M318" s="4" t="s">
        <v>51</v>
      </c>
      <c r="N318" s="7" t="s">
        <v>907</v>
      </c>
      <c r="O318" s="7"/>
      <c r="P318" s="7"/>
    </row>
    <row r="319" spans="1:16" ht="40" customHeight="1">
      <c r="A319" s="8" t="s">
        <v>344</v>
      </c>
      <c r="B319" s="8" t="s">
        <v>345</v>
      </c>
      <c r="C319" s="8" t="s">
        <v>1726</v>
      </c>
      <c r="D319" s="8" t="s">
        <v>901</v>
      </c>
      <c r="E319" s="8" t="s">
        <v>1727</v>
      </c>
      <c r="F319" s="8" t="s">
        <v>1728</v>
      </c>
      <c r="G319" s="8" t="s">
        <v>41</v>
      </c>
      <c r="H319" s="7" t="s">
        <v>42</v>
      </c>
      <c r="I319" s="7"/>
      <c r="J319" s="8" t="s">
        <v>637</v>
      </c>
      <c r="K319" s="8" t="s">
        <v>926</v>
      </c>
      <c r="L319" s="8" t="s">
        <v>1729</v>
      </c>
      <c r="M319" s="8" t="s">
        <v>906</v>
      </c>
      <c r="N319" s="7" t="s">
        <v>907</v>
      </c>
      <c r="O319" s="7" t="s">
        <v>908</v>
      </c>
      <c r="P319" s="7"/>
    </row>
    <row r="320" spans="1:16" ht="82" customHeight="1">
      <c r="A320" s="4" t="s">
        <v>344</v>
      </c>
      <c r="B320" s="4" t="s">
        <v>345</v>
      </c>
      <c r="C320" s="4" t="s">
        <v>1730</v>
      </c>
      <c r="D320" s="4" t="s">
        <v>901</v>
      </c>
      <c r="E320" s="4" t="s">
        <v>1731</v>
      </c>
      <c r="F320" s="4" t="s">
        <v>1732</v>
      </c>
      <c r="G320" s="4" t="s">
        <v>41</v>
      </c>
      <c r="H320" s="7" t="s">
        <v>42</v>
      </c>
      <c r="I320" s="7"/>
      <c r="J320" s="4" t="s">
        <v>637</v>
      </c>
      <c r="K320" s="4" t="s">
        <v>931</v>
      </c>
      <c r="L320" s="4" t="s">
        <v>1729</v>
      </c>
      <c r="M320" s="4" t="s">
        <v>906</v>
      </c>
      <c r="N320" s="7" t="s">
        <v>907</v>
      </c>
      <c r="O320" s="7" t="s">
        <v>908</v>
      </c>
      <c r="P320" s="7"/>
    </row>
    <row r="321" spans="1:16" ht="68" customHeight="1">
      <c r="A321" s="8" t="s">
        <v>344</v>
      </c>
      <c r="B321" s="8" t="s">
        <v>345</v>
      </c>
      <c r="C321" s="8" t="s">
        <v>1733</v>
      </c>
      <c r="D321" s="8" t="s">
        <v>1175</v>
      </c>
      <c r="E321" s="8" t="s">
        <v>1734</v>
      </c>
      <c r="F321" s="8" t="s">
        <v>1735</v>
      </c>
      <c r="G321" s="8" t="s">
        <v>41</v>
      </c>
      <c r="H321" s="7" t="s">
        <v>42</v>
      </c>
      <c r="I321" s="7"/>
      <c r="J321" s="8" t="s">
        <v>637</v>
      </c>
      <c r="K321" s="8" t="s">
        <v>935</v>
      </c>
      <c r="L321" s="8" t="s">
        <v>1729</v>
      </c>
      <c r="M321" s="8" t="s">
        <v>906</v>
      </c>
      <c r="N321" s="7" t="s">
        <v>907</v>
      </c>
      <c r="O321" s="7" t="s">
        <v>908</v>
      </c>
      <c r="P321" s="7"/>
    </row>
    <row r="322" spans="1:16" ht="40" customHeight="1">
      <c r="A322" s="4" t="s">
        <v>344</v>
      </c>
      <c r="B322" s="4" t="s">
        <v>345</v>
      </c>
      <c r="C322" s="4" t="s">
        <v>1736</v>
      </c>
      <c r="D322" s="4" t="s">
        <v>901</v>
      </c>
      <c r="E322" s="4" t="s">
        <v>1737</v>
      </c>
      <c r="F322" s="4" t="s">
        <v>1738</v>
      </c>
      <c r="G322" s="4" t="s">
        <v>41</v>
      </c>
      <c r="H322" s="7" t="s">
        <v>42</v>
      </c>
      <c r="I322" s="7"/>
      <c r="J322" s="4" t="s">
        <v>637</v>
      </c>
      <c r="K322" s="4" t="s">
        <v>939</v>
      </c>
      <c r="L322" s="4" t="s">
        <v>1729</v>
      </c>
      <c r="M322" s="4" t="s">
        <v>906</v>
      </c>
      <c r="N322" s="7" t="s">
        <v>907</v>
      </c>
      <c r="O322" s="7" t="s">
        <v>908</v>
      </c>
      <c r="P322" s="7"/>
    </row>
    <row r="323" spans="1:16" ht="40" customHeight="1">
      <c r="A323" s="8" t="s">
        <v>344</v>
      </c>
      <c r="B323" s="8" t="s">
        <v>345</v>
      </c>
      <c r="C323" s="8" t="s">
        <v>1739</v>
      </c>
      <c r="D323" s="8" t="s">
        <v>901</v>
      </c>
      <c r="E323" s="8" t="s">
        <v>1740</v>
      </c>
      <c r="F323" s="8" t="s">
        <v>1741</v>
      </c>
      <c r="G323" s="8" t="s">
        <v>41</v>
      </c>
      <c r="H323" s="7" t="s">
        <v>42</v>
      </c>
      <c r="I323" s="7"/>
      <c r="J323" s="8" t="s">
        <v>637</v>
      </c>
      <c r="K323" s="8" t="s">
        <v>943</v>
      </c>
      <c r="L323" s="8" t="s">
        <v>1729</v>
      </c>
      <c r="M323" s="8" t="s">
        <v>906</v>
      </c>
      <c r="N323" s="7" t="s">
        <v>907</v>
      </c>
      <c r="O323" s="7" t="s">
        <v>908</v>
      </c>
      <c r="P323" s="7"/>
    </row>
    <row r="324" spans="1:16" ht="40" customHeight="1">
      <c r="A324" s="4" t="s">
        <v>344</v>
      </c>
      <c r="B324" s="4" t="s">
        <v>345</v>
      </c>
      <c r="C324" s="4" t="s">
        <v>1742</v>
      </c>
      <c r="D324" s="4" t="s">
        <v>901</v>
      </c>
      <c r="E324" s="4" t="s">
        <v>1743</v>
      </c>
      <c r="F324" s="4" t="s">
        <v>1744</v>
      </c>
      <c r="G324" s="4" t="s">
        <v>41</v>
      </c>
      <c r="H324" s="7" t="s">
        <v>42</v>
      </c>
      <c r="I324" s="7"/>
      <c r="J324" s="4" t="s">
        <v>637</v>
      </c>
      <c r="K324" s="4" t="s">
        <v>947</v>
      </c>
      <c r="L324" s="4" t="s">
        <v>1729</v>
      </c>
      <c r="M324" s="4" t="s">
        <v>906</v>
      </c>
      <c r="N324" s="7" t="s">
        <v>907</v>
      </c>
      <c r="O324" s="7" t="s">
        <v>908</v>
      </c>
      <c r="P324" s="7"/>
    </row>
    <row r="325" spans="1:16" ht="68" customHeight="1">
      <c r="A325" s="8" t="s">
        <v>344</v>
      </c>
      <c r="B325" s="8" t="s">
        <v>345</v>
      </c>
      <c r="C325" s="8" t="s">
        <v>1745</v>
      </c>
      <c r="D325" s="8" t="s">
        <v>901</v>
      </c>
      <c r="E325" s="8" t="s">
        <v>1746</v>
      </c>
      <c r="F325" s="8" t="s">
        <v>1747</v>
      </c>
      <c r="G325" s="8" t="s">
        <v>41</v>
      </c>
      <c r="H325" s="7" t="s">
        <v>42</v>
      </c>
      <c r="I325" s="7"/>
      <c r="J325" s="8" t="s">
        <v>637</v>
      </c>
      <c r="K325" s="8" t="s">
        <v>912</v>
      </c>
      <c r="L325" s="8" t="s">
        <v>1729</v>
      </c>
      <c r="M325" s="8" t="s">
        <v>906</v>
      </c>
      <c r="N325" s="7" t="s">
        <v>907</v>
      </c>
      <c r="O325" s="7" t="s">
        <v>908</v>
      </c>
      <c r="P325" s="7"/>
    </row>
    <row r="326" spans="1:16" ht="54" customHeight="1">
      <c r="A326" s="4" t="s">
        <v>344</v>
      </c>
      <c r="B326" s="4" t="s">
        <v>345</v>
      </c>
      <c r="C326" s="4" t="s">
        <v>1748</v>
      </c>
      <c r="D326" s="4" t="s">
        <v>901</v>
      </c>
      <c r="E326" s="4" t="s">
        <v>1749</v>
      </c>
      <c r="F326" s="4" t="s">
        <v>1750</v>
      </c>
      <c r="G326" s="4" t="s">
        <v>41</v>
      </c>
      <c r="H326" s="7" t="s">
        <v>42</v>
      </c>
      <c r="I326" s="7"/>
      <c r="J326" s="4" t="s">
        <v>637</v>
      </c>
      <c r="K326" s="4" t="s">
        <v>1015</v>
      </c>
      <c r="L326" s="4" t="s">
        <v>1729</v>
      </c>
      <c r="M326" s="4" t="s">
        <v>906</v>
      </c>
      <c r="N326" s="7" t="s">
        <v>907</v>
      </c>
      <c r="O326" s="7" t="s">
        <v>908</v>
      </c>
      <c r="P326" s="7"/>
    </row>
    <row r="327" spans="1:16" ht="40" customHeight="1">
      <c r="A327" s="8" t="s">
        <v>344</v>
      </c>
      <c r="B327" s="8" t="s">
        <v>345</v>
      </c>
      <c r="C327" s="8" t="s">
        <v>1751</v>
      </c>
      <c r="D327" s="8" t="s">
        <v>914</v>
      </c>
      <c r="E327" s="8" t="s">
        <v>915</v>
      </c>
      <c r="F327" s="8" t="s">
        <v>350</v>
      </c>
      <c r="G327" s="8" t="s">
        <v>916</v>
      </c>
      <c r="H327" s="7" t="s">
        <v>42</v>
      </c>
      <c r="I327" s="7"/>
      <c r="J327" s="8" t="s">
        <v>914</v>
      </c>
      <c r="K327" s="8" t="s">
        <v>41</v>
      </c>
      <c r="L327" s="8" t="s">
        <v>1729</v>
      </c>
      <c r="M327" s="8" t="s">
        <v>51</v>
      </c>
      <c r="N327" s="7" t="s">
        <v>907</v>
      </c>
      <c r="O327" s="7"/>
      <c r="P327" s="7"/>
    </row>
    <row r="328" spans="1:16" ht="40" customHeight="1">
      <c r="A328" s="4" t="s">
        <v>353</v>
      </c>
      <c r="B328" s="4" t="s">
        <v>354</v>
      </c>
      <c r="C328" s="4" t="s">
        <v>1752</v>
      </c>
      <c r="D328" s="4" t="s">
        <v>901</v>
      </c>
      <c r="E328" s="4" t="s">
        <v>1753</v>
      </c>
      <c r="F328" s="4" t="s">
        <v>1754</v>
      </c>
      <c r="G328" s="4" t="s">
        <v>41</v>
      </c>
      <c r="H328" s="7" t="s">
        <v>42</v>
      </c>
      <c r="I328" s="7"/>
      <c r="J328" s="4" t="s">
        <v>637</v>
      </c>
      <c r="K328" s="4" t="s">
        <v>926</v>
      </c>
      <c r="L328" s="4" t="s">
        <v>1755</v>
      </c>
      <c r="M328" s="4" t="s">
        <v>906</v>
      </c>
      <c r="N328" s="7" t="s">
        <v>907</v>
      </c>
      <c r="O328" s="7" t="s">
        <v>908</v>
      </c>
      <c r="P328" s="7"/>
    </row>
    <row r="329" spans="1:16" ht="54" customHeight="1">
      <c r="A329" s="8" t="s">
        <v>353</v>
      </c>
      <c r="B329" s="8" t="s">
        <v>354</v>
      </c>
      <c r="C329" s="8" t="s">
        <v>1756</v>
      </c>
      <c r="D329" s="8" t="s">
        <v>901</v>
      </c>
      <c r="E329" s="8" t="s">
        <v>1757</v>
      </c>
      <c r="F329" s="8" t="s">
        <v>1758</v>
      </c>
      <c r="G329" s="8" t="s">
        <v>41</v>
      </c>
      <c r="H329" s="7" t="s">
        <v>42</v>
      </c>
      <c r="I329" s="7"/>
      <c r="J329" s="8" t="s">
        <v>637</v>
      </c>
      <c r="K329" s="8" t="s">
        <v>1377</v>
      </c>
      <c r="L329" s="8" t="s">
        <v>1755</v>
      </c>
      <c r="M329" s="8" t="s">
        <v>906</v>
      </c>
      <c r="N329" s="7" t="s">
        <v>907</v>
      </c>
      <c r="O329" s="7" t="s">
        <v>908</v>
      </c>
      <c r="P329" s="7"/>
    </row>
    <row r="330" spans="1:16" ht="40" customHeight="1">
      <c r="A330" s="4" t="s">
        <v>353</v>
      </c>
      <c r="B330" s="4" t="s">
        <v>354</v>
      </c>
      <c r="C330" s="4" t="s">
        <v>1759</v>
      </c>
      <c r="D330" s="4" t="s">
        <v>901</v>
      </c>
      <c r="E330" s="4" t="s">
        <v>1760</v>
      </c>
      <c r="F330" s="4" t="s">
        <v>1761</v>
      </c>
      <c r="G330" s="4" t="s">
        <v>41</v>
      </c>
      <c r="H330" s="7" t="s">
        <v>42</v>
      </c>
      <c r="I330" s="7"/>
      <c r="J330" s="4" t="s">
        <v>637</v>
      </c>
      <c r="K330" s="4" t="s">
        <v>1762</v>
      </c>
      <c r="L330" s="4" t="s">
        <v>1755</v>
      </c>
      <c r="M330" s="4" t="s">
        <v>906</v>
      </c>
      <c r="N330" s="7" t="s">
        <v>907</v>
      </c>
      <c r="O330" s="7" t="s">
        <v>908</v>
      </c>
      <c r="P330" s="7"/>
    </row>
    <row r="331" spans="1:16" ht="40" customHeight="1">
      <c r="A331" s="8" t="s">
        <v>353</v>
      </c>
      <c r="B331" s="8" t="s">
        <v>354</v>
      </c>
      <c r="C331" s="8" t="s">
        <v>1763</v>
      </c>
      <c r="D331" s="8" t="s">
        <v>901</v>
      </c>
      <c r="E331" s="8" t="s">
        <v>1764</v>
      </c>
      <c r="F331" s="8" t="s">
        <v>1765</v>
      </c>
      <c r="G331" s="8" t="s">
        <v>41</v>
      </c>
      <c r="H331" s="7" t="s">
        <v>42</v>
      </c>
      <c r="I331" s="7"/>
      <c r="J331" s="8" t="s">
        <v>637</v>
      </c>
      <c r="K331" s="8" t="s">
        <v>1766</v>
      </c>
      <c r="L331" s="8" t="s">
        <v>1755</v>
      </c>
      <c r="M331" s="8" t="s">
        <v>906</v>
      </c>
      <c r="N331" s="7" t="s">
        <v>907</v>
      </c>
      <c r="O331" s="7" t="s">
        <v>908</v>
      </c>
      <c r="P331" s="7"/>
    </row>
    <row r="332" spans="1:16" ht="40" customHeight="1">
      <c r="A332" s="4" t="s">
        <v>353</v>
      </c>
      <c r="B332" s="4" t="s">
        <v>354</v>
      </c>
      <c r="C332" s="4" t="s">
        <v>1767</v>
      </c>
      <c r="D332" s="4" t="s">
        <v>901</v>
      </c>
      <c r="E332" s="4" t="s">
        <v>1768</v>
      </c>
      <c r="F332" s="4" t="s">
        <v>1769</v>
      </c>
      <c r="G332" s="4" t="s">
        <v>41</v>
      </c>
      <c r="H332" s="7" t="s">
        <v>42</v>
      </c>
      <c r="I332" s="7"/>
      <c r="J332" s="4" t="s">
        <v>637</v>
      </c>
      <c r="K332" s="4" t="s">
        <v>1770</v>
      </c>
      <c r="L332" s="4" t="s">
        <v>1755</v>
      </c>
      <c r="M332" s="4" t="s">
        <v>906</v>
      </c>
      <c r="N332" s="7" t="s">
        <v>907</v>
      </c>
      <c r="O332" s="7" t="s">
        <v>908</v>
      </c>
      <c r="P332" s="7"/>
    </row>
    <row r="333" spans="1:16" ht="40" customHeight="1">
      <c r="A333" s="8" t="s">
        <v>353</v>
      </c>
      <c r="B333" s="8" t="s">
        <v>354</v>
      </c>
      <c r="C333" s="8" t="s">
        <v>1771</v>
      </c>
      <c r="D333" s="8" t="s">
        <v>901</v>
      </c>
      <c r="E333" s="8" t="s">
        <v>1772</v>
      </c>
      <c r="F333" s="8" t="s">
        <v>1773</v>
      </c>
      <c r="G333" s="8" t="s">
        <v>41</v>
      </c>
      <c r="H333" s="7" t="s">
        <v>42</v>
      </c>
      <c r="I333" s="7"/>
      <c r="J333" s="8" t="s">
        <v>637</v>
      </c>
      <c r="K333" s="8" t="s">
        <v>1774</v>
      </c>
      <c r="L333" s="8" t="s">
        <v>1755</v>
      </c>
      <c r="M333" s="8" t="s">
        <v>906</v>
      </c>
      <c r="N333" s="7" t="s">
        <v>907</v>
      </c>
      <c r="O333" s="7" t="s">
        <v>908</v>
      </c>
      <c r="P333" s="7"/>
    </row>
    <row r="334" spans="1:16" ht="40" customHeight="1">
      <c r="A334" s="4" t="s">
        <v>353</v>
      </c>
      <c r="B334" s="4" t="s">
        <v>354</v>
      </c>
      <c r="C334" s="4" t="s">
        <v>1775</v>
      </c>
      <c r="D334" s="4" t="s">
        <v>901</v>
      </c>
      <c r="E334" s="4" t="s">
        <v>1776</v>
      </c>
      <c r="F334" s="4" t="s">
        <v>1777</v>
      </c>
      <c r="G334" s="4" t="s">
        <v>41</v>
      </c>
      <c r="H334" s="7" t="s">
        <v>42</v>
      </c>
      <c r="I334" s="7"/>
      <c r="J334" s="4" t="s">
        <v>637</v>
      </c>
      <c r="K334" s="4" t="s">
        <v>1381</v>
      </c>
      <c r="L334" s="4" t="s">
        <v>1755</v>
      </c>
      <c r="M334" s="4" t="s">
        <v>906</v>
      </c>
      <c r="N334" s="7" t="s">
        <v>907</v>
      </c>
      <c r="O334" s="7" t="s">
        <v>908</v>
      </c>
      <c r="P334" s="7"/>
    </row>
    <row r="335" spans="1:16" ht="54" customHeight="1">
      <c r="A335" s="8" t="s">
        <v>353</v>
      </c>
      <c r="B335" s="8" t="s">
        <v>354</v>
      </c>
      <c r="C335" s="8" t="s">
        <v>1778</v>
      </c>
      <c r="D335" s="8" t="s">
        <v>901</v>
      </c>
      <c r="E335" s="8" t="s">
        <v>1779</v>
      </c>
      <c r="F335" s="8" t="s">
        <v>1780</v>
      </c>
      <c r="G335" s="8" t="s">
        <v>41</v>
      </c>
      <c r="H335" s="7" t="s">
        <v>42</v>
      </c>
      <c r="I335" s="7"/>
      <c r="J335" s="8" t="s">
        <v>637</v>
      </c>
      <c r="K335" s="8" t="s">
        <v>1385</v>
      </c>
      <c r="L335" s="8" t="s">
        <v>1755</v>
      </c>
      <c r="M335" s="8" t="s">
        <v>906</v>
      </c>
      <c r="N335" s="7" t="s">
        <v>907</v>
      </c>
      <c r="O335" s="7" t="s">
        <v>908</v>
      </c>
      <c r="P335" s="7"/>
    </row>
    <row r="336" spans="1:16" ht="40" customHeight="1">
      <c r="A336" s="4" t="s">
        <v>353</v>
      </c>
      <c r="B336" s="4" t="s">
        <v>354</v>
      </c>
      <c r="C336" s="4" t="s">
        <v>1781</v>
      </c>
      <c r="D336" s="4" t="s">
        <v>901</v>
      </c>
      <c r="E336" s="4" t="s">
        <v>1782</v>
      </c>
      <c r="F336" s="4" t="s">
        <v>1783</v>
      </c>
      <c r="G336" s="4" t="s">
        <v>41</v>
      </c>
      <c r="H336" s="7" t="s">
        <v>42</v>
      </c>
      <c r="I336" s="7"/>
      <c r="J336" s="4" t="s">
        <v>637</v>
      </c>
      <c r="K336" s="4" t="s">
        <v>1784</v>
      </c>
      <c r="L336" s="4" t="s">
        <v>1755</v>
      </c>
      <c r="M336" s="4" t="s">
        <v>906</v>
      </c>
      <c r="N336" s="7" t="s">
        <v>907</v>
      </c>
      <c r="O336" s="7" t="s">
        <v>908</v>
      </c>
      <c r="P336" s="7"/>
    </row>
    <row r="337" spans="1:16" ht="40" customHeight="1">
      <c r="A337" s="8" t="s">
        <v>353</v>
      </c>
      <c r="B337" s="8" t="s">
        <v>354</v>
      </c>
      <c r="C337" s="8" t="s">
        <v>1785</v>
      </c>
      <c r="D337" s="8" t="s">
        <v>901</v>
      </c>
      <c r="E337" s="8" t="s">
        <v>1764</v>
      </c>
      <c r="F337" s="8" t="s">
        <v>1786</v>
      </c>
      <c r="G337" s="8" t="s">
        <v>41</v>
      </c>
      <c r="H337" s="7" t="s">
        <v>42</v>
      </c>
      <c r="I337" s="7"/>
      <c r="J337" s="8" t="s">
        <v>637</v>
      </c>
      <c r="K337" s="8" t="s">
        <v>1787</v>
      </c>
      <c r="L337" s="8" t="s">
        <v>1755</v>
      </c>
      <c r="M337" s="8" t="s">
        <v>906</v>
      </c>
      <c r="N337" s="7" t="s">
        <v>907</v>
      </c>
      <c r="O337" s="7" t="s">
        <v>908</v>
      </c>
      <c r="P337" s="7"/>
    </row>
    <row r="338" spans="1:16" ht="40" customHeight="1">
      <c r="A338" s="4" t="s">
        <v>353</v>
      </c>
      <c r="B338" s="4" t="s">
        <v>354</v>
      </c>
      <c r="C338" s="4" t="s">
        <v>1788</v>
      </c>
      <c r="D338" s="4" t="s">
        <v>901</v>
      </c>
      <c r="E338" s="4" t="s">
        <v>1768</v>
      </c>
      <c r="F338" s="4" t="s">
        <v>1789</v>
      </c>
      <c r="G338" s="4" t="s">
        <v>41</v>
      </c>
      <c r="H338" s="7" t="s">
        <v>42</v>
      </c>
      <c r="I338" s="7"/>
      <c r="J338" s="4" t="s">
        <v>637</v>
      </c>
      <c r="K338" s="4" t="s">
        <v>1790</v>
      </c>
      <c r="L338" s="4" t="s">
        <v>1755</v>
      </c>
      <c r="M338" s="4" t="s">
        <v>906</v>
      </c>
      <c r="N338" s="7" t="s">
        <v>907</v>
      </c>
      <c r="O338" s="7" t="s">
        <v>908</v>
      </c>
      <c r="P338" s="7"/>
    </row>
    <row r="339" spans="1:16" ht="40" customHeight="1">
      <c r="A339" s="8" t="s">
        <v>353</v>
      </c>
      <c r="B339" s="8" t="s">
        <v>354</v>
      </c>
      <c r="C339" s="8" t="s">
        <v>1791</v>
      </c>
      <c r="D339" s="8" t="s">
        <v>901</v>
      </c>
      <c r="E339" s="8" t="s">
        <v>1792</v>
      </c>
      <c r="F339" s="8" t="s">
        <v>1793</v>
      </c>
      <c r="G339" s="8" t="s">
        <v>41</v>
      </c>
      <c r="H339" s="7" t="s">
        <v>42</v>
      </c>
      <c r="I339" s="7"/>
      <c r="J339" s="8" t="s">
        <v>637</v>
      </c>
      <c r="K339" s="8" t="s">
        <v>1794</v>
      </c>
      <c r="L339" s="8" t="s">
        <v>1755</v>
      </c>
      <c r="M339" s="8" t="s">
        <v>906</v>
      </c>
      <c r="N339" s="7" t="s">
        <v>907</v>
      </c>
      <c r="O339" s="7" t="s">
        <v>908</v>
      </c>
      <c r="P339" s="7"/>
    </row>
    <row r="340" spans="1:16" ht="40" customHeight="1">
      <c r="A340" s="4" t="s">
        <v>353</v>
      </c>
      <c r="B340" s="4" t="s">
        <v>354</v>
      </c>
      <c r="C340" s="4" t="s">
        <v>1795</v>
      </c>
      <c r="D340" s="4" t="s">
        <v>914</v>
      </c>
      <c r="E340" s="4" t="s">
        <v>915</v>
      </c>
      <c r="F340" s="4" t="s">
        <v>358</v>
      </c>
      <c r="G340" s="4" t="s">
        <v>916</v>
      </c>
      <c r="H340" s="7" t="s">
        <v>42</v>
      </c>
      <c r="I340" s="7"/>
      <c r="J340" s="4" t="s">
        <v>914</v>
      </c>
      <c r="K340" s="4" t="s">
        <v>41</v>
      </c>
      <c r="L340" s="4" t="s">
        <v>1755</v>
      </c>
      <c r="M340" s="4" t="s">
        <v>51</v>
      </c>
      <c r="N340" s="7" t="s">
        <v>907</v>
      </c>
      <c r="O340" s="7"/>
      <c r="P340" s="7"/>
    </row>
    <row r="341" spans="1:16" ht="40" customHeight="1">
      <c r="A341" s="8" t="s">
        <v>361</v>
      </c>
      <c r="B341" s="8" t="s">
        <v>362</v>
      </c>
      <c r="C341" s="8" t="s">
        <v>1796</v>
      </c>
      <c r="D341" s="8" t="s">
        <v>901</v>
      </c>
      <c r="E341" s="8" t="s">
        <v>1797</v>
      </c>
      <c r="F341" s="8" t="s">
        <v>1798</v>
      </c>
      <c r="G341" s="8" t="s">
        <v>41</v>
      </c>
      <c r="H341" s="7" t="s">
        <v>42</v>
      </c>
      <c r="I341" s="7"/>
      <c r="J341" s="8" t="s">
        <v>637</v>
      </c>
      <c r="K341" s="8" t="s">
        <v>926</v>
      </c>
      <c r="L341" s="8" t="s">
        <v>1799</v>
      </c>
      <c r="M341" s="8" t="s">
        <v>906</v>
      </c>
      <c r="N341" s="7" t="s">
        <v>907</v>
      </c>
      <c r="O341" s="7" t="s">
        <v>908</v>
      </c>
      <c r="P341" s="7"/>
    </row>
    <row r="342" spans="1:16" ht="40" customHeight="1">
      <c r="A342" s="4" t="s">
        <v>361</v>
      </c>
      <c r="B342" s="4" t="s">
        <v>362</v>
      </c>
      <c r="C342" s="4" t="s">
        <v>1800</v>
      </c>
      <c r="D342" s="4" t="s">
        <v>901</v>
      </c>
      <c r="E342" s="4" t="s">
        <v>1801</v>
      </c>
      <c r="F342" s="4" t="s">
        <v>1802</v>
      </c>
      <c r="G342" s="4" t="s">
        <v>41</v>
      </c>
      <c r="H342" s="7" t="s">
        <v>42</v>
      </c>
      <c r="I342" s="7"/>
      <c r="J342" s="4" t="s">
        <v>637</v>
      </c>
      <c r="K342" s="4" t="s">
        <v>931</v>
      </c>
      <c r="L342" s="4" t="s">
        <v>1799</v>
      </c>
      <c r="M342" s="4" t="s">
        <v>906</v>
      </c>
      <c r="N342" s="7" t="s">
        <v>907</v>
      </c>
      <c r="O342" s="7" t="s">
        <v>908</v>
      </c>
      <c r="P342" s="7"/>
    </row>
    <row r="343" spans="1:16" ht="40" customHeight="1">
      <c r="A343" s="8" t="s">
        <v>361</v>
      </c>
      <c r="B343" s="8" t="s">
        <v>362</v>
      </c>
      <c r="C343" s="8" t="s">
        <v>1803</v>
      </c>
      <c r="D343" s="8" t="s">
        <v>901</v>
      </c>
      <c r="E343" s="8" t="s">
        <v>1804</v>
      </c>
      <c r="F343" s="8" t="s">
        <v>1805</v>
      </c>
      <c r="G343" s="8" t="s">
        <v>41</v>
      </c>
      <c r="H343" s="7" t="s">
        <v>42</v>
      </c>
      <c r="I343" s="7"/>
      <c r="J343" s="8" t="s">
        <v>637</v>
      </c>
      <c r="K343" s="8" t="s">
        <v>935</v>
      </c>
      <c r="L343" s="8" t="s">
        <v>1799</v>
      </c>
      <c r="M343" s="8" t="s">
        <v>906</v>
      </c>
      <c r="N343" s="7" t="s">
        <v>907</v>
      </c>
      <c r="O343" s="7" t="s">
        <v>908</v>
      </c>
      <c r="P343" s="7"/>
    </row>
    <row r="344" spans="1:16" ht="54" customHeight="1">
      <c r="A344" s="4" t="s">
        <v>361</v>
      </c>
      <c r="B344" s="4" t="s">
        <v>362</v>
      </c>
      <c r="C344" s="4" t="s">
        <v>1806</v>
      </c>
      <c r="D344" s="4" t="s">
        <v>1175</v>
      </c>
      <c r="E344" s="4" t="s">
        <v>1807</v>
      </c>
      <c r="F344" s="4" t="s">
        <v>1808</v>
      </c>
      <c r="G344" s="4" t="s">
        <v>41</v>
      </c>
      <c r="H344" s="7" t="s">
        <v>42</v>
      </c>
      <c r="I344" s="7"/>
      <c r="J344" s="4" t="s">
        <v>637</v>
      </c>
      <c r="K344" s="4" t="s">
        <v>939</v>
      </c>
      <c r="L344" s="4" t="s">
        <v>1799</v>
      </c>
      <c r="M344" s="4" t="s">
        <v>906</v>
      </c>
      <c r="N344" s="7" t="s">
        <v>907</v>
      </c>
      <c r="O344" s="7" t="s">
        <v>908</v>
      </c>
      <c r="P344" s="7"/>
    </row>
    <row r="345" spans="1:16" ht="40" customHeight="1">
      <c r="A345" s="8" t="s">
        <v>361</v>
      </c>
      <c r="B345" s="8" t="s">
        <v>362</v>
      </c>
      <c r="C345" s="8" t="s">
        <v>1809</v>
      </c>
      <c r="D345" s="8" t="s">
        <v>901</v>
      </c>
      <c r="E345" s="8" t="s">
        <v>1810</v>
      </c>
      <c r="F345" s="8" t="s">
        <v>1811</v>
      </c>
      <c r="G345" s="8" t="s">
        <v>41</v>
      </c>
      <c r="H345" s="7" t="s">
        <v>42</v>
      </c>
      <c r="I345" s="7"/>
      <c r="J345" s="8" t="s">
        <v>637</v>
      </c>
      <c r="K345" s="8" t="s">
        <v>943</v>
      </c>
      <c r="L345" s="8" t="s">
        <v>1799</v>
      </c>
      <c r="M345" s="8" t="s">
        <v>906</v>
      </c>
      <c r="N345" s="7" t="s">
        <v>907</v>
      </c>
      <c r="O345" s="7" t="s">
        <v>908</v>
      </c>
      <c r="P345" s="7"/>
    </row>
    <row r="346" spans="1:16" ht="40" customHeight="1">
      <c r="A346" s="4" t="s">
        <v>361</v>
      </c>
      <c r="B346" s="4" t="s">
        <v>362</v>
      </c>
      <c r="C346" s="4" t="s">
        <v>1812</v>
      </c>
      <c r="D346" s="4" t="s">
        <v>901</v>
      </c>
      <c r="E346" s="4" t="s">
        <v>1813</v>
      </c>
      <c r="F346" s="4" t="s">
        <v>1814</v>
      </c>
      <c r="G346" s="4" t="s">
        <v>41</v>
      </c>
      <c r="H346" s="7" t="s">
        <v>42</v>
      </c>
      <c r="I346" s="7"/>
      <c r="J346" s="4" t="s">
        <v>637</v>
      </c>
      <c r="K346" s="4" t="s">
        <v>947</v>
      </c>
      <c r="L346" s="4" t="s">
        <v>1799</v>
      </c>
      <c r="M346" s="4" t="s">
        <v>906</v>
      </c>
      <c r="N346" s="7" t="s">
        <v>907</v>
      </c>
      <c r="O346" s="7" t="s">
        <v>908</v>
      </c>
      <c r="P346" s="7"/>
    </row>
    <row r="347" spans="1:16" ht="40" customHeight="1">
      <c r="A347" s="8" t="s">
        <v>361</v>
      </c>
      <c r="B347" s="8" t="s">
        <v>362</v>
      </c>
      <c r="C347" s="8" t="s">
        <v>1815</v>
      </c>
      <c r="D347" s="8" t="s">
        <v>914</v>
      </c>
      <c r="E347" s="8" t="s">
        <v>915</v>
      </c>
      <c r="F347" s="8" t="s">
        <v>365</v>
      </c>
      <c r="G347" s="8" t="s">
        <v>916</v>
      </c>
      <c r="H347" s="7" t="s">
        <v>42</v>
      </c>
      <c r="I347" s="7"/>
      <c r="J347" s="8" t="s">
        <v>914</v>
      </c>
      <c r="K347" s="8" t="s">
        <v>41</v>
      </c>
      <c r="L347" s="8" t="s">
        <v>1799</v>
      </c>
      <c r="M347" s="8" t="s">
        <v>51</v>
      </c>
      <c r="N347" s="7" t="s">
        <v>907</v>
      </c>
      <c r="O347" s="7"/>
      <c r="P347" s="7"/>
    </row>
    <row r="348" spans="1:16" ht="54" customHeight="1">
      <c r="A348" s="4" t="s">
        <v>368</v>
      </c>
      <c r="B348" s="4" t="s">
        <v>369</v>
      </c>
      <c r="C348" s="4" t="s">
        <v>1816</v>
      </c>
      <c r="D348" s="4" t="s">
        <v>901</v>
      </c>
      <c r="E348" s="4" t="s">
        <v>1817</v>
      </c>
      <c r="F348" s="4" t="s">
        <v>1818</v>
      </c>
      <c r="G348" s="4" t="s">
        <v>41</v>
      </c>
      <c r="H348" s="7" t="s">
        <v>42</v>
      </c>
      <c r="I348" s="7"/>
      <c r="J348" s="4" t="s">
        <v>637</v>
      </c>
      <c r="K348" s="4" t="s">
        <v>920</v>
      </c>
      <c r="L348" s="4" t="s">
        <v>1819</v>
      </c>
      <c r="M348" s="4" t="s">
        <v>906</v>
      </c>
      <c r="N348" s="7" t="s">
        <v>907</v>
      </c>
      <c r="O348" s="7" t="s">
        <v>908</v>
      </c>
      <c r="P348" s="7"/>
    </row>
    <row r="349" spans="1:16" ht="54" customHeight="1">
      <c r="A349" s="8" t="s">
        <v>368</v>
      </c>
      <c r="B349" s="8" t="s">
        <v>369</v>
      </c>
      <c r="C349" s="8" t="s">
        <v>1820</v>
      </c>
      <c r="D349" s="8" t="s">
        <v>901</v>
      </c>
      <c r="E349" s="8" t="s">
        <v>1821</v>
      </c>
      <c r="F349" s="8" t="s">
        <v>1822</v>
      </c>
      <c r="G349" s="8" t="s">
        <v>41</v>
      </c>
      <c r="H349" s="7" t="s">
        <v>42</v>
      </c>
      <c r="I349" s="7"/>
      <c r="J349" s="8" t="s">
        <v>637</v>
      </c>
      <c r="K349" s="8" t="s">
        <v>1091</v>
      </c>
      <c r="L349" s="8" t="s">
        <v>1819</v>
      </c>
      <c r="M349" s="8" t="s">
        <v>906</v>
      </c>
      <c r="N349" s="7" t="s">
        <v>907</v>
      </c>
      <c r="O349" s="7" t="s">
        <v>908</v>
      </c>
      <c r="P349" s="7"/>
    </row>
    <row r="350" spans="1:16" ht="68" customHeight="1">
      <c r="A350" s="4" t="s">
        <v>368</v>
      </c>
      <c r="B350" s="4" t="s">
        <v>369</v>
      </c>
      <c r="C350" s="4" t="s">
        <v>1823</v>
      </c>
      <c r="D350" s="4" t="s">
        <v>901</v>
      </c>
      <c r="E350" s="4" t="s">
        <v>1824</v>
      </c>
      <c r="F350" s="4" t="s">
        <v>1825</v>
      </c>
      <c r="G350" s="4" t="s">
        <v>41</v>
      </c>
      <c r="H350" s="7" t="s">
        <v>42</v>
      </c>
      <c r="I350" s="7"/>
      <c r="J350" s="4" t="s">
        <v>637</v>
      </c>
      <c r="K350" s="4" t="s">
        <v>1099</v>
      </c>
      <c r="L350" s="4" t="s">
        <v>1819</v>
      </c>
      <c r="M350" s="4" t="s">
        <v>906</v>
      </c>
      <c r="N350" s="7" t="s">
        <v>907</v>
      </c>
      <c r="O350" s="7" t="s">
        <v>908</v>
      </c>
      <c r="P350" s="7"/>
    </row>
    <row r="351" spans="1:16" ht="40" customHeight="1">
      <c r="A351" s="8" t="s">
        <v>368</v>
      </c>
      <c r="B351" s="8" t="s">
        <v>369</v>
      </c>
      <c r="C351" s="8" t="s">
        <v>1826</v>
      </c>
      <c r="D351" s="8" t="s">
        <v>914</v>
      </c>
      <c r="E351" s="8" t="s">
        <v>915</v>
      </c>
      <c r="F351" s="8" t="s">
        <v>375</v>
      </c>
      <c r="G351" s="8" t="s">
        <v>916</v>
      </c>
      <c r="H351" s="7" t="s">
        <v>42</v>
      </c>
      <c r="I351" s="7"/>
      <c r="J351" s="8" t="s">
        <v>914</v>
      </c>
      <c r="K351" s="8" t="s">
        <v>41</v>
      </c>
      <c r="L351" s="8" t="s">
        <v>1819</v>
      </c>
      <c r="M351" s="8" t="s">
        <v>51</v>
      </c>
      <c r="N351" s="7" t="s">
        <v>907</v>
      </c>
      <c r="O351" s="7"/>
      <c r="P351" s="7"/>
    </row>
    <row r="352" spans="1:16" ht="40" customHeight="1">
      <c r="A352" s="4" t="s">
        <v>378</v>
      </c>
      <c r="B352" s="4" t="s">
        <v>379</v>
      </c>
      <c r="C352" s="4" t="s">
        <v>1827</v>
      </c>
      <c r="D352" s="4" t="s">
        <v>901</v>
      </c>
      <c r="E352" s="4" t="s">
        <v>1583</v>
      </c>
      <c r="F352" s="4" t="s">
        <v>1828</v>
      </c>
      <c r="G352" s="4" t="s">
        <v>41</v>
      </c>
      <c r="H352" s="7" t="s">
        <v>42</v>
      </c>
      <c r="I352" s="7"/>
      <c r="J352" s="4" t="s">
        <v>637</v>
      </c>
      <c r="K352" s="4" t="s">
        <v>926</v>
      </c>
      <c r="L352" s="4" t="s">
        <v>1829</v>
      </c>
      <c r="M352" s="4" t="s">
        <v>906</v>
      </c>
      <c r="N352" s="7" t="s">
        <v>907</v>
      </c>
      <c r="O352" s="7" t="s">
        <v>908</v>
      </c>
      <c r="P352" s="7"/>
    </row>
    <row r="353" spans="1:16" ht="54" customHeight="1">
      <c r="A353" s="8" t="s">
        <v>378</v>
      </c>
      <c r="B353" s="8" t="s">
        <v>379</v>
      </c>
      <c r="C353" s="8" t="s">
        <v>1830</v>
      </c>
      <c r="D353" s="8" t="s">
        <v>901</v>
      </c>
      <c r="E353" s="8" t="s">
        <v>1831</v>
      </c>
      <c r="F353" s="8" t="s">
        <v>1832</v>
      </c>
      <c r="G353" s="8" t="s">
        <v>41</v>
      </c>
      <c r="H353" s="7" t="s">
        <v>42</v>
      </c>
      <c r="I353" s="7"/>
      <c r="J353" s="8" t="s">
        <v>637</v>
      </c>
      <c r="K353" s="8" t="s">
        <v>931</v>
      </c>
      <c r="L353" s="8" t="s">
        <v>1829</v>
      </c>
      <c r="M353" s="8" t="s">
        <v>906</v>
      </c>
      <c r="N353" s="7" t="s">
        <v>907</v>
      </c>
      <c r="O353" s="7" t="s">
        <v>908</v>
      </c>
      <c r="P353" s="7"/>
    </row>
    <row r="354" spans="1:16" ht="40" customHeight="1">
      <c r="A354" s="4" t="s">
        <v>378</v>
      </c>
      <c r="B354" s="4" t="s">
        <v>379</v>
      </c>
      <c r="C354" s="4" t="s">
        <v>1833</v>
      </c>
      <c r="D354" s="4" t="s">
        <v>901</v>
      </c>
      <c r="E354" s="4" t="s">
        <v>1834</v>
      </c>
      <c r="F354" s="4" t="s">
        <v>1835</v>
      </c>
      <c r="G354" s="4" t="s">
        <v>41</v>
      </c>
      <c r="H354" s="7" t="s">
        <v>42</v>
      </c>
      <c r="I354" s="7"/>
      <c r="J354" s="4" t="s">
        <v>637</v>
      </c>
      <c r="K354" s="4" t="s">
        <v>935</v>
      </c>
      <c r="L354" s="4" t="s">
        <v>1829</v>
      </c>
      <c r="M354" s="4" t="s">
        <v>906</v>
      </c>
      <c r="N354" s="7" t="s">
        <v>907</v>
      </c>
      <c r="O354" s="7" t="s">
        <v>908</v>
      </c>
      <c r="P354" s="7"/>
    </row>
    <row r="355" spans="1:16" ht="54" customHeight="1">
      <c r="A355" s="8" t="s">
        <v>378</v>
      </c>
      <c r="B355" s="8" t="s">
        <v>379</v>
      </c>
      <c r="C355" s="8" t="s">
        <v>1836</v>
      </c>
      <c r="D355" s="8" t="s">
        <v>901</v>
      </c>
      <c r="E355" s="8" t="s">
        <v>1837</v>
      </c>
      <c r="F355" s="8" t="s">
        <v>1838</v>
      </c>
      <c r="G355" s="8" t="s">
        <v>41</v>
      </c>
      <c r="H355" s="7" t="s">
        <v>42</v>
      </c>
      <c r="I355" s="7"/>
      <c r="J355" s="8" t="s">
        <v>637</v>
      </c>
      <c r="K355" s="8" t="s">
        <v>988</v>
      </c>
      <c r="L355" s="8" t="s">
        <v>1829</v>
      </c>
      <c r="M355" s="8" t="s">
        <v>906</v>
      </c>
      <c r="N355" s="7" t="s">
        <v>907</v>
      </c>
      <c r="O355" s="7" t="s">
        <v>908</v>
      </c>
      <c r="P355" s="7"/>
    </row>
    <row r="356" spans="1:16" ht="68" customHeight="1">
      <c r="A356" s="4" t="s">
        <v>378</v>
      </c>
      <c r="B356" s="4" t="s">
        <v>379</v>
      </c>
      <c r="C356" s="4" t="s">
        <v>1839</v>
      </c>
      <c r="D356" s="4" t="s">
        <v>901</v>
      </c>
      <c r="E356" s="4" t="s">
        <v>1840</v>
      </c>
      <c r="F356" s="4" t="s">
        <v>1841</v>
      </c>
      <c r="G356" s="4" t="s">
        <v>41</v>
      </c>
      <c r="H356" s="7" t="s">
        <v>42</v>
      </c>
      <c r="I356" s="7"/>
      <c r="J356" s="4" t="s">
        <v>637</v>
      </c>
      <c r="K356" s="4" t="s">
        <v>992</v>
      </c>
      <c r="L356" s="4" t="s">
        <v>1829</v>
      </c>
      <c r="M356" s="4" t="s">
        <v>906</v>
      </c>
      <c r="N356" s="7" t="s">
        <v>907</v>
      </c>
      <c r="O356" s="7" t="s">
        <v>908</v>
      </c>
      <c r="P356" s="7"/>
    </row>
    <row r="357" spans="1:16" ht="82" customHeight="1">
      <c r="A357" s="8" t="s">
        <v>378</v>
      </c>
      <c r="B357" s="8" t="s">
        <v>379</v>
      </c>
      <c r="C357" s="8" t="s">
        <v>1842</v>
      </c>
      <c r="D357" s="8" t="s">
        <v>901</v>
      </c>
      <c r="E357" s="8" t="s">
        <v>1843</v>
      </c>
      <c r="F357" s="8" t="s">
        <v>1844</v>
      </c>
      <c r="G357" s="8" t="s">
        <v>41</v>
      </c>
      <c r="H357" s="7" t="s">
        <v>42</v>
      </c>
      <c r="I357" s="7"/>
      <c r="J357" s="8" t="s">
        <v>637</v>
      </c>
      <c r="K357" s="8" t="s">
        <v>996</v>
      </c>
      <c r="L357" s="8" t="s">
        <v>1829</v>
      </c>
      <c r="M357" s="8" t="s">
        <v>906</v>
      </c>
      <c r="N357" s="7" t="s">
        <v>907</v>
      </c>
      <c r="O357" s="7" t="s">
        <v>908</v>
      </c>
      <c r="P357" s="7"/>
    </row>
    <row r="358" spans="1:16" ht="40" customHeight="1">
      <c r="A358" s="4" t="s">
        <v>378</v>
      </c>
      <c r="B358" s="4" t="s">
        <v>379</v>
      </c>
      <c r="C358" s="4" t="s">
        <v>1845</v>
      </c>
      <c r="D358" s="4" t="s">
        <v>901</v>
      </c>
      <c r="E358" s="4" t="s">
        <v>1846</v>
      </c>
      <c r="F358" s="4" t="s">
        <v>1847</v>
      </c>
      <c r="G358" s="4" t="s">
        <v>41</v>
      </c>
      <c r="H358" s="7" t="s">
        <v>42</v>
      </c>
      <c r="I358" s="7"/>
      <c r="J358" s="4" t="s">
        <v>637</v>
      </c>
      <c r="K358" s="4" t="s">
        <v>1000</v>
      </c>
      <c r="L358" s="4" t="s">
        <v>1829</v>
      </c>
      <c r="M358" s="4" t="s">
        <v>906</v>
      </c>
      <c r="N358" s="7" t="s">
        <v>907</v>
      </c>
      <c r="O358" s="7" t="s">
        <v>908</v>
      </c>
      <c r="P358" s="7"/>
    </row>
    <row r="359" spans="1:16" ht="40" customHeight="1">
      <c r="A359" s="8" t="s">
        <v>378</v>
      </c>
      <c r="B359" s="8" t="s">
        <v>379</v>
      </c>
      <c r="C359" s="8" t="s">
        <v>1848</v>
      </c>
      <c r="D359" s="8" t="s">
        <v>901</v>
      </c>
      <c r="E359" s="8" t="s">
        <v>1849</v>
      </c>
      <c r="F359" s="8" t="s">
        <v>1850</v>
      </c>
      <c r="G359" s="8" t="s">
        <v>41</v>
      </c>
      <c r="H359" s="7" t="s">
        <v>42</v>
      </c>
      <c r="I359" s="7"/>
      <c r="J359" s="8" t="s">
        <v>637</v>
      </c>
      <c r="K359" s="8" t="s">
        <v>1210</v>
      </c>
      <c r="L359" s="8" t="s">
        <v>1829</v>
      </c>
      <c r="M359" s="8" t="s">
        <v>906</v>
      </c>
      <c r="N359" s="7" t="s">
        <v>907</v>
      </c>
      <c r="O359" s="7" t="s">
        <v>908</v>
      </c>
      <c r="P359" s="7"/>
    </row>
    <row r="360" spans="1:16" ht="40" customHeight="1">
      <c r="A360" s="4" t="s">
        <v>378</v>
      </c>
      <c r="B360" s="4" t="s">
        <v>379</v>
      </c>
      <c r="C360" s="4" t="s">
        <v>1851</v>
      </c>
      <c r="D360" s="4" t="s">
        <v>949</v>
      </c>
      <c r="E360" s="4" t="s">
        <v>1852</v>
      </c>
      <c r="F360" s="4" t="s">
        <v>1853</v>
      </c>
      <c r="G360" s="4" t="s">
        <v>41</v>
      </c>
      <c r="H360" s="7" t="s">
        <v>42</v>
      </c>
      <c r="I360" s="7"/>
      <c r="J360" s="4" t="s">
        <v>914</v>
      </c>
      <c r="K360" s="4" t="s">
        <v>1023</v>
      </c>
      <c r="L360" s="4" t="s">
        <v>1829</v>
      </c>
      <c r="M360" s="4" t="s">
        <v>906</v>
      </c>
      <c r="N360" s="7" t="s">
        <v>907</v>
      </c>
      <c r="O360" s="7" t="s">
        <v>908</v>
      </c>
      <c r="P360" s="7"/>
    </row>
    <row r="361" spans="1:16" ht="40" customHeight="1">
      <c r="A361" s="8" t="s">
        <v>387</v>
      </c>
      <c r="B361" s="8" t="s">
        <v>388</v>
      </c>
      <c r="C361" s="8" t="s">
        <v>1854</v>
      </c>
      <c r="D361" s="8" t="s">
        <v>901</v>
      </c>
      <c r="E361" s="8" t="s">
        <v>1855</v>
      </c>
      <c r="F361" s="8" t="s">
        <v>1856</v>
      </c>
      <c r="G361" s="8" t="s">
        <v>41</v>
      </c>
      <c r="H361" s="7" t="s">
        <v>42</v>
      </c>
      <c r="I361" s="7"/>
      <c r="J361" s="8" t="s">
        <v>637</v>
      </c>
      <c r="K361" s="8" t="s">
        <v>920</v>
      </c>
      <c r="L361" s="8" t="s">
        <v>1857</v>
      </c>
      <c r="M361" s="8" t="s">
        <v>906</v>
      </c>
      <c r="N361" s="7" t="s">
        <v>907</v>
      </c>
      <c r="O361" s="7" t="s">
        <v>908</v>
      </c>
      <c r="P361" s="7"/>
    </row>
    <row r="362" spans="1:16" ht="40" customHeight="1">
      <c r="A362" s="4" t="s">
        <v>387</v>
      </c>
      <c r="B362" s="4" t="s">
        <v>388</v>
      </c>
      <c r="C362" s="4" t="s">
        <v>1858</v>
      </c>
      <c r="D362" s="4" t="s">
        <v>901</v>
      </c>
      <c r="E362" s="4" t="s">
        <v>1859</v>
      </c>
      <c r="F362" s="4" t="s">
        <v>1860</v>
      </c>
      <c r="G362" s="4" t="s">
        <v>41</v>
      </c>
      <c r="H362" s="7" t="s">
        <v>42</v>
      </c>
      <c r="I362" s="7"/>
      <c r="J362" s="4" t="s">
        <v>637</v>
      </c>
      <c r="K362" s="4" t="s">
        <v>1055</v>
      </c>
      <c r="L362" s="4" t="s">
        <v>1857</v>
      </c>
      <c r="M362" s="4" t="s">
        <v>906</v>
      </c>
      <c r="N362" s="7" t="s">
        <v>907</v>
      </c>
      <c r="O362" s="7" t="s">
        <v>908</v>
      </c>
      <c r="P362" s="7"/>
    </row>
    <row r="363" spans="1:16" ht="40" customHeight="1">
      <c r="A363" s="8" t="s">
        <v>387</v>
      </c>
      <c r="B363" s="8" t="s">
        <v>388</v>
      </c>
      <c r="C363" s="8" t="s">
        <v>1861</v>
      </c>
      <c r="D363" s="8" t="s">
        <v>901</v>
      </c>
      <c r="E363" s="8" t="s">
        <v>1862</v>
      </c>
      <c r="F363" s="8" t="s">
        <v>1863</v>
      </c>
      <c r="G363" s="8" t="s">
        <v>41</v>
      </c>
      <c r="H363" s="7" t="s">
        <v>42</v>
      </c>
      <c r="I363" s="7"/>
      <c r="J363" s="8" t="s">
        <v>637</v>
      </c>
      <c r="K363" s="8" t="s">
        <v>1059</v>
      </c>
      <c r="L363" s="8" t="s">
        <v>1857</v>
      </c>
      <c r="M363" s="8" t="s">
        <v>906</v>
      </c>
      <c r="N363" s="7" t="s">
        <v>907</v>
      </c>
      <c r="O363" s="7" t="s">
        <v>908</v>
      </c>
      <c r="P363" s="7"/>
    </row>
    <row r="364" spans="1:16" ht="40" customHeight="1">
      <c r="A364" s="4" t="s">
        <v>387</v>
      </c>
      <c r="B364" s="4" t="s">
        <v>388</v>
      </c>
      <c r="C364" s="4" t="s">
        <v>1864</v>
      </c>
      <c r="D364" s="4" t="s">
        <v>901</v>
      </c>
      <c r="E364" s="4" t="s">
        <v>1865</v>
      </c>
      <c r="F364" s="4" t="s">
        <v>1866</v>
      </c>
      <c r="G364" s="4" t="s">
        <v>41</v>
      </c>
      <c r="H364" s="7" t="s">
        <v>42</v>
      </c>
      <c r="I364" s="7"/>
      <c r="J364" s="4" t="s">
        <v>637</v>
      </c>
      <c r="K364" s="4" t="s">
        <v>1323</v>
      </c>
      <c r="L364" s="4" t="s">
        <v>1857</v>
      </c>
      <c r="M364" s="4" t="s">
        <v>906</v>
      </c>
      <c r="N364" s="7" t="s">
        <v>907</v>
      </c>
      <c r="O364" s="7" t="s">
        <v>908</v>
      </c>
      <c r="P364" s="7"/>
    </row>
    <row r="365" spans="1:16" ht="40" customHeight="1">
      <c r="A365" s="8" t="s">
        <v>387</v>
      </c>
      <c r="B365" s="8" t="s">
        <v>388</v>
      </c>
      <c r="C365" s="8" t="s">
        <v>1867</v>
      </c>
      <c r="D365" s="8" t="s">
        <v>901</v>
      </c>
      <c r="E365" s="8" t="s">
        <v>1868</v>
      </c>
      <c r="F365" s="8" t="s">
        <v>1869</v>
      </c>
      <c r="G365" s="8" t="s">
        <v>41</v>
      </c>
      <c r="H365" s="7" t="s">
        <v>42</v>
      </c>
      <c r="I365" s="7"/>
      <c r="J365" s="8" t="s">
        <v>637</v>
      </c>
      <c r="K365" s="8" t="s">
        <v>1870</v>
      </c>
      <c r="L365" s="8" t="s">
        <v>1857</v>
      </c>
      <c r="M365" s="8" t="s">
        <v>906</v>
      </c>
      <c r="N365" s="7" t="s">
        <v>907</v>
      </c>
      <c r="O365" s="7" t="s">
        <v>908</v>
      </c>
      <c r="P365" s="7"/>
    </row>
    <row r="366" spans="1:16" ht="40" customHeight="1">
      <c r="A366" s="4" t="s">
        <v>387</v>
      </c>
      <c r="B366" s="4" t="s">
        <v>388</v>
      </c>
      <c r="C366" s="4" t="s">
        <v>1871</v>
      </c>
      <c r="D366" s="4" t="s">
        <v>901</v>
      </c>
      <c r="E366" s="4" t="s">
        <v>1872</v>
      </c>
      <c r="F366" s="4" t="s">
        <v>1873</v>
      </c>
      <c r="G366" s="4" t="s">
        <v>41</v>
      </c>
      <c r="H366" s="7" t="s">
        <v>42</v>
      </c>
      <c r="I366" s="7"/>
      <c r="J366" s="4" t="s">
        <v>637</v>
      </c>
      <c r="K366" s="4" t="s">
        <v>1874</v>
      </c>
      <c r="L366" s="4" t="s">
        <v>1857</v>
      </c>
      <c r="M366" s="4" t="s">
        <v>906</v>
      </c>
      <c r="N366" s="7" t="s">
        <v>907</v>
      </c>
      <c r="O366" s="7" t="s">
        <v>908</v>
      </c>
      <c r="P366" s="7"/>
    </row>
    <row r="367" spans="1:16" ht="40" customHeight="1">
      <c r="A367" s="8" t="s">
        <v>387</v>
      </c>
      <c r="B367" s="8" t="s">
        <v>388</v>
      </c>
      <c r="C367" s="8" t="s">
        <v>1875</v>
      </c>
      <c r="D367" s="8" t="s">
        <v>901</v>
      </c>
      <c r="E367" s="8" t="s">
        <v>1876</v>
      </c>
      <c r="F367" s="8" t="s">
        <v>1877</v>
      </c>
      <c r="G367" s="8" t="s">
        <v>41</v>
      </c>
      <c r="H367" s="7" t="s">
        <v>42</v>
      </c>
      <c r="I367" s="7"/>
      <c r="J367" s="8" t="s">
        <v>637</v>
      </c>
      <c r="K367" s="8" t="s">
        <v>1878</v>
      </c>
      <c r="L367" s="8" t="s">
        <v>1857</v>
      </c>
      <c r="M367" s="8" t="s">
        <v>906</v>
      </c>
      <c r="N367" s="7" t="s">
        <v>907</v>
      </c>
      <c r="O367" s="7" t="s">
        <v>908</v>
      </c>
      <c r="P367" s="7"/>
    </row>
    <row r="368" spans="1:16" ht="40" customHeight="1">
      <c r="A368" s="4" t="s">
        <v>387</v>
      </c>
      <c r="B368" s="4" t="s">
        <v>388</v>
      </c>
      <c r="C368" s="4" t="s">
        <v>1879</v>
      </c>
      <c r="D368" s="4" t="s">
        <v>914</v>
      </c>
      <c r="E368" s="4" t="s">
        <v>915</v>
      </c>
      <c r="F368" s="4" t="s">
        <v>391</v>
      </c>
      <c r="G368" s="4" t="s">
        <v>916</v>
      </c>
      <c r="H368" s="7" t="s">
        <v>42</v>
      </c>
      <c r="I368" s="7"/>
      <c r="J368" s="4" t="s">
        <v>914</v>
      </c>
      <c r="K368" s="4" t="s">
        <v>41</v>
      </c>
      <c r="L368" s="4" t="s">
        <v>1857</v>
      </c>
      <c r="M368" s="4" t="s">
        <v>51</v>
      </c>
      <c r="N368" s="7" t="s">
        <v>907</v>
      </c>
      <c r="O368" s="7"/>
      <c r="P368" s="7"/>
    </row>
    <row r="369" spans="1:16" ht="82" customHeight="1">
      <c r="A369" s="8" t="s">
        <v>394</v>
      </c>
      <c r="B369" s="8" t="s">
        <v>395</v>
      </c>
      <c r="C369" s="8" t="s">
        <v>1880</v>
      </c>
      <c r="D369" s="8" t="s">
        <v>901</v>
      </c>
      <c r="E369" s="8" t="s">
        <v>1881</v>
      </c>
      <c r="F369" s="8" t="s">
        <v>1882</v>
      </c>
      <c r="G369" s="8" t="s">
        <v>41</v>
      </c>
      <c r="H369" s="7" t="s">
        <v>42</v>
      </c>
      <c r="I369" s="7"/>
      <c r="J369" s="8" t="s">
        <v>637</v>
      </c>
      <c r="K369" s="8" t="s">
        <v>904</v>
      </c>
      <c r="L369" s="8" t="s">
        <v>1883</v>
      </c>
      <c r="M369" s="8" t="s">
        <v>906</v>
      </c>
      <c r="N369" s="7" t="s">
        <v>907</v>
      </c>
      <c r="O369" s="7" t="s">
        <v>908</v>
      </c>
      <c r="P369" s="7"/>
    </row>
    <row r="370" spans="1:16" ht="54" customHeight="1">
      <c r="A370" s="4" t="s">
        <v>394</v>
      </c>
      <c r="B370" s="4" t="s">
        <v>395</v>
      </c>
      <c r="C370" s="4" t="s">
        <v>1884</v>
      </c>
      <c r="D370" s="4" t="s">
        <v>901</v>
      </c>
      <c r="E370" s="4" t="s">
        <v>1885</v>
      </c>
      <c r="F370" s="4" t="s">
        <v>1886</v>
      </c>
      <c r="G370" s="4" t="s">
        <v>41</v>
      </c>
      <c r="H370" s="7" t="s">
        <v>42</v>
      </c>
      <c r="I370" s="7"/>
      <c r="J370" s="4" t="s">
        <v>637</v>
      </c>
      <c r="K370" s="4" t="s">
        <v>912</v>
      </c>
      <c r="L370" s="4" t="s">
        <v>1883</v>
      </c>
      <c r="M370" s="4" t="s">
        <v>906</v>
      </c>
      <c r="N370" s="7" t="s">
        <v>907</v>
      </c>
      <c r="O370" s="7" t="s">
        <v>908</v>
      </c>
      <c r="P370" s="7"/>
    </row>
    <row r="371" spans="1:16" ht="68" customHeight="1">
      <c r="A371" s="8" t="s">
        <v>394</v>
      </c>
      <c r="B371" s="8" t="s">
        <v>395</v>
      </c>
      <c r="C371" s="8" t="s">
        <v>1887</v>
      </c>
      <c r="D371" s="8" t="s">
        <v>901</v>
      </c>
      <c r="E371" s="8" t="s">
        <v>1888</v>
      </c>
      <c r="F371" s="8" t="s">
        <v>1889</v>
      </c>
      <c r="G371" s="8" t="s">
        <v>41</v>
      </c>
      <c r="H371" s="7" t="s">
        <v>42</v>
      </c>
      <c r="I371" s="7"/>
      <c r="J371" s="8" t="s">
        <v>637</v>
      </c>
      <c r="K371" s="8" t="s">
        <v>1015</v>
      </c>
      <c r="L371" s="8" t="s">
        <v>1883</v>
      </c>
      <c r="M371" s="8" t="s">
        <v>906</v>
      </c>
      <c r="N371" s="7" t="s">
        <v>907</v>
      </c>
      <c r="O371" s="7" t="s">
        <v>908</v>
      </c>
      <c r="P371" s="7"/>
    </row>
    <row r="372" spans="1:16" ht="54" customHeight="1">
      <c r="A372" s="4" t="s">
        <v>394</v>
      </c>
      <c r="B372" s="4" t="s">
        <v>395</v>
      </c>
      <c r="C372" s="4" t="s">
        <v>1890</v>
      </c>
      <c r="D372" s="4" t="s">
        <v>914</v>
      </c>
      <c r="E372" s="4" t="s">
        <v>915</v>
      </c>
      <c r="F372" s="4" t="s">
        <v>399</v>
      </c>
      <c r="G372" s="4" t="s">
        <v>916</v>
      </c>
      <c r="H372" s="7" t="s">
        <v>42</v>
      </c>
      <c r="I372" s="7"/>
      <c r="J372" s="4" t="s">
        <v>914</v>
      </c>
      <c r="K372" s="4" t="s">
        <v>41</v>
      </c>
      <c r="L372" s="4" t="s">
        <v>1883</v>
      </c>
      <c r="M372" s="4" t="s">
        <v>51</v>
      </c>
      <c r="N372" s="7" t="s">
        <v>907</v>
      </c>
      <c r="O372" s="7"/>
      <c r="P372" s="7"/>
    </row>
    <row r="373" spans="1:16" ht="40" customHeight="1">
      <c r="A373" s="8" t="s">
        <v>402</v>
      </c>
      <c r="B373" s="8" t="s">
        <v>403</v>
      </c>
      <c r="C373" s="8" t="s">
        <v>1891</v>
      </c>
      <c r="D373" s="8" t="s">
        <v>901</v>
      </c>
      <c r="E373" s="8" t="s">
        <v>1892</v>
      </c>
      <c r="F373" s="8" t="s">
        <v>1893</v>
      </c>
      <c r="G373" s="8" t="s">
        <v>41</v>
      </c>
      <c r="H373" s="7" t="s">
        <v>42</v>
      </c>
      <c r="I373" s="7"/>
      <c r="J373" s="8" t="s">
        <v>637</v>
      </c>
      <c r="K373" s="8" t="s">
        <v>926</v>
      </c>
      <c r="L373" s="8" t="s">
        <v>1894</v>
      </c>
      <c r="M373" s="8" t="s">
        <v>906</v>
      </c>
      <c r="N373" s="7" t="s">
        <v>907</v>
      </c>
      <c r="O373" s="7" t="s">
        <v>908</v>
      </c>
      <c r="P373" s="7"/>
    </row>
    <row r="374" spans="1:16" ht="40" customHeight="1">
      <c r="A374" s="4" t="s">
        <v>402</v>
      </c>
      <c r="B374" s="4" t="s">
        <v>403</v>
      </c>
      <c r="C374" s="4" t="s">
        <v>1895</v>
      </c>
      <c r="D374" s="4" t="s">
        <v>901</v>
      </c>
      <c r="E374" s="4" t="s">
        <v>1896</v>
      </c>
      <c r="F374" s="4" t="s">
        <v>1897</v>
      </c>
      <c r="G374" s="4" t="s">
        <v>41</v>
      </c>
      <c r="H374" s="7" t="s">
        <v>42</v>
      </c>
      <c r="I374" s="7"/>
      <c r="J374" s="4" t="s">
        <v>637</v>
      </c>
      <c r="K374" s="4" t="s">
        <v>931</v>
      </c>
      <c r="L374" s="4" t="s">
        <v>1894</v>
      </c>
      <c r="M374" s="4" t="s">
        <v>906</v>
      </c>
      <c r="N374" s="7" t="s">
        <v>907</v>
      </c>
      <c r="O374" s="7" t="s">
        <v>908</v>
      </c>
      <c r="P374" s="7"/>
    </row>
    <row r="375" spans="1:16" ht="82" customHeight="1">
      <c r="A375" s="8" t="s">
        <v>402</v>
      </c>
      <c r="B375" s="8" t="s">
        <v>403</v>
      </c>
      <c r="C375" s="8" t="s">
        <v>1898</v>
      </c>
      <c r="D375" s="8" t="s">
        <v>901</v>
      </c>
      <c r="E375" s="8" t="s">
        <v>1899</v>
      </c>
      <c r="F375" s="8" t="s">
        <v>1900</v>
      </c>
      <c r="G375" s="8" t="s">
        <v>41</v>
      </c>
      <c r="H375" s="7" t="s">
        <v>42</v>
      </c>
      <c r="I375" s="7"/>
      <c r="J375" s="8" t="s">
        <v>637</v>
      </c>
      <c r="K375" s="8" t="s">
        <v>935</v>
      </c>
      <c r="L375" s="8" t="s">
        <v>1894</v>
      </c>
      <c r="M375" s="8" t="s">
        <v>906</v>
      </c>
      <c r="N375" s="7" t="s">
        <v>907</v>
      </c>
      <c r="O375" s="7" t="s">
        <v>908</v>
      </c>
      <c r="P375" s="7"/>
    </row>
    <row r="376" spans="1:16" ht="40" customHeight="1">
      <c r="A376" s="4" t="s">
        <v>402</v>
      </c>
      <c r="B376" s="4" t="s">
        <v>403</v>
      </c>
      <c r="C376" s="4" t="s">
        <v>1901</v>
      </c>
      <c r="D376" s="4" t="s">
        <v>901</v>
      </c>
      <c r="E376" s="4" t="s">
        <v>1902</v>
      </c>
      <c r="F376" s="4" t="s">
        <v>1903</v>
      </c>
      <c r="G376" s="4" t="s">
        <v>41</v>
      </c>
      <c r="H376" s="7" t="s">
        <v>42</v>
      </c>
      <c r="I376" s="7"/>
      <c r="J376" s="4" t="s">
        <v>637</v>
      </c>
      <c r="K376" s="4" t="s">
        <v>939</v>
      </c>
      <c r="L376" s="4" t="s">
        <v>1894</v>
      </c>
      <c r="M376" s="4" t="s">
        <v>906</v>
      </c>
      <c r="N376" s="7" t="s">
        <v>907</v>
      </c>
      <c r="O376" s="7" t="s">
        <v>908</v>
      </c>
      <c r="P376" s="7"/>
    </row>
    <row r="377" spans="1:16" ht="68" customHeight="1">
      <c r="A377" s="8" t="s">
        <v>402</v>
      </c>
      <c r="B377" s="8" t="s">
        <v>403</v>
      </c>
      <c r="C377" s="8" t="s">
        <v>1904</v>
      </c>
      <c r="D377" s="8" t="s">
        <v>901</v>
      </c>
      <c r="E377" s="8" t="s">
        <v>1905</v>
      </c>
      <c r="F377" s="8" t="s">
        <v>1906</v>
      </c>
      <c r="G377" s="8" t="s">
        <v>41</v>
      </c>
      <c r="H377" s="7" t="s">
        <v>42</v>
      </c>
      <c r="I377" s="7"/>
      <c r="J377" s="8" t="s">
        <v>637</v>
      </c>
      <c r="K377" s="8" t="s">
        <v>943</v>
      </c>
      <c r="L377" s="8" t="s">
        <v>1894</v>
      </c>
      <c r="M377" s="8" t="s">
        <v>906</v>
      </c>
      <c r="N377" s="7" t="s">
        <v>907</v>
      </c>
      <c r="O377" s="7" t="s">
        <v>908</v>
      </c>
      <c r="P377" s="7"/>
    </row>
    <row r="378" spans="1:16" ht="40" customHeight="1">
      <c r="A378" s="4" t="s">
        <v>402</v>
      </c>
      <c r="B378" s="4" t="s">
        <v>403</v>
      </c>
      <c r="C378" s="4" t="s">
        <v>1907</v>
      </c>
      <c r="D378" s="4" t="s">
        <v>901</v>
      </c>
      <c r="E378" s="4" t="s">
        <v>1908</v>
      </c>
      <c r="F378" s="4" t="s">
        <v>1909</v>
      </c>
      <c r="G378" s="4" t="s">
        <v>41</v>
      </c>
      <c r="H378" s="7" t="s">
        <v>42</v>
      </c>
      <c r="I378" s="7"/>
      <c r="J378" s="4" t="s">
        <v>637</v>
      </c>
      <c r="K378" s="4" t="s">
        <v>947</v>
      </c>
      <c r="L378" s="4" t="s">
        <v>1894</v>
      </c>
      <c r="M378" s="4" t="s">
        <v>906</v>
      </c>
      <c r="N378" s="7" t="s">
        <v>907</v>
      </c>
      <c r="O378" s="7" t="s">
        <v>908</v>
      </c>
      <c r="P378" s="7"/>
    </row>
    <row r="379" spans="1:16" ht="40" customHeight="1">
      <c r="A379" s="8" t="s">
        <v>402</v>
      </c>
      <c r="B379" s="8" t="s">
        <v>403</v>
      </c>
      <c r="C379" s="8" t="s">
        <v>1910</v>
      </c>
      <c r="D379" s="8" t="s">
        <v>914</v>
      </c>
      <c r="E379" s="8" t="s">
        <v>915</v>
      </c>
      <c r="F379" s="8" t="s">
        <v>408</v>
      </c>
      <c r="G379" s="8" t="s">
        <v>916</v>
      </c>
      <c r="H379" s="7" t="s">
        <v>42</v>
      </c>
      <c r="I379" s="7"/>
      <c r="J379" s="8" t="s">
        <v>914</v>
      </c>
      <c r="K379" s="8" t="s">
        <v>41</v>
      </c>
      <c r="L379" s="8" t="s">
        <v>1894</v>
      </c>
      <c r="M379" s="8" t="s">
        <v>51</v>
      </c>
      <c r="N379" s="7" t="s">
        <v>907</v>
      </c>
      <c r="O379" s="7"/>
      <c r="P379" s="7"/>
    </row>
    <row r="380" spans="1:16" ht="82" customHeight="1">
      <c r="A380" s="4" t="s">
        <v>411</v>
      </c>
      <c r="B380" s="4" t="s">
        <v>412</v>
      </c>
      <c r="C380" s="4" t="s">
        <v>1911</v>
      </c>
      <c r="D380" s="4" t="s">
        <v>901</v>
      </c>
      <c r="E380" s="4" t="s">
        <v>1912</v>
      </c>
      <c r="F380" s="4" t="s">
        <v>1913</v>
      </c>
      <c r="G380" s="4" t="s">
        <v>41</v>
      </c>
      <c r="H380" s="7" t="s">
        <v>42</v>
      </c>
      <c r="I380" s="7"/>
      <c r="J380" s="4" t="s">
        <v>637</v>
      </c>
      <c r="K380" s="4" t="s">
        <v>920</v>
      </c>
      <c r="L380" s="4" t="s">
        <v>1914</v>
      </c>
      <c r="M380" s="4" t="s">
        <v>906</v>
      </c>
      <c r="N380" s="7" t="s">
        <v>907</v>
      </c>
      <c r="O380" s="7" t="s">
        <v>908</v>
      </c>
      <c r="P380" s="7"/>
    </row>
    <row r="381" spans="1:16" ht="54" customHeight="1">
      <c r="A381" s="8" t="s">
        <v>411</v>
      </c>
      <c r="B381" s="8" t="s">
        <v>412</v>
      </c>
      <c r="C381" s="8" t="s">
        <v>1915</v>
      </c>
      <c r="D381" s="8" t="s">
        <v>901</v>
      </c>
      <c r="E381" s="8" t="s">
        <v>1916</v>
      </c>
      <c r="F381" s="8" t="s">
        <v>1917</v>
      </c>
      <c r="G381" s="8" t="s">
        <v>41</v>
      </c>
      <c r="H381" s="7" t="s">
        <v>42</v>
      </c>
      <c r="I381" s="7"/>
      <c r="J381" s="8" t="s">
        <v>637</v>
      </c>
      <c r="K381" s="8" t="s">
        <v>988</v>
      </c>
      <c r="L381" s="8" t="s">
        <v>1914</v>
      </c>
      <c r="M381" s="8" t="s">
        <v>906</v>
      </c>
      <c r="N381" s="7" t="s">
        <v>907</v>
      </c>
      <c r="O381" s="7" t="s">
        <v>908</v>
      </c>
      <c r="P381" s="7"/>
    </row>
    <row r="382" spans="1:16" ht="54" customHeight="1">
      <c r="A382" s="4" t="s">
        <v>411</v>
      </c>
      <c r="B382" s="4" t="s">
        <v>412</v>
      </c>
      <c r="C382" s="4" t="s">
        <v>1918</v>
      </c>
      <c r="D382" s="4" t="s">
        <v>901</v>
      </c>
      <c r="E382" s="4" t="s">
        <v>1919</v>
      </c>
      <c r="F382" s="4" t="s">
        <v>1920</v>
      </c>
      <c r="G382" s="4" t="s">
        <v>41</v>
      </c>
      <c r="H382" s="7" t="s">
        <v>42</v>
      </c>
      <c r="I382" s="7"/>
      <c r="J382" s="4" t="s">
        <v>637</v>
      </c>
      <c r="K382" s="4" t="s">
        <v>992</v>
      </c>
      <c r="L382" s="4" t="s">
        <v>1914</v>
      </c>
      <c r="M382" s="4" t="s">
        <v>906</v>
      </c>
      <c r="N382" s="7" t="s">
        <v>907</v>
      </c>
      <c r="O382" s="7" t="s">
        <v>908</v>
      </c>
      <c r="P382" s="7"/>
    </row>
    <row r="383" spans="1:16" ht="54" customHeight="1">
      <c r="A383" s="8" t="s">
        <v>411</v>
      </c>
      <c r="B383" s="8" t="s">
        <v>412</v>
      </c>
      <c r="C383" s="8" t="s">
        <v>1921</v>
      </c>
      <c r="D383" s="8" t="s">
        <v>901</v>
      </c>
      <c r="E383" s="8" t="s">
        <v>1922</v>
      </c>
      <c r="F383" s="8" t="s">
        <v>1923</v>
      </c>
      <c r="G383" s="8" t="s">
        <v>41</v>
      </c>
      <c r="H383" s="7" t="s">
        <v>42</v>
      </c>
      <c r="I383" s="7"/>
      <c r="J383" s="8" t="s">
        <v>637</v>
      </c>
      <c r="K383" s="8" t="s">
        <v>996</v>
      </c>
      <c r="L383" s="8" t="s">
        <v>1914</v>
      </c>
      <c r="M383" s="8" t="s">
        <v>906</v>
      </c>
      <c r="N383" s="7" t="s">
        <v>907</v>
      </c>
      <c r="O383" s="7" t="s">
        <v>908</v>
      </c>
      <c r="P383" s="7"/>
    </row>
    <row r="384" spans="1:16" ht="54" customHeight="1">
      <c r="A384" s="4" t="s">
        <v>411</v>
      </c>
      <c r="B384" s="4" t="s">
        <v>412</v>
      </c>
      <c r="C384" s="4" t="s">
        <v>1924</v>
      </c>
      <c r="D384" s="4" t="s">
        <v>901</v>
      </c>
      <c r="E384" s="4" t="s">
        <v>1925</v>
      </c>
      <c r="F384" s="4" t="s">
        <v>1926</v>
      </c>
      <c r="G384" s="4" t="s">
        <v>41</v>
      </c>
      <c r="H384" s="7" t="s">
        <v>42</v>
      </c>
      <c r="I384" s="7"/>
      <c r="J384" s="4" t="s">
        <v>637</v>
      </c>
      <c r="K384" s="4" t="s">
        <v>1000</v>
      </c>
      <c r="L384" s="4" t="s">
        <v>1914</v>
      </c>
      <c r="M384" s="4" t="s">
        <v>906</v>
      </c>
      <c r="N384" s="7" t="s">
        <v>907</v>
      </c>
      <c r="O384" s="7" t="s">
        <v>908</v>
      </c>
      <c r="P384" s="7"/>
    </row>
    <row r="385" spans="1:16" ht="54" customHeight="1">
      <c r="A385" s="8" t="s">
        <v>411</v>
      </c>
      <c r="B385" s="8" t="s">
        <v>412</v>
      </c>
      <c r="C385" s="8" t="s">
        <v>1927</v>
      </c>
      <c r="D385" s="8" t="s">
        <v>901</v>
      </c>
      <c r="E385" s="8" t="s">
        <v>1928</v>
      </c>
      <c r="F385" s="8" t="s">
        <v>1929</v>
      </c>
      <c r="G385" s="8" t="s">
        <v>41</v>
      </c>
      <c r="H385" s="7" t="s">
        <v>42</v>
      </c>
      <c r="I385" s="7"/>
      <c r="J385" s="8" t="s">
        <v>637</v>
      </c>
      <c r="K385" s="8" t="s">
        <v>1210</v>
      </c>
      <c r="L385" s="8" t="s">
        <v>1914</v>
      </c>
      <c r="M385" s="8" t="s">
        <v>906</v>
      </c>
      <c r="N385" s="7" t="s">
        <v>907</v>
      </c>
      <c r="O385" s="7" t="s">
        <v>908</v>
      </c>
      <c r="P385" s="7"/>
    </row>
    <row r="386" spans="1:16" ht="54" customHeight="1">
      <c r="A386" s="4" t="s">
        <v>411</v>
      </c>
      <c r="B386" s="4" t="s">
        <v>412</v>
      </c>
      <c r="C386" s="4" t="s">
        <v>1930</v>
      </c>
      <c r="D386" s="4" t="s">
        <v>901</v>
      </c>
      <c r="E386" s="4" t="s">
        <v>1931</v>
      </c>
      <c r="F386" s="4" t="s">
        <v>1932</v>
      </c>
      <c r="G386" s="4" t="s">
        <v>41</v>
      </c>
      <c r="H386" s="7" t="s">
        <v>42</v>
      </c>
      <c r="I386" s="7"/>
      <c r="J386" s="4" t="s">
        <v>637</v>
      </c>
      <c r="K386" s="4" t="s">
        <v>1091</v>
      </c>
      <c r="L386" s="4" t="s">
        <v>1914</v>
      </c>
      <c r="M386" s="4" t="s">
        <v>906</v>
      </c>
      <c r="N386" s="7" t="s">
        <v>907</v>
      </c>
      <c r="O386" s="7" t="s">
        <v>908</v>
      </c>
      <c r="P386" s="7"/>
    </row>
    <row r="387" spans="1:16" ht="54" customHeight="1">
      <c r="A387" s="8" t="s">
        <v>411</v>
      </c>
      <c r="B387" s="8" t="s">
        <v>412</v>
      </c>
      <c r="C387" s="8" t="s">
        <v>1933</v>
      </c>
      <c r="D387" s="8" t="s">
        <v>1002</v>
      </c>
      <c r="E387" s="8" t="s">
        <v>1934</v>
      </c>
      <c r="F387" s="8" t="s">
        <v>1935</v>
      </c>
      <c r="G387" s="8" t="s">
        <v>1934</v>
      </c>
      <c r="H387" s="7" t="s">
        <v>42</v>
      </c>
      <c r="I387" s="7"/>
      <c r="J387" s="8" t="s">
        <v>914</v>
      </c>
      <c r="K387" s="8" t="s">
        <v>1023</v>
      </c>
      <c r="L387" s="8" t="s">
        <v>1914</v>
      </c>
      <c r="M387" s="8" t="s">
        <v>906</v>
      </c>
      <c r="N387" s="7" t="s">
        <v>907</v>
      </c>
      <c r="O387" s="7" t="s">
        <v>908</v>
      </c>
      <c r="P387" s="7"/>
    </row>
    <row r="388" spans="1:16" ht="54" customHeight="1">
      <c r="A388" s="4" t="s">
        <v>411</v>
      </c>
      <c r="B388" s="4" t="s">
        <v>412</v>
      </c>
      <c r="C388" s="4" t="s">
        <v>1936</v>
      </c>
      <c r="D388" s="4" t="s">
        <v>949</v>
      </c>
      <c r="E388" s="4" t="s">
        <v>1937</v>
      </c>
      <c r="F388" s="4" t="s">
        <v>1938</v>
      </c>
      <c r="G388" s="4" t="s">
        <v>1934</v>
      </c>
      <c r="H388" s="7" t="s">
        <v>42</v>
      </c>
      <c r="I388" s="7"/>
      <c r="J388" s="4" t="s">
        <v>914</v>
      </c>
      <c r="K388" s="4" t="s">
        <v>1458</v>
      </c>
      <c r="L388" s="4" t="s">
        <v>1914</v>
      </c>
      <c r="M388" s="4" t="s">
        <v>906</v>
      </c>
      <c r="N388" s="7" t="s">
        <v>907</v>
      </c>
      <c r="O388" s="7" t="s">
        <v>908</v>
      </c>
      <c r="P388" s="7"/>
    </row>
    <row r="389" spans="1:16" ht="54" customHeight="1">
      <c r="A389" s="8" t="s">
        <v>411</v>
      </c>
      <c r="B389" s="8" t="s">
        <v>412</v>
      </c>
      <c r="C389" s="8" t="s">
        <v>1939</v>
      </c>
      <c r="D389" s="8" t="s">
        <v>949</v>
      </c>
      <c r="E389" s="8" t="s">
        <v>1940</v>
      </c>
      <c r="F389" s="8" t="s">
        <v>1941</v>
      </c>
      <c r="G389" s="8" t="s">
        <v>1934</v>
      </c>
      <c r="H389" s="7" t="s">
        <v>42</v>
      </c>
      <c r="I389" s="7"/>
      <c r="J389" s="8" t="s">
        <v>914</v>
      </c>
      <c r="K389" s="8" t="s">
        <v>1524</v>
      </c>
      <c r="L389" s="8" t="s">
        <v>1914</v>
      </c>
      <c r="M389" s="8" t="s">
        <v>906</v>
      </c>
      <c r="N389" s="7" t="s">
        <v>907</v>
      </c>
      <c r="O389" s="7" t="s">
        <v>908</v>
      </c>
      <c r="P389" s="7"/>
    </row>
    <row r="390" spans="1:16" ht="54" customHeight="1">
      <c r="A390" s="4" t="s">
        <v>411</v>
      </c>
      <c r="B390" s="4" t="s">
        <v>412</v>
      </c>
      <c r="C390" s="4" t="s">
        <v>1942</v>
      </c>
      <c r="D390" s="4" t="s">
        <v>949</v>
      </c>
      <c r="E390" s="4" t="s">
        <v>1943</v>
      </c>
      <c r="F390" s="4" t="s">
        <v>1944</v>
      </c>
      <c r="G390" s="4" t="s">
        <v>1934</v>
      </c>
      <c r="H390" s="7" t="s">
        <v>42</v>
      </c>
      <c r="I390" s="7"/>
      <c r="J390" s="4" t="s">
        <v>914</v>
      </c>
      <c r="K390" s="4" t="s">
        <v>1465</v>
      </c>
      <c r="L390" s="4" t="s">
        <v>1914</v>
      </c>
      <c r="M390" s="4" t="s">
        <v>906</v>
      </c>
      <c r="N390" s="7" t="s">
        <v>907</v>
      </c>
      <c r="O390" s="7" t="s">
        <v>908</v>
      </c>
      <c r="P390" s="7"/>
    </row>
    <row r="391" spans="1:16" ht="54" customHeight="1">
      <c r="A391" s="8" t="s">
        <v>411</v>
      </c>
      <c r="B391" s="8" t="s">
        <v>412</v>
      </c>
      <c r="C391" s="8" t="s">
        <v>1945</v>
      </c>
      <c r="D391" s="8" t="s">
        <v>949</v>
      </c>
      <c r="E391" s="8" t="s">
        <v>1946</v>
      </c>
      <c r="F391" s="8" t="s">
        <v>1947</v>
      </c>
      <c r="G391" s="8" t="s">
        <v>1934</v>
      </c>
      <c r="H391" s="7" t="s">
        <v>42</v>
      </c>
      <c r="I391" s="7"/>
      <c r="J391" s="8" t="s">
        <v>914</v>
      </c>
      <c r="K391" s="8" t="s">
        <v>1948</v>
      </c>
      <c r="L391" s="8" t="s">
        <v>1914</v>
      </c>
      <c r="M391" s="8" t="s">
        <v>906</v>
      </c>
      <c r="N391" s="7" t="s">
        <v>907</v>
      </c>
      <c r="O391" s="7" t="s">
        <v>908</v>
      </c>
      <c r="P391" s="7"/>
    </row>
    <row r="392" spans="1:16" ht="54" customHeight="1">
      <c r="A392" s="4" t="s">
        <v>411</v>
      </c>
      <c r="B392" s="4" t="s">
        <v>412</v>
      </c>
      <c r="C392" s="4" t="s">
        <v>1949</v>
      </c>
      <c r="D392" s="4" t="s">
        <v>949</v>
      </c>
      <c r="E392" s="4" t="s">
        <v>1950</v>
      </c>
      <c r="F392" s="4" t="s">
        <v>1951</v>
      </c>
      <c r="G392" s="4" t="s">
        <v>1934</v>
      </c>
      <c r="H392" s="7" t="s">
        <v>42</v>
      </c>
      <c r="I392" s="7"/>
      <c r="J392" s="4" t="s">
        <v>914</v>
      </c>
      <c r="K392" s="4" t="s">
        <v>1473</v>
      </c>
      <c r="L392" s="4" t="s">
        <v>1914</v>
      </c>
      <c r="M392" s="4" t="s">
        <v>906</v>
      </c>
      <c r="N392" s="7" t="s">
        <v>907</v>
      </c>
      <c r="O392" s="7" t="s">
        <v>908</v>
      </c>
      <c r="P392" s="7"/>
    </row>
    <row r="393" spans="1:16" ht="54" customHeight="1">
      <c r="A393" s="8" t="s">
        <v>419</v>
      </c>
      <c r="B393" s="8" t="s">
        <v>420</v>
      </c>
      <c r="C393" s="8" t="s">
        <v>1952</v>
      </c>
      <c r="D393" s="8" t="s">
        <v>901</v>
      </c>
      <c r="E393" s="8" t="s">
        <v>1953</v>
      </c>
      <c r="F393" s="8" t="s">
        <v>1954</v>
      </c>
      <c r="G393" s="8" t="s">
        <v>41</v>
      </c>
      <c r="H393" s="7" t="s">
        <v>42</v>
      </c>
      <c r="I393" s="7"/>
      <c r="J393" s="8" t="s">
        <v>637</v>
      </c>
      <c r="K393" s="8" t="s">
        <v>904</v>
      </c>
      <c r="L393" s="8" t="s">
        <v>1955</v>
      </c>
      <c r="M393" s="8" t="s">
        <v>906</v>
      </c>
      <c r="N393" s="7" t="s">
        <v>907</v>
      </c>
      <c r="O393" s="7" t="s">
        <v>908</v>
      </c>
      <c r="P393" s="7"/>
    </row>
    <row r="394" spans="1:16" ht="68" customHeight="1">
      <c r="A394" s="4" t="s">
        <v>419</v>
      </c>
      <c r="B394" s="4" t="s">
        <v>420</v>
      </c>
      <c r="C394" s="4" t="s">
        <v>1956</v>
      </c>
      <c r="D394" s="4" t="s">
        <v>901</v>
      </c>
      <c r="E394" s="4" t="s">
        <v>1957</v>
      </c>
      <c r="F394" s="4" t="s">
        <v>1958</v>
      </c>
      <c r="G394" s="4" t="s">
        <v>41</v>
      </c>
      <c r="H394" s="7" t="s">
        <v>42</v>
      </c>
      <c r="I394" s="7"/>
      <c r="J394" s="4" t="s">
        <v>637</v>
      </c>
      <c r="K394" s="4" t="s">
        <v>912</v>
      </c>
      <c r="L394" s="4" t="s">
        <v>1955</v>
      </c>
      <c r="M394" s="4" t="s">
        <v>906</v>
      </c>
      <c r="N394" s="7" t="s">
        <v>907</v>
      </c>
      <c r="O394" s="7" t="s">
        <v>908</v>
      </c>
      <c r="P394" s="7"/>
    </row>
    <row r="395" spans="1:16" ht="68" customHeight="1">
      <c r="A395" s="8" t="s">
        <v>419</v>
      </c>
      <c r="B395" s="8" t="s">
        <v>420</v>
      </c>
      <c r="C395" s="8" t="s">
        <v>1959</v>
      </c>
      <c r="D395" s="8" t="s">
        <v>901</v>
      </c>
      <c r="E395" s="8" t="s">
        <v>1960</v>
      </c>
      <c r="F395" s="8" t="s">
        <v>1961</v>
      </c>
      <c r="G395" s="8" t="s">
        <v>41</v>
      </c>
      <c r="H395" s="7" t="s">
        <v>42</v>
      </c>
      <c r="I395" s="7"/>
      <c r="J395" s="8" t="s">
        <v>637</v>
      </c>
      <c r="K395" s="8" t="s">
        <v>1015</v>
      </c>
      <c r="L395" s="8" t="s">
        <v>1955</v>
      </c>
      <c r="M395" s="8" t="s">
        <v>906</v>
      </c>
      <c r="N395" s="7" t="s">
        <v>907</v>
      </c>
      <c r="O395" s="7" t="s">
        <v>908</v>
      </c>
      <c r="P395" s="7"/>
    </row>
    <row r="396" spans="1:16" ht="40" customHeight="1">
      <c r="A396" s="4" t="s">
        <v>419</v>
      </c>
      <c r="B396" s="4" t="s">
        <v>420</v>
      </c>
      <c r="C396" s="4" t="s">
        <v>1962</v>
      </c>
      <c r="D396" s="4" t="s">
        <v>914</v>
      </c>
      <c r="E396" s="4" t="s">
        <v>915</v>
      </c>
      <c r="F396" s="4" t="s">
        <v>427</v>
      </c>
      <c r="G396" s="4" t="s">
        <v>916</v>
      </c>
      <c r="H396" s="7" t="s">
        <v>42</v>
      </c>
      <c r="I396" s="7"/>
      <c r="J396" s="4" t="s">
        <v>914</v>
      </c>
      <c r="K396" s="4" t="s">
        <v>41</v>
      </c>
      <c r="L396" s="4" t="s">
        <v>1955</v>
      </c>
      <c r="M396" s="4" t="s">
        <v>51</v>
      </c>
      <c r="N396" s="7" t="s">
        <v>907</v>
      </c>
      <c r="O396" s="7"/>
      <c r="P396" s="7"/>
    </row>
    <row r="397" spans="1:16" ht="54" customHeight="1">
      <c r="A397" s="8" t="s">
        <v>430</v>
      </c>
      <c r="B397" s="8" t="s">
        <v>431</v>
      </c>
      <c r="C397" s="8" t="s">
        <v>1963</v>
      </c>
      <c r="D397" s="8" t="s">
        <v>901</v>
      </c>
      <c r="E397" s="8" t="s">
        <v>1964</v>
      </c>
      <c r="F397" s="8" t="s">
        <v>1965</v>
      </c>
      <c r="G397" s="8" t="s">
        <v>41</v>
      </c>
      <c r="H397" s="7" t="s">
        <v>42</v>
      </c>
      <c r="I397" s="7"/>
      <c r="J397" s="8" t="s">
        <v>637</v>
      </c>
      <c r="K397" s="8" t="s">
        <v>920</v>
      </c>
      <c r="L397" s="8" t="s">
        <v>1966</v>
      </c>
      <c r="M397" s="8" t="s">
        <v>906</v>
      </c>
      <c r="N397" s="7" t="s">
        <v>907</v>
      </c>
      <c r="O397" s="7" t="s">
        <v>908</v>
      </c>
      <c r="P397" s="7"/>
    </row>
    <row r="398" spans="1:16" ht="40" customHeight="1">
      <c r="A398" s="4" t="s">
        <v>430</v>
      </c>
      <c r="B398" s="4" t="s">
        <v>431</v>
      </c>
      <c r="C398" s="4" t="s">
        <v>1967</v>
      </c>
      <c r="D398" s="4" t="s">
        <v>1002</v>
      </c>
      <c r="E398" s="4" t="s">
        <v>1968</v>
      </c>
      <c r="F398" s="4" t="s">
        <v>1969</v>
      </c>
      <c r="G398" s="4" t="s">
        <v>1968</v>
      </c>
      <c r="H398" s="7" t="s">
        <v>42</v>
      </c>
      <c r="I398" s="7"/>
      <c r="J398" s="4" t="s">
        <v>914</v>
      </c>
      <c r="K398" s="4" t="s">
        <v>1023</v>
      </c>
      <c r="L398" s="4" t="s">
        <v>1966</v>
      </c>
      <c r="M398" s="4" t="s">
        <v>906</v>
      </c>
      <c r="N398" s="7" t="s">
        <v>907</v>
      </c>
      <c r="O398" s="7" t="s">
        <v>908</v>
      </c>
      <c r="P398" s="7"/>
    </row>
    <row r="399" spans="1:16" ht="40" customHeight="1">
      <c r="A399" s="8" t="s">
        <v>430</v>
      </c>
      <c r="B399" s="8" t="s">
        <v>431</v>
      </c>
      <c r="C399" s="8" t="s">
        <v>1970</v>
      </c>
      <c r="D399" s="8" t="s">
        <v>949</v>
      </c>
      <c r="E399" s="8" t="s">
        <v>1971</v>
      </c>
      <c r="F399" s="8" t="s">
        <v>1972</v>
      </c>
      <c r="G399" s="8" t="s">
        <v>1968</v>
      </c>
      <c r="H399" s="7" t="s">
        <v>42</v>
      </c>
      <c r="I399" s="7"/>
      <c r="J399" s="8" t="s">
        <v>914</v>
      </c>
      <c r="K399" s="8" t="s">
        <v>1458</v>
      </c>
      <c r="L399" s="8" t="s">
        <v>1966</v>
      </c>
      <c r="M399" s="8" t="s">
        <v>906</v>
      </c>
      <c r="N399" s="7" t="s">
        <v>907</v>
      </c>
      <c r="O399" s="7" t="s">
        <v>908</v>
      </c>
      <c r="P399" s="7"/>
    </row>
    <row r="400" spans="1:16" ht="40" customHeight="1">
      <c r="A400" s="4" t="s">
        <v>430</v>
      </c>
      <c r="B400" s="4" t="s">
        <v>431</v>
      </c>
      <c r="C400" s="4" t="s">
        <v>1973</v>
      </c>
      <c r="D400" s="4" t="s">
        <v>949</v>
      </c>
      <c r="E400" s="4" t="s">
        <v>1974</v>
      </c>
      <c r="F400" s="4" t="s">
        <v>1975</v>
      </c>
      <c r="G400" s="4" t="s">
        <v>1968</v>
      </c>
      <c r="H400" s="7" t="s">
        <v>42</v>
      </c>
      <c r="I400" s="7"/>
      <c r="J400" s="4" t="s">
        <v>914</v>
      </c>
      <c r="K400" s="4" t="s">
        <v>1524</v>
      </c>
      <c r="L400" s="4" t="s">
        <v>1966</v>
      </c>
      <c r="M400" s="4" t="s">
        <v>906</v>
      </c>
      <c r="N400" s="7" t="s">
        <v>907</v>
      </c>
      <c r="O400" s="7" t="s">
        <v>908</v>
      </c>
      <c r="P400" s="7"/>
    </row>
    <row r="401" spans="1:16" ht="124" customHeight="1">
      <c r="A401" s="8" t="s">
        <v>439</v>
      </c>
      <c r="B401" s="8" t="s">
        <v>440</v>
      </c>
      <c r="C401" s="8" t="s">
        <v>1976</v>
      </c>
      <c r="D401" s="8" t="s">
        <v>901</v>
      </c>
      <c r="E401" s="8" t="s">
        <v>1977</v>
      </c>
      <c r="F401" s="8" t="s">
        <v>1978</v>
      </c>
      <c r="G401" s="8" t="s">
        <v>41</v>
      </c>
      <c r="H401" s="7" t="s">
        <v>42</v>
      </c>
      <c r="I401" s="7"/>
      <c r="J401" s="8" t="s">
        <v>637</v>
      </c>
      <c r="K401" s="8" t="s">
        <v>904</v>
      </c>
      <c r="L401" s="8" t="s">
        <v>1979</v>
      </c>
      <c r="M401" s="8" t="s">
        <v>906</v>
      </c>
      <c r="N401" s="7" t="s">
        <v>907</v>
      </c>
      <c r="O401" s="7" t="s">
        <v>908</v>
      </c>
      <c r="P401" s="7"/>
    </row>
    <row r="402" spans="1:16" ht="54" customHeight="1">
      <c r="A402" s="4" t="s">
        <v>439</v>
      </c>
      <c r="B402" s="4" t="s">
        <v>440</v>
      </c>
      <c r="C402" s="4" t="s">
        <v>1980</v>
      </c>
      <c r="D402" s="4" t="s">
        <v>901</v>
      </c>
      <c r="E402" s="4" t="s">
        <v>1981</v>
      </c>
      <c r="F402" s="4" t="s">
        <v>1982</v>
      </c>
      <c r="G402" s="4" t="s">
        <v>41</v>
      </c>
      <c r="H402" s="7" t="s">
        <v>42</v>
      </c>
      <c r="I402" s="7"/>
      <c r="J402" s="4" t="s">
        <v>637</v>
      </c>
      <c r="K402" s="4" t="s">
        <v>912</v>
      </c>
      <c r="L402" s="4" t="s">
        <v>1979</v>
      </c>
      <c r="M402" s="4" t="s">
        <v>906</v>
      </c>
      <c r="N402" s="7" t="s">
        <v>907</v>
      </c>
      <c r="O402" s="7" t="s">
        <v>908</v>
      </c>
      <c r="P402" s="7"/>
    </row>
    <row r="403" spans="1:16" ht="54" customHeight="1">
      <c r="A403" s="8" t="s">
        <v>439</v>
      </c>
      <c r="B403" s="8" t="s">
        <v>440</v>
      </c>
      <c r="C403" s="8" t="s">
        <v>1983</v>
      </c>
      <c r="D403" s="8" t="s">
        <v>901</v>
      </c>
      <c r="E403" s="8" t="s">
        <v>1984</v>
      </c>
      <c r="F403" s="8" t="s">
        <v>1985</v>
      </c>
      <c r="G403" s="8" t="s">
        <v>41</v>
      </c>
      <c r="H403" s="7" t="s">
        <v>42</v>
      </c>
      <c r="I403" s="7"/>
      <c r="J403" s="8" t="s">
        <v>637</v>
      </c>
      <c r="K403" s="8" t="s">
        <v>1015</v>
      </c>
      <c r="L403" s="8" t="s">
        <v>1979</v>
      </c>
      <c r="M403" s="8" t="s">
        <v>906</v>
      </c>
      <c r="N403" s="7" t="s">
        <v>907</v>
      </c>
      <c r="O403" s="7" t="s">
        <v>908</v>
      </c>
      <c r="P403" s="7"/>
    </row>
    <row r="404" spans="1:16" ht="54" customHeight="1">
      <c r="A404" s="4" t="s">
        <v>439</v>
      </c>
      <c r="B404" s="4" t="s">
        <v>440</v>
      </c>
      <c r="C404" s="4" t="s">
        <v>1986</v>
      </c>
      <c r="D404" s="4" t="s">
        <v>901</v>
      </c>
      <c r="E404" s="4" t="s">
        <v>1987</v>
      </c>
      <c r="F404" s="4" t="s">
        <v>1988</v>
      </c>
      <c r="G404" s="4" t="s">
        <v>41</v>
      </c>
      <c r="H404" s="7" t="s">
        <v>42</v>
      </c>
      <c r="I404" s="7"/>
      <c r="J404" s="4" t="s">
        <v>637</v>
      </c>
      <c r="K404" s="4" t="s">
        <v>1019</v>
      </c>
      <c r="L404" s="4" t="s">
        <v>1979</v>
      </c>
      <c r="M404" s="4" t="s">
        <v>906</v>
      </c>
      <c r="N404" s="7" t="s">
        <v>907</v>
      </c>
      <c r="O404" s="7" t="s">
        <v>908</v>
      </c>
      <c r="P404" s="7"/>
    </row>
    <row r="405" spans="1:16" ht="54" customHeight="1">
      <c r="A405" s="8" t="s">
        <v>439</v>
      </c>
      <c r="B405" s="8" t="s">
        <v>440</v>
      </c>
      <c r="C405" s="8" t="s">
        <v>1989</v>
      </c>
      <c r="D405" s="8" t="s">
        <v>901</v>
      </c>
      <c r="E405" s="8" t="s">
        <v>1990</v>
      </c>
      <c r="F405" s="8" t="s">
        <v>1991</v>
      </c>
      <c r="G405" s="8" t="s">
        <v>41</v>
      </c>
      <c r="H405" s="7" t="s">
        <v>42</v>
      </c>
      <c r="I405" s="7"/>
      <c r="J405" s="8" t="s">
        <v>637</v>
      </c>
      <c r="K405" s="8" t="s">
        <v>1147</v>
      </c>
      <c r="L405" s="8" t="s">
        <v>1979</v>
      </c>
      <c r="M405" s="8" t="s">
        <v>906</v>
      </c>
      <c r="N405" s="7" t="s">
        <v>907</v>
      </c>
      <c r="O405" s="7" t="s">
        <v>908</v>
      </c>
      <c r="P405" s="7"/>
    </row>
    <row r="406" spans="1:16" ht="40" customHeight="1">
      <c r="A406" s="4" t="s">
        <v>439</v>
      </c>
      <c r="B406" s="4" t="s">
        <v>440</v>
      </c>
      <c r="C406" s="4" t="s">
        <v>1992</v>
      </c>
      <c r="D406" s="4" t="s">
        <v>914</v>
      </c>
      <c r="E406" s="4" t="s">
        <v>915</v>
      </c>
      <c r="F406" s="4" t="s">
        <v>446</v>
      </c>
      <c r="G406" s="4" t="s">
        <v>916</v>
      </c>
      <c r="H406" s="7" t="s">
        <v>42</v>
      </c>
      <c r="I406" s="7"/>
      <c r="J406" s="4" t="s">
        <v>914</v>
      </c>
      <c r="K406" s="4" t="s">
        <v>41</v>
      </c>
      <c r="L406" s="4" t="s">
        <v>1979</v>
      </c>
      <c r="M406" s="4" t="s">
        <v>51</v>
      </c>
      <c r="N406" s="7" t="s">
        <v>907</v>
      </c>
      <c r="O406" s="7"/>
      <c r="P406" s="7"/>
    </row>
    <row r="407" spans="1:16" ht="68" customHeight="1">
      <c r="A407" s="8" t="s">
        <v>449</v>
      </c>
      <c r="B407" s="8" t="s">
        <v>450</v>
      </c>
      <c r="C407" s="8" t="s">
        <v>1993</v>
      </c>
      <c r="D407" s="8" t="s">
        <v>901</v>
      </c>
      <c r="E407" s="8" t="s">
        <v>1994</v>
      </c>
      <c r="F407" s="8" t="s">
        <v>1995</v>
      </c>
      <c r="G407" s="8" t="s">
        <v>41</v>
      </c>
      <c r="H407" s="7" t="s">
        <v>42</v>
      </c>
      <c r="I407" s="7"/>
      <c r="J407" s="8" t="s">
        <v>637</v>
      </c>
      <c r="K407" s="8" t="s">
        <v>904</v>
      </c>
      <c r="L407" s="8" t="s">
        <v>1996</v>
      </c>
      <c r="M407" s="8" t="s">
        <v>906</v>
      </c>
      <c r="N407" s="7" t="s">
        <v>907</v>
      </c>
      <c r="O407" s="7" t="s">
        <v>908</v>
      </c>
      <c r="P407" s="7"/>
    </row>
    <row r="408" spans="1:16" ht="54" customHeight="1">
      <c r="A408" s="4" t="s">
        <v>449</v>
      </c>
      <c r="B408" s="4" t="s">
        <v>450</v>
      </c>
      <c r="C408" s="4" t="s">
        <v>1997</v>
      </c>
      <c r="D408" s="4" t="s">
        <v>901</v>
      </c>
      <c r="E408" s="4" t="s">
        <v>1998</v>
      </c>
      <c r="F408" s="4" t="s">
        <v>1999</v>
      </c>
      <c r="G408" s="4" t="s">
        <v>41</v>
      </c>
      <c r="H408" s="7" t="s">
        <v>42</v>
      </c>
      <c r="I408" s="7"/>
      <c r="J408" s="4" t="s">
        <v>637</v>
      </c>
      <c r="K408" s="4" t="s">
        <v>912</v>
      </c>
      <c r="L408" s="4" t="s">
        <v>1996</v>
      </c>
      <c r="M408" s="4" t="s">
        <v>906</v>
      </c>
      <c r="N408" s="7" t="s">
        <v>907</v>
      </c>
      <c r="O408" s="7" t="s">
        <v>908</v>
      </c>
      <c r="P408" s="7"/>
    </row>
    <row r="409" spans="1:16" ht="54" customHeight="1">
      <c r="A409" s="8" t="s">
        <v>449</v>
      </c>
      <c r="B409" s="8" t="s">
        <v>450</v>
      </c>
      <c r="C409" s="8" t="s">
        <v>2000</v>
      </c>
      <c r="D409" s="8" t="s">
        <v>901</v>
      </c>
      <c r="E409" s="8" t="s">
        <v>2001</v>
      </c>
      <c r="F409" s="8" t="s">
        <v>2002</v>
      </c>
      <c r="G409" s="8" t="s">
        <v>41</v>
      </c>
      <c r="H409" s="7" t="s">
        <v>42</v>
      </c>
      <c r="I409" s="7"/>
      <c r="J409" s="8" t="s">
        <v>637</v>
      </c>
      <c r="K409" s="8" t="s">
        <v>1015</v>
      </c>
      <c r="L409" s="8" t="s">
        <v>1996</v>
      </c>
      <c r="M409" s="8" t="s">
        <v>906</v>
      </c>
      <c r="N409" s="7" t="s">
        <v>907</v>
      </c>
      <c r="O409" s="7" t="s">
        <v>908</v>
      </c>
      <c r="P409" s="7"/>
    </row>
    <row r="410" spans="1:16" ht="54" customHeight="1">
      <c r="A410" s="4" t="s">
        <v>449</v>
      </c>
      <c r="B410" s="4" t="s">
        <v>450</v>
      </c>
      <c r="C410" s="4" t="s">
        <v>2003</v>
      </c>
      <c r="D410" s="4" t="s">
        <v>901</v>
      </c>
      <c r="E410" s="4" t="s">
        <v>2004</v>
      </c>
      <c r="F410" s="4" t="s">
        <v>2005</v>
      </c>
      <c r="G410" s="4" t="s">
        <v>41</v>
      </c>
      <c r="H410" s="7" t="s">
        <v>42</v>
      </c>
      <c r="I410" s="7"/>
      <c r="J410" s="4" t="s">
        <v>637</v>
      </c>
      <c r="K410" s="4" t="s">
        <v>1019</v>
      </c>
      <c r="L410" s="4" t="s">
        <v>1996</v>
      </c>
      <c r="M410" s="4" t="s">
        <v>906</v>
      </c>
      <c r="N410" s="7" t="s">
        <v>907</v>
      </c>
      <c r="O410" s="7" t="s">
        <v>908</v>
      </c>
      <c r="P410" s="7"/>
    </row>
    <row r="411" spans="1:16" ht="54" customHeight="1">
      <c r="A411" s="8" t="s">
        <v>449</v>
      </c>
      <c r="B411" s="8" t="s">
        <v>450</v>
      </c>
      <c r="C411" s="8" t="s">
        <v>2006</v>
      </c>
      <c r="D411" s="8" t="s">
        <v>901</v>
      </c>
      <c r="E411" s="8" t="s">
        <v>2007</v>
      </c>
      <c r="F411" s="8" t="s">
        <v>2008</v>
      </c>
      <c r="G411" s="8" t="s">
        <v>41</v>
      </c>
      <c r="H411" s="7" t="s">
        <v>42</v>
      </c>
      <c r="I411" s="7"/>
      <c r="J411" s="8" t="s">
        <v>637</v>
      </c>
      <c r="K411" s="8" t="s">
        <v>1091</v>
      </c>
      <c r="L411" s="8" t="s">
        <v>1996</v>
      </c>
      <c r="M411" s="8" t="s">
        <v>906</v>
      </c>
      <c r="N411" s="7" t="s">
        <v>907</v>
      </c>
      <c r="O411" s="7" t="s">
        <v>908</v>
      </c>
      <c r="P411" s="7"/>
    </row>
    <row r="412" spans="1:16" ht="54" customHeight="1">
      <c r="A412" s="4" t="s">
        <v>449</v>
      </c>
      <c r="B412" s="4" t="s">
        <v>450</v>
      </c>
      <c r="C412" s="4" t="s">
        <v>2009</v>
      </c>
      <c r="D412" s="4" t="s">
        <v>914</v>
      </c>
      <c r="E412" s="4" t="s">
        <v>915</v>
      </c>
      <c r="F412" s="4" t="s">
        <v>454</v>
      </c>
      <c r="G412" s="4" t="s">
        <v>916</v>
      </c>
      <c r="H412" s="7" t="s">
        <v>42</v>
      </c>
      <c r="I412" s="7"/>
      <c r="J412" s="4" t="s">
        <v>914</v>
      </c>
      <c r="K412" s="4" t="s">
        <v>41</v>
      </c>
      <c r="L412" s="4" t="s">
        <v>1996</v>
      </c>
      <c r="M412" s="4" t="s">
        <v>51</v>
      </c>
      <c r="N412" s="7" t="s">
        <v>907</v>
      </c>
      <c r="O412" s="7"/>
      <c r="P412" s="7"/>
    </row>
    <row r="413" spans="1:16" ht="40" customHeight="1">
      <c r="A413" s="8" t="s">
        <v>457</v>
      </c>
      <c r="B413" s="8" t="s">
        <v>458</v>
      </c>
      <c r="C413" s="8" t="s">
        <v>2010</v>
      </c>
      <c r="D413" s="8" t="s">
        <v>901</v>
      </c>
      <c r="E413" s="8" t="s">
        <v>2011</v>
      </c>
      <c r="F413" s="8" t="s">
        <v>2012</v>
      </c>
      <c r="G413" s="8" t="s">
        <v>41</v>
      </c>
      <c r="H413" s="7" t="s">
        <v>42</v>
      </c>
      <c r="I413" s="7"/>
      <c r="J413" s="8" t="s">
        <v>637</v>
      </c>
      <c r="K413" s="8" t="s">
        <v>920</v>
      </c>
      <c r="L413" s="8" t="s">
        <v>2013</v>
      </c>
      <c r="M413" s="8" t="s">
        <v>906</v>
      </c>
      <c r="N413" s="7" t="s">
        <v>907</v>
      </c>
      <c r="O413" s="7" t="s">
        <v>908</v>
      </c>
      <c r="P413" s="7"/>
    </row>
    <row r="414" spans="1:16" ht="40" customHeight="1">
      <c r="A414" s="4" t="s">
        <v>457</v>
      </c>
      <c r="B414" s="4" t="s">
        <v>458</v>
      </c>
      <c r="C414" s="4" t="s">
        <v>2014</v>
      </c>
      <c r="D414" s="4" t="s">
        <v>914</v>
      </c>
      <c r="E414" s="4" t="s">
        <v>915</v>
      </c>
      <c r="F414" s="4" t="s">
        <v>464</v>
      </c>
      <c r="G414" s="4" t="s">
        <v>916</v>
      </c>
      <c r="H414" s="7" t="s">
        <v>42</v>
      </c>
      <c r="I414" s="7"/>
      <c r="J414" s="4" t="s">
        <v>914</v>
      </c>
      <c r="K414" s="4" t="s">
        <v>41</v>
      </c>
      <c r="L414" s="4" t="s">
        <v>2013</v>
      </c>
      <c r="M414" s="4" t="s">
        <v>51</v>
      </c>
      <c r="N414" s="7" t="s">
        <v>907</v>
      </c>
      <c r="O414" s="7"/>
      <c r="P414" s="7"/>
    </row>
    <row r="415" spans="1:16" ht="40" customHeight="1">
      <c r="A415" s="8" t="s">
        <v>467</v>
      </c>
      <c r="B415" s="8" t="s">
        <v>468</v>
      </c>
      <c r="C415" s="8" t="s">
        <v>2015</v>
      </c>
      <c r="D415" s="8" t="s">
        <v>901</v>
      </c>
      <c r="E415" s="8" t="s">
        <v>2016</v>
      </c>
      <c r="F415" s="8" t="s">
        <v>2017</v>
      </c>
      <c r="G415" s="8" t="s">
        <v>41</v>
      </c>
      <c r="H415" s="7" t="s">
        <v>42</v>
      </c>
      <c r="I415" s="7"/>
      <c r="J415" s="8" t="s">
        <v>637</v>
      </c>
      <c r="K415" s="8" t="s">
        <v>904</v>
      </c>
      <c r="L415" s="8" t="s">
        <v>2018</v>
      </c>
      <c r="M415" s="8" t="s">
        <v>906</v>
      </c>
      <c r="N415" s="7" t="s">
        <v>907</v>
      </c>
      <c r="O415" s="7" t="s">
        <v>908</v>
      </c>
      <c r="P415" s="7"/>
    </row>
    <row r="416" spans="1:16" ht="54" customHeight="1">
      <c r="A416" s="4" t="s">
        <v>467</v>
      </c>
      <c r="B416" s="4" t="s">
        <v>468</v>
      </c>
      <c r="C416" s="4" t="s">
        <v>2019</v>
      </c>
      <c r="D416" s="4" t="s">
        <v>901</v>
      </c>
      <c r="E416" s="4" t="s">
        <v>2020</v>
      </c>
      <c r="F416" s="4" t="s">
        <v>2021</v>
      </c>
      <c r="G416" s="4" t="s">
        <v>41</v>
      </c>
      <c r="H416" s="7" t="s">
        <v>42</v>
      </c>
      <c r="I416" s="7"/>
      <c r="J416" s="4" t="s">
        <v>637</v>
      </c>
      <c r="K416" s="4" t="s">
        <v>912</v>
      </c>
      <c r="L416" s="4" t="s">
        <v>2018</v>
      </c>
      <c r="M416" s="4" t="s">
        <v>906</v>
      </c>
      <c r="N416" s="7" t="s">
        <v>907</v>
      </c>
      <c r="O416" s="7" t="s">
        <v>908</v>
      </c>
      <c r="P416" s="7"/>
    </row>
    <row r="417" spans="1:16" ht="40" customHeight="1">
      <c r="A417" s="8" t="s">
        <v>467</v>
      </c>
      <c r="B417" s="8" t="s">
        <v>468</v>
      </c>
      <c r="C417" s="8" t="s">
        <v>2022</v>
      </c>
      <c r="D417" s="8" t="s">
        <v>914</v>
      </c>
      <c r="E417" s="8" t="s">
        <v>915</v>
      </c>
      <c r="F417" s="8" t="s">
        <v>473</v>
      </c>
      <c r="G417" s="8" t="s">
        <v>916</v>
      </c>
      <c r="H417" s="7" t="s">
        <v>42</v>
      </c>
      <c r="I417" s="7"/>
      <c r="J417" s="8" t="s">
        <v>914</v>
      </c>
      <c r="K417" s="8" t="s">
        <v>41</v>
      </c>
      <c r="L417" s="8" t="s">
        <v>2018</v>
      </c>
      <c r="M417" s="8" t="s">
        <v>51</v>
      </c>
      <c r="N417" s="7" t="s">
        <v>907</v>
      </c>
      <c r="O417" s="7"/>
      <c r="P417" s="7"/>
    </row>
    <row r="418" spans="1:16" ht="40" customHeight="1">
      <c r="A418" s="4" t="s">
        <v>476</v>
      </c>
      <c r="B418" s="4" t="s">
        <v>477</v>
      </c>
      <c r="C418" s="4" t="s">
        <v>2023</v>
      </c>
      <c r="D418" s="4" t="s">
        <v>901</v>
      </c>
      <c r="E418" s="4" t="s">
        <v>2024</v>
      </c>
      <c r="F418" s="4" t="s">
        <v>2025</v>
      </c>
      <c r="G418" s="4" t="s">
        <v>41</v>
      </c>
      <c r="H418" s="7" t="s">
        <v>42</v>
      </c>
      <c r="I418" s="7"/>
      <c r="J418" s="4" t="s">
        <v>637</v>
      </c>
      <c r="K418" s="4" t="s">
        <v>904</v>
      </c>
      <c r="L418" s="4" t="s">
        <v>2026</v>
      </c>
      <c r="M418" s="4" t="s">
        <v>906</v>
      </c>
      <c r="N418" s="7" t="s">
        <v>907</v>
      </c>
      <c r="O418" s="7" t="s">
        <v>908</v>
      </c>
      <c r="P418" s="7"/>
    </row>
    <row r="419" spans="1:16" ht="54" customHeight="1">
      <c r="A419" s="8" t="s">
        <v>476</v>
      </c>
      <c r="B419" s="8" t="s">
        <v>477</v>
      </c>
      <c r="C419" s="8" t="s">
        <v>2027</v>
      </c>
      <c r="D419" s="8" t="s">
        <v>901</v>
      </c>
      <c r="E419" s="8" t="s">
        <v>2028</v>
      </c>
      <c r="F419" s="8" t="s">
        <v>2029</v>
      </c>
      <c r="G419" s="8" t="s">
        <v>41</v>
      </c>
      <c r="H419" s="7" t="s">
        <v>42</v>
      </c>
      <c r="I419" s="7"/>
      <c r="J419" s="8" t="s">
        <v>637</v>
      </c>
      <c r="K419" s="8" t="s">
        <v>912</v>
      </c>
      <c r="L419" s="8" t="s">
        <v>2026</v>
      </c>
      <c r="M419" s="8" t="s">
        <v>906</v>
      </c>
      <c r="N419" s="7" t="s">
        <v>907</v>
      </c>
      <c r="O419" s="7" t="s">
        <v>908</v>
      </c>
      <c r="P419" s="7"/>
    </row>
    <row r="420" spans="1:16" ht="40" customHeight="1">
      <c r="A420" s="4" t="s">
        <v>476</v>
      </c>
      <c r="B420" s="4" t="s">
        <v>477</v>
      </c>
      <c r="C420" s="4" t="s">
        <v>2030</v>
      </c>
      <c r="D420" s="4" t="s">
        <v>901</v>
      </c>
      <c r="E420" s="4" t="s">
        <v>2031</v>
      </c>
      <c r="F420" s="4" t="s">
        <v>2032</v>
      </c>
      <c r="G420" s="4" t="s">
        <v>41</v>
      </c>
      <c r="H420" s="7" t="s">
        <v>42</v>
      </c>
      <c r="I420" s="7"/>
      <c r="J420" s="4" t="s">
        <v>637</v>
      </c>
      <c r="K420" s="4" t="s">
        <v>1015</v>
      </c>
      <c r="L420" s="4" t="s">
        <v>2026</v>
      </c>
      <c r="M420" s="4" t="s">
        <v>906</v>
      </c>
      <c r="N420" s="7" t="s">
        <v>907</v>
      </c>
      <c r="O420" s="7" t="s">
        <v>908</v>
      </c>
      <c r="P420" s="7"/>
    </row>
    <row r="421" spans="1:16" ht="40" customHeight="1">
      <c r="A421" s="8" t="s">
        <v>476</v>
      </c>
      <c r="B421" s="8" t="s">
        <v>477</v>
      </c>
      <c r="C421" s="8" t="s">
        <v>2033</v>
      </c>
      <c r="D421" s="8" t="s">
        <v>901</v>
      </c>
      <c r="E421" s="8" t="s">
        <v>2034</v>
      </c>
      <c r="F421" s="8" t="s">
        <v>2035</v>
      </c>
      <c r="G421" s="8" t="s">
        <v>41</v>
      </c>
      <c r="H421" s="7" t="s">
        <v>42</v>
      </c>
      <c r="I421" s="7"/>
      <c r="J421" s="8" t="s">
        <v>637</v>
      </c>
      <c r="K421" s="8" t="s">
        <v>1019</v>
      </c>
      <c r="L421" s="8" t="s">
        <v>2026</v>
      </c>
      <c r="M421" s="8" t="s">
        <v>906</v>
      </c>
      <c r="N421" s="7" t="s">
        <v>907</v>
      </c>
      <c r="O421" s="7" t="s">
        <v>908</v>
      </c>
      <c r="P421" s="7"/>
    </row>
    <row r="422" spans="1:16" ht="54" customHeight="1">
      <c r="A422" s="4" t="s">
        <v>476</v>
      </c>
      <c r="B422" s="4" t="s">
        <v>477</v>
      </c>
      <c r="C422" s="4" t="s">
        <v>2036</v>
      </c>
      <c r="D422" s="4" t="s">
        <v>901</v>
      </c>
      <c r="E422" s="4" t="s">
        <v>2037</v>
      </c>
      <c r="F422" s="4" t="s">
        <v>2038</v>
      </c>
      <c r="G422" s="4" t="s">
        <v>41</v>
      </c>
      <c r="H422" s="7" t="s">
        <v>42</v>
      </c>
      <c r="I422" s="7"/>
      <c r="J422" s="4" t="s">
        <v>637</v>
      </c>
      <c r="K422" s="4" t="s">
        <v>1147</v>
      </c>
      <c r="L422" s="4" t="s">
        <v>2026</v>
      </c>
      <c r="M422" s="4" t="s">
        <v>906</v>
      </c>
      <c r="N422" s="7" t="s">
        <v>907</v>
      </c>
      <c r="O422" s="7" t="s">
        <v>908</v>
      </c>
      <c r="P422" s="7"/>
    </row>
    <row r="423" spans="1:16" ht="40" customHeight="1">
      <c r="A423" s="8" t="s">
        <v>476</v>
      </c>
      <c r="B423" s="8" t="s">
        <v>477</v>
      </c>
      <c r="C423" s="8" t="s">
        <v>2039</v>
      </c>
      <c r="D423" s="8" t="s">
        <v>901</v>
      </c>
      <c r="E423" s="8" t="s">
        <v>2040</v>
      </c>
      <c r="F423" s="8" t="s">
        <v>2041</v>
      </c>
      <c r="G423" s="8" t="s">
        <v>41</v>
      </c>
      <c r="H423" s="7" t="s">
        <v>42</v>
      </c>
      <c r="I423" s="7"/>
      <c r="J423" s="8" t="s">
        <v>637</v>
      </c>
      <c r="K423" s="8" t="s">
        <v>1254</v>
      </c>
      <c r="L423" s="8" t="s">
        <v>2026</v>
      </c>
      <c r="M423" s="8" t="s">
        <v>906</v>
      </c>
      <c r="N423" s="7" t="s">
        <v>907</v>
      </c>
      <c r="O423" s="7" t="s">
        <v>908</v>
      </c>
      <c r="P423" s="7"/>
    </row>
    <row r="424" spans="1:16" ht="40" customHeight="1">
      <c r="A424" s="4" t="s">
        <v>476</v>
      </c>
      <c r="B424" s="4" t="s">
        <v>477</v>
      </c>
      <c r="C424" s="4" t="s">
        <v>2042</v>
      </c>
      <c r="D424" s="4" t="s">
        <v>949</v>
      </c>
      <c r="E424" s="4" t="s">
        <v>2043</v>
      </c>
      <c r="F424" s="4" t="s">
        <v>2044</v>
      </c>
      <c r="G424" s="4" t="s">
        <v>41</v>
      </c>
      <c r="H424" s="7" t="s">
        <v>42</v>
      </c>
      <c r="I424" s="7"/>
      <c r="J424" s="4" t="s">
        <v>914</v>
      </c>
      <c r="K424" s="4" t="s">
        <v>1023</v>
      </c>
      <c r="L424" s="4" t="s">
        <v>2026</v>
      </c>
      <c r="M424" s="4" t="s">
        <v>906</v>
      </c>
      <c r="N424" s="7" t="s">
        <v>907</v>
      </c>
      <c r="O424" s="7" t="s">
        <v>908</v>
      </c>
      <c r="P424" s="7"/>
    </row>
    <row r="425" spans="1:16" ht="40" customHeight="1">
      <c r="A425" s="8" t="s">
        <v>476</v>
      </c>
      <c r="B425" s="8" t="s">
        <v>477</v>
      </c>
      <c r="C425" s="8" t="s">
        <v>2045</v>
      </c>
      <c r="D425" s="8" t="s">
        <v>949</v>
      </c>
      <c r="E425" s="8" t="s">
        <v>2046</v>
      </c>
      <c r="F425" s="8" t="s">
        <v>2047</v>
      </c>
      <c r="G425" s="8" t="s">
        <v>41</v>
      </c>
      <c r="H425" s="7" t="s">
        <v>42</v>
      </c>
      <c r="I425" s="7"/>
      <c r="J425" s="8" t="s">
        <v>914</v>
      </c>
      <c r="K425" s="8" t="s">
        <v>1027</v>
      </c>
      <c r="L425" s="8" t="s">
        <v>2026</v>
      </c>
      <c r="M425" s="8" t="s">
        <v>906</v>
      </c>
      <c r="N425" s="7" t="s">
        <v>907</v>
      </c>
      <c r="O425" s="7" t="s">
        <v>908</v>
      </c>
      <c r="P425" s="7"/>
    </row>
    <row r="426" spans="1:16" ht="40" customHeight="1">
      <c r="A426" s="4" t="s">
        <v>476</v>
      </c>
      <c r="B426" s="4" t="s">
        <v>477</v>
      </c>
      <c r="C426" s="4" t="s">
        <v>2048</v>
      </c>
      <c r="D426" s="4" t="s">
        <v>949</v>
      </c>
      <c r="E426" s="4" t="s">
        <v>2049</v>
      </c>
      <c r="F426" s="4" t="s">
        <v>2050</v>
      </c>
      <c r="G426" s="4" t="s">
        <v>41</v>
      </c>
      <c r="H426" s="7" t="s">
        <v>42</v>
      </c>
      <c r="I426" s="7"/>
      <c r="J426" s="4" t="s">
        <v>914</v>
      </c>
      <c r="K426" s="4" t="s">
        <v>1031</v>
      </c>
      <c r="L426" s="4" t="s">
        <v>2026</v>
      </c>
      <c r="M426" s="4" t="s">
        <v>906</v>
      </c>
      <c r="N426" s="7" t="s">
        <v>907</v>
      </c>
      <c r="O426" s="7" t="s">
        <v>908</v>
      </c>
      <c r="P426" s="7"/>
    </row>
    <row r="427" spans="1:16" ht="40" customHeight="1">
      <c r="A427" s="8" t="s">
        <v>476</v>
      </c>
      <c r="B427" s="8" t="s">
        <v>477</v>
      </c>
      <c r="C427" s="8" t="s">
        <v>2051</v>
      </c>
      <c r="D427" s="8" t="s">
        <v>949</v>
      </c>
      <c r="E427" s="8" t="s">
        <v>2052</v>
      </c>
      <c r="F427" s="8" t="s">
        <v>2053</v>
      </c>
      <c r="G427" s="8" t="s">
        <v>41</v>
      </c>
      <c r="H427" s="7" t="s">
        <v>42</v>
      </c>
      <c r="I427" s="7"/>
      <c r="J427" s="8" t="s">
        <v>914</v>
      </c>
      <c r="K427" s="8" t="s">
        <v>1035</v>
      </c>
      <c r="L427" s="8" t="s">
        <v>2026</v>
      </c>
      <c r="M427" s="8" t="s">
        <v>906</v>
      </c>
      <c r="N427" s="7" t="s">
        <v>907</v>
      </c>
      <c r="O427" s="7" t="s">
        <v>908</v>
      </c>
      <c r="P427" s="7"/>
    </row>
    <row r="428" spans="1:16" ht="40" customHeight="1">
      <c r="A428" s="4" t="s">
        <v>476</v>
      </c>
      <c r="B428" s="4" t="s">
        <v>477</v>
      </c>
      <c r="C428" s="4" t="s">
        <v>2054</v>
      </c>
      <c r="D428" s="4" t="s">
        <v>949</v>
      </c>
      <c r="E428" s="4" t="s">
        <v>2055</v>
      </c>
      <c r="F428" s="4" t="s">
        <v>2056</v>
      </c>
      <c r="G428" s="4" t="s">
        <v>41</v>
      </c>
      <c r="H428" s="7" t="s">
        <v>42</v>
      </c>
      <c r="I428" s="7"/>
      <c r="J428" s="4" t="s">
        <v>914</v>
      </c>
      <c r="K428" s="4" t="s">
        <v>1039</v>
      </c>
      <c r="L428" s="4" t="s">
        <v>2026</v>
      </c>
      <c r="M428" s="4" t="s">
        <v>906</v>
      </c>
      <c r="N428" s="7" t="s">
        <v>907</v>
      </c>
      <c r="O428" s="7" t="s">
        <v>908</v>
      </c>
      <c r="P428" s="7"/>
    </row>
    <row r="429" spans="1:16" ht="40" customHeight="1">
      <c r="A429" s="8" t="s">
        <v>476</v>
      </c>
      <c r="B429" s="8" t="s">
        <v>477</v>
      </c>
      <c r="C429" s="8" t="s">
        <v>2057</v>
      </c>
      <c r="D429" s="8" t="s">
        <v>949</v>
      </c>
      <c r="E429" s="8" t="s">
        <v>2058</v>
      </c>
      <c r="F429" s="8" t="s">
        <v>2059</v>
      </c>
      <c r="G429" s="8" t="s">
        <v>41</v>
      </c>
      <c r="H429" s="7" t="s">
        <v>42</v>
      </c>
      <c r="I429" s="7"/>
      <c r="J429" s="8" t="s">
        <v>914</v>
      </c>
      <c r="K429" s="8" t="s">
        <v>1043</v>
      </c>
      <c r="L429" s="8" t="s">
        <v>2026</v>
      </c>
      <c r="M429" s="8" t="s">
        <v>906</v>
      </c>
      <c r="N429" s="7" t="s">
        <v>907</v>
      </c>
      <c r="O429" s="7" t="s">
        <v>908</v>
      </c>
      <c r="P429" s="7"/>
    </row>
    <row r="430" spans="1:16" ht="40" customHeight="1">
      <c r="A430" s="4" t="s">
        <v>476</v>
      </c>
      <c r="B430" s="4" t="s">
        <v>477</v>
      </c>
      <c r="C430" s="4" t="s">
        <v>2060</v>
      </c>
      <c r="D430" s="4" t="s">
        <v>949</v>
      </c>
      <c r="E430" s="4" t="s">
        <v>2061</v>
      </c>
      <c r="F430" s="4" t="s">
        <v>2062</v>
      </c>
      <c r="G430" s="4" t="s">
        <v>41</v>
      </c>
      <c r="H430" s="7" t="s">
        <v>42</v>
      </c>
      <c r="I430" s="7"/>
      <c r="J430" s="4" t="s">
        <v>914</v>
      </c>
      <c r="K430" s="4" t="s">
        <v>1047</v>
      </c>
      <c r="L430" s="4" t="s">
        <v>2026</v>
      </c>
      <c r="M430" s="4" t="s">
        <v>906</v>
      </c>
      <c r="N430" s="7" t="s">
        <v>907</v>
      </c>
      <c r="O430" s="7" t="s">
        <v>908</v>
      </c>
      <c r="P430" s="7"/>
    </row>
    <row r="431" spans="1:16" ht="40" customHeight="1">
      <c r="A431" s="8" t="s">
        <v>476</v>
      </c>
      <c r="B431" s="8" t="s">
        <v>477</v>
      </c>
      <c r="C431" s="8" t="s">
        <v>2063</v>
      </c>
      <c r="D431" s="8" t="s">
        <v>949</v>
      </c>
      <c r="E431" s="8" t="s">
        <v>2064</v>
      </c>
      <c r="F431" s="8" t="s">
        <v>2065</v>
      </c>
      <c r="G431" s="8" t="s">
        <v>41</v>
      </c>
      <c r="H431" s="7" t="s">
        <v>42</v>
      </c>
      <c r="I431" s="7"/>
      <c r="J431" s="8" t="s">
        <v>914</v>
      </c>
      <c r="K431" s="8" t="s">
        <v>2066</v>
      </c>
      <c r="L431" s="8" t="s">
        <v>2026</v>
      </c>
      <c r="M431" s="8" t="s">
        <v>906</v>
      </c>
      <c r="N431" s="7" t="s">
        <v>907</v>
      </c>
      <c r="O431" s="7" t="s">
        <v>908</v>
      </c>
      <c r="P431" s="7"/>
    </row>
    <row r="432" spans="1:16" ht="40" customHeight="1">
      <c r="A432" s="4" t="s">
        <v>476</v>
      </c>
      <c r="B432" s="4" t="s">
        <v>477</v>
      </c>
      <c r="C432" s="4" t="s">
        <v>2067</v>
      </c>
      <c r="D432" s="4" t="s">
        <v>949</v>
      </c>
      <c r="E432" s="4" t="s">
        <v>2068</v>
      </c>
      <c r="F432" s="4" t="s">
        <v>2069</v>
      </c>
      <c r="G432" s="4" t="s">
        <v>41</v>
      </c>
      <c r="H432" s="7" t="s">
        <v>42</v>
      </c>
      <c r="I432" s="7"/>
      <c r="J432" s="4" t="s">
        <v>914</v>
      </c>
      <c r="K432" s="4" t="s">
        <v>2070</v>
      </c>
      <c r="L432" s="4" t="s">
        <v>2026</v>
      </c>
      <c r="M432" s="4" t="s">
        <v>906</v>
      </c>
      <c r="N432" s="7" t="s">
        <v>907</v>
      </c>
      <c r="O432" s="7" t="s">
        <v>908</v>
      </c>
      <c r="P432" s="7"/>
    </row>
    <row r="433" spans="1:16" ht="40" customHeight="1">
      <c r="A433" s="8" t="s">
        <v>486</v>
      </c>
      <c r="B433" s="8" t="s">
        <v>487</v>
      </c>
      <c r="C433" s="8" t="s">
        <v>2071</v>
      </c>
      <c r="D433" s="8" t="s">
        <v>901</v>
      </c>
      <c r="E433" s="8" t="s">
        <v>1072</v>
      </c>
      <c r="F433" s="8" t="s">
        <v>2072</v>
      </c>
      <c r="G433" s="8" t="s">
        <v>41</v>
      </c>
      <c r="H433" s="7" t="s">
        <v>42</v>
      </c>
      <c r="I433" s="7"/>
      <c r="J433" s="8" t="s">
        <v>637</v>
      </c>
      <c r="K433" s="8" t="s">
        <v>904</v>
      </c>
      <c r="L433" s="8" t="s">
        <v>2073</v>
      </c>
      <c r="M433" s="8" t="s">
        <v>906</v>
      </c>
      <c r="N433" s="7" t="s">
        <v>907</v>
      </c>
      <c r="O433" s="7" t="s">
        <v>908</v>
      </c>
      <c r="P433" s="7"/>
    </row>
    <row r="434" spans="1:16" ht="40" customHeight="1">
      <c r="A434" s="4" t="s">
        <v>486</v>
      </c>
      <c r="B434" s="4" t="s">
        <v>487</v>
      </c>
      <c r="C434" s="4" t="s">
        <v>2074</v>
      </c>
      <c r="D434" s="4" t="s">
        <v>901</v>
      </c>
      <c r="E434" s="4" t="s">
        <v>1076</v>
      </c>
      <c r="F434" s="4" t="s">
        <v>2075</v>
      </c>
      <c r="G434" s="4" t="s">
        <v>41</v>
      </c>
      <c r="H434" s="7" t="s">
        <v>42</v>
      </c>
      <c r="I434" s="7"/>
      <c r="J434" s="4" t="s">
        <v>637</v>
      </c>
      <c r="K434" s="4" t="s">
        <v>912</v>
      </c>
      <c r="L434" s="4" t="s">
        <v>2073</v>
      </c>
      <c r="M434" s="4" t="s">
        <v>906</v>
      </c>
      <c r="N434" s="7" t="s">
        <v>907</v>
      </c>
      <c r="O434" s="7" t="s">
        <v>908</v>
      </c>
      <c r="P434" s="7"/>
    </row>
    <row r="435" spans="1:16" ht="40" customHeight="1">
      <c r="A435" s="8" t="s">
        <v>486</v>
      </c>
      <c r="B435" s="8" t="s">
        <v>487</v>
      </c>
      <c r="C435" s="8" t="s">
        <v>2076</v>
      </c>
      <c r="D435" s="8" t="s">
        <v>901</v>
      </c>
      <c r="E435" s="8" t="s">
        <v>2077</v>
      </c>
      <c r="F435" s="8" t="s">
        <v>2078</v>
      </c>
      <c r="G435" s="8" t="s">
        <v>41</v>
      </c>
      <c r="H435" s="7" t="s">
        <v>42</v>
      </c>
      <c r="I435" s="7"/>
      <c r="J435" s="8" t="s">
        <v>637</v>
      </c>
      <c r="K435" s="8" t="s">
        <v>1015</v>
      </c>
      <c r="L435" s="8" t="s">
        <v>2073</v>
      </c>
      <c r="M435" s="8" t="s">
        <v>906</v>
      </c>
      <c r="N435" s="7" t="s">
        <v>907</v>
      </c>
      <c r="O435" s="7" t="s">
        <v>908</v>
      </c>
      <c r="P435" s="7"/>
    </row>
    <row r="436" spans="1:16" ht="40" customHeight="1">
      <c r="A436" s="4" t="s">
        <v>486</v>
      </c>
      <c r="B436" s="4" t="s">
        <v>487</v>
      </c>
      <c r="C436" s="4" t="s">
        <v>2079</v>
      </c>
      <c r="D436" s="4" t="s">
        <v>901</v>
      </c>
      <c r="E436" s="4" t="s">
        <v>2080</v>
      </c>
      <c r="F436" s="4" t="s">
        <v>2081</v>
      </c>
      <c r="G436" s="4" t="s">
        <v>41</v>
      </c>
      <c r="H436" s="7" t="s">
        <v>42</v>
      </c>
      <c r="I436" s="7"/>
      <c r="J436" s="4" t="s">
        <v>637</v>
      </c>
      <c r="K436" s="4" t="s">
        <v>1019</v>
      </c>
      <c r="L436" s="4" t="s">
        <v>2073</v>
      </c>
      <c r="M436" s="4" t="s">
        <v>906</v>
      </c>
      <c r="N436" s="7" t="s">
        <v>907</v>
      </c>
      <c r="O436" s="7" t="s">
        <v>908</v>
      </c>
      <c r="P436" s="7"/>
    </row>
    <row r="437" spans="1:16" ht="40" customHeight="1">
      <c r="A437" s="8" t="s">
        <v>486</v>
      </c>
      <c r="B437" s="8" t="s">
        <v>487</v>
      </c>
      <c r="C437" s="8" t="s">
        <v>2082</v>
      </c>
      <c r="D437" s="8" t="s">
        <v>901</v>
      </c>
      <c r="E437" s="8" t="s">
        <v>2083</v>
      </c>
      <c r="F437" s="8" t="s">
        <v>2084</v>
      </c>
      <c r="G437" s="8" t="s">
        <v>41</v>
      </c>
      <c r="H437" s="7" t="s">
        <v>42</v>
      </c>
      <c r="I437" s="7"/>
      <c r="J437" s="8" t="s">
        <v>637</v>
      </c>
      <c r="K437" s="8" t="s">
        <v>1147</v>
      </c>
      <c r="L437" s="8" t="s">
        <v>2073</v>
      </c>
      <c r="M437" s="8" t="s">
        <v>906</v>
      </c>
      <c r="N437" s="7" t="s">
        <v>907</v>
      </c>
      <c r="O437" s="7" t="s">
        <v>908</v>
      </c>
      <c r="P437" s="7"/>
    </row>
    <row r="438" spans="1:16" ht="40" customHeight="1">
      <c r="A438" s="4" t="s">
        <v>486</v>
      </c>
      <c r="B438" s="4" t="s">
        <v>487</v>
      </c>
      <c r="C438" s="4" t="s">
        <v>2085</v>
      </c>
      <c r="D438" s="4" t="s">
        <v>901</v>
      </c>
      <c r="E438" s="4" t="s">
        <v>2086</v>
      </c>
      <c r="F438" s="4" t="s">
        <v>2087</v>
      </c>
      <c r="G438" s="4" t="s">
        <v>41</v>
      </c>
      <c r="H438" s="7" t="s">
        <v>42</v>
      </c>
      <c r="I438" s="7"/>
      <c r="J438" s="4" t="s">
        <v>637</v>
      </c>
      <c r="K438" s="4" t="s">
        <v>1254</v>
      </c>
      <c r="L438" s="4" t="s">
        <v>2073</v>
      </c>
      <c r="M438" s="4" t="s">
        <v>906</v>
      </c>
      <c r="N438" s="7" t="s">
        <v>907</v>
      </c>
      <c r="O438" s="7" t="s">
        <v>908</v>
      </c>
      <c r="P438" s="7"/>
    </row>
    <row r="439" spans="1:16" ht="40" customHeight="1">
      <c r="A439" s="8" t="s">
        <v>486</v>
      </c>
      <c r="B439" s="8" t="s">
        <v>487</v>
      </c>
      <c r="C439" s="8" t="s">
        <v>2088</v>
      </c>
      <c r="D439" s="8" t="s">
        <v>901</v>
      </c>
      <c r="E439" s="8" t="s">
        <v>2089</v>
      </c>
      <c r="F439" s="8" t="s">
        <v>2090</v>
      </c>
      <c r="G439" s="8" t="s">
        <v>41</v>
      </c>
      <c r="H439" s="7" t="s">
        <v>42</v>
      </c>
      <c r="I439" s="7"/>
      <c r="J439" s="8" t="s">
        <v>637</v>
      </c>
      <c r="K439" s="8" t="s">
        <v>1258</v>
      </c>
      <c r="L439" s="8" t="s">
        <v>2073</v>
      </c>
      <c r="M439" s="8" t="s">
        <v>906</v>
      </c>
      <c r="N439" s="7" t="s">
        <v>907</v>
      </c>
      <c r="O439" s="7" t="s">
        <v>908</v>
      </c>
      <c r="P439" s="7"/>
    </row>
    <row r="440" spans="1:16" ht="54" customHeight="1">
      <c r="A440" s="4" t="s">
        <v>486</v>
      </c>
      <c r="B440" s="4" t="s">
        <v>487</v>
      </c>
      <c r="C440" s="4" t="s">
        <v>2091</v>
      </c>
      <c r="D440" s="4" t="s">
        <v>901</v>
      </c>
      <c r="E440" s="4" t="s">
        <v>2092</v>
      </c>
      <c r="F440" s="4" t="s">
        <v>2093</v>
      </c>
      <c r="G440" s="4" t="s">
        <v>41</v>
      </c>
      <c r="H440" s="7" t="s">
        <v>42</v>
      </c>
      <c r="I440" s="7"/>
      <c r="J440" s="4" t="s">
        <v>637</v>
      </c>
      <c r="K440" s="4" t="s">
        <v>1262</v>
      </c>
      <c r="L440" s="4" t="s">
        <v>2073</v>
      </c>
      <c r="M440" s="4" t="s">
        <v>906</v>
      </c>
      <c r="N440" s="7" t="s">
        <v>907</v>
      </c>
      <c r="O440" s="7" t="s">
        <v>908</v>
      </c>
      <c r="P440" s="7"/>
    </row>
    <row r="441" spans="1:16" ht="40" customHeight="1">
      <c r="A441" s="8" t="s">
        <v>486</v>
      </c>
      <c r="B441" s="8" t="s">
        <v>487</v>
      </c>
      <c r="C441" s="8" t="s">
        <v>2094</v>
      </c>
      <c r="D441" s="8" t="s">
        <v>914</v>
      </c>
      <c r="E441" s="8" t="s">
        <v>915</v>
      </c>
      <c r="F441" s="8" t="s">
        <v>490</v>
      </c>
      <c r="G441" s="8" t="s">
        <v>916</v>
      </c>
      <c r="H441" s="7" t="s">
        <v>42</v>
      </c>
      <c r="I441" s="7"/>
      <c r="J441" s="8" t="s">
        <v>914</v>
      </c>
      <c r="K441" s="8" t="s">
        <v>41</v>
      </c>
      <c r="L441" s="8" t="s">
        <v>2073</v>
      </c>
      <c r="M441" s="8" t="s">
        <v>51</v>
      </c>
      <c r="N441" s="7" t="s">
        <v>907</v>
      </c>
      <c r="O441" s="7"/>
      <c r="P441" s="7"/>
    </row>
    <row r="442" spans="1:16" ht="40" customHeight="1">
      <c r="A442" s="4" t="s">
        <v>493</v>
      </c>
      <c r="B442" s="4" t="s">
        <v>494</v>
      </c>
      <c r="C442" s="4" t="s">
        <v>2095</v>
      </c>
      <c r="D442" s="4" t="s">
        <v>901</v>
      </c>
      <c r="E442" s="4" t="s">
        <v>1072</v>
      </c>
      <c r="F442" s="4" t="s">
        <v>2096</v>
      </c>
      <c r="G442" s="4" t="s">
        <v>41</v>
      </c>
      <c r="H442" s="7" t="s">
        <v>42</v>
      </c>
      <c r="I442" s="7"/>
      <c r="J442" s="4" t="s">
        <v>637</v>
      </c>
      <c r="K442" s="4" t="s">
        <v>904</v>
      </c>
      <c r="L442" s="4" t="s">
        <v>2097</v>
      </c>
      <c r="M442" s="4" t="s">
        <v>906</v>
      </c>
      <c r="N442" s="7" t="s">
        <v>907</v>
      </c>
      <c r="O442" s="7" t="s">
        <v>908</v>
      </c>
      <c r="P442" s="7"/>
    </row>
    <row r="443" spans="1:16" ht="40" customHeight="1">
      <c r="A443" s="8" t="s">
        <v>493</v>
      </c>
      <c r="B443" s="8" t="s">
        <v>494</v>
      </c>
      <c r="C443" s="8" t="s">
        <v>2098</v>
      </c>
      <c r="D443" s="8" t="s">
        <v>901</v>
      </c>
      <c r="E443" s="8" t="s">
        <v>2099</v>
      </c>
      <c r="F443" s="8" t="s">
        <v>2100</v>
      </c>
      <c r="G443" s="8" t="s">
        <v>41</v>
      </c>
      <c r="H443" s="7" t="s">
        <v>42</v>
      </c>
      <c r="I443" s="7"/>
      <c r="J443" s="8" t="s">
        <v>637</v>
      </c>
      <c r="K443" s="8" t="s">
        <v>912</v>
      </c>
      <c r="L443" s="8" t="s">
        <v>2097</v>
      </c>
      <c r="M443" s="8" t="s">
        <v>906</v>
      </c>
      <c r="N443" s="7" t="s">
        <v>907</v>
      </c>
      <c r="O443" s="7" t="s">
        <v>908</v>
      </c>
      <c r="P443" s="7"/>
    </row>
    <row r="444" spans="1:16" ht="40" customHeight="1">
      <c r="A444" s="4" t="s">
        <v>493</v>
      </c>
      <c r="B444" s="4" t="s">
        <v>494</v>
      </c>
      <c r="C444" s="4" t="s">
        <v>2101</v>
      </c>
      <c r="D444" s="4" t="s">
        <v>901</v>
      </c>
      <c r="E444" s="4" t="s">
        <v>2102</v>
      </c>
      <c r="F444" s="4" t="s">
        <v>2103</v>
      </c>
      <c r="G444" s="4" t="s">
        <v>41</v>
      </c>
      <c r="H444" s="7" t="s">
        <v>42</v>
      </c>
      <c r="I444" s="7"/>
      <c r="J444" s="4" t="s">
        <v>637</v>
      </c>
      <c r="K444" s="4" t="s">
        <v>1015</v>
      </c>
      <c r="L444" s="4" t="s">
        <v>2097</v>
      </c>
      <c r="M444" s="4" t="s">
        <v>906</v>
      </c>
      <c r="N444" s="7" t="s">
        <v>907</v>
      </c>
      <c r="O444" s="7" t="s">
        <v>908</v>
      </c>
      <c r="P444" s="7"/>
    </row>
    <row r="445" spans="1:16" ht="40" customHeight="1">
      <c r="A445" s="8" t="s">
        <v>493</v>
      </c>
      <c r="B445" s="8" t="s">
        <v>494</v>
      </c>
      <c r="C445" s="8" t="s">
        <v>2104</v>
      </c>
      <c r="D445" s="8" t="s">
        <v>901</v>
      </c>
      <c r="E445" s="8" t="s">
        <v>2105</v>
      </c>
      <c r="F445" s="8" t="s">
        <v>2106</v>
      </c>
      <c r="G445" s="8" t="s">
        <v>41</v>
      </c>
      <c r="H445" s="7" t="s">
        <v>42</v>
      </c>
      <c r="I445" s="7"/>
      <c r="J445" s="8" t="s">
        <v>637</v>
      </c>
      <c r="K445" s="8" t="s">
        <v>1019</v>
      </c>
      <c r="L445" s="8" t="s">
        <v>2097</v>
      </c>
      <c r="M445" s="8" t="s">
        <v>906</v>
      </c>
      <c r="N445" s="7" t="s">
        <v>907</v>
      </c>
      <c r="O445" s="7" t="s">
        <v>908</v>
      </c>
      <c r="P445" s="7"/>
    </row>
    <row r="446" spans="1:16" ht="40" customHeight="1">
      <c r="A446" s="4" t="s">
        <v>493</v>
      </c>
      <c r="B446" s="4" t="s">
        <v>494</v>
      </c>
      <c r="C446" s="4" t="s">
        <v>2107</v>
      </c>
      <c r="D446" s="4" t="s">
        <v>901</v>
      </c>
      <c r="E446" s="4" t="s">
        <v>2083</v>
      </c>
      <c r="F446" s="4" t="s">
        <v>2108</v>
      </c>
      <c r="G446" s="4" t="s">
        <v>41</v>
      </c>
      <c r="H446" s="7" t="s">
        <v>42</v>
      </c>
      <c r="I446" s="7"/>
      <c r="J446" s="4" t="s">
        <v>637</v>
      </c>
      <c r="K446" s="4" t="s">
        <v>1147</v>
      </c>
      <c r="L446" s="4" t="s">
        <v>2097</v>
      </c>
      <c r="M446" s="4" t="s">
        <v>906</v>
      </c>
      <c r="N446" s="7" t="s">
        <v>907</v>
      </c>
      <c r="O446" s="7" t="s">
        <v>908</v>
      </c>
      <c r="P446" s="7"/>
    </row>
    <row r="447" spans="1:16" ht="40" customHeight="1">
      <c r="A447" s="8" t="s">
        <v>493</v>
      </c>
      <c r="B447" s="8" t="s">
        <v>494</v>
      </c>
      <c r="C447" s="8" t="s">
        <v>2109</v>
      </c>
      <c r="D447" s="8" t="s">
        <v>914</v>
      </c>
      <c r="E447" s="8" t="s">
        <v>915</v>
      </c>
      <c r="F447" s="8" t="s">
        <v>498</v>
      </c>
      <c r="G447" s="8" t="s">
        <v>916</v>
      </c>
      <c r="H447" s="7" t="s">
        <v>42</v>
      </c>
      <c r="I447" s="7"/>
      <c r="J447" s="8" t="s">
        <v>914</v>
      </c>
      <c r="K447" s="8" t="s">
        <v>41</v>
      </c>
      <c r="L447" s="8" t="s">
        <v>2097</v>
      </c>
      <c r="M447" s="8" t="s">
        <v>51</v>
      </c>
      <c r="N447" s="7" t="s">
        <v>907</v>
      </c>
      <c r="O447" s="7"/>
      <c r="P447" s="7"/>
    </row>
    <row r="448" spans="1:16" ht="40" customHeight="1">
      <c r="A448" s="4" t="s">
        <v>501</v>
      </c>
      <c r="B448" s="4" t="s">
        <v>502</v>
      </c>
      <c r="C448" s="4" t="s">
        <v>2110</v>
      </c>
      <c r="D448" s="4" t="s">
        <v>901</v>
      </c>
      <c r="E448" s="4" t="s">
        <v>1072</v>
      </c>
      <c r="F448" s="4" t="s">
        <v>2111</v>
      </c>
      <c r="G448" s="4" t="s">
        <v>41</v>
      </c>
      <c r="H448" s="7" t="s">
        <v>42</v>
      </c>
      <c r="I448" s="7"/>
      <c r="J448" s="4" t="s">
        <v>637</v>
      </c>
      <c r="K448" s="4" t="s">
        <v>904</v>
      </c>
      <c r="L448" s="4" t="s">
        <v>2112</v>
      </c>
      <c r="M448" s="4" t="s">
        <v>906</v>
      </c>
      <c r="N448" s="7" t="s">
        <v>907</v>
      </c>
      <c r="O448" s="7" t="s">
        <v>908</v>
      </c>
      <c r="P448" s="7"/>
    </row>
    <row r="449" spans="1:16" ht="40" customHeight="1">
      <c r="A449" s="8" t="s">
        <v>501</v>
      </c>
      <c r="B449" s="8" t="s">
        <v>502</v>
      </c>
      <c r="C449" s="8" t="s">
        <v>2113</v>
      </c>
      <c r="D449" s="8" t="s">
        <v>901</v>
      </c>
      <c r="E449" s="8" t="s">
        <v>2114</v>
      </c>
      <c r="F449" s="8" t="s">
        <v>2115</v>
      </c>
      <c r="G449" s="8" t="s">
        <v>41</v>
      </c>
      <c r="H449" s="7" t="s">
        <v>42</v>
      </c>
      <c r="I449" s="7"/>
      <c r="J449" s="8" t="s">
        <v>637</v>
      </c>
      <c r="K449" s="8" t="s">
        <v>912</v>
      </c>
      <c r="L449" s="8" t="s">
        <v>2112</v>
      </c>
      <c r="M449" s="8" t="s">
        <v>906</v>
      </c>
      <c r="N449" s="7" t="s">
        <v>907</v>
      </c>
      <c r="O449" s="7" t="s">
        <v>908</v>
      </c>
      <c r="P449" s="7"/>
    </row>
    <row r="450" spans="1:16" ht="40" customHeight="1">
      <c r="A450" s="4" t="s">
        <v>501</v>
      </c>
      <c r="B450" s="4" t="s">
        <v>502</v>
      </c>
      <c r="C450" s="4" t="s">
        <v>2116</v>
      </c>
      <c r="D450" s="4" t="s">
        <v>901</v>
      </c>
      <c r="E450" s="4" t="s">
        <v>2102</v>
      </c>
      <c r="F450" s="4" t="s">
        <v>2117</v>
      </c>
      <c r="G450" s="4" t="s">
        <v>41</v>
      </c>
      <c r="H450" s="7" t="s">
        <v>42</v>
      </c>
      <c r="I450" s="7"/>
      <c r="J450" s="4" t="s">
        <v>637</v>
      </c>
      <c r="K450" s="4" t="s">
        <v>1015</v>
      </c>
      <c r="L450" s="4" t="s">
        <v>2112</v>
      </c>
      <c r="M450" s="4" t="s">
        <v>906</v>
      </c>
      <c r="N450" s="7" t="s">
        <v>907</v>
      </c>
      <c r="O450" s="7" t="s">
        <v>908</v>
      </c>
      <c r="P450" s="7"/>
    </row>
    <row r="451" spans="1:16" ht="40" customHeight="1">
      <c r="A451" s="8" t="s">
        <v>501</v>
      </c>
      <c r="B451" s="8" t="s">
        <v>502</v>
      </c>
      <c r="C451" s="8" t="s">
        <v>2118</v>
      </c>
      <c r="D451" s="8" t="s">
        <v>901</v>
      </c>
      <c r="E451" s="8" t="s">
        <v>2119</v>
      </c>
      <c r="F451" s="8" t="s">
        <v>2120</v>
      </c>
      <c r="G451" s="8" t="s">
        <v>41</v>
      </c>
      <c r="H451" s="7" t="s">
        <v>42</v>
      </c>
      <c r="I451" s="7"/>
      <c r="J451" s="8" t="s">
        <v>637</v>
      </c>
      <c r="K451" s="8" t="s">
        <v>1019</v>
      </c>
      <c r="L451" s="8" t="s">
        <v>2112</v>
      </c>
      <c r="M451" s="8" t="s">
        <v>906</v>
      </c>
      <c r="N451" s="7" t="s">
        <v>907</v>
      </c>
      <c r="O451" s="7" t="s">
        <v>908</v>
      </c>
      <c r="P451" s="7"/>
    </row>
    <row r="452" spans="1:16" ht="40" customHeight="1">
      <c r="A452" s="4" t="s">
        <v>501</v>
      </c>
      <c r="B452" s="4" t="s">
        <v>502</v>
      </c>
      <c r="C452" s="4" t="s">
        <v>2121</v>
      </c>
      <c r="D452" s="4" t="s">
        <v>901</v>
      </c>
      <c r="E452" s="4" t="s">
        <v>2122</v>
      </c>
      <c r="F452" s="4" t="s">
        <v>2123</v>
      </c>
      <c r="G452" s="4" t="s">
        <v>41</v>
      </c>
      <c r="H452" s="7" t="s">
        <v>42</v>
      </c>
      <c r="I452" s="7"/>
      <c r="J452" s="4" t="s">
        <v>637</v>
      </c>
      <c r="K452" s="4" t="s">
        <v>1147</v>
      </c>
      <c r="L452" s="4" t="s">
        <v>2112</v>
      </c>
      <c r="M452" s="4" t="s">
        <v>906</v>
      </c>
      <c r="N452" s="7" t="s">
        <v>907</v>
      </c>
      <c r="O452" s="7" t="s">
        <v>908</v>
      </c>
      <c r="P452" s="7"/>
    </row>
    <row r="453" spans="1:16" ht="40" customHeight="1">
      <c r="A453" s="8" t="s">
        <v>501</v>
      </c>
      <c r="B453" s="8" t="s">
        <v>502</v>
      </c>
      <c r="C453" s="8" t="s">
        <v>2124</v>
      </c>
      <c r="D453" s="8" t="s">
        <v>901</v>
      </c>
      <c r="E453" s="8" t="s">
        <v>2125</v>
      </c>
      <c r="F453" s="8" t="s">
        <v>2126</v>
      </c>
      <c r="G453" s="8" t="s">
        <v>41</v>
      </c>
      <c r="H453" s="7" t="s">
        <v>42</v>
      </c>
      <c r="I453" s="7"/>
      <c r="J453" s="8" t="s">
        <v>637</v>
      </c>
      <c r="K453" s="8" t="s">
        <v>1254</v>
      </c>
      <c r="L453" s="8" t="s">
        <v>2112</v>
      </c>
      <c r="M453" s="8" t="s">
        <v>906</v>
      </c>
      <c r="N453" s="7" t="s">
        <v>907</v>
      </c>
      <c r="O453" s="7" t="s">
        <v>908</v>
      </c>
      <c r="P453" s="7"/>
    </row>
    <row r="454" spans="1:16" ht="40" customHeight="1">
      <c r="A454" s="4" t="s">
        <v>501</v>
      </c>
      <c r="B454" s="4" t="s">
        <v>502</v>
      </c>
      <c r="C454" s="4" t="s">
        <v>2127</v>
      </c>
      <c r="D454" s="4" t="s">
        <v>901</v>
      </c>
      <c r="E454" s="4" t="s">
        <v>2128</v>
      </c>
      <c r="F454" s="4" t="s">
        <v>2129</v>
      </c>
      <c r="G454" s="4" t="s">
        <v>41</v>
      </c>
      <c r="H454" s="7" t="s">
        <v>42</v>
      </c>
      <c r="I454" s="7"/>
      <c r="J454" s="4" t="s">
        <v>637</v>
      </c>
      <c r="K454" s="4" t="s">
        <v>1258</v>
      </c>
      <c r="L454" s="4" t="s">
        <v>2112</v>
      </c>
      <c r="M454" s="4" t="s">
        <v>906</v>
      </c>
      <c r="N454" s="7" t="s">
        <v>907</v>
      </c>
      <c r="O454" s="7" t="s">
        <v>908</v>
      </c>
      <c r="P454" s="7"/>
    </row>
    <row r="455" spans="1:16" ht="40" customHeight="1">
      <c r="A455" s="8" t="s">
        <v>501</v>
      </c>
      <c r="B455" s="8" t="s">
        <v>502</v>
      </c>
      <c r="C455" s="8" t="s">
        <v>2130</v>
      </c>
      <c r="D455" s="8" t="s">
        <v>914</v>
      </c>
      <c r="E455" s="8" t="s">
        <v>915</v>
      </c>
      <c r="F455" s="8" t="s">
        <v>505</v>
      </c>
      <c r="G455" s="8" t="s">
        <v>916</v>
      </c>
      <c r="H455" s="7" t="s">
        <v>42</v>
      </c>
      <c r="I455" s="7"/>
      <c r="J455" s="8" t="s">
        <v>914</v>
      </c>
      <c r="K455" s="8" t="s">
        <v>41</v>
      </c>
      <c r="L455" s="8" t="s">
        <v>2112</v>
      </c>
      <c r="M455" s="8" t="s">
        <v>51</v>
      </c>
      <c r="N455" s="7" t="s">
        <v>907</v>
      </c>
      <c r="O455" s="7"/>
      <c r="P455" s="7"/>
    </row>
    <row r="456" spans="1:16" ht="40" customHeight="1">
      <c r="A456" s="4" t="s">
        <v>508</v>
      </c>
      <c r="B456" s="4" t="s">
        <v>509</v>
      </c>
      <c r="C456" s="4" t="s">
        <v>2131</v>
      </c>
      <c r="D456" s="4" t="s">
        <v>901</v>
      </c>
      <c r="E456" s="4" t="s">
        <v>2132</v>
      </c>
      <c r="F456" s="4" t="s">
        <v>2133</v>
      </c>
      <c r="G456" s="4" t="s">
        <v>41</v>
      </c>
      <c r="H456" s="7" t="s">
        <v>42</v>
      </c>
      <c r="I456" s="7"/>
      <c r="J456" s="4" t="s">
        <v>637</v>
      </c>
      <c r="K456" s="4" t="s">
        <v>904</v>
      </c>
      <c r="L456" s="4" t="s">
        <v>2134</v>
      </c>
      <c r="M456" s="4" t="s">
        <v>906</v>
      </c>
      <c r="N456" s="7" t="s">
        <v>907</v>
      </c>
      <c r="O456" s="7" t="s">
        <v>908</v>
      </c>
      <c r="P456" s="7"/>
    </row>
    <row r="457" spans="1:16" ht="40" customHeight="1">
      <c r="A457" s="8" t="s">
        <v>508</v>
      </c>
      <c r="B457" s="8" t="s">
        <v>509</v>
      </c>
      <c r="C457" s="8" t="s">
        <v>2135</v>
      </c>
      <c r="D457" s="8" t="s">
        <v>901</v>
      </c>
      <c r="E457" s="8" t="s">
        <v>2136</v>
      </c>
      <c r="F457" s="8" t="s">
        <v>2137</v>
      </c>
      <c r="G457" s="8" t="s">
        <v>41</v>
      </c>
      <c r="H457" s="7" t="s">
        <v>42</v>
      </c>
      <c r="I457" s="7"/>
      <c r="J457" s="8" t="s">
        <v>637</v>
      </c>
      <c r="K457" s="8" t="s">
        <v>912</v>
      </c>
      <c r="L457" s="8" t="s">
        <v>2134</v>
      </c>
      <c r="M457" s="8" t="s">
        <v>906</v>
      </c>
      <c r="N457" s="7" t="s">
        <v>907</v>
      </c>
      <c r="O457" s="7" t="s">
        <v>908</v>
      </c>
      <c r="P457" s="7"/>
    </row>
    <row r="458" spans="1:16" ht="40" customHeight="1">
      <c r="A458" s="4" t="s">
        <v>508</v>
      </c>
      <c r="B458" s="4" t="s">
        <v>509</v>
      </c>
      <c r="C458" s="4" t="s">
        <v>2138</v>
      </c>
      <c r="D458" s="4" t="s">
        <v>901</v>
      </c>
      <c r="E458" s="4" t="s">
        <v>2139</v>
      </c>
      <c r="F458" s="4" t="s">
        <v>2140</v>
      </c>
      <c r="G458" s="4" t="s">
        <v>41</v>
      </c>
      <c r="H458" s="7" t="s">
        <v>42</v>
      </c>
      <c r="I458" s="7"/>
      <c r="J458" s="4" t="s">
        <v>637</v>
      </c>
      <c r="K458" s="4" t="s">
        <v>1015</v>
      </c>
      <c r="L458" s="4" t="s">
        <v>2134</v>
      </c>
      <c r="M458" s="4" t="s">
        <v>906</v>
      </c>
      <c r="N458" s="7" t="s">
        <v>907</v>
      </c>
      <c r="O458" s="7" t="s">
        <v>908</v>
      </c>
      <c r="P458" s="7"/>
    </row>
    <row r="459" spans="1:16" ht="40" customHeight="1">
      <c r="A459" s="8" t="s">
        <v>508</v>
      </c>
      <c r="B459" s="8" t="s">
        <v>509</v>
      </c>
      <c r="C459" s="8" t="s">
        <v>2141</v>
      </c>
      <c r="D459" s="8" t="s">
        <v>901</v>
      </c>
      <c r="E459" s="8" t="s">
        <v>2142</v>
      </c>
      <c r="F459" s="8" t="s">
        <v>2143</v>
      </c>
      <c r="G459" s="8" t="s">
        <v>41</v>
      </c>
      <c r="H459" s="7" t="s">
        <v>42</v>
      </c>
      <c r="I459" s="7"/>
      <c r="J459" s="8" t="s">
        <v>637</v>
      </c>
      <c r="K459" s="8" t="s">
        <v>1019</v>
      </c>
      <c r="L459" s="8" t="s">
        <v>2134</v>
      </c>
      <c r="M459" s="8" t="s">
        <v>906</v>
      </c>
      <c r="N459" s="7" t="s">
        <v>907</v>
      </c>
      <c r="O459" s="7" t="s">
        <v>908</v>
      </c>
      <c r="P459" s="7"/>
    </row>
    <row r="460" spans="1:16" ht="40" customHeight="1">
      <c r="A460" s="4" t="s">
        <v>508</v>
      </c>
      <c r="B460" s="4" t="s">
        <v>509</v>
      </c>
      <c r="C460" s="4" t="s">
        <v>2144</v>
      </c>
      <c r="D460" s="4" t="s">
        <v>901</v>
      </c>
      <c r="E460" s="4" t="s">
        <v>2145</v>
      </c>
      <c r="F460" s="4" t="s">
        <v>2146</v>
      </c>
      <c r="G460" s="4" t="s">
        <v>41</v>
      </c>
      <c r="H460" s="7" t="s">
        <v>42</v>
      </c>
      <c r="I460" s="7"/>
      <c r="J460" s="4" t="s">
        <v>637</v>
      </c>
      <c r="K460" s="4" t="s">
        <v>1147</v>
      </c>
      <c r="L460" s="4" t="s">
        <v>2134</v>
      </c>
      <c r="M460" s="4" t="s">
        <v>906</v>
      </c>
      <c r="N460" s="7" t="s">
        <v>907</v>
      </c>
      <c r="O460" s="7" t="s">
        <v>908</v>
      </c>
      <c r="P460" s="7"/>
    </row>
    <row r="461" spans="1:16" ht="54" customHeight="1">
      <c r="A461" s="8" t="s">
        <v>508</v>
      </c>
      <c r="B461" s="8" t="s">
        <v>509</v>
      </c>
      <c r="C461" s="8" t="s">
        <v>2147</v>
      </c>
      <c r="D461" s="8" t="s">
        <v>901</v>
      </c>
      <c r="E461" s="8" t="s">
        <v>2148</v>
      </c>
      <c r="F461" s="8" t="s">
        <v>2149</v>
      </c>
      <c r="G461" s="8" t="s">
        <v>41</v>
      </c>
      <c r="H461" s="7" t="s">
        <v>42</v>
      </c>
      <c r="I461" s="7"/>
      <c r="J461" s="8" t="s">
        <v>637</v>
      </c>
      <c r="K461" s="8" t="s">
        <v>1254</v>
      </c>
      <c r="L461" s="8" t="s">
        <v>2134</v>
      </c>
      <c r="M461" s="8" t="s">
        <v>906</v>
      </c>
      <c r="N461" s="7" t="s">
        <v>907</v>
      </c>
      <c r="O461" s="7" t="s">
        <v>908</v>
      </c>
      <c r="P461" s="7"/>
    </row>
    <row r="462" spans="1:16" ht="40" customHeight="1">
      <c r="A462" s="4" t="s">
        <v>508</v>
      </c>
      <c r="B462" s="4" t="s">
        <v>509</v>
      </c>
      <c r="C462" s="4" t="s">
        <v>2150</v>
      </c>
      <c r="D462" s="4" t="s">
        <v>901</v>
      </c>
      <c r="E462" s="4" t="s">
        <v>2151</v>
      </c>
      <c r="F462" s="4" t="s">
        <v>2152</v>
      </c>
      <c r="G462" s="4" t="s">
        <v>41</v>
      </c>
      <c r="H462" s="7" t="s">
        <v>42</v>
      </c>
      <c r="I462" s="7"/>
      <c r="J462" s="4" t="s">
        <v>637</v>
      </c>
      <c r="K462" s="4" t="s">
        <v>1258</v>
      </c>
      <c r="L462" s="4" t="s">
        <v>2134</v>
      </c>
      <c r="M462" s="4" t="s">
        <v>906</v>
      </c>
      <c r="N462" s="7" t="s">
        <v>907</v>
      </c>
      <c r="O462" s="7" t="s">
        <v>908</v>
      </c>
      <c r="P462" s="7"/>
    </row>
    <row r="463" spans="1:16" ht="40" customHeight="1">
      <c r="A463" s="8" t="s">
        <v>508</v>
      </c>
      <c r="B463" s="8" t="s">
        <v>509</v>
      </c>
      <c r="C463" s="8" t="s">
        <v>2153</v>
      </c>
      <c r="D463" s="8" t="s">
        <v>901</v>
      </c>
      <c r="E463" s="8" t="s">
        <v>2154</v>
      </c>
      <c r="F463" s="8" t="s">
        <v>2155</v>
      </c>
      <c r="G463" s="8" t="s">
        <v>41</v>
      </c>
      <c r="H463" s="7" t="s">
        <v>42</v>
      </c>
      <c r="I463" s="7"/>
      <c r="J463" s="8" t="s">
        <v>637</v>
      </c>
      <c r="K463" s="8" t="s">
        <v>1262</v>
      </c>
      <c r="L463" s="8" t="s">
        <v>2134</v>
      </c>
      <c r="M463" s="8" t="s">
        <v>906</v>
      </c>
      <c r="N463" s="7" t="s">
        <v>907</v>
      </c>
      <c r="O463" s="7" t="s">
        <v>908</v>
      </c>
      <c r="P463" s="7"/>
    </row>
    <row r="464" spans="1:16" ht="40" customHeight="1">
      <c r="A464" s="4" t="s">
        <v>508</v>
      </c>
      <c r="B464" s="4" t="s">
        <v>509</v>
      </c>
      <c r="C464" s="4" t="s">
        <v>2156</v>
      </c>
      <c r="D464" s="4" t="s">
        <v>914</v>
      </c>
      <c r="E464" s="4" t="s">
        <v>915</v>
      </c>
      <c r="F464" s="4" t="s">
        <v>513</v>
      </c>
      <c r="G464" s="4" t="s">
        <v>916</v>
      </c>
      <c r="H464" s="7" t="s">
        <v>42</v>
      </c>
      <c r="I464" s="7"/>
      <c r="J464" s="4" t="s">
        <v>914</v>
      </c>
      <c r="K464" s="4" t="s">
        <v>41</v>
      </c>
      <c r="L464" s="4" t="s">
        <v>2134</v>
      </c>
      <c r="M464" s="4" t="s">
        <v>51</v>
      </c>
      <c r="N464" s="7" t="s">
        <v>907</v>
      </c>
      <c r="O464" s="7"/>
      <c r="P464" s="7"/>
    </row>
    <row r="465" spans="1:16" ht="40" customHeight="1">
      <c r="A465" s="8" t="s">
        <v>517</v>
      </c>
      <c r="B465" s="8" t="s">
        <v>518</v>
      </c>
      <c r="C465" s="8" t="s">
        <v>2157</v>
      </c>
      <c r="D465" s="8" t="s">
        <v>901</v>
      </c>
      <c r="E465" s="8" t="s">
        <v>2136</v>
      </c>
      <c r="F465" s="8" t="s">
        <v>2158</v>
      </c>
      <c r="G465" s="8" t="s">
        <v>41</v>
      </c>
      <c r="H465" s="7" t="s">
        <v>42</v>
      </c>
      <c r="I465" s="7"/>
      <c r="J465" s="8" t="s">
        <v>637</v>
      </c>
      <c r="K465" s="8" t="s">
        <v>904</v>
      </c>
      <c r="L465" s="8" t="s">
        <v>2159</v>
      </c>
      <c r="M465" s="8" t="s">
        <v>906</v>
      </c>
      <c r="N465" s="7" t="s">
        <v>907</v>
      </c>
      <c r="O465" s="7" t="s">
        <v>908</v>
      </c>
      <c r="P465" s="7"/>
    </row>
    <row r="466" spans="1:16" ht="40" customHeight="1">
      <c r="A466" s="4" t="s">
        <v>517</v>
      </c>
      <c r="B466" s="4" t="s">
        <v>518</v>
      </c>
      <c r="C466" s="4" t="s">
        <v>2160</v>
      </c>
      <c r="D466" s="4" t="s">
        <v>901</v>
      </c>
      <c r="E466" s="4" t="s">
        <v>2139</v>
      </c>
      <c r="F466" s="4" t="s">
        <v>2161</v>
      </c>
      <c r="G466" s="4" t="s">
        <v>41</v>
      </c>
      <c r="H466" s="7" t="s">
        <v>42</v>
      </c>
      <c r="I466" s="7"/>
      <c r="J466" s="4" t="s">
        <v>637</v>
      </c>
      <c r="K466" s="4" t="s">
        <v>912</v>
      </c>
      <c r="L466" s="4" t="s">
        <v>2159</v>
      </c>
      <c r="M466" s="4" t="s">
        <v>906</v>
      </c>
      <c r="N466" s="7" t="s">
        <v>907</v>
      </c>
      <c r="O466" s="7" t="s">
        <v>908</v>
      </c>
      <c r="P466" s="7"/>
    </row>
    <row r="467" spans="1:16" ht="40" customHeight="1">
      <c r="A467" s="8" t="s">
        <v>517</v>
      </c>
      <c r="B467" s="8" t="s">
        <v>518</v>
      </c>
      <c r="C467" s="8" t="s">
        <v>2162</v>
      </c>
      <c r="D467" s="8" t="s">
        <v>901</v>
      </c>
      <c r="E467" s="8" t="s">
        <v>2163</v>
      </c>
      <c r="F467" s="8" t="s">
        <v>2164</v>
      </c>
      <c r="G467" s="8" t="s">
        <v>41</v>
      </c>
      <c r="H467" s="7" t="s">
        <v>42</v>
      </c>
      <c r="I467" s="7"/>
      <c r="J467" s="8" t="s">
        <v>637</v>
      </c>
      <c r="K467" s="8" t="s">
        <v>1015</v>
      </c>
      <c r="L467" s="8" t="s">
        <v>2159</v>
      </c>
      <c r="M467" s="8" t="s">
        <v>906</v>
      </c>
      <c r="N467" s="7" t="s">
        <v>907</v>
      </c>
      <c r="O467" s="7" t="s">
        <v>908</v>
      </c>
      <c r="P467" s="7"/>
    </row>
    <row r="468" spans="1:16" ht="40" customHeight="1">
      <c r="A468" s="4" t="s">
        <v>517</v>
      </c>
      <c r="B468" s="4" t="s">
        <v>518</v>
      </c>
      <c r="C468" s="4" t="s">
        <v>2165</v>
      </c>
      <c r="D468" s="4" t="s">
        <v>901</v>
      </c>
      <c r="E468" s="4" t="s">
        <v>2132</v>
      </c>
      <c r="F468" s="4" t="s">
        <v>2166</v>
      </c>
      <c r="G468" s="4" t="s">
        <v>41</v>
      </c>
      <c r="H468" s="7" t="s">
        <v>42</v>
      </c>
      <c r="I468" s="7"/>
      <c r="J468" s="4" t="s">
        <v>637</v>
      </c>
      <c r="K468" s="4" t="s">
        <v>1019</v>
      </c>
      <c r="L468" s="4" t="s">
        <v>2159</v>
      </c>
      <c r="M468" s="4" t="s">
        <v>906</v>
      </c>
      <c r="N468" s="7" t="s">
        <v>907</v>
      </c>
      <c r="O468" s="7" t="s">
        <v>908</v>
      </c>
      <c r="P468" s="7"/>
    </row>
    <row r="469" spans="1:16" ht="40" customHeight="1">
      <c r="A469" s="8" t="s">
        <v>517</v>
      </c>
      <c r="B469" s="8" t="s">
        <v>518</v>
      </c>
      <c r="C469" s="8" t="s">
        <v>2167</v>
      </c>
      <c r="D469" s="8" t="s">
        <v>901</v>
      </c>
      <c r="E469" s="8" t="s">
        <v>2168</v>
      </c>
      <c r="F469" s="8" t="s">
        <v>2169</v>
      </c>
      <c r="G469" s="8" t="s">
        <v>41</v>
      </c>
      <c r="H469" s="7" t="s">
        <v>42</v>
      </c>
      <c r="I469" s="7"/>
      <c r="J469" s="8" t="s">
        <v>637</v>
      </c>
      <c r="K469" s="8" t="s">
        <v>1147</v>
      </c>
      <c r="L469" s="8" t="s">
        <v>2159</v>
      </c>
      <c r="M469" s="8" t="s">
        <v>906</v>
      </c>
      <c r="N469" s="7" t="s">
        <v>907</v>
      </c>
      <c r="O469" s="7" t="s">
        <v>908</v>
      </c>
      <c r="P469" s="7"/>
    </row>
    <row r="470" spans="1:16" ht="40" customHeight="1">
      <c r="A470" s="4" t="s">
        <v>517</v>
      </c>
      <c r="B470" s="4" t="s">
        <v>518</v>
      </c>
      <c r="C470" s="4" t="s">
        <v>2170</v>
      </c>
      <c r="D470" s="4" t="s">
        <v>901</v>
      </c>
      <c r="E470" s="4" t="s">
        <v>2171</v>
      </c>
      <c r="F470" s="4" t="s">
        <v>2172</v>
      </c>
      <c r="G470" s="4" t="s">
        <v>41</v>
      </c>
      <c r="H470" s="7" t="s">
        <v>42</v>
      </c>
      <c r="I470" s="7"/>
      <c r="J470" s="4" t="s">
        <v>637</v>
      </c>
      <c r="K470" s="4" t="s">
        <v>1254</v>
      </c>
      <c r="L470" s="4" t="s">
        <v>2159</v>
      </c>
      <c r="M470" s="4" t="s">
        <v>906</v>
      </c>
      <c r="N470" s="7" t="s">
        <v>907</v>
      </c>
      <c r="O470" s="7" t="s">
        <v>908</v>
      </c>
      <c r="P470" s="7"/>
    </row>
    <row r="471" spans="1:16" ht="40" customHeight="1">
      <c r="A471" s="8" t="s">
        <v>517</v>
      </c>
      <c r="B471" s="8" t="s">
        <v>518</v>
      </c>
      <c r="C471" s="8" t="s">
        <v>2173</v>
      </c>
      <c r="D471" s="8" t="s">
        <v>901</v>
      </c>
      <c r="E471" s="8" t="s">
        <v>2174</v>
      </c>
      <c r="F471" s="8" t="s">
        <v>2175</v>
      </c>
      <c r="G471" s="8" t="s">
        <v>41</v>
      </c>
      <c r="H471" s="7" t="s">
        <v>42</v>
      </c>
      <c r="I471" s="7"/>
      <c r="J471" s="8" t="s">
        <v>637</v>
      </c>
      <c r="K471" s="8" t="s">
        <v>1258</v>
      </c>
      <c r="L471" s="8" t="s">
        <v>2159</v>
      </c>
      <c r="M471" s="8" t="s">
        <v>906</v>
      </c>
      <c r="N471" s="7" t="s">
        <v>907</v>
      </c>
      <c r="O471" s="7" t="s">
        <v>908</v>
      </c>
      <c r="P471" s="7"/>
    </row>
    <row r="472" spans="1:16" ht="40" customHeight="1">
      <c r="A472" s="4" t="s">
        <v>517</v>
      </c>
      <c r="B472" s="4" t="s">
        <v>518</v>
      </c>
      <c r="C472" s="4" t="s">
        <v>2176</v>
      </c>
      <c r="D472" s="4" t="s">
        <v>1002</v>
      </c>
      <c r="E472" s="4" t="s">
        <v>2177</v>
      </c>
      <c r="F472" s="4" t="s">
        <v>2178</v>
      </c>
      <c r="G472" s="4" t="s">
        <v>2177</v>
      </c>
      <c r="H472" s="7" t="s">
        <v>42</v>
      </c>
      <c r="I472" s="7"/>
      <c r="J472" s="4" t="s">
        <v>637</v>
      </c>
      <c r="K472" s="4" t="s">
        <v>1087</v>
      </c>
      <c r="L472" s="4" t="s">
        <v>2159</v>
      </c>
      <c r="M472" s="4" t="s">
        <v>906</v>
      </c>
      <c r="N472" s="7" t="s">
        <v>907</v>
      </c>
      <c r="O472" s="7" t="s">
        <v>908</v>
      </c>
      <c r="P472" s="7"/>
    </row>
    <row r="473" spans="1:16" ht="40" customHeight="1">
      <c r="A473" s="8" t="s">
        <v>517</v>
      </c>
      <c r="B473" s="8" t="s">
        <v>518</v>
      </c>
      <c r="C473" s="8" t="s">
        <v>2179</v>
      </c>
      <c r="D473" s="8" t="s">
        <v>1325</v>
      </c>
      <c r="E473" s="8" t="s">
        <v>2180</v>
      </c>
      <c r="F473" s="8" t="s">
        <v>2181</v>
      </c>
      <c r="G473" s="8" t="s">
        <v>2177</v>
      </c>
      <c r="H473" s="7" t="s">
        <v>42</v>
      </c>
      <c r="I473" s="7"/>
      <c r="J473" s="8" t="s">
        <v>637</v>
      </c>
      <c r="K473" s="8" t="s">
        <v>1091</v>
      </c>
      <c r="L473" s="8" t="s">
        <v>2159</v>
      </c>
      <c r="M473" s="8" t="s">
        <v>906</v>
      </c>
      <c r="N473" s="7" t="s">
        <v>907</v>
      </c>
      <c r="O473" s="7" t="s">
        <v>908</v>
      </c>
      <c r="P473" s="7"/>
    </row>
    <row r="474" spans="1:16" ht="40" customHeight="1">
      <c r="A474" s="4" t="s">
        <v>517</v>
      </c>
      <c r="B474" s="4" t="s">
        <v>518</v>
      </c>
      <c r="C474" s="4" t="s">
        <v>2182</v>
      </c>
      <c r="D474" s="4" t="s">
        <v>914</v>
      </c>
      <c r="E474" s="4" t="s">
        <v>915</v>
      </c>
      <c r="F474" s="4" t="s">
        <v>522</v>
      </c>
      <c r="G474" s="4" t="s">
        <v>916</v>
      </c>
      <c r="H474" s="7" t="s">
        <v>42</v>
      </c>
      <c r="I474" s="7"/>
      <c r="J474" s="4" t="s">
        <v>914</v>
      </c>
      <c r="K474" s="4" t="s">
        <v>41</v>
      </c>
      <c r="L474" s="4" t="s">
        <v>2159</v>
      </c>
      <c r="M474" s="4" t="s">
        <v>51</v>
      </c>
      <c r="N474" s="7" t="s">
        <v>907</v>
      </c>
      <c r="O474" s="7"/>
      <c r="P474" s="7"/>
    </row>
    <row r="475" spans="1:16" ht="40" customHeight="1">
      <c r="A475" s="8" t="s">
        <v>525</v>
      </c>
      <c r="B475" s="8" t="s">
        <v>526</v>
      </c>
      <c r="C475" s="8" t="s">
        <v>2183</v>
      </c>
      <c r="D475" s="8" t="s">
        <v>901</v>
      </c>
      <c r="E475" s="8" t="s">
        <v>1072</v>
      </c>
      <c r="F475" s="8" t="s">
        <v>2184</v>
      </c>
      <c r="G475" s="8" t="s">
        <v>41</v>
      </c>
      <c r="H475" s="7" t="s">
        <v>42</v>
      </c>
      <c r="I475" s="7"/>
      <c r="J475" s="8" t="s">
        <v>637</v>
      </c>
      <c r="K475" s="8" t="s">
        <v>904</v>
      </c>
      <c r="L475" s="8" t="s">
        <v>2185</v>
      </c>
      <c r="M475" s="8" t="s">
        <v>906</v>
      </c>
      <c r="N475" s="7" t="s">
        <v>907</v>
      </c>
      <c r="O475" s="7" t="s">
        <v>908</v>
      </c>
      <c r="P475" s="7"/>
    </row>
    <row r="476" spans="1:16" ht="40" customHeight="1">
      <c r="A476" s="4" t="s">
        <v>525</v>
      </c>
      <c r="B476" s="4" t="s">
        <v>526</v>
      </c>
      <c r="C476" s="4" t="s">
        <v>2186</v>
      </c>
      <c r="D476" s="4" t="s">
        <v>901</v>
      </c>
      <c r="E476" s="4" t="s">
        <v>2102</v>
      </c>
      <c r="F476" s="4" t="s">
        <v>2187</v>
      </c>
      <c r="G476" s="4" t="s">
        <v>41</v>
      </c>
      <c r="H476" s="7" t="s">
        <v>42</v>
      </c>
      <c r="I476" s="7"/>
      <c r="J476" s="4" t="s">
        <v>637</v>
      </c>
      <c r="K476" s="4" t="s">
        <v>912</v>
      </c>
      <c r="L476" s="4" t="s">
        <v>2185</v>
      </c>
      <c r="M476" s="4" t="s">
        <v>906</v>
      </c>
      <c r="N476" s="7" t="s">
        <v>907</v>
      </c>
      <c r="O476" s="7" t="s">
        <v>908</v>
      </c>
      <c r="P476" s="7"/>
    </row>
    <row r="477" spans="1:16" ht="40" customHeight="1">
      <c r="A477" s="8" t="s">
        <v>525</v>
      </c>
      <c r="B477" s="8" t="s">
        <v>526</v>
      </c>
      <c r="C477" s="8" t="s">
        <v>2188</v>
      </c>
      <c r="D477" s="8" t="s">
        <v>901</v>
      </c>
      <c r="E477" s="8" t="s">
        <v>2080</v>
      </c>
      <c r="F477" s="8" t="s">
        <v>2189</v>
      </c>
      <c r="G477" s="8" t="s">
        <v>41</v>
      </c>
      <c r="H477" s="7" t="s">
        <v>42</v>
      </c>
      <c r="I477" s="7"/>
      <c r="J477" s="8" t="s">
        <v>637</v>
      </c>
      <c r="K477" s="8" t="s">
        <v>1015</v>
      </c>
      <c r="L477" s="8" t="s">
        <v>2185</v>
      </c>
      <c r="M477" s="8" t="s">
        <v>906</v>
      </c>
      <c r="N477" s="7" t="s">
        <v>907</v>
      </c>
      <c r="O477" s="7" t="s">
        <v>908</v>
      </c>
      <c r="P477" s="7"/>
    </row>
    <row r="478" spans="1:16" ht="40" customHeight="1">
      <c r="A478" s="4" t="s">
        <v>525</v>
      </c>
      <c r="B478" s="4" t="s">
        <v>526</v>
      </c>
      <c r="C478" s="4" t="s">
        <v>2190</v>
      </c>
      <c r="D478" s="4" t="s">
        <v>901</v>
      </c>
      <c r="E478" s="4" t="s">
        <v>2083</v>
      </c>
      <c r="F478" s="4" t="s">
        <v>2191</v>
      </c>
      <c r="G478" s="4" t="s">
        <v>41</v>
      </c>
      <c r="H478" s="7" t="s">
        <v>42</v>
      </c>
      <c r="I478" s="7"/>
      <c r="J478" s="4" t="s">
        <v>637</v>
      </c>
      <c r="K478" s="4" t="s">
        <v>1019</v>
      </c>
      <c r="L478" s="4" t="s">
        <v>2185</v>
      </c>
      <c r="M478" s="4" t="s">
        <v>906</v>
      </c>
      <c r="N478" s="7" t="s">
        <v>907</v>
      </c>
      <c r="O478" s="7" t="s">
        <v>908</v>
      </c>
      <c r="P478" s="7"/>
    </row>
    <row r="479" spans="1:16" ht="40" customHeight="1">
      <c r="A479" s="8" t="s">
        <v>525</v>
      </c>
      <c r="B479" s="8" t="s">
        <v>526</v>
      </c>
      <c r="C479" s="8" t="s">
        <v>2192</v>
      </c>
      <c r="D479" s="8" t="s">
        <v>901</v>
      </c>
      <c r="E479" s="8" t="s">
        <v>2193</v>
      </c>
      <c r="F479" s="8" t="s">
        <v>2194</v>
      </c>
      <c r="G479" s="8" t="s">
        <v>41</v>
      </c>
      <c r="H479" s="7" t="s">
        <v>42</v>
      </c>
      <c r="I479" s="7"/>
      <c r="J479" s="8" t="s">
        <v>637</v>
      </c>
      <c r="K479" s="8" t="s">
        <v>1147</v>
      </c>
      <c r="L479" s="8" t="s">
        <v>2185</v>
      </c>
      <c r="M479" s="8" t="s">
        <v>906</v>
      </c>
      <c r="N479" s="7" t="s">
        <v>907</v>
      </c>
      <c r="O479" s="7" t="s">
        <v>908</v>
      </c>
      <c r="P479" s="7"/>
    </row>
    <row r="480" spans="1:16" ht="40" customHeight="1">
      <c r="A480" s="4" t="s">
        <v>525</v>
      </c>
      <c r="B480" s="4" t="s">
        <v>526</v>
      </c>
      <c r="C480" s="4" t="s">
        <v>2195</v>
      </c>
      <c r="D480" s="4" t="s">
        <v>901</v>
      </c>
      <c r="E480" s="4" t="s">
        <v>2196</v>
      </c>
      <c r="F480" s="4" t="s">
        <v>2197</v>
      </c>
      <c r="G480" s="4" t="s">
        <v>41</v>
      </c>
      <c r="H480" s="7" t="s">
        <v>42</v>
      </c>
      <c r="I480" s="7"/>
      <c r="J480" s="4" t="s">
        <v>637</v>
      </c>
      <c r="K480" s="4" t="s">
        <v>1254</v>
      </c>
      <c r="L480" s="4" t="s">
        <v>2185</v>
      </c>
      <c r="M480" s="4" t="s">
        <v>906</v>
      </c>
      <c r="N480" s="7" t="s">
        <v>907</v>
      </c>
      <c r="O480" s="7" t="s">
        <v>908</v>
      </c>
      <c r="P480" s="7"/>
    </row>
    <row r="481" spans="1:16" ht="40" customHeight="1">
      <c r="A481" s="8" t="s">
        <v>525</v>
      </c>
      <c r="B481" s="8" t="s">
        <v>526</v>
      </c>
      <c r="C481" s="8" t="s">
        <v>2198</v>
      </c>
      <c r="D481" s="8" t="s">
        <v>914</v>
      </c>
      <c r="E481" s="8" t="s">
        <v>915</v>
      </c>
      <c r="F481" s="8" t="s">
        <v>529</v>
      </c>
      <c r="G481" s="8" t="s">
        <v>916</v>
      </c>
      <c r="H481" s="7" t="s">
        <v>42</v>
      </c>
      <c r="I481" s="7"/>
      <c r="J481" s="8" t="s">
        <v>914</v>
      </c>
      <c r="K481" s="8" t="s">
        <v>41</v>
      </c>
      <c r="L481" s="8" t="s">
        <v>2185</v>
      </c>
      <c r="M481" s="8" t="s">
        <v>51</v>
      </c>
      <c r="N481" s="7" t="s">
        <v>907</v>
      </c>
      <c r="O481" s="7"/>
      <c r="P481" s="7"/>
    </row>
    <row r="482" spans="1:16" ht="40" customHeight="1">
      <c r="A482" s="4" t="s">
        <v>531</v>
      </c>
      <c r="B482" s="4" t="s">
        <v>532</v>
      </c>
      <c r="C482" s="4" t="s">
        <v>2199</v>
      </c>
      <c r="D482" s="4" t="s">
        <v>901</v>
      </c>
      <c r="E482" s="4" t="s">
        <v>1072</v>
      </c>
      <c r="F482" s="4" t="s">
        <v>2200</v>
      </c>
      <c r="G482" s="4" t="s">
        <v>41</v>
      </c>
      <c r="H482" s="7" t="s">
        <v>42</v>
      </c>
      <c r="I482" s="7"/>
      <c r="J482" s="4" t="s">
        <v>637</v>
      </c>
      <c r="K482" s="4" t="s">
        <v>904</v>
      </c>
      <c r="L482" s="4" t="s">
        <v>2201</v>
      </c>
      <c r="M482" s="4" t="s">
        <v>906</v>
      </c>
      <c r="N482" s="7" t="s">
        <v>907</v>
      </c>
      <c r="O482" s="7" t="s">
        <v>908</v>
      </c>
      <c r="P482" s="7"/>
    </row>
    <row r="483" spans="1:16" ht="40" customHeight="1">
      <c r="A483" s="8" t="s">
        <v>531</v>
      </c>
      <c r="B483" s="8" t="s">
        <v>532</v>
      </c>
      <c r="C483" s="8" t="s">
        <v>2202</v>
      </c>
      <c r="D483" s="8" t="s">
        <v>901</v>
      </c>
      <c r="E483" s="8" t="s">
        <v>2102</v>
      </c>
      <c r="F483" s="8" t="s">
        <v>2203</v>
      </c>
      <c r="G483" s="8" t="s">
        <v>41</v>
      </c>
      <c r="H483" s="7" t="s">
        <v>42</v>
      </c>
      <c r="I483" s="7"/>
      <c r="J483" s="8" t="s">
        <v>637</v>
      </c>
      <c r="K483" s="8" t="s">
        <v>912</v>
      </c>
      <c r="L483" s="8" t="s">
        <v>2201</v>
      </c>
      <c r="M483" s="8" t="s">
        <v>906</v>
      </c>
      <c r="N483" s="7" t="s">
        <v>907</v>
      </c>
      <c r="O483" s="7" t="s">
        <v>908</v>
      </c>
      <c r="P483" s="7"/>
    </row>
    <row r="484" spans="1:16" ht="40" customHeight="1">
      <c r="A484" s="4" t="s">
        <v>531</v>
      </c>
      <c r="B484" s="4" t="s">
        <v>532</v>
      </c>
      <c r="C484" s="4" t="s">
        <v>2204</v>
      </c>
      <c r="D484" s="4" t="s">
        <v>901</v>
      </c>
      <c r="E484" s="4" t="s">
        <v>2080</v>
      </c>
      <c r="F484" s="4" t="s">
        <v>2205</v>
      </c>
      <c r="G484" s="4" t="s">
        <v>41</v>
      </c>
      <c r="H484" s="7" t="s">
        <v>42</v>
      </c>
      <c r="I484" s="7"/>
      <c r="J484" s="4" t="s">
        <v>637</v>
      </c>
      <c r="K484" s="4" t="s">
        <v>1015</v>
      </c>
      <c r="L484" s="4" t="s">
        <v>2201</v>
      </c>
      <c r="M484" s="4" t="s">
        <v>906</v>
      </c>
      <c r="N484" s="7" t="s">
        <v>907</v>
      </c>
      <c r="O484" s="7" t="s">
        <v>908</v>
      </c>
      <c r="P484" s="7"/>
    </row>
    <row r="485" spans="1:16" ht="40" customHeight="1">
      <c r="A485" s="8" t="s">
        <v>531</v>
      </c>
      <c r="B485" s="8" t="s">
        <v>532</v>
      </c>
      <c r="C485" s="8" t="s">
        <v>2206</v>
      </c>
      <c r="D485" s="8" t="s">
        <v>901</v>
      </c>
      <c r="E485" s="8" t="s">
        <v>2083</v>
      </c>
      <c r="F485" s="8" t="s">
        <v>2207</v>
      </c>
      <c r="G485" s="8" t="s">
        <v>41</v>
      </c>
      <c r="H485" s="7" t="s">
        <v>42</v>
      </c>
      <c r="I485" s="7"/>
      <c r="J485" s="8" t="s">
        <v>637</v>
      </c>
      <c r="K485" s="8" t="s">
        <v>1019</v>
      </c>
      <c r="L485" s="8" t="s">
        <v>2201</v>
      </c>
      <c r="M485" s="8" t="s">
        <v>906</v>
      </c>
      <c r="N485" s="7" t="s">
        <v>907</v>
      </c>
      <c r="O485" s="7" t="s">
        <v>908</v>
      </c>
      <c r="P485" s="7"/>
    </row>
    <row r="486" spans="1:16" ht="40" customHeight="1">
      <c r="A486" s="4" t="s">
        <v>531</v>
      </c>
      <c r="B486" s="4" t="s">
        <v>532</v>
      </c>
      <c r="C486" s="4" t="s">
        <v>2208</v>
      </c>
      <c r="D486" s="4" t="s">
        <v>901</v>
      </c>
      <c r="E486" s="4" t="s">
        <v>2119</v>
      </c>
      <c r="F486" s="4" t="s">
        <v>2209</v>
      </c>
      <c r="G486" s="4" t="s">
        <v>41</v>
      </c>
      <c r="H486" s="7" t="s">
        <v>42</v>
      </c>
      <c r="I486" s="7"/>
      <c r="J486" s="4" t="s">
        <v>637</v>
      </c>
      <c r="K486" s="4" t="s">
        <v>1147</v>
      </c>
      <c r="L486" s="4" t="s">
        <v>2201</v>
      </c>
      <c r="M486" s="4" t="s">
        <v>906</v>
      </c>
      <c r="N486" s="7" t="s">
        <v>907</v>
      </c>
      <c r="O486" s="7" t="s">
        <v>908</v>
      </c>
      <c r="P486" s="7"/>
    </row>
    <row r="487" spans="1:16" ht="40" customHeight="1">
      <c r="A487" s="8" t="s">
        <v>531</v>
      </c>
      <c r="B487" s="8" t="s">
        <v>532</v>
      </c>
      <c r="C487" s="8" t="s">
        <v>2210</v>
      </c>
      <c r="D487" s="8" t="s">
        <v>901</v>
      </c>
      <c r="E487" s="8" t="s">
        <v>2211</v>
      </c>
      <c r="F487" s="8" t="s">
        <v>2212</v>
      </c>
      <c r="G487" s="8" t="s">
        <v>41</v>
      </c>
      <c r="H487" s="7" t="s">
        <v>42</v>
      </c>
      <c r="I487" s="7"/>
      <c r="J487" s="8" t="s">
        <v>637</v>
      </c>
      <c r="K487" s="8" t="s">
        <v>1254</v>
      </c>
      <c r="L487" s="8" t="s">
        <v>2201</v>
      </c>
      <c r="M487" s="8" t="s">
        <v>906</v>
      </c>
      <c r="N487" s="7" t="s">
        <v>907</v>
      </c>
      <c r="O487" s="7" t="s">
        <v>908</v>
      </c>
      <c r="P487" s="7"/>
    </row>
    <row r="488" spans="1:16" ht="40" customHeight="1">
      <c r="A488" s="4" t="s">
        <v>531</v>
      </c>
      <c r="B488" s="4" t="s">
        <v>532</v>
      </c>
      <c r="C488" s="4" t="s">
        <v>2213</v>
      </c>
      <c r="D488" s="4" t="s">
        <v>914</v>
      </c>
      <c r="E488" s="4" t="s">
        <v>915</v>
      </c>
      <c r="F488" s="4" t="s">
        <v>536</v>
      </c>
      <c r="G488" s="4" t="s">
        <v>916</v>
      </c>
      <c r="H488" s="7" t="s">
        <v>42</v>
      </c>
      <c r="I488" s="7"/>
      <c r="J488" s="4" t="s">
        <v>914</v>
      </c>
      <c r="K488" s="4" t="s">
        <v>41</v>
      </c>
      <c r="L488" s="4" t="s">
        <v>2201</v>
      </c>
      <c r="M488" s="4" t="s">
        <v>51</v>
      </c>
      <c r="N488" s="7" t="s">
        <v>907</v>
      </c>
      <c r="O488" s="7"/>
      <c r="P488" s="7"/>
    </row>
    <row r="489" spans="1:16" ht="40" customHeight="1">
      <c r="A489" s="8" t="s">
        <v>539</v>
      </c>
      <c r="B489" s="8" t="s">
        <v>540</v>
      </c>
      <c r="C489" s="8" t="s">
        <v>2214</v>
      </c>
      <c r="D489" s="8" t="s">
        <v>901</v>
      </c>
      <c r="E489" s="8" t="s">
        <v>2215</v>
      </c>
      <c r="F489" s="8" t="s">
        <v>2216</v>
      </c>
      <c r="G489" s="8" t="s">
        <v>41</v>
      </c>
      <c r="H489" s="7" t="s">
        <v>42</v>
      </c>
      <c r="I489" s="7"/>
      <c r="J489" s="8" t="s">
        <v>637</v>
      </c>
      <c r="K489" s="8" t="s">
        <v>920</v>
      </c>
      <c r="L489" s="8" t="s">
        <v>2217</v>
      </c>
      <c r="M489" s="8" t="s">
        <v>906</v>
      </c>
      <c r="N489" s="7" t="s">
        <v>907</v>
      </c>
      <c r="O489" s="7" t="s">
        <v>908</v>
      </c>
      <c r="P489" s="7"/>
    </row>
    <row r="490" spans="1:16" ht="40" customHeight="1">
      <c r="A490" s="4" t="s">
        <v>539</v>
      </c>
      <c r="B490" s="4" t="s">
        <v>540</v>
      </c>
      <c r="C490" s="4" t="s">
        <v>2218</v>
      </c>
      <c r="D490" s="4" t="s">
        <v>901</v>
      </c>
      <c r="E490" s="4" t="s">
        <v>2219</v>
      </c>
      <c r="F490" s="4" t="s">
        <v>2220</v>
      </c>
      <c r="G490" s="4" t="s">
        <v>41</v>
      </c>
      <c r="H490" s="7" t="s">
        <v>42</v>
      </c>
      <c r="I490" s="7"/>
      <c r="J490" s="4" t="s">
        <v>637</v>
      </c>
      <c r="K490" s="4" t="s">
        <v>1087</v>
      </c>
      <c r="L490" s="4" t="s">
        <v>2217</v>
      </c>
      <c r="M490" s="4" t="s">
        <v>906</v>
      </c>
      <c r="N490" s="7" t="s">
        <v>907</v>
      </c>
      <c r="O490" s="7" t="s">
        <v>908</v>
      </c>
      <c r="P490" s="7"/>
    </row>
    <row r="491" spans="1:16" ht="40" customHeight="1">
      <c r="A491" s="8" t="s">
        <v>539</v>
      </c>
      <c r="B491" s="8" t="s">
        <v>540</v>
      </c>
      <c r="C491" s="8" t="s">
        <v>2221</v>
      </c>
      <c r="D491" s="8" t="s">
        <v>901</v>
      </c>
      <c r="E491" s="8" t="s">
        <v>2222</v>
      </c>
      <c r="F491" s="8" t="s">
        <v>2223</v>
      </c>
      <c r="G491" s="8" t="s">
        <v>41</v>
      </c>
      <c r="H491" s="7" t="s">
        <v>42</v>
      </c>
      <c r="I491" s="7"/>
      <c r="J491" s="8" t="s">
        <v>637</v>
      </c>
      <c r="K491" s="8" t="s">
        <v>1055</v>
      </c>
      <c r="L491" s="8" t="s">
        <v>2217</v>
      </c>
      <c r="M491" s="8" t="s">
        <v>906</v>
      </c>
      <c r="N491" s="7" t="s">
        <v>907</v>
      </c>
      <c r="O491" s="7" t="s">
        <v>908</v>
      </c>
      <c r="P491" s="7"/>
    </row>
    <row r="492" spans="1:16" ht="40" customHeight="1">
      <c r="A492" s="4" t="s">
        <v>539</v>
      </c>
      <c r="B492" s="4" t="s">
        <v>540</v>
      </c>
      <c r="C492" s="4" t="s">
        <v>2224</v>
      </c>
      <c r="D492" s="4" t="s">
        <v>901</v>
      </c>
      <c r="E492" s="4" t="s">
        <v>2225</v>
      </c>
      <c r="F492" s="4" t="s">
        <v>2226</v>
      </c>
      <c r="G492" s="4" t="s">
        <v>41</v>
      </c>
      <c r="H492" s="7" t="s">
        <v>42</v>
      </c>
      <c r="I492" s="7"/>
      <c r="J492" s="4" t="s">
        <v>637</v>
      </c>
      <c r="K492" s="4" t="s">
        <v>1059</v>
      </c>
      <c r="L492" s="4" t="s">
        <v>2217</v>
      </c>
      <c r="M492" s="4" t="s">
        <v>906</v>
      </c>
      <c r="N492" s="7" t="s">
        <v>907</v>
      </c>
      <c r="O492" s="7" t="s">
        <v>908</v>
      </c>
      <c r="P492" s="7"/>
    </row>
    <row r="493" spans="1:16" ht="40" customHeight="1">
      <c r="A493" s="8" t="s">
        <v>539</v>
      </c>
      <c r="B493" s="8" t="s">
        <v>540</v>
      </c>
      <c r="C493" s="8" t="s">
        <v>2227</v>
      </c>
      <c r="D493" s="8" t="s">
        <v>901</v>
      </c>
      <c r="E493" s="8" t="s">
        <v>2228</v>
      </c>
      <c r="F493" s="8" t="s">
        <v>2229</v>
      </c>
      <c r="G493" s="8" t="s">
        <v>41</v>
      </c>
      <c r="H493" s="7" t="s">
        <v>42</v>
      </c>
      <c r="I493" s="7"/>
      <c r="J493" s="8" t="s">
        <v>637</v>
      </c>
      <c r="K493" s="8" t="s">
        <v>1323</v>
      </c>
      <c r="L493" s="8" t="s">
        <v>2217</v>
      </c>
      <c r="M493" s="8" t="s">
        <v>906</v>
      </c>
      <c r="N493" s="7" t="s">
        <v>907</v>
      </c>
      <c r="O493" s="7" t="s">
        <v>908</v>
      </c>
      <c r="P493" s="7"/>
    </row>
    <row r="494" spans="1:16" ht="40" customHeight="1">
      <c r="A494" s="4" t="s">
        <v>539</v>
      </c>
      <c r="B494" s="4" t="s">
        <v>540</v>
      </c>
      <c r="C494" s="4" t="s">
        <v>2230</v>
      </c>
      <c r="D494" s="4" t="s">
        <v>901</v>
      </c>
      <c r="E494" s="4" t="s">
        <v>2231</v>
      </c>
      <c r="F494" s="4" t="s">
        <v>2232</v>
      </c>
      <c r="G494" s="4" t="s">
        <v>41</v>
      </c>
      <c r="H494" s="7" t="s">
        <v>42</v>
      </c>
      <c r="I494" s="7"/>
      <c r="J494" s="4" t="s">
        <v>637</v>
      </c>
      <c r="K494" s="4" t="s">
        <v>1095</v>
      </c>
      <c r="L494" s="4" t="s">
        <v>2217</v>
      </c>
      <c r="M494" s="4" t="s">
        <v>906</v>
      </c>
      <c r="N494" s="7" t="s">
        <v>907</v>
      </c>
      <c r="O494" s="7" t="s">
        <v>908</v>
      </c>
      <c r="P494" s="7"/>
    </row>
    <row r="495" spans="1:16" ht="40" customHeight="1">
      <c r="A495" s="8" t="s">
        <v>539</v>
      </c>
      <c r="B495" s="8" t="s">
        <v>540</v>
      </c>
      <c r="C495" s="8" t="s">
        <v>2233</v>
      </c>
      <c r="D495" s="8" t="s">
        <v>901</v>
      </c>
      <c r="E495" s="8" t="s">
        <v>2234</v>
      </c>
      <c r="F495" s="8" t="s">
        <v>2235</v>
      </c>
      <c r="G495" s="8" t="s">
        <v>41</v>
      </c>
      <c r="H495" s="7" t="s">
        <v>42</v>
      </c>
      <c r="I495" s="7"/>
      <c r="J495" s="8" t="s">
        <v>637</v>
      </c>
      <c r="K495" s="8" t="s">
        <v>1099</v>
      </c>
      <c r="L495" s="8" t="s">
        <v>2217</v>
      </c>
      <c r="M495" s="8" t="s">
        <v>906</v>
      </c>
      <c r="N495" s="7" t="s">
        <v>907</v>
      </c>
      <c r="O495" s="7" t="s">
        <v>908</v>
      </c>
      <c r="P495" s="7"/>
    </row>
    <row r="496" spans="1:16" ht="40" customHeight="1">
      <c r="A496" s="4" t="s">
        <v>539</v>
      </c>
      <c r="B496" s="4" t="s">
        <v>540</v>
      </c>
      <c r="C496" s="4" t="s">
        <v>2236</v>
      </c>
      <c r="D496" s="4" t="s">
        <v>901</v>
      </c>
      <c r="E496" s="4" t="s">
        <v>2237</v>
      </c>
      <c r="F496" s="4" t="s">
        <v>2238</v>
      </c>
      <c r="G496" s="4" t="s">
        <v>41</v>
      </c>
      <c r="H496" s="7" t="s">
        <v>42</v>
      </c>
      <c r="I496" s="7"/>
      <c r="J496" s="4" t="s">
        <v>637</v>
      </c>
      <c r="K496" s="4" t="s">
        <v>1103</v>
      </c>
      <c r="L496" s="4" t="s">
        <v>2217</v>
      </c>
      <c r="M496" s="4" t="s">
        <v>906</v>
      </c>
      <c r="N496" s="7" t="s">
        <v>907</v>
      </c>
      <c r="O496" s="7" t="s">
        <v>908</v>
      </c>
      <c r="P496" s="7"/>
    </row>
    <row r="497" spans="1:16" ht="40" customHeight="1">
      <c r="A497" s="8" t="s">
        <v>539</v>
      </c>
      <c r="B497" s="8" t="s">
        <v>540</v>
      </c>
      <c r="C497" s="8" t="s">
        <v>2239</v>
      </c>
      <c r="D497" s="8" t="s">
        <v>1175</v>
      </c>
      <c r="E497" s="8" t="s">
        <v>2240</v>
      </c>
      <c r="F497" s="8" t="s">
        <v>2241</v>
      </c>
      <c r="G497" s="8" t="s">
        <v>41</v>
      </c>
      <c r="H497" s="7" t="s">
        <v>42</v>
      </c>
      <c r="I497" s="7"/>
      <c r="J497" s="8" t="s">
        <v>637</v>
      </c>
      <c r="K497" s="8" t="s">
        <v>1620</v>
      </c>
      <c r="L497" s="8" t="s">
        <v>2217</v>
      </c>
      <c r="M497" s="8" t="s">
        <v>906</v>
      </c>
      <c r="N497" s="7" t="s">
        <v>907</v>
      </c>
      <c r="O497" s="7" t="s">
        <v>908</v>
      </c>
      <c r="P497" s="7"/>
    </row>
    <row r="498" spans="1:16" ht="40" customHeight="1">
      <c r="A498" s="4" t="s">
        <v>539</v>
      </c>
      <c r="B498" s="4" t="s">
        <v>540</v>
      </c>
      <c r="C498" s="4" t="s">
        <v>2242</v>
      </c>
      <c r="D498" s="4" t="s">
        <v>901</v>
      </c>
      <c r="E498" s="4" t="s">
        <v>2243</v>
      </c>
      <c r="F498" s="4" t="s">
        <v>2244</v>
      </c>
      <c r="G498" s="4" t="s">
        <v>41</v>
      </c>
      <c r="H498" s="7" t="s">
        <v>42</v>
      </c>
      <c r="I498" s="7"/>
      <c r="J498" s="4" t="s">
        <v>637</v>
      </c>
      <c r="K498" s="4" t="s">
        <v>1111</v>
      </c>
      <c r="L498" s="4" t="s">
        <v>2217</v>
      </c>
      <c r="M498" s="4" t="s">
        <v>906</v>
      </c>
      <c r="N498" s="7" t="s">
        <v>907</v>
      </c>
      <c r="O498" s="7" t="s">
        <v>908</v>
      </c>
      <c r="P498" s="7"/>
    </row>
    <row r="499" spans="1:16" ht="40" customHeight="1">
      <c r="A499" s="8" t="s">
        <v>539</v>
      </c>
      <c r="B499" s="8" t="s">
        <v>540</v>
      </c>
      <c r="C499" s="8" t="s">
        <v>2245</v>
      </c>
      <c r="D499" s="8" t="s">
        <v>914</v>
      </c>
      <c r="E499" s="8" t="s">
        <v>915</v>
      </c>
      <c r="F499" s="8" t="s">
        <v>543</v>
      </c>
      <c r="G499" s="8" t="s">
        <v>916</v>
      </c>
      <c r="H499" s="7" t="s">
        <v>42</v>
      </c>
      <c r="I499" s="7"/>
      <c r="J499" s="8" t="s">
        <v>914</v>
      </c>
      <c r="K499" s="8" t="s">
        <v>41</v>
      </c>
      <c r="L499" s="8" t="s">
        <v>2217</v>
      </c>
      <c r="M499" s="8" t="s">
        <v>51</v>
      </c>
      <c r="N499" s="7" t="s">
        <v>907</v>
      </c>
      <c r="O499" s="7"/>
      <c r="P499" s="7"/>
    </row>
    <row r="500" spans="1:16" ht="54" customHeight="1">
      <c r="A500" s="4" t="s">
        <v>546</v>
      </c>
      <c r="B500" s="4" t="s">
        <v>547</v>
      </c>
      <c r="C500" s="4" t="s">
        <v>2246</v>
      </c>
      <c r="D500" s="4" t="s">
        <v>901</v>
      </c>
      <c r="E500" s="4" t="s">
        <v>2247</v>
      </c>
      <c r="F500" s="4" t="s">
        <v>2248</v>
      </c>
      <c r="G500" s="4" t="s">
        <v>41</v>
      </c>
      <c r="H500" s="7" t="s">
        <v>42</v>
      </c>
      <c r="I500" s="7"/>
      <c r="J500" s="4" t="s">
        <v>637</v>
      </c>
      <c r="K500" s="4" t="s">
        <v>920</v>
      </c>
      <c r="L500" s="4" t="s">
        <v>2249</v>
      </c>
      <c r="M500" s="4" t="s">
        <v>906</v>
      </c>
      <c r="N500" s="7" t="s">
        <v>907</v>
      </c>
      <c r="O500" s="7" t="s">
        <v>908</v>
      </c>
      <c r="P500" s="7"/>
    </row>
    <row r="501" spans="1:16" ht="40" customHeight="1">
      <c r="A501" s="8" t="s">
        <v>546</v>
      </c>
      <c r="B501" s="8" t="s">
        <v>547</v>
      </c>
      <c r="C501" s="8" t="s">
        <v>2250</v>
      </c>
      <c r="D501" s="8" t="s">
        <v>949</v>
      </c>
      <c r="E501" s="8" t="s">
        <v>2251</v>
      </c>
      <c r="F501" s="8" t="s">
        <v>2252</v>
      </c>
      <c r="G501" s="8" t="s">
        <v>41</v>
      </c>
      <c r="H501" s="7" t="s">
        <v>42</v>
      </c>
      <c r="I501" s="7"/>
      <c r="J501" s="8" t="s">
        <v>914</v>
      </c>
      <c r="K501" s="8" t="s">
        <v>1023</v>
      </c>
      <c r="L501" s="8" t="s">
        <v>2249</v>
      </c>
      <c r="M501" s="8" t="s">
        <v>906</v>
      </c>
      <c r="N501" s="7" t="s">
        <v>907</v>
      </c>
      <c r="O501" s="7" t="s">
        <v>908</v>
      </c>
      <c r="P501" s="7"/>
    </row>
    <row r="502" spans="1:16" ht="40" customHeight="1">
      <c r="A502" s="4" t="s">
        <v>546</v>
      </c>
      <c r="B502" s="4" t="s">
        <v>547</v>
      </c>
      <c r="C502" s="4" t="s">
        <v>2253</v>
      </c>
      <c r="D502" s="4" t="s">
        <v>949</v>
      </c>
      <c r="E502" s="4" t="s">
        <v>2254</v>
      </c>
      <c r="F502" s="4" t="s">
        <v>2255</v>
      </c>
      <c r="G502" s="4" t="s">
        <v>41</v>
      </c>
      <c r="H502" s="7" t="s">
        <v>42</v>
      </c>
      <c r="I502" s="7"/>
      <c r="J502" s="4" t="s">
        <v>914</v>
      </c>
      <c r="K502" s="4" t="s">
        <v>1458</v>
      </c>
      <c r="L502" s="4" t="s">
        <v>2249</v>
      </c>
      <c r="M502" s="4" t="s">
        <v>906</v>
      </c>
      <c r="N502" s="7" t="s">
        <v>907</v>
      </c>
      <c r="O502" s="7" t="s">
        <v>908</v>
      </c>
      <c r="P502" s="7"/>
    </row>
    <row r="503" spans="1:16" ht="40" customHeight="1">
      <c r="A503" s="8" t="s">
        <v>546</v>
      </c>
      <c r="B503" s="8" t="s">
        <v>547</v>
      </c>
      <c r="C503" s="8" t="s">
        <v>2256</v>
      </c>
      <c r="D503" s="8" t="s">
        <v>949</v>
      </c>
      <c r="E503" s="8" t="s">
        <v>2257</v>
      </c>
      <c r="F503" s="8" t="s">
        <v>2258</v>
      </c>
      <c r="G503" s="8" t="s">
        <v>41</v>
      </c>
      <c r="H503" s="7" t="s">
        <v>42</v>
      </c>
      <c r="I503" s="7"/>
      <c r="J503" s="8" t="s">
        <v>914</v>
      </c>
      <c r="K503" s="8" t="s">
        <v>1524</v>
      </c>
      <c r="L503" s="8" t="s">
        <v>2249</v>
      </c>
      <c r="M503" s="8" t="s">
        <v>906</v>
      </c>
      <c r="N503" s="7" t="s">
        <v>907</v>
      </c>
      <c r="O503" s="7" t="s">
        <v>908</v>
      </c>
      <c r="P503" s="7"/>
    </row>
    <row r="504" spans="1:16" ht="40" customHeight="1">
      <c r="A504" s="4" t="s">
        <v>546</v>
      </c>
      <c r="B504" s="4" t="s">
        <v>547</v>
      </c>
      <c r="C504" s="4" t="s">
        <v>2259</v>
      </c>
      <c r="D504" s="4" t="s">
        <v>949</v>
      </c>
      <c r="E504" s="4" t="s">
        <v>2260</v>
      </c>
      <c r="F504" s="4" t="s">
        <v>2261</v>
      </c>
      <c r="G504" s="4" t="s">
        <v>41</v>
      </c>
      <c r="H504" s="7" t="s">
        <v>42</v>
      </c>
      <c r="I504" s="7"/>
      <c r="J504" s="4" t="s">
        <v>914</v>
      </c>
      <c r="K504" s="4" t="s">
        <v>2262</v>
      </c>
      <c r="L504" s="4" t="s">
        <v>2249</v>
      </c>
      <c r="M504" s="4" t="s">
        <v>906</v>
      </c>
      <c r="N504" s="7" t="s">
        <v>907</v>
      </c>
      <c r="O504" s="7" t="s">
        <v>908</v>
      </c>
      <c r="P504" s="7"/>
    </row>
    <row r="505" spans="1:16" ht="68" customHeight="1">
      <c r="A505" s="8" t="s">
        <v>546</v>
      </c>
      <c r="B505" s="8" t="s">
        <v>547</v>
      </c>
      <c r="C505" s="8" t="s">
        <v>2263</v>
      </c>
      <c r="D505" s="8" t="s">
        <v>949</v>
      </c>
      <c r="E505" s="8" t="s">
        <v>970</v>
      </c>
      <c r="F505" s="8" t="s">
        <v>2264</v>
      </c>
      <c r="G505" s="8" t="s">
        <v>41</v>
      </c>
      <c r="H505" s="7" t="s">
        <v>42</v>
      </c>
      <c r="I505" s="7"/>
      <c r="J505" s="8" t="s">
        <v>914</v>
      </c>
      <c r="K505" s="8" t="s">
        <v>2265</v>
      </c>
      <c r="L505" s="8" t="s">
        <v>2249</v>
      </c>
      <c r="M505" s="8" t="s">
        <v>906</v>
      </c>
      <c r="N505" s="7" t="s">
        <v>907</v>
      </c>
      <c r="O505" s="7" t="s">
        <v>908</v>
      </c>
      <c r="P505" s="7"/>
    </row>
    <row r="506" spans="1:16" ht="82" customHeight="1">
      <c r="A506" s="4" t="s">
        <v>546</v>
      </c>
      <c r="B506" s="4" t="s">
        <v>547</v>
      </c>
      <c r="C506" s="4" t="s">
        <v>2266</v>
      </c>
      <c r="D506" s="4" t="s">
        <v>949</v>
      </c>
      <c r="E506" s="4" t="s">
        <v>2267</v>
      </c>
      <c r="F506" s="4" t="s">
        <v>2268</v>
      </c>
      <c r="G506" s="4" t="s">
        <v>41</v>
      </c>
      <c r="H506" s="7" t="s">
        <v>42</v>
      </c>
      <c r="I506" s="7"/>
      <c r="J506" s="4" t="s">
        <v>914</v>
      </c>
      <c r="K506" s="4" t="s">
        <v>2269</v>
      </c>
      <c r="L506" s="4" t="s">
        <v>2249</v>
      </c>
      <c r="M506" s="4" t="s">
        <v>906</v>
      </c>
      <c r="N506" s="7" t="s">
        <v>907</v>
      </c>
      <c r="O506" s="7" t="s">
        <v>908</v>
      </c>
      <c r="P506" s="7"/>
    </row>
    <row r="507" spans="1:16" ht="40" customHeight="1">
      <c r="A507" s="8" t="s">
        <v>546</v>
      </c>
      <c r="B507" s="8" t="s">
        <v>547</v>
      </c>
      <c r="C507" s="8" t="s">
        <v>2270</v>
      </c>
      <c r="D507" s="8" t="s">
        <v>949</v>
      </c>
      <c r="E507" s="8" t="s">
        <v>2271</v>
      </c>
      <c r="F507" s="8" t="s">
        <v>2272</v>
      </c>
      <c r="G507" s="8" t="s">
        <v>41</v>
      </c>
      <c r="H507" s="7" t="s">
        <v>42</v>
      </c>
      <c r="I507" s="7"/>
      <c r="J507" s="8" t="s">
        <v>914</v>
      </c>
      <c r="K507" s="8" t="s">
        <v>2273</v>
      </c>
      <c r="L507" s="8" t="s">
        <v>2249</v>
      </c>
      <c r="M507" s="8" t="s">
        <v>906</v>
      </c>
      <c r="N507" s="7" t="s">
        <v>907</v>
      </c>
      <c r="O507" s="7" t="s">
        <v>908</v>
      </c>
      <c r="P507" s="7"/>
    </row>
    <row r="508" spans="1:16" ht="40" customHeight="1">
      <c r="A508" s="4" t="s">
        <v>546</v>
      </c>
      <c r="B508" s="4" t="s">
        <v>547</v>
      </c>
      <c r="C508" s="4" t="s">
        <v>2274</v>
      </c>
      <c r="D508" s="4" t="s">
        <v>949</v>
      </c>
      <c r="E508" s="4" t="s">
        <v>2275</v>
      </c>
      <c r="F508" s="4" t="s">
        <v>2276</v>
      </c>
      <c r="G508" s="4" t="s">
        <v>41</v>
      </c>
      <c r="H508" s="7" t="s">
        <v>42</v>
      </c>
      <c r="I508" s="7"/>
      <c r="J508" s="4" t="s">
        <v>914</v>
      </c>
      <c r="K508" s="4" t="s">
        <v>2277</v>
      </c>
      <c r="L508" s="4" t="s">
        <v>2249</v>
      </c>
      <c r="M508" s="4" t="s">
        <v>906</v>
      </c>
      <c r="N508" s="7" t="s">
        <v>907</v>
      </c>
      <c r="O508" s="7" t="s">
        <v>908</v>
      </c>
      <c r="P508" s="7"/>
    </row>
    <row r="509" spans="1:16" ht="54" customHeight="1">
      <c r="A509" s="8" t="s">
        <v>546</v>
      </c>
      <c r="B509" s="8" t="s">
        <v>547</v>
      </c>
      <c r="C509" s="8" t="s">
        <v>2278</v>
      </c>
      <c r="D509" s="8" t="s">
        <v>949</v>
      </c>
      <c r="E509" s="8" t="s">
        <v>2279</v>
      </c>
      <c r="F509" s="8" t="s">
        <v>2280</v>
      </c>
      <c r="G509" s="8" t="s">
        <v>41</v>
      </c>
      <c r="H509" s="7" t="s">
        <v>42</v>
      </c>
      <c r="I509" s="7"/>
      <c r="J509" s="8" t="s">
        <v>914</v>
      </c>
      <c r="K509" s="8" t="s">
        <v>2281</v>
      </c>
      <c r="L509" s="8" t="s">
        <v>2249</v>
      </c>
      <c r="M509" s="8" t="s">
        <v>906</v>
      </c>
      <c r="N509" s="7" t="s">
        <v>907</v>
      </c>
      <c r="O509" s="7" t="s">
        <v>908</v>
      </c>
      <c r="P509" s="7"/>
    </row>
    <row r="510" spans="1:16" ht="40" customHeight="1">
      <c r="A510" s="4" t="s">
        <v>546</v>
      </c>
      <c r="B510" s="4" t="s">
        <v>547</v>
      </c>
      <c r="C510" s="4" t="s">
        <v>2282</v>
      </c>
      <c r="D510" s="4" t="s">
        <v>949</v>
      </c>
      <c r="E510" s="4" t="s">
        <v>2283</v>
      </c>
      <c r="F510" s="4" t="s">
        <v>2284</v>
      </c>
      <c r="G510" s="4" t="s">
        <v>41</v>
      </c>
      <c r="H510" s="7" t="s">
        <v>42</v>
      </c>
      <c r="I510" s="7"/>
      <c r="J510" s="4" t="s">
        <v>914</v>
      </c>
      <c r="K510" s="4" t="s">
        <v>2285</v>
      </c>
      <c r="L510" s="4" t="s">
        <v>2249</v>
      </c>
      <c r="M510" s="4" t="s">
        <v>906</v>
      </c>
      <c r="N510" s="7" t="s">
        <v>907</v>
      </c>
      <c r="O510" s="7" t="s">
        <v>908</v>
      </c>
      <c r="P510" s="7"/>
    </row>
    <row r="511" spans="1:16" ht="54" customHeight="1">
      <c r="A511" s="8" t="s">
        <v>554</v>
      </c>
      <c r="B511" s="8" t="s">
        <v>555</v>
      </c>
      <c r="C511" s="8" t="s">
        <v>2286</v>
      </c>
      <c r="D511" s="8" t="s">
        <v>1175</v>
      </c>
      <c r="E511" s="8" t="s">
        <v>2287</v>
      </c>
      <c r="F511" s="8" t="s">
        <v>2288</v>
      </c>
      <c r="G511" s="8" t="s">
        <v>41</v>
      </c>
      <c r="H511" s="7" t="s">
        <v>42</v>
      </c>
      <c r="I511" s="7"/>
      <c r="J511" s="8" t="s">
        <v>637</v>
      </c>
      <c r="K511" s="8" t="s">
        <v>904</v>
      </c>
      <c r="L511" s="8" t="s">
        <v>2289</v>
      </c>
      <c r="M511" s="8" t="s">
        <v>906</v>
      </c>
      <c r="N511" s="7" t="s">
        <v>907</v>
      </c>
      <c r="O511" s="7" t="s">
        <v>908</v>
      </c>
      <c r="P511" s="7"/>
    </row>
    <row r="512" spans="1:16" ht="40" customHeight="1">
      <c r="A512" s="4" t="s">
        <v>554</v>
      </c>
      <c r="B512" s="4" t="s">
        <v>555</v>
      </c>
      <c r="C512" s="4" t="s">
        <v>2290</v>
      </c>
      <c r="D512" s="4" t="s">
        <v>901</v>
      </c>
      <c r="E512" s="4" t="s">
        <v>2291</v>
      </c>
      <c r="F512" s="4" t="s">
        <v>2292</v>
      </c>
      <c r="G512" s="4" t="s">
        <v>41</v>
      </c>
      <c r="H512" s="7" t="s">
        <v>42</v>
      </c>
      <c r="I512" s="7"/>
      <c r="J512" s="4" t="s">
        <v>637</v>
      </c>
      <c r="K512" s="4" t="s">
        <v>912</v>
      </c>
      <c r="L512" s="4" t="s">
        <v>2289</v>
      </c>
      <c r="M512" s="4" t="s">
        <v>906</v>
      </c>
      <c r="N512" s="7" t="s">
        <v>907</v>
      </c>
      <c r="O512" s="7" t="s">
        <v>908</v>
      </c>
      <c r="P512" s="7"/>
    </row>
    <row r="513" spans="1:16" ht="40" customHeight="1">
      <c r="A513" s="8" t="s">
        <v>554</v>
      </c>
      <c r="B513" s="8" t="s">
        <v>555</v>
      </c>
      <c r="C513" s="8" t="s">
        <v>2293</v>
      </c>
      <c r="D513" s="8" t="s">
        <v>901</v>
      </c>
      <c r="E513" s="8" t="s">
        <v>2294</v>
      </c>
      <c r="F513" s="8" t="s">
        <v>2295</v>
      </c>
      <c r="G513" s="8" t="s">
        <v>41</v>
      </c>
      <c r="H513" s="7" t="s">
        <v>42</v>
      </c>
      <c r="I513" s="7"/>
      <c r="J513" s="8" t="s">
        <v>637</v>
      </c>
      <c r="K513" s="8" t="s">
        <v>1015</v>
      </c>
      <c r="L513" s="8" t="s">
        <v>2289</v>
      </c>
      <c r="M513" s="8" t="s">
        <v>906</v>
      </c>
      <c r="N513" s="7" t="s">
        <v>907</v>
      </c>
      <c r="O513" s="7" t="s">
        <v>908</v>
      </c>
      <c r="P513" s="7"/>
    </row>
    <row r="514" spans="1:16" ht="40" customHeight="1">
      <c r="A514" s="4" t="s">
        <v>554</v>
      </c>
      <c r="B514" s="4" t="s">
        <v>555</v>
      </c>
      <c r="C514" s="4" t="s">
        <v>2296</v>
      </c>
      <c r="D514" s="4" t="s">
        <v>901</v>
      </c>
      <c r="E514" s="4" t="s">
        <v>2297</v>
      </c>
      <c r="F514" s="4" t="s">
        <v>2298</v>
      </c>
      <c r="G514" s="4" t="s">
        <v>41</v>
      </c>
      <c r="H514" s="7" t="s">
        <v>42</v>
      </c>
      <c r="I514" s="7"/>
      <c r="J514" s="4" t="s">
        <v>637</v>
      </c>
      <c r="K514" s="4" t="s">
        <v>1019</v>
      </c>
      <c r="L514" s="4" t="s">
        <v>2289</v>
      </c>
      <c r="M514" s="4" t="s">
        <v>906</v>
      </c>
      <c r="N514" s="7" t="s">
        <v>907</v>
      </c>
      <c r="O514" s="7" t="s">
        <v>908</v>
      </c>
      <c r="P514" s="7"/>
    </row>
    <row r="515" spans="1:16" ht="40" customHeight="1">
      <c r="A515" s="8" t="s">
        <v>554</v>
      </c>
      <c r="B515" s="8" t="s">
        <v>555</v>
      </c>
      <c r="C515" s="8" t="s">
        <v>2299</v>
      </c>
      <c r="D515" s="8" t="s">
        <v>901</v>
      </c>
      <c r="E515" s="8" t="s">
        <v>2300</v>
      </c>
      <c r="F515" s="8" t="s">
        <v>2301</v>
      </c>
      <c r="G515" s="8" t="s">
        <v>41</v>
      </c>
      <c r="H515" s="7" t="s">
        <v>42</v>
      </c>
      <c r="I515" s="7"/>
      <c r="J515" s="8" t="s">
        <v>637</v>
      </c>
      <c r="K515" s="8" t="s">
        <v>1147</v>
      </c>
      <c r="L515" s="8" t="s">
        <v>2289</v>
      </c>
      <c r="M515" s="8" t="s">
        <v>906</v>
      </c>
      <c r="N515" s="7" t="s">
        <v>907</v>
      </c>
      <c r="O515" s="7" t="s">
        <v>908</v>
      </c>
      <c r="P515" s="7"/>
    </row>
    <row r="516" spans="1:16" ht="68" customHeight="1">
      <c r="A516" s="4" t="s">
        <v>554</v>
      </c>
      <c r="B516" s="4" t="s">
        <v>555</v>
      </c>
      <c r="C516" s="4" t="s">
        <v>2302</v>
      </c>
      <c r="D516" s="4" t="s">
        <v>901</v>
      </c>
      <c r="E516" s="4" t="s">
        <v>2303</v>
      </c>
      <c r="F516" s="4" t="s">
        <v>2304</v>
      </c>
      <c r="G516" s="4" t="s">
        <v>41</v>
      </c>
      <c r="H516" s="7" t="s">
        <v>42</v>
      </c>
      <c r="I516" s="7"/>
      <c r="J516" s="4" t="s">
        <v>637</v>
      </c>
      <c r="K516" s="4" t="s">
        <v>1254</v>
      </c>
      <c r="L516" s="4" t="s">
        <v>2289</v>
      </c>
      <c r="M516" s="4" t="s">
        <v>906</v>
      </c>
      <c r="N516" s="7" t="s">
        <v>907</v>
      </c>
      <c r="O516" s="7" t="s">
        <v>908</v>
      </c>
      <c r="P516" s="7"/>
    </row>
    <row r="517" spans="1:16" ht="40" customHeight="1">
      <c r="A517" s="8" t="s">
        <v>554</v>
      </c>
      <c r="B517" s="8" t="s">
        <v>555</v>
      </c>
      <c r="C517" s="8" t="s">
        <v>2305</v>
      </c>
      <c r="D517" s="8" t="s">
        <v>949</v>
      </c>
      <c r="E517" s="8" t="s">
        <v>2306</v>
      </c>
      <c r="F517" s="8" t="s">
        <v>2307</v>
      </c>
      <c r="G517" s="8" t="s">
        <v>41</v>
      </c>
      <c r="H517" s="7" t="s">
        <v>42</v>
      </c>
      <c r="I517" s="7"/>
      <c r="J517" s="8" t="s">
        <v>914</v>
      </c>
      <c r="K517" s="8" t="s">
        <v>952</v>
      </c>
      <c r="L517" s="8" t="s">
        <v>2289</v>
      </c>
      <c r="M517" s="8" t="s">
        <v>906</v>
      </c>
      <c r="N517" s="7" t="s">
        <v>907</v>
      </c>
      <c r="O517" s="7" t="s">
        <v>908</v>
      </c>
      <c r="P517" s="7"/>
    </row>
    <row r="518" spans="1:16" ht="82" customHeight="1">
      <c r="A518" s="4" t="s">
        <v>554</v>
      </c>
      <c r="B518" s="4" t="s">
        <v>555</v>
      </c>
      <c r="C518" s="4" t="s">
        <v>2308</v>
      </c>
      <c r="D518" s="4" t="s">
        <v>949</v>
      </c>
      <c r="E518" s="4" t="s">
        <v>2309</v>
      </c>
      <c r="F518" s="4" t="s">
        <v>2310</v>
      </c>
      <c r="G518" s="4" t="s">
        <v>41</v>
      </c>
      <c r="H518" s="7" t="s">
        <v>42</v>
      </c>
      <c r="I518" s="7"/>
      <c r="J518" s="4" t="s">
        <v>914</v>
      </c>
      <c r="K518" s="4" t="s">
        <v>956</v>
      </c>
      <c r="L518" s="4" t="s">
        <v>2289</v>
      </c>
      <c r="M518" s="4" t="s">
        <v>906</v>
      </c>
      <c r="N518" s="7" t="s">
        <v>907</v>
      </c>
      <c r="O518" s="7" t="s">
        <v>908</v>
      </c>
      <c r="P518" s="7"/>
    </row>
    <row r="519" spans="1:16" ht="40" customHeight="1">
      <c r="A519" s="8" t="s">
        <v>563</v>
      </c>
      <c r="B519" s="8" t="s">
        <v>564</v>
      </c>
      <c r="C519" s="8" t="s">
        <v>2311</v>
      </c>
      <c r="D519" s="8" t="s">
        <v>901</v>
      </c>
      <c r="E519" s="8" t="s">
        <v>2312</v>
      </c>
      <c r="F519" s="8" t="s">
        <v>2313</v>
      </c>
      <c r="G519" s="8" t="s">
        <v>41</v>
      </c>
      <c r="H519" s="7" t="s">
        <v>42</v>
      </c>
      <c r="I519" s="7"/>
      <c r="J519" s="8" t="s">
        <v>637</v>
      </c>
      <c r="K519" s="8" t="s">
        <v>904</v>
      </c>
      <c r="L519" s="8" t="s">
        <v>2314</v>
      </c>
      <c r="M519" s="8" t="s">
        <v>906</v>
      </c>
      <c r="N519" s="7" t="s">
        <v>907</v>
      </c>
      <c r="O519" s="7" t="s">
        <v>908</v>
      </c>
      <c r="P519" s="7"/>
    </row>
    <row r="520" spans="1:16" ht="40" customHeight="1">
      <c r="A520" s="4" t="s">
        <v>563</v>
      </c>
      <c r="B520" s="4" t="s">
        <v>564</v>
      </c>
      <c r="C520" s="4" t="s">
        <v>2315</v>
      </c>
      <c r="D520" s="4" t="s">
        <v>901</v>
      </c>
      <c r="E520" s="4" t="s">
        <v>2316</v>
      </c>
      <c r="F520" s="4" t="s">
        <v>2317</v>
      </c>
      <c r="G520" s="4" t="s">
        <v>41</v>
      </c>
      <c r="H520" s="7" t="s">
        <v>42</v>
      </c>
      <c r="I520" s="7"/>
      <c r="J520" s="4" t="s">
        <v>637</v>
      </c>
      <c r="K520" s="4" t="s">
        <v>912</v>
      </c>
      <c r="L520" s="4" t="s">
        <v>2314</v>
      </c>
      <c r="M520" s="4" t="s">
        <v>906</v>
      </c>
      <c r="N520" s="7" t="s">
        <v>907</v>
      </c>
      <c r="O520" s="7" t="s">
        <v>908</v>
      </c>
      <c r="P520" s="7"/>
    </row>
    <row r="521" spans="1:16" ht="138" customHeight="1">
      <c r="A521" s="8" t="s">
        <v>563</v>
      </c>
      <c r="B521" s="8" t="s">
        <v>564</v>
      </c>
      <c r="C521" s="8" t="s">
        <v>2318</v>
      </c>
      <c r="D521" s="8" t="s">
        <v>901</v>
      </c>
      <c r="E521" s="8" t="s">
        <v>2319</v>
      </c>
      <c r="F521" s="8" t="s">
        <v>2320</v>
      </c>
      <c r="G521" s="8" t="s">
        <v>41</v>
      </c>
      <c r="H521" s="7" t="s">
        <v>42</v>
      </c>
      <c r="I521" s="7"/>
      <c r="J521" s="8" t="s">
        <v>637</v>
      </c>
      <c r="K521" s="8" t="s">
        <v>1015</v>
      </c>
      <c r="L521" s="8" t="s">
        <v>2314</v>
      </c>
      <c r="M521" s="8" t="s">
        <v>906</v>
      </c>
      <c r="N521" s="7" t="s">
        <v>907</v>
      </c>
      <c r="O521" s="7" t="s">
        <v>908</v>
      </c>
      <c r="P521" s="7"/>
    </row>
    <row r="522" spans="1:16" ht="54" customHeight="1">
      <c r="A522" s="4" t="s">
        <v>563</v>
      </c>
      <c r="B522" s="4" t="s">
        <v>564</v>
      </c>
      <c r="C522" s="4" t="s">
        <v>2321</v>
      </c>
      <c r="D522" s="4" t="s">
        <v>901</v>
      </c>
      <c r="E522" s="4" t="s">
        <v>2322</v>
      </c>
      <c r="F522" s="4" t="s">
        <v>2323</v>
      </c>
      <c r="G522" s="4" t="s">
        <v>41</v>
      </c>
      <c r="H522" s="7" t="s">
        <v>42</v>
      </c>
      <c r="I522" s="7"/>
      <c r="J522" s="4" t="s">
        <v>637</v>
      </c>
      <c r="K522" s="4" t="s">
        <v>1019</v>
      </c>
      <c r="L522" s="4" t="s">
        <v>2314</v>
      </c>
      <c r="M522" s="4" t="s">
        <v>906</v>
      </c>
      <c r="N522" s="7" t="s">
        <v>907</v>
      </c>
      <c r="O522" s="7" t="s">
        <v>908</v>
      </c>
      <c r="P522" s="7"/>
    </row>
    <row r="523" spans="1:16" ht="68" customHeight="1">
      <c r="A523" s="8" t="s">
        <v>563</v>
      </c>
      <c r="B523" s="8" t="s">
        <v>564</v>
      </c>
      <c r="C523" s="8" t="s">
        <v>2324</v>
      </c>
      <c r="D523" s="8" t="s">
        <v>901</v>
      </c>
      <c r="E523" s="8" t="s">
        <v>2325</v>
      </c>
      <c r="F523" s="8" t="s">
        <v>2326</v>
      </c>
      <c r="G523" s="8" t="s">
        <v>41</v>
      </c>
      <c r="H523" s="7" t="s">
        <v>42</v>
      </c>
      <c r="I523" s="7"/>
      <c r="J523" s="8" t="s">
        <v>637</v>
      </c>
      <c r="K523" s="8" t="s">
        <v>1147</v>
      </c>
      <c r="L523" s="8" t="s">
        <v>2314</v>
      </c>
      <c r="M523" s="8" t="s">
        <v>906</v>
      </c>
      <c r="N523" s="7" t="s">
        <v>907</v>
      </c>
      <c r="O523" s="7" t="s">
        <v>908</v>
      </c>
      <c r="P523" s="7"/>
    </row>
    <row r="524" spans="1:16" ht="110" customHeight="1">
      <c r="A524" s="4" t="s">
        <v>563</v>
      </c>
      <c r="B524" s="4" t="s">
        <v>564</v>
      </c>
      <c r="C524" s="4" t="s">
        <v>2327</v>
      </c>
      <c r="D524" s="4" t="s">
        <v>901</v>
      </c>
      <c r="E524" s="4" t="s">
        <v>2328</v>
      </c>
      <c r="F524" s="4" t="s">
        <v>2329</v>
      </c>
      <c r="G524" s="4" t="s">
        <v>41</v>
      </c>
      <c r="H524" s="7" t="s">
        <v>42</v>
      </c>
      <c r="I524" s="7"/>
      <c r="J524" s="4" t="s">
        <v>637</v>
      </c>
      <c r="K524" s="4" t="s">
        <v>1254</v>
      </c>
      <c r="L524" s="4" t="s">
        <v>2314</v>
      </c>
      <c r="M524" s="4" t="s">
        <v>906</v>
      </c>
      <c r="N524" s="7" t="s">
        <v>907</v>
      </c>
      <c r="O524" s="7" t="s">
        <v>908</v>
      </c>
      <c r="P524" s="7"/>
    </row>
    <row r="525" spans="1:16" ht="68" customHeight="1">
      <c r="A525" s="8" t="s">
        <v>563</v>
      </c>
      <c r="B525" s="8" t="s">
        <v>564</v>
      </c>
      <c r="C525" s="8" t="s">
        <v>2330</v>
      </c>
      <c r="D525" s="8" t="s">
        <v>901</v>
      </c>
      <c r="E525" s="8" t="s">
        <v>2331</v>
      </c>
      <c r="F525" s="8" t="s">
        <v>2332</v>
      </c>
      <c r="G525" s="8" t="s">
        <v>41</v>
      </c>
      <c r="H525" s="7" t="s">
        <v>42</v>
      </c>
      <c r="I525" s="7"/>
      <c r="J525" s="8" t="s">
        <v>637</v>
      </c>
      <c r="K525" s="8" t="s">
        <v>1258</v>
      </c>
      <c r="L525" s="8" t="s">
        <v>2314</v>
      </c>
      <c r="M525" s="8" t="s">
        <v>906</v>
      </c>
      <c r="N525" s="7" t="s">
        <v>907</v>
      </c>
      <c r="O525" s="7" t="s">
        <v>908</v>
      </c>
      <c r="P525" s="7"/>
    </row>
    <row r="526" spans="1:16" ht="40" customHeight="1">
      <c r="A526" s="4" t="s">
        <v>563</v>
      </c>
      <c r="B526" s="4" t="s">
        <v>564</v>
      </c>
      <c r="C526" s="4" t="s">
        <v>2333</v>
      </c>
      <c r="D526" s="4" t="s">
        <v>949</v>
      </c>
      <c r="E526" s="4" t="s">
        <v>2334</v>
      </c>
      <c r="F526" s="4" t="s">
        <v>2335</v>
      </c>
      <c r="G526" s="4" t="s">
        <v>41</v>
      </c>
      <c r="H526" s="7" t="s">
        <v>42</v>
      </c>
      <c r="I526" s="7"/>
      <c r="J526" s="4" t="s">
        <v>914</v>
      </c>
      <c r="K526" s="4" t="s">
        <v>1023</v>
      </c>
      <c r="L526" s="4" t="s">
        <v>2314</v>
      </c>
      <c r="M526" s="4" t="s">
        <v>906</v>
      </c>
      <c r="N526" s="7" t="s">
        <v>907</v>
      </c>
      <c r="O526" s="7" t="s">
        <v>908</v>
      </c>
      <c r="P526" s="7"/>
    </row>
    <row r="527" spans="1:16" ht="40" customHeight="1">
      <c r="A527" s="8" t="s">
        <v>570</v>
      </c>
      <c r="B527" s="8" t="s">
        <v>571</v>
      </c>
      <c r="C527" s="8" t="s">
        <v>2336</v>
      </c>
      <c r="D527" s="8" t="s">
        <v>901</v>
      </c>
      <c r="E527" s="8" t="s">
        <v>2337</v>
      </c>
      <c r="F527" s="8" t="s">
        <v>2338</v>
      </c>
      <c r="G527" s="8" t="s">
        <v>41</v>
      </c>
      <c r="H527" s="7" t="s">
        <v>42</v>
      </c>
      <c r="I527" s="7"/>
      <c r="J527" s="8" t="s">
        <v>637</v>
      </c>
      <c r="K527" s="8" t="s">
        <v>904</v>
      </c>
      <c r="L527" s="8" t="s">
        <v>2339</v>
      </c>
      <c r="M527" s="8" t="s">
        <v>906</v>
      </c>
      <c r="N527" s="7" t="s">
        <v>907</v>
      </c>
      <c r="O527" s="7" t="s">
        <v>908</v>
      </c>
      <c r="P527" s="7"/>
    </row>
    <row r="528" spans="1:16" ht="40" customHeight="1">
      <c r="A528" s="4" t="s">
        <v>570</v>
      </c>
      <c r="B528" s="4" t="s">
        <v>571</v>
      </c>
      <c r="C528" s="4" t="s">
        <v>2340</v>
      </c>
      <c r="D528" s="4" t="s">
        <v>901</v>
      </c>
      <c r="E528" s="4" t="s">
        <v>2341</v>
      </c>
      <c r="F528" s="4" t="s">
        <v>2342</v>
      </c>
      <c r="G528" s="4" t="s">
        <v>41</v>
      </c>
      <c r="H528" s="7" t="s">
        <v>42</v>
      </c>
      <c r="I528" s="7"/>
      <c r="J528" s="4" t="s">
        <v>637</v>
      </c>
      <c r="K528" s="4" t="s">
        <v>912</v>
      </c>
      <c r="L528" s="4" t="s">
        <v>2339</v>
      </c>
      <c r="M528" s="4" t="s">
        <v>906</v>
      </c>
      <c r="N528" s="7" t="s">
        <v>907</v>
      </c>
      <c r="O528" s="7" t="s">
        <v>908</v>
      </c>
      <c r="P528" s="7"/>
    </row>
    <row r="529" spans="1:16" ht="40" customHeight="1">
      <c r="A529" s="8" t="s">
        <v>570</v>
      </c>
      <c r="B529" s="8" t="s">
        <v>571</v>
      </c>
      <c r="C529" s="8" t="s">
        <v>2343</v>
      </c>
      <c r="D529" s="8" t="s">
        <v>901</v>
      </c>
      <c r="E529" s="8" t="s">
        <v>2344</v>
      </c>
      <c r="F529" s="8" t="s">
        <v>2345</v>
      </c>
      <c r="G529" s="8" t="s">
        <v>41</v>
      </c>
      <c r="H529" s="7" t="s">
        <v>42</v>
      </c>
      <c r="I529" s="7"/>
      <c r="J529" s="8" t="s">
        <v>637</v>
      </c>
      <c r="K529" s="8" t="s">
        <v>1015</v>
      </c>
      <c r="L529" s="8" t="s">
        <v>2339</v>
      </c>
      <c r="M529" s="8" t="s">
        <v>906</v>
      </c>
      <c r="N529" s="7" t="s">
        <v>907</v>
      </c>
      <c r="O529" s="7" t="s">
        <v>908</v>
      </c>
      <c r="P529" s="7"/>
    </row>
    <row r="530" spans="1:16" ht="40" customHeight="1">
      <c r="A530" s="4" t="s">
        <v>570</v>
      </c>
      <c r="B530" s="4" t="s">
        <v>571</v>
      </c>
      <c r="C530" s="4" t="s">
        <v>2346</v>
      </c>
      <c r="D530" s="4" t="s">
        <v>914</v>
      </c>
      <c r="E530" s="4" t="s">
        <v>915</v>
      </c>
      <c r="F530" s="4" t="s">
        <v>575</v>
      </c>
      <c r="G530" s="4" t="s">
        <v>916</v>
      </c>
      <c r="H530" s="7" t="s">
        <v>42</v>
      </c>
      <c r="I530" s="7"/>
      <c r="J530" s="4" t="s">
        <v>914</v>
      </c>
      <c r="K530" s="4" t="s">
        <v>41</v>
      </c>
      <c r="L530" s="4" t="s">
        <v>2339</v>
      </c>
      <c r="M530" s="4" t="s">
        <v>51</v>
      </c>
      <c r="N530" s="7" t="s">
        <v>907</v>
      </c>
      <c r="O530" s="7"/>
      <c r="P530" s="7"/>
    </row>
    <row r="531" spans="1:16" ht="40" customHeight="1">
      <c r="A531" s="8" t="s">
        <v>578</v>
      </c>
      <c r="B531" s="8" t="s">
        <v>579</v>
      </c>
      <c r="C531" s="8" t="s">
        <v>2347</v>
      </c>
      <c r="D531" s="8" t="s">
        <v>901</v>
      </c>
      <c r="E531" s="8" t="s">
        <v>2348</v>
      </c>
      <c r="F531" s="8" t="s">
        <v>2349</v>
      </c>
      <c r="G531" s="8" t="s">
        <v>41</v>
      </c>
      <c r="H531" s="7" t="s">
        <v>42</v>
      </c>
      <c r="I531" s="7"/>
      <c r="J531" s="8" t="s">
        <v>637</v>
      </c>
      <c r="K531" s="8" t="s">
        <v>904</v>
      </c>
      <c r="L531" s="8" t="s">
        <v>2350</v>
      </c>
      <c r="M531" s="8" t="s">
        <v>906</v>
      </c>
      <c r="N531" s="7" t="s">
        <v>907</v>
      </c>
      <c r="O531" s="7" t="s">
        <v>908</v>
      </c>
      <c r="P531" s="7"/>
    </row>
    <row r="532" spans="1:16" ht="40" customHeight="1">
      <c r="A532" s="4" t="s">
        <v>578</v>
      </c>
      <c r="B532" s="4" t="s">
        <v>579</v>
      </c>
      <c r="C532" s="4" t="s">
        <v>2351</v>
      </c>
      <c r="D532" s="4" t="s">
        <v>901</v>
      </c>
      <c r="E532" s="4" t="s">
        <v>2352</v>
      </c>
      <c r="F532" s="4" t="s">
        <v>2353</v>
      </c>
      <c r="G532" s="4" t="s">
        <v>41</v>
      </c>
      <c r="H532" s="7" t="s">
        <v>42</v>
      </c>
      <c r="I532" s="7"/>
      <c r="J532" s="4" t="s">
        <v>637</v>
      </c>
      <c r="K532" s="4" t="s">
        <v>912</v>
      </c>
      <c r="L532" s="4" t="s">
        <v>2350</v>
      </c>
      <c r="M532" s="4" t="s">
        <v>906</v>
      </c>
      <c r="N532" s="7" t="s">
        <v>907</v>
      </c>
      <c r="O532" s="7" t="s">
        <v>908</v>
      </c>
      <c r="P532" s="7"/>
    </row>
    <row r="533" spans="1:16" ht="40" customHeight="1">
      <c r="A533" s="8" t="s">
        <v>578</v>
      </c>
      <c r="B533" s="8" t="s">
        <v>579</v>
      </c>
      <c r="C533" s="8" t="s">
        <v>2354</v>
      </c>
      <c r="D533" s="8" t="s">
        <v>901</v>
      </c>
      <c r="E533" s="8" t="s">
        <v>2355</v>
      </c>
      <c r="F533" s="8" t="s">
        <v>2356</v>
      </c>
      <c r="G533" s="8" t="s">
        <v>41</v>
      </c>
      <c r="H533" s="7" t="s">
        <v>42</v>
      </c>
      <c r="I533" s="7"/>
      <c r="J533" s="8" t="s">
        <v>637</v>
      </c>
      <c r="K533" s="8" t="s">
        <v>1015</v>
      </c>
      <c r="L533" s="8" t="s">
        <v>2350</v>
      </c>
      <c r="M533" s="8" t="s">
        <v>906</v>
      </c>
      <c r="N533" s="7" t="s">
        <v>907</v>
      </c>
      <c r="O533" s="7" t="s">
        <v>908</v>
      </c>
      <c r="P533" s="7"/>
    </row>
    <row r="534" spans="1:16" ht="40" customHeight="1">
      <c r="A534" s="4" t="s">
        <v>578</v>
      </c>
      <c r="B534" s="4" t="s">
        <v>579</v>
      </c>
      <c r="C534" s="4" t="s">
        <v>2357</v>
      </c>
      <c r="D534" s="4" t="s">
        <v>901</v>
      </c>
      <c r="E534" s="4" t="s">
        <v>2358</v>
      </c>
      <c r="F534" s="4" t="s">
        <v>2359</v>
      </c>
      <c r="G534" s="4" t="s">
        <v>41</v>
      </c>
      <c r="H534" s="7" t="s">
        <v>42</v>
      </c>
      <c r="I534" s="7"/>
      <c r="J534" s="4" t="s">
        <v>637</v>
      </c>
      <c r="K534" s="4" t="s">
        <v>1019</v>
      </c>
      <c r="L534" s="4" t="s">
        <v>2350</v>
      </c>
      <c r="M534" s="4" t="s">
        <v>906</v>
      </c>
      <c r="N534" s="7" t="s">
        <v>907</v>
      </c>
      <c r="O534" s="7" t="s">
        <v>908</v>
      </c>
      <c r="P534" s="7"/>
    </row>
    <row r="535" spans="1:16" ht="40" customHeight="1">
      <c r="A535" s="8" t="s">
        <v>578</v>
      </c>
      <c r="B535" s="8" t="s">
        <v>579</v>
      </c>
      <c r="C535" s="8" t="s">
        <v>2360</v>
      </c>
      <c r="D535" s="8" t="s">
        <v>901</v>
      </c>
      <c r="E535" s="8" t="s">
        <v>2361</v>
      </c>
      <c r="F535" s="8" t="s">
        <v>2362</v>
      </c>
      <c r="G535" s="8" t="s">
        <v>41</v>
      </c>
      <c r="H535" s="7" t="s">
        <v>42</v>
      </c>
      <c r="I535" s="7"/>
      <c r="J535" s="8" t="s">
        <v>637</v>
      </c>
      <c r="K535" s="8" t="s">
        <v>1147</v>
      </c>
      <c r="L535" s="8" t="s">
        <v>2350</v>
      </c>
      <c r="M535" s="8" t="s">
        <v>906</v>
      </c>
      <c r="N535" s="7" t="s">
        <v>907</v>
      </c>
      <c r="O535" s="7" t="s">
        <v>908</v>
      </c>
      <c r="P535" s="7"/>
    </row>
    <row r="536" spans="1:16" ht="40" customHeight="1">
      <c r="A536" s="4" t="s">
        <v>578</v>
      </c>
      <c r="B536" s="4" t="s">
        <v>579</v>
      </c>
      <c r="C536" s="4" t="s">
        <v>2363</v>
      </c>
      <c r="D536" s="4" t="s">
        <v>914</v>
      </c>
      <c r="E536" s="4" t="s">
        <v>915</v>
      </c>
      <c r="F536" s="4" t="s">
        <v>583</v>
      </c>
      <c r="G536" s="4" t="s">
        <v>916</v>
      </c>
      <c r="H536" s="7" t="s">
        <v>42</v>
      </c>
      <c r="I536" s="7"/>
      <c r="J536" s="4" t="s">
        <v>914</v>
      </c>
      <c r="K536" s="4" t="s">
        <v>41</v>
      </c>
      <c r="L536" s="4" t="s">
        <v>2350</v>
      </c>
      <c r="M536" s="4" t="s">
        <v>51</v>
      </c>
      <c r="N536" s="7" t="s">
        <v>907</v>
      </c>
      <c r="O536" s="7"/>
      <c r="P536" s="7"/>
    </row>
    <row r="537" spans="1:16" ht="40" customHeight="1">
      <c r="A537" s="8" t="s">
        <v>586</v>
      </c>
      <c r="B537" s="8" t="s">
        <v>587</v>
      </c>
      <c r="C537" s="8" t="s">
        <v>2364</v>
      </c>
      <c r="D537" s="8" t="s">
        <v>901</v>
      </c>
      <c r="E537" s="8" t="s">
        <v>2365</v>
      </c>
      <c r="F537" s="8" t="s">
        <v>2366</v>
      </c>
      <c r="G537" s="8" t="s">
        <v>41</v>
      </c>
      <c r="H537" s="7" t="s">
        <v>42</v>
      </c>
      <c r="I537" s="7"/>
      <c r="J537" s="8" t="s">
        <v>637</v>
      </c>
      <c r="K537" s="8" t="s">
        <v>904</v>
      </c>
      <c r="L537" s="8" t="s">
        <v>2367</v>
      </c>
      <c r="M537" s="8" t="s">
        <v>906</v>
      </c>
      <c r="N537" s="7" t="s">
        <v>907</v>
      </c>
      <c r="O537" s="7" t="s">
        <v>908</v>
      </c>
      <c r="P537" s="7"/>
    </row>
    <row r="538" spans="1:16" ht="40" customHeight="1">
      <c r="A538" s="4" t="s">
        <v>586</v>
      </c>
      <c r="B538" s="4" t="s">
        <v>587</v>
      </c>
      <c r="C538" s="4" t="s">
        <v>2368</v>
      </c>
      <c r="D538" s="4" t="s">
        <v>901</v>
      </c>
      <c r="E538" s="4" t="s">
        <v>2369</v>
      </c>
      <c r="F538" s="4" t="s">
        <v>2370</v>
      </c>
      <c r="G538" s="4" t="s">
        <v>41</v>
      </c>
      <c r="H538" s="7" t="s">
        <v>42</v>
      </c>
      <c r="I538" s="7"/>
      <c r="J538" s="4" t="s">
        <v>637</v>
      </c>
      <c r="K538" s="4" t="s">
        <v>912</v>
      </c>
      <c r="L538" s="4" t="s">
        <v>2367</v>
      </c>
      <c r="M538" s="4" t="s">
        <v>906</v>
      </c>
      <c r="N538" s="7" t="s">
        <v>907</v>
      </c>
      <c r="O538" s="7" t="s">
        <v>908</v>
      </c>
      <c r="P538" s="7"/>
    </row>
    <row r="539" spans="1:16" ht="68" customHeight="1">
      <c r="A539" s="8" t="s">
        <v>586</v>
      </c>
      <c r="B539" s="8" t="s">
        <v>587</v>
      </c>
      <c r="C539" s="8" t="s">
        <v>2371</v>
      </c>
      <c r="D539" s="8" t="s">
        <v>901</v>
      </c>
      <c r="E539" s="8" t="s">
        <v>2372</v>
      </c>
      <c r="F539" s="8" t="s">
        <v>2373</v>
      </c>
      <c r="G539" s="8" t="s">
        <v>41</v>
      </c>
      <c r="H539" s="7" t="s">
        <v>42</v>
      </c>
      <c r="I539" s="7"/>
      <c r="J539" s="8" t="s">
        <v>637</v>
      </c>
      <c r="K539" s="8" t="s">
        <v>1015</v>
      </c>
      <c r="L539" s="8" t="s">
        <v>2367</v>
      </c>
      <c r="M539" s="8" t="s">
        <v>906</v>
      </c>
      <c r="N539" s="7" t="s">
        <v>907</v>
      </c>
      <c r="O539" s="7" t="s">
        <v>908</v>
      </c>
      <c r="P539" s="7"/>
    </row>
    <row r="540" spans="1:16" ht="40" customHeight="1">
      <c r="A540" s="4" t="s">
        <v>586</v>
      </c>
      <c r="B540" s="4" t="s">
        <v>587</v>
      </c>
      <c r="C540" s="4" t="s">
        <v>2374</v>
      </c>
      <c r="D540" s="4" t="s">
        <v>914</v>
      </c>
      <c r="E540" s="4" t="s">
        <v>915</v>
      </c>
      <c r="F540" s="4" t="s">
        <v>591</v>
      </c>
      <c r="G540" s="4" t="s">
        <v>916</v>
      </c>
      <c r="H540" s="7" t="s">
        <v>42</v>
      </c>
      <c r="I540" s="7"/>
      <c r="J540" s="4" t="s">
        <v>914</v>
      </c>
      <c r="K540" s="4" t="s">
        <v>41</v>
      </c>
      <c r="L540" s="4" t="s">
        <v>2367</v>
      </c>
      <c r="M540" s="4" t="s">
        <v>51</v>
      </c>
      <c r="N540" s="7" t="s">
        <v>907</v>
      </c>
      <c r="O540" s="7"/>
      <c r="P540" s="7"/>
    </row>
    <row r="541" spans="1:16" ht="40" customHeight="1">
      <c r="A541" s="8" t="s">
        <v>594</v>
      </c>
      <c r="B541" s="8" t="s">
        <v>595</v>
      </c>
      <c r="C541" s="8" t="s">
        <v>2375</v>
      </c>
      <c r="D541" s="8" t="s">
        <v>901</v>
      </c>
      <c r="E541" s="8" t="s">
        <v>2136</v>
      </c>
      <c r="F541" s="8" t="s">
        <v>2376</v>
      </c>
      <c r="G541" s="8" t="s">
        <v>41</v>
      </c>
      <c r="H541" s="7" t="s">
        <v>42</v>
      </c>
      <c r="I541" s="7"/>
      <c r="J541" s="8" t="s">
        <v>637</v>
      </c>
      <c r="K541" s="8" t="s">
        <v>904</v>
      </c>
      <c r="L541" s="8" t="s">
        <v>2377</v>
      </c>
      <c r="M541" s="8" t="s">
        <v>906</v>
      </c>
      <c r="N541" s="7" t="s">
        <v>907</v>
      </c>
      <c r="O541" s="7" t="s">
        <v>908</v>
      </c>
      <c r="P541" s="7"/>
    </row>
    <row r="542" spans="1:16" ht="40" customHeight="1">
      <c r="A542" s="4" t="s">
        <v>594</v>
      </c>
      <c r="B542" s="4" t="s">
        <v>595</v>
      </c>
      <c r="C542" s="4" t="s">
        <v>2378</v>
      </c>
      <c r="D542" s="4" t="s">
        <v>901</v>
      </c>
      <c r="E542" s="4" t="s">
        <v>2379</v>
      </c>
      <c r="F542" s="4" t="s">
        <v>2380</v>
      </c>
      <c r="G542" s="4" t="s">
        <v>41</v>
      </c>
      <c r="H542" s="7" t="s">
        <v>42</v>
      </c>
      <c r="I542" s="7"/>
      <c r="J542" s="4" t="s">
        <v>637</v>
      </c>
      <c r="K542" s="4" t="s">
        <v>912</v>
      </c>
      <c r="L542" s="4" t="s">
        <v>2377</v>
      </c>
      <c r="M542" s="4" t="s">
        <v>906</v>
      </c>
      <c r="N542" s="7" t="s">
        <v>907</v>
      </c>
      <c r="O542" s="7" t="s">
        <v>908</v>
      </c>
      <c r="P542" s="7"/>
    </row>
    <row r="543" spans="1:16" ht="40" customHeight="1">
      <c r="A543" s="8" t="s">
        <v>594</v>
      </c>
      <c r="B543" s="8" t="s">
        <v>595</v>
      </c>
      <c r="C543" s="8" t="s">
        <v>2381</v>
      </c>
      <c r="D543" s="8" t="s">
        <v>901</v>
      </c>
      <c r="E543" s="8" t="s">
        <v>2382</v>
      </c>
      <c r="F543" s="8" t="s">
        <v>2383</v>
      </c>
      <c r="G543" s="8" t="s">
        <v>41</v>
      </c>
      <c r="H543" s="7" t="s">
        <v>42</v>
      </c>
      <c r="I543" s="7"/>
      <c r="J543" s="8" t="s">
        <v>637</v>
      </c>
      <c r="K543" s="8" t="s">
        <v>1015</v>
      </c>
      <c r="L543" s="8" t="s">
        <v>2377</v>
      </c>
      <c r="M543" s="8" t="s">
        <v>906</v>
      </c>
      <c r="N543" s="7" t="s">
        <v>907</v>
      </c>
      <c r="O543" s="7" t="s">
        <v>908</v>
      </c>
      <c r="P543" s="7"/>
    </row>
    <row r="544" spans="1:16" ht="40" customHeight="1">
      <c r="A544" s="4" t="s">
        <v>594</v>
      </c>
      <c r="B544" s="4" t="s">
        <v>595</v>
      </c>
      <c r="C544" s="4" t="s">
        <v>2384</v>
      </c>
      <c r="D544" s="4" t="s">
        <v>901</v>
      </c>
      <c r="E544" s="4" t="s">
        <v>2385</v>
      </c>
      <c r="F544" s="4" t="s">
        <v>2386</v>
      </c>
      <c r="G544" s="4" t="s">
        <v>41</v>
      </c>
      <c r="H544" s="7" t="s">
        <v>42</v>
      </c>
      <c r="I544" s="7"/>
      <c r="J544" s="4" t="s">
        <v>637</v>
      </c>
      <c r="K544" s="4" t="s">
        <v>1019</v>
      </c>
      <c r="L544" s="4" t="s">
        <v>2377</v>
      </c>
      <c r="M544" s="4" t="s">
        <v>906</v>
      </c>
      <c r="N544" s="7" t="s">
        <v>907</v>
      </c>
      <c r="O544" s="7" t="s">
        <v>908</v>
      </c>
      <c r="P544" s="7"/>
    </row>
    <row r="545" spans="1:16" ht="40" customHeight="1">
      <c r="A545" s="8" t="s">
        <v>594</v>
      </c>
      <c r="B545" s="8" t="s">
        <v>595</v>
      </c>
      <c r="C545" s="8" t="s">
        <v>2387</v>
      </c>
      <c r="D545" s="8" t="s">
        <v>901</v>
      </c>
      <c r="E545" s="8" t="s">
        <v>2388</v>
      </c>
      <c r="F545" s="8" t="s">
        <v>2389</v>
      </c>
      <c r="G545" s="8" t="s">
        <v>41</v>
      </c>
      <c r="H545" s="7" t="s">
        <v>42</v>
      </c>
      <c r="I545" s="7"/>
      <c r="J545" s="8" t="s">
        <v>637</v>
      </c>
      <c r="K545" s="8" t="s">
        <v>1147</v>
      </c>
      <c r="L545" s="8" t="s">
        <v>2377</v>
      </c>
      <c r="M545" s="8" t="s">
        <v>906</v>
      </c>
      <c r="N545" s="7" t="s">
        <v>907</v>
      </c>
      <c r="O545" s="7" t="s">
        <v>908</v>
      </c>
      <c r="P545" s="7"/>
    </row>
    <row r="546" spans="1:16" ht="40" customHeight="1">
      <c r="A546" s="4" t="s">
        <v>594</v>
      </c>
      <c r="B546" s="4" t="s">
        <v>595</v>
      </c>
      <c r="C546" s="4" t="s">
        <v>2390</v>
      </c>
      <c r="D546" s="4" t="s">
        <v>901</v>
      </c>
      <c r="E546" s="4" t="s">
        <v>2391</v>
      </c>
      <c r="F546" s="4" t="s">
        <v>2392</v>
      </c>
      <c r="G546" s="4" t="s">
        <v>41</v>
      </c>
      <c r="H546" s="7" t="s">
        <v>42</v>
      </c>
      <c r="I546" s="7"/>
      <c r="J546" s="4" t="s">
        <v>637</v>
      </c>
      <c r="K546" s="4" t="s">
        <v>1254</v>
      </c>
      <c r="L546" s="4" t="s">
        <v>2377</v>
      </c>
      <c r="M546" s="4" t="s">
        <v>906</v>
      </c>
      <c r="N546" s="7" t="s">
        <v>907</v>
      </c>
      <c r="O546" s="7" t="s">
        <v>908</v>
      </c>
      <c r="P546" s="7"/>
    </row>
    <row r="547" spans="1:16" ht="40" customHeight="1">
      <c r="A547" s="8" t="s">
        <v>594</v>
      </c>
      <c r="B547" s="8" t="s">
        <v>595</v>
      </c>
      <c r="C547" s="8" t="s">
        <v>2393</v>
      </c>
      <c r="D547" s="8" t="s">
        <v>901</v>
      </c>
      <c r="E547" s="8" t="s">
        <v>2394</v>
      </c>
      <c r="F547" s="8" t="s">
        <v>2395</v>
      </c>
      <c r="G547" s="8" t="s">
        <v>41</v>
      </c>
      <c r="H547" s="7" t="s">
        <v>42</v>
      </c>
      <c r="I547" s="7"/>
      <c r="J547" s="8" t="s">
        <v>637</v>
      </c>
      <c r="K547" s="8" t="s">
        <v>1258</v>
      </c>
      <c r="L547" s="8" t="s">
        <v>2377</v>
      </c>
      <c r="M547" s="8" t="s">
        <v>906</v>
      </c>
      <c r="N547" s="7" t="s">
        <v>907</v>
      </c>
      <c r="O547" s="7" t="s">
        <v>908</v>
      </c>
      <c r="P547" s="7"/>
    </row>
    <row r="548" spans="1:16" ht="40" customHeight="1">
      <c r="A548" s="4" t="s">
        <v>594</v>
      </c>
      <c r="B548" s="4" t="s">
        <v>595</v>
      </c>
      <c r="C548" s="4" t="s">
        <v>2396</v>
      </c>
      <c r="D548" s="4" t="s">
        <v>901</v>
      </c>
      <c r="E548" s="4" t="s">
        <v>2397</v>
      </c>
      <c r="F548" s="4" t="s">
        <v>2398</v>
      </c>
      <c r="G548" s="4" t="s">
        <v>41</v>
      </c>
      <c r="H548" s="7" t="s">
        <v>42</v>
      </c>
      <c r="I548" s="7"/>
      <c r="J548" s="4" t="s">
        <v>637</v>
      </c>
      <c r="K548" s="4" t="s">
        <v>2399</v>
      </c>
      <c r="L548" s="4" t="s">
        <v>2377</v>
      </c>
      <c r="M548" s="4" t="s">
        <v>906</v>
      </c>
      <c r="N548" s="7" t="s">
        <v>907</v>
      </c>
      <c r="O548" s="7" t="s">
        <v>908</v>
      </c>
      <c r="P548" s="7"/>
    </row>
    <row r="549" spans="1:16" ht="40" customHeight="1">
      <c r="A549" s="8" t="s">
        <v>594</v>
      </c>
      <c r="B549" s="8" t="s">
        <v>595</v>
      </c>
      <c r="C549" s="8" t="s">
        <v>2400</v>
      </c>
      <c r="D549" s="8" t="s">
        <v>901</v>
      </c>
      <c r="E549" s="8" t="s">
        <v>2401</v>
      </c>
      <c r="F549" s="8" t="s">
        <v>2402</v>
      </c>
      <c r="G549" s="8" t="s">
        <v>41</v>
      </c>
      <c r="H549" s="7" t="s">
        <v>42</v>
      </c>
      <c r="I549" s="7"/>
      <c r="J549" s="8" t="s">
        <v>637</v>
      </c>
      <c r="K549" s="8" t="s">
        <v>2403</v>
      </c>
      <c r="L549" s="8" t="s">
        <v>2377</v>
      </c>
      <c r="M549" s="8" t="s">
        <v>906</v>
      </c>
      <c r="N549" s="7" t="s">
        <v>907</v>
      </c>
      <c r="O549" s="7" t="s">
        <v>908</v>
      </c>
      <c r="P549" s="7"/>
    </row>
    <row r="550" spans="1:16" ht="40" customHeight="1">
      <c r="A550" s="4" t="s">
        <v>594</v>
      </c>
      <c r="B550" s="4" t="s">
        <v>595</v>
      </c>
      <c r="C550" s="4" t="s">
        <v>2404</v>
      </c>
      <c r="D550" s="4" t="s">
        <v>901</v>
      </c>
      <c r="E550" s="4" t="s">
        <v>2405</v>
      </c>
      <c r="F550" s="4" t="s">
        <v>2406</v>
      </c>
      <c r="G550" s="4" t="s">
        <v>41</v>
      </c>
      <c r="H550" s="7" t="s">
        <v>42</v>
      </c>
      <c r="I550" s="7"/>
      <c r="J550" s="4" t="s">
        <v>637</v>
      </c>
      <c r="K550" s="4" t="s">
        <v>2407</v>
      </c>
      <c r="L550" s="4" t="s">
        <v>2377</v>
      </c>
      <c r="M550" s="4" t="s">
        <v>906</v>
      </c>
      <c r="N550" s="7" t="s">
        <v>907</v>
      </c>
      <c r="O550" s="7" t="s">
        <v>908</v>
      </c>
      <c r="P550" s="7"/>
    </row>
    <row r="551" spans="1:16" ht="40" customHeight="1">
      <c r="A551" s="8" t="s">
        <v>594</v>
      </c>
      <c r="B551" s="8" t="s">
        <v>595</v>
      </c>
      <c r="C551" s="8" t="s">
        <v>2408</v>
      </c>
      <c r="D551" s="8" t="s">
        <v>901</v>
      </c>
      <c r="E551" s="8" t="s">
        <v>2409</v>
      </c>
      <c r="F551" s="8" t="s">
        <v>2410</v>
      </c>
      <c r="G551" s="8" t="s">
        <v>41</v>
      </c>
      <c r="H551" s="7" t="s">
        <v>42</v>
      </c>
      <c r="I551" s="7"/>
      <c r="J551" s="8" t="s">
        <v>637</v>
      </c>
      <c r="K551" s="8" t="s">
        <v>2411</v>
      </c>
      <c r="L551" s="8" t="s">
        <v>2377</v>
      </c>
      <c r="M551" s="8" t="s">
        <v>906</v>
      </c>
      <c r="N551" s="7" t="s">
        <v>907</v>
      </c>
      <c r="O551" s="7" t="s">
        <v>908</v>
      </c>
      <c r="P551" s="7"/>
    </row>
    <row r="552" spans="1:16" ht="40" customHeight="1">
      <c r="A552" s="4" t="s">
        <v>594</v>
      </c>
      <c r="B552" s="4" t="s">
        <v>595</v>
      </c>
      <c r="C552" s="4" t="s">
        <v>2412</v>
      </c>
      <c r="D552" s="4" t="s">
        <v>901</v>
      </c>
      <c r="E552" s="4" t="s">
        <v>2413</v>
      </c>
      <c r="F552" s="4" t="s">
        <v>2414</v>
      </c>
      <c r="G552" s="4" t="s">
        <v>41</v>
      </c>
      <c r="H552" s="7" t="s">
        <v>42</v>
      </c>
      <c r="I552" s="7"/>
      <c r="J552" s="4" t="s">
        <v>637</v>
      </c>
      <c r="K552" s="4" t="s">
        <v>2415</v>
      </c>
      <c r="L552" s="4" t="s">
        <v>2377</v>
      </c>
      <c r="M552" s="4" t="s">
        <v>906</v>
      </c>
      <c r="N552" s="7" t="s">
        <v>907</v>
      </c>
      <c r="O552" s="7" t="s">
        <v>908</v>
      </c>
      <c r="P552" s="7"/>
    </row>
    <row r="553" spans="1:16" ht="40" customHeight="1">
      <c r="A553" s="8" t="s">
        <v>594</v>
      </c>
      <c r="B553" s="8" t="s">
        <v>595</v>
      </c>
      <c r="C553" s="8" t="s">
        <v>2416</v>
      </c>
      <c r="D553" s="8" t="s">
        <v>949</v>
      </c>
      <c r="E553" s="8" t="s">
        <v>2417</v>
      </c>
      <c r="F553" s="8" t="s">
        <v>2418</v>
      </c>
      <c r="G553" s="8" t="s">
        <v>41</v>
      </c>
      <c r="H553" s="7" t="s">
        <v>42</v>
      </c>
      <c r="I553" s="7"/>
      <c r="J553" s="8" t="s">
        <v>914</v>
      </c>
      <c r="K553" s="8" t="s">
        <v>952</v>
      </c>
      <c r="L553" s="8" t="s">
        <v>2377</v>
      </c>
      <c r="M553" s="8" t="s">
        <v>906</v>
      </c>
      <c r="N553" s="7" t="s">
        <v>907</v>
      </c>
      <c r="O553" s="7" t="s">
        <v>908</v>
      </c>
      <c r="P553" s="7"/>
    </row>
    <row r="554" spans="1:16" ht="40" customHeight="1">
      <c r="A554" s="4" t="s">
        <v>594</v>
      </c>
      <c r="B554" s="4" t="s">
        <v>595</v>
      </c>
      <c r="C554" s="4" t="s">
        <v>2419</v>
      </c>
      <c r="D554" s="4" t="s">
        <v>949</v>
      </c>
      <c r="E554" s="4" t="s">
        <v>2420</v>
      </c>
      <c r="F554" s="4" t="s">
        <v>2421</v>
      </c>
      <c r="G554" s="4" t="s">
        <v>41</v>
      </c>
      <c r="H554" s="7" t="s">
        <v>42</v>
      </c>
      <c r="I554" s="7"/>
      <c r="J554" s="4" t="s">
        <v>914</v>
      </c>
      <c r="K554" s="4" t="s">
        <v>956</v>
      </c>
      <c r="L554" s="4" t="s">
        <v>2377</v>
      </c>
      <c r="M554" s="4" t="s">
        <v>906</v>
      </c>
      <c r="N554" s="7" t="s">
        <v>907</v>
      </c>
      <c r="O554" s="7" t="s">
        <v>908</v>
      </c>
      <c r="P554" s="7"/>
    </row>
    <row r="555" spans="1:16" ht="54" customHeight="1">
      <c r="A555" s="8" t="s">
        <v>594</v>
      </c>
      <c r="B555" s="8" t="s">
        <v>595</v>
      </c>
      <c r="C555" s="8" t="s">
        <v>2422</v>
      </c>
      <c r="D555" s="8" t="s">
        <v>949</v>
      </c>
      <c r="E555" s="8" t="s">
        <v>2423</v>
      </c>
      <c r="F555" s="8" t="s">
        <v>2424</v>
      </c>
      <c r="G555" s="8" t="s">
        <v>41</v>
      </c>
      <c r="H555" s="7" t="s">
        <v>42</v>
      </c>
      <c r="I555" s="7"/>
      <c r="J555" s="8" t="s">
        <v>914</v>
      </c>
      <c r="K555" s="8" t="s">
        <v>960</v>
      </c>
      <c r="L555" s="8" t="s">
        <v>2377</v>
      </c>
      <c r="M555" s="8" t="s">
        <v>906</v>
      </c>
      <c r="N555" s="7" t="s">
        <v>907</v>
      </c>
      <c r="O555" s="7" t="s">
        <v>908</v>
      </c>
      <c r="P555" s="7"/>
    </row>
    <row r="556" spans="1:16" ht="40" customHeight="1">
      <c r="A556" s="4" t="s">
        <v>594</v>
      </c>
      <c r="B556" s="4" t="s">
        <v>595</v>
      </c>
      <c r="C556" s="4" t="s">
        <v>2425</v>
      </c>
      <c r="D556" s="4" t="s">
        <v>949</v>
      </c>
      <c r="E556" s="4" t="s">
        <v>2426</v>
      </c>
      <c r="F556" s="4" t="s">
        <v>2427</v>
      </c>
      <c r="G556" s="4" t="s">
        <v>41</v>
      </c>
      <c r="H556" s="7" t="s">
        <v>42</v>
      </c>
      <c r="I556" s="7"/>
      <c r="J556" s="4" t="s">
        <v>914</v>
      </c>
      <c r="K556" s="4" t="s">
        <v>1415</v>
      </c>
      <c r="L556" s="4" t="s">
        <v>2377</v>
      </c>
      <c r="M556" s="4" t="s">
        <v>906</v>
      </c>
      <c r="N556" s="7" t="s">
        <v>907</v>
      </c>
      <c r="O556" s="7" t="s">
        <v>908</v>
      </c>
      <c r="P556" s="7"/>
    </row>
    <row r="557" spans="1:16" ht="40" customHeight="1">
      <c r="A557" s="8" t="s">
        <v>594</v>
      </c>
      <c r="B557" s="8" t="s">
        <v>595</v>
      </c>
      <c r="C557" s="8" t="s">
        <v>2428</v>
      </c>
      <c r="D557" s="8" t="s">
        <v>949</v>
      </c>
      <c r="E557" s="8" t="s">
        <v>2429</v>
      </c>
      <c r="F557" s="8" t="s">
        <v>2430</v>
      </c>
      <c r="G557" s="8" t="s">
        <v>41</v>
      </c>
      <c r="H557" s="7" t="s">
        <v>42</v>
      </c>
      <c r="I557" s="7"/>
      <c r="J557" s="8" t="s">
        <v>914</v>
      </c>
      <c r="K557" s="8" t="s">
        <v>1419</v>
      </c>
      <c r="L557" s="8" t="s">
        <v>2377</v>
      </c>
      <c r="M557" s="8" t="s">
        <v>906</v>
      </c>
      <c r="N557" s="7" t="s">
        <v>907</v>
      </c>
      <c r="O557" s="7" t="s">
        <v>908</v>
      </c>
      <c r="P557" s="7"/>
    </row>
    <row r="558" spans="1:16" ht="40" customHeight="1">
      <c r="A558" s="4" t="s">
        <v>594</v>
      </c>
      <c r="B558" s="4" t="s">
        <v>595</v>
      </c>
      <c r="C558" s="4" t="s">
        <v>2431</v>
      </c>
      <c r="D558" s="4" t="s">
        <v>949</v>
      </c>
      <c r="E558" s="4" t="s">
        <v>2432</v>
      </c>
      <c r="F558" s="4" t="s">
        <v>2433</v>
      </c>
      <c r="G558" s="4" t="s">
        <v>41</v>
      </c>
      <c r="H558" s="7" t="s">
        <v>42</v>
      </c>
      <c r="I558" s="7"/>
      <c r="J558" s="4" t="s">
        <v>914</v>
      </c>
      <c r="K558" s="4" t="s">
        <v>2434</v>
      </c>
      <c r="L558" s="4" t="s">
        <v>2377</v>
      </c>
      <c r="M558" s="4" t="s">
        <v>906</v>
      </c>
      <c r="N558" s="7" t="s">
        <v>907</v>
      </c>
      <c r="O558" s="7" t="s">
        <v>908</v>
      </c>
      <c r="P558" s="7"/>
    </row>
    <row r="559" spans="1:16" ht="40" customHeight="1">
      <c r="A559" s="8" t="s">
        <v>594</v>
      </c>
      <c r="B559" s="8" t="s">
        <v>595</v>
      </c>
      <c r="C559" s="8" t="s">
        <v>2435</v>
      </c>
      <c r="D559" s="8" t="s">
        <v>949</v>
      </c>
      <c r="E559" s="8" t="s">
        <v>2436</v>
      </c>
      <c r="F559" s="8" t="s">
        <v>2437</v>
      </c>
      <c r="G559" s="8" t="s">
        <v>41</v>
      </c>
      <c r="H559" s="7" t="s">
        <v>42</v>
      </c>
      <c r="I559" s="7"/>
      <c r="J559" s="8" t="s">
        <v>914</v>
      </c>
      <c r="K559" s="8" t="s">
        <v>2438</v>
      </c>
      <c r="L559" s="8" t="s">
        <v>2377</v>
      </c>
      <c r="M559" s="8" t="s">
        <v>906</v>
      </c>
      <c r="N559" s="7" t="s">
        <v>907</v>
      </c>
      <c r="O559" s="7" t="s">
        <v>908</v>
      </c>
      <c r="P559" s="7"/>
    </row>
    <row r="560" spans="1:16" ht="40" customHeight="1">
      <c r="A560" s="4" t="s">
        <v>603</v>
      </c>
      <c r="B560" s="4" t="s">
        <v>604</v>
      </c>
      <c r="C560" s="4" t="s">
        <v>2439</v>
      </c>
      <c r="D560" s="4" t="s">
        <v>901</v>
      </c>
      <c r="E560" s="4" t="s">
        <v>2440</v>
      </c>
      <c r="F560" s="4" t="s">
        <v>2441</v>
      </c>
      <c r="G560" s="4" t="s">
        <v>41</v>
      </c>
      <c r="H560" s="7" t="s">
        <v>42</v>
      </c>
      <c r="I560" s="7"/>
      <c r="J560" s="4" t="s">
        <v>637</v>
      </c>
      <c r="K560" s="4" t="s">
        <v>920</v>
      </c>
      <c r="L560" s="4" t="s">
        <v>2442</v>
      </c>
      <c r="M560" s="4" t="s">
        <v>906</v>
      </c>
      <c r="N560" s="7" t="s">
        <v>907</v>
      </c>
      <c r="O560" s="7" t="s">
        <v>908</v>
      </c>
      <c r="P560" s="7"/>
    </row>
    <row r="561" spans="1:16" ht="40" customHeight="1">
      <c r="A561" s="8" t="s">
        <v>603</v>
      </c>
      <c r="B561" s="8" t="s">
        <v>604</v>
      </c>
      <c r="C561" s="8" t="s">
        <v>2443</v>
      </c>
      <c r="D561" s="8" t="s">
        <v>1002</v>
      </c>
      <c r="E561" s="8" t="s">
        <v>2444</v>
      </c>
      <c r="F561" s="8" t="s">
        <v>2445</v>
      </c>
      <c r="G561" s="8" t="s">
        <v>2444</v>
      </c>
      <c r="H561" s="7" t="s">
        <v>42</v>
      </c>
      <c r="I561" s="7"/>
      <c r="J561" s="8" t="s">
        <v>637</v>
      </c>
      <c r="K561" s="8" t="s">
        <v>1087</v>
      </c>
      <c r="L561" s="8" t="s">
        <v>2442</v>
      </c>
      <c r="M561" s="8" t="s">
        <v>906</v>
      </c>
      <c r="N561" s="7" t="s">
        <v>907</v>
      </c>
      <c r="O561" s="7" t="s">
        <v>908</v>
      </c>
      <c r="P561" s="7"/>
    </row>
    <row r="562" spans="1:16" ht="40" customHeight="1">
      <c r="A562" s="4" t="s">
        <v>603</v>
      </c>
      <c r="B562" s="4" t="s">
        <v>604</v>
      </c>
      <c r="C562" s="4" t="s">
        <v>2446</v>
      </c>
      <c r="D562" s="4" t="s">
        <v>901</v>
      </c>
      <c r="E562" s="4" t="s">
        <v>2447</v>
      </c>
      <c r="F562" s="4" t="s">
        <v>2448</v>
      </c>
      <c r="G562" s="4" t="s">
        <v>2444</v>
      </c>
      <c r="H562" s="7" t="s">
        <v>42</v>
      </c>
      <c r="I562" s="7"/>
      <c r="J562" s="4" t="s">
        <v>637</v>
      </c>
      <c r="K562" s="4" t="s">
        <v>1091</v>
      </c>
      <c r="L562" s="4" t="s">
        <v>2442</v>
      </c>
      <c r="M562" s="4" t="s">
        <v>906</v>
      </c>
      <c r="N562" s="7" t="s">
        <v>907</v>
      </c>
      <c r="O562" s="7" t="s">
        <v>908</v>
      </c>
      <c r="P562" s="7"/>
    </row>
    <row r="563" spans="1:16" ht="40" customHeight="1">
      <c r="A563" s="8" t="s">
        <v>603</v>
      </c>
      <c r="B563" s="8" t="s">
        <v>604</v>
      </c>
      <c r="C563" s="8" t="s">
        <v>2449</v>
      </c>
      <c r="D563" s="8" t="s">
        <v>901</v>
      </c>
      <c r="E563" s="8" t="s">
        <v>2450</v>
      </c>
      <c r="F563" s="8" t="s">
        <v>2451</v>
      </c>
      <c r="G563" s="8" t="s">
        <v>2444</v>
      </c>
      <c r="H563" s="7" t="s">
        <v>42</v>
      </c>
      <c r="I563" s="7"/>
      <c r="J563" s="8" t="s">
        <v>637</v>
      </c>
      <c r="K563" s="8" t="s">
        <v>1095</v>
      </c>
      <c r="L563" s="8" t="s">
        <v>2442</v>
      </c>
      <c r="M563" s="8" t="s">
        <v>906</v>
      </c>
      <c r="N563" s="7" t="s">
        <v>907</v>
      </c>
      <c r="O563" s="7" t="s">
        <v>908</v>
      </c>
      <c r="P563" s="7"/>
    </row>
    <row r="564" spans="1:16" ht="40" customHeight="1">
      <c r="A564" s="4" t="s">
        <v>603</v>
      </c>
      <c r="B564" s="4" t="s">
        <v>604</v>
      </c>
      <c r="C564" s="4" t="s">
        <v>2452</v>
      </c>
      <c r="D564" s="4" t="s">
        <v>1002</v>
      </c>
      <c r="E564" s="4" t="s">
        <v>2453</v>
      </c>
      <c r="F564" s="4" t="s">
        <v>2454</v>
      </c>
      <c r="G564" s="4" t="s">
        <v>2453</v>
      </c>
      <c r="H564" s="7" t="s">
        <v>42</v>
      </c>
      <c r="I564" s="7"/>
      <c r="J564" s="4" t="s">
        <v>637</v>
      </c>
      <c r="K564" s="4" t="s">
        <v>1099</v>
      </c>
      <c r="L564" s="4" t="s">
        <v>2442</v>
      </c>
      <c r="M564" s="4" t="s">
        <v>906</v>
      </c>
      <c r="N564" s="7" t="s">
        <v>907</v>
      </c>
      <c r="O564" s="7" t="s">
        <v>908</v>
      </c>
      <c r="P564" s="7"/>
    </row>
    <row r="565" spans="1:16" ht="40" customHeight="1">
      <c r="A565" s="8" t="s">
        <v>603</v>
      </c>
      <c r="B565" s="8" t="s">
        <v>604</v>
      </c>
      <c r="C565" s="8" t="s">
        <v>2455</v>
      </c>
      <c r="D565" s="8" t="s">
        <v>901</v>
      </c>
      <c r="E565" s="8" t="s">
        <v>2456</v>
      </c>
      <c r="F565" s="8" t="s">
        <v>2457</v>
      </c>
      <c r="G565" s="8" t="s">
        <v>2453</v>
      </c>
      <c r="H565" s="7" t="s">
        <v>42</v>
      </c>
      <c r="I565" s="7"/>
      <c r="J565" s="8" t="s">
        <v>637</v>
      </c>
      <c r="K565" s="8" t="s">
        <v>1103</v>
      </c>
      <c r="L565" s="8" t="s">
        <v>2442</v>
      </c>
      <c r="M565" s="8" t="s">
        <v>906</v>
      </c>
      <c r="N565" s="7" t="s">
        <v>907</v>
      </c>
      <c r="O565" s="7" t="s">
        <v>908</v>
      </c>
      <c r="P565" s="7"/>
    </row>
    <row r="566" spans="1:16" ht="40" customHeight="1">
      <c r="A566" s="4" t="s">
        <v>603</v>
      </c>
      <c r="B566" s="4" t="s">
        <v>604</v>
      </c>
      <c r="C566" s="4" t="s">
        <v>2458</v>
      </c>
      <c r="D566" s="4" t="s">
        <v>901</v>
      </c>
      <c r="E566" s="4" t="s">
        <v>2459</v>
      </c>
      <c r="F566" s="4" t="s">
        <v>2460</v>
      </c>
      <c r="G566" s="4" t="s">
        <v>2453</v>
      </c>
      <c r="H566" s="7" t="s">
        <v>42</v>
      </c>
      <c r="I566" s="7"/>
      <c r="J566" s="4" t="s">
        <v>637</v>
      </c>
      <c r="K566" s="4" t="s">
        <v>1107</v>
      </c>
      <c r="L566" s="4" t="s">
        <v>2442</v>
      </c>
      <c r="M566" s="4" t="s">
        <v>906</v>
      </c>
      <c r="N566" s="7" t="s">
        <v>907</v>
      </c>
      <c r="O566" s="7" t="s">
        <v>908</v>
      </c>
      <c r="P566" s="7"/>
    </row>
    <row r="567" spans="1:16" ht="40" customHeight="1">
      <c r="A567" s="8" t="s">
        <v>603</v>
      </c>
      <c r="B567" s="8" t="s">
        <v>604</v>
      </c>
      <c r="C567" s="8" t="s">
        <v>2461</v>
      </c>
      <c r="D567" s="8" t="s">
        <v>901</v>
      </c>
      <c r="E567" s="8" t="s">
        <v>2462</v>
      </c>
      <c r="F567" s="8" t="s">
        <v>2463</v>
      </c>
      <c r="G567" s="8" t="s">
        <v>2453</v>
      </c>
      <c r="H567" s="7" t="s">
        <v>42</v>
      </c>
      <c r="I567" s="7"/>
      <c r="J567" s="8" t="s">
        <v>637</v>
      </c>
      <c r="K567" s="8" t="s">
        <v>1111</v>
      </c>
      <c r="L567" s="8" t="s">
        <v>2442</v>
      </c>
      <c r="M567" s="8" t="s">
        <v>906</v>
      </c>
      <c r="N567" s="7" t="s">
        <v>907</v>
      </c>
      <c r="O567" s="7" t="s">
        <v>908</v>
      </c>
      <c r="P567" s="7"/>
    </row>
    <row r="568" spans="1:16" ht="40" customHeight="1">
      <c r="A568" s="4" t="s">
        <v>603</v>
      </c>
      <c r="B568" s="4" t="s">
        <v>604</v>
      </c>
      <c r="C568" s="4" t="s">
        <v>2464</v>
      </c>
      <c r="D568" s="4" t="s">
        <v>901</v>
      </c>
      <c r="E568" s="4" t="s">
        <v>2465</v>
      </c>
      <c r="F568" s="4" t="s">
        <v>2466</v>
      </c>
      <c r="G568" s="4" t="s">
        <v>2453</v>
      </c>
      <c r="H568" s="7" t="s">
        <v>42</v>
      </c>
      <c r="I568" s="7"/>
      <c r="J568" s="4" t="s">
        <v>637</v>
      </c>
      <c r="K568" s="4" t="s">
        <v>1115</v>
      </c>
      <c r="L568" s="4" t="s">
        <v>2442</v>
      </c>
      <c r="M568" s="4" t="s">
        <v>906</v>
      </c>
      <c r="N568" s="7" t="s">
        <v>907</v>
      </c>
      <c r="O568" s="7" t="s">
        <v>908</v>
      </c>
      <c r="P568" s="7"/>
    </row>
    <row r="569" spans="1:16" ht="40" customHeight="1">
      <c r="A569" s="8" t="s">
        <v>603</v>
      </c>
      <c r="B569" s="8" t="s">
        <v>604</v>
      </c>
      <c r="C569" s="8" t="s">
        <v>2467</v>
      </c>
      <c r="D569" s="8" t="s">
        <v>901</v>
      </c>
      <c r="E569" s="8" t="s">
        <v>2468</v>
      </c>
      <c r="F569" s="8" t="s">
        <v>2469</v>
      </c>
      <c r="G569" s="8" t="s">
        <v>2453</v>
      </c>
      <c r="H569" s="7" t="s">
        <v>42</v>
      </c>
      <c r="I569" s="7"/>
      <c r="J569" s="8" t="s">
        <v>637</v>
      </c>
      <c r="K569" s="8" t="s">
        <v>1119</v>
      </c>
      <c r="L569" s="8" t="s">
        <v>2442</v>
      </c>
      <c r="M569" s="8" t="s">
        <v>906</v>
      </c>
      <c r="N569" s="7" t="s">
        <v>907</v>
      </c>
      <c r="O569" s="7" t="s">
        <v>908</v>
      </c>
      <c r="P569" s="7"/>
    </row>
    <row r="570" spans="1:16" ht="54" customHeight="1">
      <c r="A570" s="4" t="s">
        <v>603</v>
      </c>
      <c r="B570" s="4" t="s">
        <v>604</v>
      </c>
      <c r="C570" s="4" t="s">
        <v>2470</v>
      </c>
      <c r="D570" s="4" t="s">
        <v>901</v>
      </c>
      <c r="E570" s="4" t="s">
        <v>2471</v>
      </c>
      <c r="F570" s="4" t="s">
        <v>2472</v>
      </c>
      <c r="G570" s="4" t="s">
        <v>2453</v>
      </c>
      <c r="H570" s="7" t="s">
        <v>42</v>
      </c>
      <c r="I570" s="7"/>
      <c r="J570" s="4" t="s">
        <v>637</v>
      </c>
      <c r="K570" s="4" t="s">
        <v>1123</v>
      </c>
      <c r="L570" s="4" t="s">
        <v>2442</v>
      </c>
      <c r="M570" s="4" t="s">
        <v>906</v>
      </c>
      <c r="N570" s="7" t="s">
        <v>907</v>
      </c>
      <c r="O570" s="7" t="s">
        <v>908</v>
      </c>
      <c r="P570" s="7"/>
    </row>
    <row r="571" spans="1:16" ht="40" customHeight="1">
      <c r="A571" s="8" t="s">
        <v>603</v>
      </c>
      <c r="B571" s="8" t="s">
        <v>604</v>
      </c>
      <c r="C571" s="8" t="s">
        <v>2473</v>
      </c>
      <c r="D571" s="8" t="s">
        <v>1002</v>
      </c>
      <c r="E571" s="8" t="s">
        <v>2474</v>
      </c>
      <c r="F571" s="8" t="s">
        <v>2475</v>
      </c>
      <c r="G571" s="8" t="s">
        <v>2474</v>
      </c>
      <c r="H571" s="7" t="s">
        <v>42</v>
      </c>
      <c r="I571" s="7"/>
      <c r="J571" s="8" t="s">
        <v>637</v>
      </c>
      <c r="K571" s="8" t="s">
        <v>1127</v>
      </c>
      <c r="L571" s="8" t="s">
        <v>2442</v>
      </c>
      <c r="M571" s="8" t="s">
        <v>906</v>
      </c>
      <c r="N571" s="7" t="s">
        <v>907</v>
      </c>
      <c r="O571" s="7" t="s">
        <v>908</v>
      </c>
      <c r="P571" s="7"/>
    </row>
    <row r="572" spans="1:16" ht="40" customHeight="1">
      <c r="A572" s="4" t="s">
        <v>603</v>
      </c>
      <c r="B572" s="4" t="s">
        <v>604</v>
      </c>
      <c r="C572" s="4" t="s">
        <v>2476</v>
      </c>
      <c r="D572" s="4" t="s">
        <v>901</v>
      </c>
      <c r="E572" s="4" t="s">
        <v>2477</v>
      </c>
      <c r="F572" s="4" t="s">
        <v>2478</v>
      </c>
      <c r="G572" s="4" t="s">
        <v>2474</v>
      </c>
      <c r="H572" s="7" t="s">
        <v>42</v>
      </c>
      <c r="I572" s="7"/>
      <c r="J572" s="4" t="s">
        <v>637</v>
      </c>
      <c r="K572" s="4" t="s">
        <v>2479</v>
      </c>
      <c r="L572" s="4" t="s">
        <v>2442</v>
      </c>
      <c r="M572" s="4" t="s">
        <v>906</v>
      </c>
      <c r="N572" s="7" t="s">
        <v>907</v>
      </c>
      <c r="O572" s="7" t="s">
        <v>908</v>
      </c>
      <c r="P572" s="7"/>
    </row>
    <row r="573" spans="1:16" ht="40" customHeight="1">
      <c r="A573" s="8" t="s">
        <v>603</v>
      </c>
      <c r="B573" s="8" t="s">
        <v>604</v>
      </c>
      <c r="C573" s="8" t="s">
        <v>2480</v>
      </c>
      <c r="D573" s="8" t="s">
        <v>1002</v>
      </c>
      <c r="E573" s="8" t="s">
        <v>2481</v>
      </c>
      <c r="F573" s="8" t="s">
        <v>2482</v>
      </c>
      <c r="G573" s="8" t="s">
        <v>2481</v>
      </c>
      <c r="H573" s="7" t="s">
        <v>42</v>
      </c>
      <c r="I573" s="7"/>
      <c r="J573" s="8" t="s">
        <v>637</v>
      </c>
      <c r="K573" s="8" t="s">
        <v>1679</v>
      </c>
      <c r="L573" s="8" t="s">
        <v>2442</v>
      </c>
      <c r="M573" s="8" t="s">
        <v>906</v>
      </c>
      <c r="N573" s="7" t="s">
        <v>907</v>
      </c>
      <c r="O573" s="7" t="s">
        <v>908</v>
      </c>
      <c r="P573" s="7"/>
    </row>
    <row r="574" spans="1:16" ht="40" customHeight="1">
      <c r="A574" s="4" t="s">
        <v>603</v>
      </c>
      <c r="B574" s="4" t="s">
        <v>604</v>
      </c>
      <c r="C574" s="4" t="s">
        <v>2483</v>
      </c>
      <c r="D574" s="4" t="s">
        <v>901</v>
      </c>
      <c r="E574" s="4" t="s">
        <v>2484</v>
      </c>
      <c r="F574" s="4" t="s">
        <v>2485</v>
      </c>
      <c r="G574" s="4" t="s">
        <v>2481</v>
      </c>
      <c r="H574" s="7" t="s">
        <v>42</v>
      </c>
      <c r="I574" s="7"/>
      <c r="J574" s="4" t="s">
        <v>637</v>
      </c>
      <c r="K574" s="4" t="s">
        <v>1683</v>
      </c>
      <c r="L574" s="4" t="s">
        <v>2442</v>
      </c>
      <c r="M574" s="4" t="s">
        <v>906</v>
      </c>
      <c r="N574" s="7" t="s">
        <v>907</v>
      </c>
      <c r="O574" s="7" t="s">
        <v>908</v>
      </c>
      <c r="P574" s="7"/>
    </row>
    <row r="575" spans="1:16" ht="40" customHeight="1">
      <c r="A575" s="8" t="s">
        <v>603</v>
      </c>
      <c r="B575" s="8" t="s">
        <v>604</v>
      </c>
      <c r="C575" s="8" t="s">
        <v>2486</v>
      </c>
      <c r="D575" s="8" t="s">
        <v>901</v>
      </c>
      <c r="E575" s="8" t="s">
        <v>2487</v>
      </c>
      <c r="F575" s="8" t="s">
        <v>2488</v>
      </c>
      <c r="G575" s="8" t="s">
        <v>2481</v>
      </c>
      <c r="H575" s="7" t="s">
        <v>42</v>
      </c>
      <c r="I575" s="7"/>
      <c r="J575" s="8" t="s">
        <v>637</v>
      </c>
      <c r="K575" s="8" t="s">
        <v>2489</v>
      </c>
      <c r="L575" s="8" t="s">
        <v>2442</v>
      </c>
      <c r="M575" s="8" t="s">
        <v>906</v>
      </c>
      <c r="N575" s="7" t="s">
        <v>907</v>
      </c>
      <c r="O575" s="7" t="s">
        <v>908</v>
      </c>
      <c r="P575" s="7"/>
    </row>
    <row r="576" spans="1:16" ht="40" customHeight="1">
      <c r="A576" s="4" t="s">
        <v>603</v>
      </c>
      <c r="B576" s="4" t="s">
        <v>604</v>
      </c>
      <c r="C576" s="4" t="s">
        <v>2490</v>
      </c>
      <c r="D576" s="4" t="s">
        <v>901</v>
      </c>
      <c r="E576" s="4" t="s">
        <v>2491</v>
      </c>
      <c r="F576" s="4" t="s">
        <v>2492</v>
      </c>
      <c r="G576" s="4" t="s">
        <v>2481</v>
      </c>
      <c r="H576" s="7" t="s">
        <v>42</v>
      </c>
      <c r="I576" s="7"/>
      <c r="J576" s="4" t="s">
        <v>637</v>
      </c>
      <c r="K576" s="4" t="s">
        <v>1691</v>
      </c>
      <c r="L576" s="4" t="s">
        <v>2442</v>
      </c>
      <c r="M576" s="4" t="s">
        <v>906</v>
      </c>
      <c r="N576" s="7" t="s">
        <v>907</v>
      </c>
      <c r="O576" s="7" t="s">
        <v>908</v>
      </c>
      <c r="P576" s="7"/>
    </row>
    <row r="577" spans="1:16" ht="40" customHeight="1">
      <c r="A577" s="8" t="s">
        <v>603</v>
      </c>
      <c r="B577" s="8" t="s">
        <v>604</v>
      </c>
      <c r="C577" s="8" t="s">
        <v>2493</v>
      </c>
      <c r="D577" s="8" t="s">
        <v>901</v>
      </c>
      <c r="E577" s="8" t="s">
        <v>2494</v>
      </c>
      <c r="F577" s="8" t="s">
        <v>2495</v>
      </c>
      <c r="G577" s="8" t="s">
        <v>2481</v>
      </c>
      <c r="H577" s="7" t="s">
        <v>42</v>
      </c>
      <c r="I577" s="7"/>
      <c r="J577" s="8" t="s">
        <v>637</v>
      </c>
      <c r="K577" s="8" t="s">
        <v>2496</v>
      </c>
      <c r="L577" s="8" t="s">
        <v>2442</v>
      </c>
      <c r="M577" s="8" t="s">
        <v>906</v>
      </c>
      <c r="N577" s="7" t="s">
        <v>907</v>
      </c>
      <c r="O577" s="7" t="s">
        <v>908</v>
      </c>
      <c r="P577" s="7"/>
    </row>
    <row r="578" spans="1:16" ht="40" customHeight="1">
      <c r="A578" s="4" t="s">
        <v>603</v>
      </c>
      <c r="B578" s="4" t="s">
        <v>604</v>
      </c>
      <c r="C578" s="4" t="s">
        <v>2497</v>
      </c>
      <c r="D578" s="4" t="s">
        <v>914</v>
      </c>
      <c r="E578" s="4" t="s">
        <v>915</v>
      </c>
      <c r="F578" s="4" t="s">
        <v>608</v>
      </c>
      <c r="G578" s="4" t="s">
        <v>916</v>
      </c>
      <c r="H578" s="7" t="s">
        <v>42</v>
      </c>
      <c r="I578" s="7"/>
      <c r="J578" s="4" t="s">
        <v>914</v>
      </c>
      <c r="K578" s="4" t="s">
        <v>41</v>
      </c>
      <c r="L578" s="4" t="s">
        <v>2442</v>
      </c>
      <c r="M578" s="4" t="s">
        <v>51</v>
      </c>
      <c r="N578" s="7" t="s">
        <v>907</v>
      </c>
      <c r="O578" s="7"/>
      <c r="P578" s="7"/>
    </row>
    <row r="579" spans="1:16" ht="40" customHeight="1">
      <c r="A579" s="8" t="s">
        <v>611</v>
      </c>
      <c r="B579" s="8" t="s">
        <v>612</v>
      </c>
      <c r="C579" s="8" t="s">
        <v>2498</v>
      </c>
      <c r="D579" s="8" t="s">
        <v>901</v>
      </c>
      <c r="E579" s="8" t="s">
        <v>2499</v>
      </c>
      <c r="F579" s="8" t="s">
        <v>2500</v>
      </c>
      <c r="G579" s="8" t="s">
        <v>41</v>
      </c>
      <c r="H579" s="7" t="s">
        <v>42</v>
      </c>
      <c r="I579" s="7"/>
      <c r="J579" s="8" t="s">
        <v>637</v>
      </c>
      <c r="K579" s="8" t="s">
        <v>904</v>
      </c>
      <c r="L579" s="8" t="s">
        <v>2501</v>
      </c>
      <c r="M579" s="8" t="s">
        <v>906</v>
      </c>
      <c r="N579" s="7" t="s">
        <v>907</v>
      </c>
      <c r="O579" s="7" t="s">
        <v>908</v>
      </c>
      <c r="P579" s="7"/>
    </row>
    <row r="580" spans="1:16" ht="40" customHeight="1">
      <c r="A580" s="4" t="s">
        <v>611</v>
      </c>
      <c r="B580" s="4" t="s">
        <v>612</v>
      </c>
      <c r="C580" s="4" t="s">
        <v>2502</v>
      </c>
      <c r="D580" s="4" t="s">
        <v>901</v>
      </c>
      <c r="E580" s="4" t="s">
        <v>2503</v>
      </c>
      <c r="F580" s="4" t="s">
        <v>2504</v>
      </c>
      <c r="G580" s="4" t="s">
        <v>41</v>
      </c>
      <c r="H580" s="7" t="s">
        <v>42</v>
      </c>
      <c r="I580" s="7"/>
      <c r="J580" s="4" t="s">
        <v>637</v>
      </c>
      <c r="K580" s="4" t="s">
        <v>912</v>
      </c>
      <c r="L580" s="4" t="s">
        <v>2501</v>
      </c>
      <c r="M580" s="4" t="s">
        <v>906</v>
      </c>
      <c r="N580" s="7" t="s">
        <v>907</v>
      </c>
      <c r="O580" s="7" t="s">
        <v>908</v>
      </c>
      <c r="P580" s="7"/>
    </row>
    <row r="581" spans="1:16" ht="40" customHeight="1">
      <c r="A581" s="8" t="s">
        <v>611</v>
      </c>
      <c r="B581" s="8" t="s">
        <v>612</v>
      </c>
      <c r="C581" s="8" t="s">
        <v>2505</v>
      </c>
      <c r="D581" s="8" t="s">
        <v>901</v>
      </c>
      <c r="E581" s="8" t="s">
        <v>2506</v>
      </c>
      <c r="F581" s="8" t="s">
        <v>2507</v>
      </c>
      <c r="G581" s="8" t="s">
        <v>41</v>
      </c>
      <c r="H581" s="7" t="s">
        <v>42</v>
      </c>
      <c r="I581" s="7"/>
      <c r="J581" s="8" t="s">
        <v>637</v>
      </c>
      <c r="K581" s="8" t="s">
        <v>1015</v>
      </c>
      <c r="L581" s="8" t="s">
        <v>2501</v>
      </c>
      <c r="M581" s="8" t="s">
        <v>906</v>
      </c>
      <c r="N581" s="7" t="s">
        <v>907</v>
      </c>
      <c r="O581" s="7" t="s">
        <v>908</v>
      </c>
      <c r="P581" s="7"/>
    </row>
    <row r="582" spans="1:16" ht="40" customHeight="1">
      <c r="A582" s="4" t="s">
        <v>611</v>
      </c>
      <c r="B582" s="4" t="s">
        <v>612</v>
      </c>
      <c r="C582" s="4" t="s">
        <v>2508</v>
      </c>
      <c r="D582" s="4" t="s">
        <v>901</v>
      </c>
      <c r="E582" s="4" t="s">
        <v>2509</v>
      </c>
      <c r="F582" s="4" t="s">
        <v>2510</v>
      </c>
      <c r="G582" s="4" t="s">
        <v>41</v>
      </c>
      <c r="H582" s="7" t="s">
        <v>42</v>
      </c>
      <c r="I582" s="7"/>
      <c r="J582" s="4" t="s">
        <v>637</v>
      </c>
      <c r="K582" s="4" t="s">
        <v>1019</v>
      </c>
      <c r="L582" s="4" t="s">
        <v>2501</v>
      </c>
      <c r="M582" s="4" t="s">
        <v>906</v>
      </c>
      <c r="N582" s="7" t="s">
        <v>907</v>
      </c>
      <c r="O582" s="7" t="s">
        <v>908</v>
      </c>
      <c r="P582" s="7"/>
    </row>
    <row r="583" spans="1:16" ht="40" customHeight="1">
      <c r="A583" s="8" t="s">
        <v>611</v>
      </c>
      <c r="B583" s="8" t="s">
        <v>612</v>
      </c>
      <c r="C583" s="8" t="s">
        <v>2511</v>
      </c>
      <c r="D583" s="8" t="s">
        <v>901</v>
      </c>
      <c r="E583" s="8" t="s">
        <v>2512</v>
      </c>
      <c r="F583" s="8" t="s">
        <v>2513</v>
      </c>
      <c r="G583" s="8" t="s">
        <v>41</v>
      </c>
      <c r="H583" s="7" t="s">
        <v>42</v>
      </c>
      <c r="I583" s="7"/>
      <c r="J583" s="8" t="s">
        <v>637</v>
      </c>
      <c r="K583" s="8" t="s">
        <v>1147</v>
      </c>
      <c r="L583" s="8" t="s">
        <v>2501</v>
      </c>
      <c r="M583" s="8" t="s">
        <v>906</v>
      </c>
      <c r="N583" s="7" t="s">
        <v>907</v>
      </c>
      <c r="O583" s="7" t="s">
        <v>908</v>
      </c>
      <c r="P583" s="7"/>
    </row>
    <row r="584" spans="1:16" ht="40" customHeight="1">
      <c r="A584" s="4" t="s">
        <v>611</v>
      </c>
      <c r="B584" s="4" t="s">
        <v>612</v>
      </c>
      <c r="C584" s="4" t="s">
        <v>2514</v>
      </c>
      <c r="D584" s="4" t="s">
        <v>914</v>
      </c>
      <c r="E584" s="4" t="s">
        <v>915</v>
      </c>
      <c r="F584" s="4" t="s">
        <v>616</v>
      </c>
      <c r="G584" s="4" t="s">
        <v>916</v>
      </c>
      <c r="H584" s="7" t="s">
        <v>42</v>
      </c>
      <c r="I584" s="7"/>
      <c r="J584" s="4" t="s">
        <v>914</v>
      </c>
      <c r="K584" s="4" t="s">
        <v>41</v>
      </c>
      <c r="L584" s="4" t="s">
        <v>2501</v>
      </c>
      <c r="M584" s="4" t="s">
        <v>51</v>
      </c>
      <c r="N584" s="7" t="s">
        <v>907</v>
      </c>
      <c r="O584" s="7"/>
      <c r="P584" s="7"/>
    </row>
  </sheetData>
  <conditionalFormatting sqref="H6:H584">
    <cfRule type="containsText" dxfId="0" priority="1" stopIfTrue="1" operator="containsText" text="Approved">
      <formula>NOT(ISERROR(SEARCH("Approved",H6)))</formula>
    </cfRule>
  </conditionalFormatting>
  <dataValidations count="1">
    <dataValidation type="list" allowBlank="1" showInputMessage="1" showErrorMessage="1" sqref="H6:H584">
      <formula1>"Not started,In review,Approved,Needs correction,Not applicable,Excluded"</formula1>
    </dataValidation>
  </dataValidations>
  <pageMargins left="0.7" right="0.7" top="0.75" bottom="0.75" header="0.3" footer="0.3"/>
  <pageSetup paperSize="9" fitToHeight="0" orientation="landscape"/>
  <tableParts count="1">
    <tablePart r:id="rId1"/>
  </tableParts>
</worksheet>
</file>

<file path=xl/worksheets/sheet3.xml><?xml version="1.0" encoding="utf-8"?>
<worksheet xmlns="http://schemas.openxmlformats.org/spreadsheetml/2006/main" xmlns:r="http://schemas.openxmlformats.org/officeDocument/2006/relationships">
  <sheetPr>
    <pageSetUpPr fitToPage="1"/>
  </sheetPr>
  <dimension ref="A2:M401"/>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cols>
    <col min="1" max="1" width="18.7109375" customWidth="1"/>
    <col min="2" max="2" width="20.7109375" customWidth="1"/>
    <col min="3" max="3" width="28.7109375" customWidth="1"/>
    <col min="4" max="4" width="60.7109375" customWidth="1"/>
    <col min="5" max="5" width="22.7109375" customWidth="1"/>
    <col min="6" max="6" width="72.7109375" customWidth="1"/>
    <col min="7" max="7" width="65.7109375" customWidth="1"/>
    <col min="8" max="8" width="18.7109375" customWidth="1"/>
    <col min="9" max="9" width="42.7109375" customWidth="1"/>
    <col min="10" max="10" width="17.7109375" customWidth="1"/>
    <col min="11" max="11" width="60.7109375" customWidth="1"/>
    <col min="12" max="12" width="85.7109375" customWidth="1"/>
    <col min="13" max="13" width="72.7109375" customWidth="1"/>
  </cols>
  <sheetData>
    <row r="2" spans="1:13" ht="28" customHeight="1">
      <c r="A2" s="1" t="s">
        <v>2515</v>
      </c>
    </row>
    <row r="3" spans="1:13" ht="22" customHeight="1">
      <c r="A3" s="2" t="s">
        <v>2516</v>
      </c>
    </row>
    <row r="5" spans="1:13" ht="45" customHeight="1">
      <c r="A5" s="3" t="s">
        <v>21</v>
      </c>
      <c r="B5" s="3" t="s">
        <v>2517</v>
      </c>
      <c r="C5" s="3" t="s">
        <v>2518</v>
      </c>
      <c r="D5" s="3" t="s">
        <v>2519</v>
      </c>
      <c r="E5" s="3" t="s">
        <v>2520</v>
      </c>
      <c r="F5" s="3" t="s">
        <v>2521</v>
      </c>
      <c r="G5" s="3" t="s">
        <v>2522</v>
      </c>
      <c r="H5" s="3" t="s">
        <v>2523</v>
      </c>
      <c r="I5" s="3" t="s">
        <v>2524</v>
      </c>
      <c r="J5" s="3" t="s">
        <v>11</v>
      </c>
      <c r="K5" s="3" t="s">
        <v>14</v>
      </c>
      <c r="L5" s="3" t="s">
        <v>2525</v>
      </c>
      <c r="M5" s="3" t="s">
        <v>32</v>
      </c>
    </row>
    <row r="6" spans="1:13" ht="40" customHeight="1">
      <c r="A6" s="4" t="s">
        <v>2526</v>
      </c>
      <c r="B6" s="4" t="s">
        <v>33</v>
      </c>
      <c r="C6" s="4" t="s">
        <v>2527</v>
      </c>
      <c r="D6" s="4" t="s">
        <v>2528</v>
      </c>
      <c r="E6" s="5" t="s">
        <v>2529</v>
      </c>
      <c r="F6" s="4" t="s">
        <v>2530</v>
      </c>
      <c r="G6" s="4" t="s">
        <v>2531</v>
      </c>
      <c r="H6" s="4" t="s">
        <v>2532</v>
      </c>
      <c r="I6" s="4" t="s">
        <v>2533</v>
      </c>
      <c r="J6" s="6">
        <v>46318</v>
      </c>
      <c r="K6" s="7"/>
      <c r="L6" s="4" t="s">
        <v>41</v>
      </c>
      <c r="M6" s="4" t="s">
        <v>41</v>
      </c>
    </row>
    <row r="7" spans="1:13" ht="40" customHeight="1">
      <c r="A7" s="8" t="s">
        <v>2534</v>
      </c>
      <c r="B7" s="8" t="s">
        <v>33</v>
      </c>
      <c r="C7" s="8" t="s">
        <v>2535</v>
      </c>
      <c r="D7" s="8" t="s">
        <v>2536</v>
      </c>
      <c r="E7" s="5" t="s">
        <v>2537</v>
      </c>
      <c r="F7" s="8" t="s">
        <v>2538</v>
      </c>
      <c r="G7" s="8" t="s">
        <v>2539</v>
      </c>
      <c r="H7" s="8" t="s">
        <v>2532</v>
      </c>
      <c r="I7" s="8" t="s">
        <v>2540</v>
      </c>
      <c r="J7" s="9">
        <v>46318</v>
      </c>
      <c r="K7" s="7"/>
      <c r="L7" s="8" t="s">
        <v>41</v>
      </c>
      <c r="M7" s="8" t="s">
        <v>41</v>
      </c>
    </row>
    <row r="8" spans="1:13" ht="40" customHeight="1">
      <c r="A8" s="4" t="s">
        <v>2541</v>
      </c>
      <c r="B8" s="4" t="s">
        <v>33</v>
      </c>
      <c r="C8" s="4" t="s">
        <v>2542</v>
      </c>
      <c r="D8" s="4" t="s">
        <v>2543</v>
      </c>
      <c r="E8" s="5" t="s">
        <v>2537</v>
      </c>
      <c r="F8" s="4" t="s">
        <v>2544</v>
      </c>
      <c r="G8" s="4" t="s">
        <v>2539</v>
      </c>
      <c r="H8" s="4" t="s">
        <v>2532</v>
      </c>
      <c r="I8" s="4" t="s">
        <v>2540</v>
      </c>
      <c r="J8" s="6">
        <v>46318</v>
      </c>
      <c r="K8" s="7"/>
      <c r="L8" s="4" t="s">
        <v>41</v>
      </c>
      <c r="M8" s="4" t="s">
        <v>41</v>
      </c>
    </row>
    <row r="9" spans="1:13" ht="40" customHeight="1">
      <c r="A9" s="8" t="s">
        <v>2545</v>
      </c>
      <c r="B9" s="8" t="s">
        <v>55</v>
      </c>
      <c r="C9" s="8" t="s">
        <v>2527</v>
      </c>
      <c r="D9" s="8" t="s">
        <v>2546</v>
      </c>
      <c r="E9" s="5" t="s">
        <v>2529</v>
      </c>
      <c r="F9" s="8" t="s">
        <v>2547</v>
      </c>
      <c r="G9" s="8" t="s">
        <v>2531</v>
      </c>
      <c r="H9" s="8" t="s">
        <v>2532</v>
      </c>
      <c r="I9" s="8" t="s">
        <v>2548</v>
      </c>
      <c r="J9" s="9">
        <v>46318</v>
      </c>
      <c r="K9" s="7"/>
      <c r="L9" s="8" t="s">
        <v>41</v>
      </c>
      <c r="M9" s="8" t="s">
        <v>41</v>
      </c>
    </row>
    <row r="10" spans="1:13" ht="40" customHeight="1">
      <c r="A10" s="4" t="s">
        <v>2549</v>
      </c>
      <c r="B10" s="4" t="s">
        <v>55</v>
      </c>
      <c r="C10" s="4" t="s">
        <v>2535</v>
      </c>
      <c r="D10" s="4" t="s">
        <v>2550</v>
      </c>
      <c r="E10" s="5" t="s">
        <v>2537</v>
      </c>
      <c r="F10" s="4" t="s">
        <v>2538</v>
      </c>
      <c r="G10" s="4" t="s">
        <v>2539</v>
      </c>
      <c r="H10" s="4" t="s">
        <v>2532</v>
      </c>
      <c r="I10" s="4" t="s">
        <v>2540</v>
      </c>
      <c r="J10" s="6">
        <v>46318</v>
      </c>
      <c r="K10" s="7"/>
      <c r="L10" s="4" t="s">
        <v>41</v>
      </c>
      <c r="M10" s="4" t="s">
        <v>41</v>
      </c>
    </row>
    <row r="11" spans="1:13" ht="40" customHeight="1">
      <c r="A11" s="8" t="s">
        <v>2551</v>
      </c>
      <c r="B11" s="8" t="s">
        <v>55</v>
      </c>
      <c r="C11" s="8" t="s">
        <v>2552</v>
      </c>
      <c r="D11" s="8" t="s">
        <v>2553</v>
      </c>
      <c r="E11" s="5" t="s">
        <v>2529</v>
      </c>
      <c r="F11" s="8" t="s">
        <v>2554</v>
      </c>
      <c r="G11" s="8" t="s">
        <v>2539</v>
      </c>
      <c r="H11" s="8" t="s">
        <v>2532</v>
      </c>
      <c r="I11" s="8" t="s">
        <v>2540</v>
      </c>
      <c r="J11" s="9">
        <v>46318</v>
      </c>
      <c r="K11" s="7"/>
      <c r="L11" s="8" t="s">
        <v>41</v>
      </c>
      <c r="M11" s="8" t="s">
        <v>41</v>
      </c>
    </row>
    <row r="12" spans="1:13" ht="40" customHeight="1">
      <c r="A12" s="4" t="s">
        <v>2555</v>
      </c>
      <c r="B12" s="4" t="s">
        <v>67</v>
      </c>
      <c r="C12" s="4" t="s">
        <v>2556</v>
      </c>
      <c r="D12" s="4" t="s">
        <v>2557</v>
      </c>
      <c r="E12" s="5" t="s">
        <v>2529</v>
      </c>
      <c r="F12" s="4" t="s">
        <v>2558</v>
      </c>
      <c r="G12" s="4" t="s">
        <v>2559</v>
      </c>
      <c r="H12" s="4" t="s">
        <v>2532</v>
      </c>
      <c r="I12" s="4" t="s">
        <v>2540</v>
      </c>
      <c r="J12" s="6">
        <v>46318</v>
      </c>
      <c r="K12" s="7"/>
      <c r="L12" s="4" t="s">
        <v>41</v>
      </c>
      <c r="M12" s="4" t="s">
        <v>41</v>
      </c>
    </row>
    <row r="13" spans="1:13" ht="40" customHeight="1">
      <c r="A13" s="8" t="s">
        <v>2560</v>
      </c>
      <c r="B13" s="8" t="s">
        <v>67</v>
      </c>
      <c r="C13" s="8" t="s">
        <v>2561</v>
      </c>
      <c r="D13" s="8" t="s">
        <v>2562</v>
      </c>
      <c r="E13" s="5" t="s">
        <v>2529</v>
      </c>
      <c r="F13" s="8" t="s">
        <v>2563</v>
      </c>
      <c r="G13" s="8" t="s">
        <v>2531</v>
      </c>
      <c r="H13" s="8" t="s">
        <v>2532</v>
      </c>
      <c r="I13" s="8" t="s">
        <v>2564</v>
      </c>
      <c r="J13" s="9">
        <v>46318</v>
      </c>
      <c r="K13" s="7"/>
      <c r="L13" s="8" t="s">
        <v>41</v>
      </c>
      <c r="M13" s="8" t="s">
        <v>41</v>
      </c>
    </row>
    <row r="14" spans="1:13" ht="40" customHeight="1">
      <c r="A14" s="4" t="s">
        <v>2565</v>
      </c>
      <c r="B14" s="4" t="s">
        <v>67</v>
      </c>
      <c r="C14" s="4" t="s">
        <v>2566</v>
      </c>
      <c r="D14" s="4" t="s">
        <v>2567</v>
      </c>
      <c r="E14" s="5" t="s">
        <v>2529</v>
      </c>
      <c r="F14" s="4" t="s">
        <v>2568</v>
      </c>
      <c r="G14" s="4" t="s">
        <v>2539</v>
      </c>
      <c r="H14" s="4" t="s">
        <v>2532</v>
      </c>
      <c r="I14" s="4" t="s">
        <v>2540</v>
      </c>
      <c r="J14" s="6">
        <v>46318</v>
      </c>
      <c r="K14" s="7"/>
      <c r="L14" s="4" t="s">
        <v>41</v>
      </c>
      <c r="M14" s="4" t="s">
        <v>41</v>
      </c>
    </row>
    <row r="15" spans="1:13" ht="40" customHeight="1">
      <c r="A15" s="8" t="s">
        <v>2569</v>
      </c>
      <c r="B15" s="8" t="s">
        <v>81</v>
      </c>
      <c r="C15" s="8" t="s">
        <v>2527</v>
      </c>
      <c r="D15" s="8" t="s">
        <v>2570</v>
      </c>
      <c r="E15" s="5" t="s">
        <v>2529</v>
      </c>
      <c r="F15" s="8" t="s">
        <v>2571</v>
      </c>
      <c r="G15" s="8" t="s">
        <v>2531</v>
      </c>
      <c r="H15" s="8" t="s">
        <v>2532</v>
      </c>
      <c r="I15" s="8" t="s">
        <v>2572</v>
      </c>
      <c r="J15" s="9">
        <v>46318</v>
      </c>
      <c r="K15" s="7"/>
      <c r="L15" s="8" t="s">
        <v>41</v>
      </c>
      <c r="M15" s="8" t="s">
        <v>41</v>
      </c>
    </row>
    <row r="16" spans="1:13" ht="40" customHeight="1">
      <c r="A16" s="4" t="s">
        <v>2573</v>
      </c>
      <c r="B16" s="4" t="s">
        <v>81</v>
      </c>
      <c r="C16" s="4" t="s">
        <v>2574</v>
      </c>
      <c r="D16" s="4" t="s">
        <v>2575</v>
      </c>
      <c r="E16" s="5" t="s">
        <v>2529</v>
      </c>
      <c r="F16" s="4" t="s">
        <v>82</v>
      </c>
      <c r="G16" s="4" t="s">
        <v>2576</v>
      </c>
      <c r="H16" s="4" t="s">
        <v>2532</v>
      </c>
      <c r="I16" s="4" t="s">
        <v>2577</v>
      </c>
      <c r="J16" s="6">
        <v>46318</v>
      </c>
      <c r="K16" s="7"/>
      <c r="L16" s="4" t="s">
        <v>41</v>
      </c>
      <c r="M16" s="4" t="s">
        <v>41</v>
      </c>
    </row>
    <row r="17" spans="1:13" ht="40" customHeight="1">
      <c r="A17" s="8" t="s">
        <v>2578</v>
      </c>
      <c r="B17" s="8" t="s">
        <v>81</v>
      </c>
      <c r="C17" s="8" t="s">
        <v>2579</v>
      </c>
      <c r="D17" s="8" t="s">
        <v>2580</v>
      </c>
      <c r="E17" s="5" t="s">
        <v>2537</v>
      </c>
      <c r="F17" s="8" t="s">
        <v>2581</v>
      </c>
      <c r="G17" s="8" t="s">
        <v>2582</v>
      </c>
      <c r="H17" s="8" t="s">
        <v>2532</v>
      </c>
      <c r="I17" s="8" t="s">
        <v>2540</v>
      </c>
      <c r="J17" s="9">
        <v>46318</v>
      </c>
      <c r="K17" s="7"/>
      <c r="L17" s="8" t="s">
        <v>41</v>
      </c>
      <c r="M17" s="8" t="s">
        <v>41</v>
      </c>
    </row>
    <row r="18" spans="1:13" ht="40" customHeight="1">
      <c r="A18" s="4" t="s">
        <v>2583</v>
      </c>
      <c r="B18" s="4" t="s">
        <v>81</v>
      </c>
      <c r="C18" s="4" t="s">
        <v>2552</v>
      </c>
      <c r="D18" s="4" t="s">
        <v>2584</v>
      </c>
      <c r="E18" s="5" t="s">
        <v>2529</v>
      </c>
      <c r="F18" s="4" t="s">
        <v>2552</v>
      </c>
      <c r="G18" s="4" t="s">
        <v>2585</v>
      </c>
      <c r="H18" s="4" t="s">
        <v>2532</v>
      </c>
      <c r="I18" s="4" t="s">
        <v>2540</v>
      </c>
      <c r="J18" s="6">
        <v>46318</v>
      </c>
      <c r="K18" s="7"/>
      <c r="L18" s="4" t="s">
        <v>41</v>
      </c>
      <c r="M18" s="4" t="s">
        <v>41</v>
      </c>
    </row>
    <row r="19" spans="1:13" ht="40" customHeight="1">
      <c r="A19" s="8" t="s">
        <v>2586</v>
      </c>
      <c r="B19" s="8" t="s">
        <v>92</v>
      </c>
      <c r="C19" s="8" t="s">
        <v>2561</v>
      </c>
      <c r="D19" s="8" t="s">
        <v>2587</v>
      </c>
      <c r="E19" s="5" t="s">
        <v>2529</v>
      </c>
      <c r="F19" s="8" t="s">
        <v>2588</v>
      </c>
      <c r="G19" s="8" t="s">
        <v>2531</v>
      </c>
      <c r="H19" s="8" t="s">
        <v>2532</v>
      </c>
      <c r="I19" s="8" t="s">
        <v>2589</v>
      </c>
      <c r="J19" s="9">
        <v>46318</v>
      </c>
      <c r="K19" s="7"/>
      <c r="L19" s="8" t="s">
        <v>41</v>
      </c>
      <c r="M19" s="8" t="s">
        <v>41</v>
      </c>
    </row>
    <row r="20" spans="1:13" ht="40" customHeight="1">
      <c r="A20" s="4" t="s">
        <v>2590</v>
      </c>
      <c r="B20" s="4" t="s">
        <v>92</v>
      </c>
      <c r="C20" s="4" t="s">
        <v>2591</v>
      </c>
      <c r="D20" s="4" t="s">
        <v>2592</v>
      </c>
      <c r="E20" s="5" t="s">
        <v>2537</v>
      </c>
      <c r="F20" s="4" t="s">
        <v>2593</v>
      </c>
      <c r="G20" s="4" t="s">
        <v>2582</v>
      </c>
      <c r="H20" s="4" t="s">
        <v>2532</v>
      </c>
      <c r="I20" s="4" t="s">
        <v>2594</v>
      </c>
      <c r="J20" s="6">
        <v>46318</v>
      </c>
      <c r="K20" s="7"/>
      <c r="L20" s="4" t="s">
        <v>41</v>
      </c>
      <c r="M20" s="4" t="s">
        <v>41</v>
      </c>
    </row>
    <row r="21" spans="1:13" ht="40" customHeight="1">
      <c r="A21" s="8" t="s">
        <v>2595</v>
      </c>
      <c r="B21" s="8" t="s">
        <v>107</v>
      </c>
      <c r="C21" s="8" t="s">
        <v>2596</v>
      </c>
      <c r="D21" s="8" t="s">
        <v>2597</v>
      </c>
      <c r="E21" s="5" t="s">
        <v>2529</v>
      </c>
      <c r="F21" s="8" t="s">
        <v>2598</v>
      </c>
      <c r="G21" s="8" t="s">
        <v>2531</v>
      </c>
      <c r="H21" s="8" t="s">
        <v>2532</v>
      </c>
      <c r="I21" s="8" t="s">
        <v>2540</v>
      </c>
      <c r="J21" s="9">
        <v>46318</v>
      </c>
      <c r="K21" s="7"/>
      <c r="L21" s="8" t="s">
        <v>41</v>
      </c>
      <c r="M21" s="8" t="s">
        <v>41</v>
      </c>
    </row>
    <row r="22" spans="1:13" ht="40" customHeight="1">
      <c r="A22" s="4" t="s">
        <v>2599</v>
      </c>
      <c r="B22" s="4" t="s">
        <v>107</v>
      </c>
      <c r="C22" s="4" t="s">
        <v>2600</v>
      </c>
      <c r="D22" s="4" t="s">
        <v>2601</v>
      </c>
      <c r="E22" s="5" t="s">
        <v>2537</v>
      </c>
      <c r="F22" s="4" t="s">
        <v>2602</v>
      </c>
      <c r="G22" s="4" t="s">
        <v>2582</v>
      </c>
      <c r="H22" s="4" t="s">
        <v>2532</v>
      </c>
      <c r="I22" s="4" t="s">
        <v>2603</v>
      </c>
      <c r="J22" s="6">
        <v>46318</v>
      </c>
      <c r="K22" s="7"/>
      <c r="L22" s="4" t="s">
        <v>41</v>
      </c>
      <c r="M22" s="4" t="s">
        <v>41</v>
      </c>
    </row>
    <row r="23" spans="1:13" ht="40" customHeight="1">
      <c r="A23" s="8" t="s">
        <v>2604</v>
      </c>
      <c r="B23" s="8" t="s">
        <v>2605</v>
      </c>
      <c r="C23" s="8" t="s">
        <v>2606</v>
      </c>
      <c r="D23" s="8" t="s">
        <v>2607</v>
      </c>
      <c r="E23" s="5" t="s">
        <v>2529</v>
      </c>
      <c r="F23" s="8" t="s">
        <v>2608</v>
      </c>
      <c r="G23" s="8" t="s">
        <v>2531</v>
      </c>
      <c r="H23" s="8" t="s">
        <v>2532</v>
      </c>
      <c r="I23" s="8" t="s">
        <v>2609</v>
      </c>
      <c r="J23" s="9">
        <v>46318</v>
      </c>
      <c r="K23" s="7"/>
      <c r="L23" s="8" t="s">
        <v>41</v>
      </c>
      <c r="M23" s="8" t="s">
        <v>41</v>
      </c>
    </row>
    <row r="24" spans="1:13" ht="40" customHeight="1">
      <c r="A24" s="4" t="s">
        <v>2610</v>
      </c>
      <c r="B24" s="4" t="s">
        <v>121</v>
      </c>
      <c r="C24" s="4" t="s">
        <v>2596</v>
      </c>
      <c r="D24" s="4" t="s">
        <v>122</v>
      </c>
      <c r="E24" s="5" t="s">
        <v>2529</v>
      </c>
      <c r="F24" s="4" t="s">
        <v>2611</v>
      </c>
      <c r="G24" s="4" t="s">
        <v>2531</v>
      </c>
      <c r="H24" s="4" t="s">
        <v>2532</v>
      </c>
      <c r="I24" s="4" t="s">
        <v>2612</v>
      </c>
      <c r="J24" s="6">
        <v>46318</v>
      </c>
      <c r="K24" s="7"/>
      <c r="L24" s="4" t="s">
        <v>41</v>
      </c>
      <c r="M24" s="4" t="s">
        <v>41</v>
      </c>
    </row>
    <row r="25" spans="1:13" ht="40" customHeight="1">
      <c r="A25" s="8" t="s">
        <v>2613</v>
      </c>
      <c r="B25" s="8" t="s">
        <v>2614</v>
      </c>
      <c r="C25" s="8" t="s">
        <v>2606</v>
      </c>
      <c r="D25" s="8" t="s">
        <v>2615</v>
      </c>
      <c r="E25" s="5" t="s">
        <v>2529</v>
      </c>
      <c r="F25" s="8" t="s">
        <v>2616</v>
      </c>
      <c r="G25" s="8" t="s">
        <v>2617</v>
      </c>
      <c r="H25" s="8" t="s">
        <v>2532</v>
      </c>
      <c r="I25" s="8" t="s">
        <v>2540</v>
      </c>
      <c r="J25" s="9">
        <v>46318</v>
      </c>
      <c r="K25" s="7"/>
      <c r="L25" s="8" t="s">
        <v>41</v>
      </c>
      <c r="M25" s="8" t="s">
        <v>41</v>
      </c>
    </row>
    <row r="26" spans="1:13" ht="40" customHeight="1">
      <c r="A26" s="4" t="s">
        <v>2618</v>
      </c>
      <c r="B26" s="4" t="s">
        <v>121</v>
      </c>
      <c r="C26" s="4" t="s">
        <v>2619</v>
      </c>
      <c r="D26" s="4" t="s">
        <v>2620</v>
      </c>
      <c r="E26" s="5" t="s">
        <v>2537</v>
      </c>
      <c r="F26" s="4" t="s">
        <v>2621</v>
      </c>
      <c r="G26" s="4" t="s">
        <v>2622</v>
      </c>
      <c r="H26" s="4" t="s">
        <v>2623</v>
      </c>
      <c r="I26" s="4" t="s">
        <v>2624</v>
      </c>
      <c r="J26" s="6">
        <v>46318</v>
      </c>
      <c r="K26" s="7"/>
      <c r="L26" s="4" t="s">
        <v>41</v>
      </c>
      <c r="M26" s="4" t="s">
        <v>41</v>
      </c>
    </row>
    <row r="27" spans="1:13" ht="40" customHeight="1">
      <c r="A27" s="8" t="s">
        <v>2625</v>
      </c>
      <c r="B27" s="8" t="s">
        <v>136</v>
      </c>
      <c r="C27" s="8" t="s">
        <v>2596</v>
      </c>
      <c r="D27" s="8" t="s">
        <v>137</v>
      </c>
      <c r="E27" s="5" t="s">
        <v>2529</v>
      </c>
      <c r="F27" s="8" t="s">
        <v>2626</v>
      </c>
      <c r="G27" s="8" t="s">
        <v>2531</v>
      </c>
      <c r="H27" s="8" t="s">
        <v>2532</v>
      </c>
      <c r="I27" s="8" t="s">
        <v>2612</v>
      </c>
      <c r="J27" s="9">
        <v>46318</v>
      </c>
      <c r="K27" s="7"/>
      <c r="L27" s="8" t="s">
        <v>41</v>
      </c>
      <c r="M27" s="8" t="s">
        <v>41</v>
      </c>
    </row>
    <row r="28" spans="1:13" ht="40" customHeight="1">
      <c r="A28" s="4" t="s">
        <v>2627</v>
      </c>
      <c r="B28" s="4" t="s">
        <v>147</v>
      </c>
      <c r="C28" s="4" t="s">
        <v>2628</v>
      </c>
      <c r="D28" s="4" t="s">
        <v>2629</v>
      </c>
      <c r="E28" s="5" t="s">
        <v>2529</v>
      </c>
      <c r="F28" s="4" t="s">
        <v>2630</v>
      </c>
      <c r="G28" s="4" t="s">
        <v>2531</v>
      </c>
      <c r="H28" s="4" t="s">
        <v>2532</v>
      </c>
      <c r="I28" s="4" t="s">
        <v>2631</v>
      </c>
      <c r="J28" s="6">
        <v>46318</v>
      </c>
      <c r="K28" s="7"/>
      <c r="L28" s="4" t="s">
        <v>41</v>
      </c>
      <c r="M28" s="4" t="s">
        <v>41</v>
      </c>
    </row>
    <row r="29" spans="1:13" ht="40" customHeight="1">
      <c r="A29" s="8" t="s">
        <v>2632</v>
      </c>
      <c r="B29" s="8" t="s">
        <v>147</v>
      </c>
      <c r="C29" s="8" t="s">
        <v>2633</v>
      </c>
      <c r="D29" s="8" t="s">
        <v>2634</v>
      </c>
      <c r="E29" s="5" t="s">
        <v>2537</v>
      </c>
      <c r="F29" s="8" t="s">
        <v>2635</v>
      </c>
      <c r="G29" s="8" t="s">
        <v>2636</v>
      </c>
      <c r="H29" s="8" t="s">
        <v>2623</v>
      </c>
      <c r="I29" s="8" t="s">
        <v>2637</v>
      </c>
      <c r="J29" s="9">
        <v>46318</v>
      </c>
      <c r="K29" s="7"/>
      <c r="L29" s="8" t="s">
        <v>41</v>
      </c>
      <c r="M29" s="8" t="s">
        <v>41</v>
      </c>
    </row>
    <row r="30" spans="1:13" ht="40" customHeight="1">
      <c r="A30" s="4" t="s">
        <v>2638</v>
      </c>
      <c r="B30" s="4" t="s">
        <v>147</v>
      </c>
      <c r="C30" s="4" t="s">
        <v>2639</v>
      </c>
      <c r="D30" s="4" t="s">
        <v>2640</v>
      </c>
      <c r="E30" s="5" t="s">
        <v>2529</v>
      </c>
      <c r="F30" s="4" t="s">
        <v>2641</v>
      </c>
      <c r="G30" s="4" t="s">
        <v>2576</v>
      </c>
      <c r="H30" s="4" t="s">
        <v>2532</v>
      </c>
      <c r="I30" s="4" t="s">
        <v>2540</v>
      </c>
      <c r="J30" s="6">
        <v>46318</v>
      </c>
      <c r="K30" s="7"/>
      <c r="L30" s="4" t="s">
        <v>41</v>
      </c>
      <c r="M30" s="4" t="s">
        <v>41</v>
      </c>
    </row>
    <row r="31" spans="1:13" ht="40" customHeight="1">
      <c r="A31" s="8" t="s">
        <v>2642</v>
      </c>
      <c r="B31" s="8" t="s">
        <v>163</v>
      </c>
      <c r="C31" s="8" t="s">
        <v>2596</v>
      </c>
      <c r="D31" s="8" t="s">
        <v>2643</v>
      </c>
      <c r="E31" s="5" t="s">
        <v>2529</v>
      </c>
      <c r="F31" s="8" t="s">
        <v>2644</v>
      </c>
      <c r="G31" s="8" t="s">
        <v>2576</v>
      </c>
      <c r="H31" s="8" t="s">
        <v>2623</v>
      </c>
      <c r="I31" s="8" t="s">
        <v>2645</v>
      </c>
      <c r="J31" s="9">
        <v>46318</v>
      </c>
      <c r="K31" s="7"/>
      <c r="L31" s="8" t="s">
        <v>41</v>
      </c>
      <c r="M31" s="8" t="s">
        <v>41</v>
      </c>
    </row>
    <row r="32" spans="1:13" ht="40" customHeight="1">
      <c r="A32" s="4" t="s">
        <v>2646</v>
      </c>
      <c r="B32" s="4" t="s">
        <v>163</v>
      </c>
      <c r="C32" s="4" t="s">
        <v>2633</v>
      </c>
      <c r="D32" s="4" t="s">
        <v>2647</v>
      </c>
      <c r="E32" s="5" t="s">
        <v>2537</v>
      </c>
      <c r="F32" s="4" t="s">
        <v>2648</v>
      </c>
      <c r="G32" s="4" t="s">
        <v>2636</v>
      </c>
      <c r="H32" s="4" t="s">
        <v>2623</v>
      </c>
      <c r="I32" s="4" t="s">
        <v>2649</v>
      </c>
      <c r="J32" s="6">
        <v>46318</v>
      </c>
      <c r="K32" s="7"/>
      <c r="L32" s="4" t="s">
        <v>41</v>
      </c>
      <c r="M32" s="4" t="s">
        <v>41</v>
      </c>
    </row>
    <row r="33" spans="1:13" ht="40" customHeight="1">
      <c r="A33" s="8" t="s">
        <v>2650</v>
      </c>
      <c r="B33" s="8" t="s">
        <v>163</v>
      </c>
      <c r="C33" s="8" t="s">
        <v>2628</v>
      </c>
      <c r="D33" s="8" t="s">
        <v>2651</v>
      </c>
      <c r="E33" s="5" t="s">
        <v>2529</v>
      </c>
      <c r="F33" s="8" t="s">
        <v>2652</v>
      </c>
      <c r="G33" s="8" t="s">
        <v>2531</v>
      </c>
      <c r="H33" s="8" t="s">
        <v>2532</v>
      </c>
      <c r="I33" s="8" t="s">
        <v>2653</v>
      </c>
      <c r="J33" s="9">
        <v>46318</v>
      </c>
      <c r="K33" s="7"/>
      <c r="L33" s="8" t="s">
        <v>41</v>
      </c>
      <c r="M33" s="8" t="s">
        <v>41</v>
      </c>
    </row>
    <row r="34" spans="1:13" ht="40" customHeight="1">
      <c r="A34" s="4" t="s">
        <v>2654</v>
      </c>
      <c r="B34" s="4" t="s">
        <v>2655</v>
      </c>
      <c r="C34" s="4" t="s">
        <v>2656</v>
      </c>
      <c r="D34" s="4" t="s">
        <v>2657</v>
      </c>
      <c r="E34" s="5" t="s">
        <v>2529</v>
      </c>
      <c r="F34" s="4" t="s">
        <v>2658</v>
      </c>
      <c r="G34" s="4" t="s">
        <v>2659</v>
      </c>
      <c r="H34" s="4" t="s">
        <v>2532</v>
      </c>
      <c r="I34" s="4" t="s">
        <v>2540</v>
      </c>
      <c r="J34" s="6">
        <v>46318</v>
      </c>
      <c r="K34" s="7"/>
      <c r="L34" s="4" t="s">
        <v>41</v>
      </c>
      <c r="M34" s="4" t="s">
        <v>41</v>
      </c>
    </row>
    <row r="35" spans="1:13" ht="40" customHeight="1">
      <c r="A35" s="8" t="s">
        <v>2660</v>
      </c>
      <c r="B35" s="8" t="s">
        <v>163</v>
      </c>
      <c r="C35" s="8" t="s">
        <v>2661</v>
      </c>
      <c r="D35" s="8" t="s">
        <v>2662</v>
      </c>
      <c r="E35" s="5" t="s">
        <v>2529</v>
      </c>
      <c r="F35" s="8" t="s">
        <v>2663</v>
      </c>
      <c r="G35" s="8" t="s">
        <v>2576</v>
      </c>
      <c r="H35" s="8" t="s">
        <v>2532</v>
      </c>
      <c r="I35" s="8" t="s">
        <v>2540</v>
      </c>
      <c r="J35" s="9">
        <v>46318</v>
      </c>
      <c r="K35" s="7"/>
      <c r="L35" s="8" t="s">
        <v>41</v>
      </c>
      <c r="M35" s="8" t="s">
        <v>41</v>
      </c>
    </row>
    <row r="36" spans="1:13" ht="40" customHeight="1">
      <c r="A36" s="4" t="s">
        <v>48</v>
      </c>
      <c r="B36" s="4" t="s">
        <v>33</v>
      </c>
      <c r="C36" s="4" t="s">
        <v>2664</v>
      </c>
      <c r="D36" s="4" t="s">
        <v>34</v>
      </c>
      <c r="E36" s="5" t="s">
        <v>2529</v>
      </c>
      <c r="F36" s="4" t="s">
        <v>2665</v>
      </c>
      <c r="G36" s="4" t="s">
        <v>2666</v>
      </c>
      <c r="H36" s="4" t="s">
        <v>2532</v>
      </c>
      <c r="I36" s="4" t="s">
        <v>2667</v>
      </c>
      <c r="J36" s="6">
        <v>46319</v>
      </c>
      <c r="K36" s="7"/>
      <c r="L36" s="4" t="s">
        <v>41</v>
      </c>
      <c r="M36" s="4" t="s">
        <v>54</v>
      </c>
    </row>
    <row r="37" spans="1:13" ht="40" customHeight="1">
      <c r="A37" s="8" t="s">
        <v>2668</v>
      </c>
      <c r="B37" s="8" t="s">
        <v>33</v>
      </c>
      <c r="C37" s="8" t="s">
        <v>2669</v>
      </c>
      <c r="D37" s="8" t="s">
        <v>2670</v>
      </c>
      <c r="E37" s="5" t="s">
        <v>2529</v>
      </c>
      <c r="F37" s="8" t="s">
        <v>2671</v>
      </c>
      <c r="G37" s="8" t="s">
        <v>2672</v>
      </c>
      <c r="H37" s="8" t="s">
        <v>2532</v>
      </c>
      <c r="I37" s="8" t="s">
        <v>2673</v>
      </c>
      <c r="J37" s="9">
        <v>46319</v>
      </c>
      <c r="K37" s="7"/>
      <c r="L37" s="8" t="s">
        <v>2674</v>
      </c>
      <c r="M37" s="8" t="s">
        <v>54</v>
      </c>
    </row>
    <row r="38" spans="1:13" ht="40" customHeight="1">
      <c r="A38" s="4" t="s">
        <v>2675</v>
      </c>
      <c r="B38" s="4" t="s">
        <v>33</v>
      </c>
      <c r="C38" s="4" t="s">
        <v>2676</v>
      </c>
      <c r="D38" s="4" t="s">
        <v>2677</v>
      </c>
      <c r="E38" s="5" t="s">
        <v>2529</v>
      </c>
      <c r="F38" s="4" t="s">
        <v>2678</v>
      </c>
      <c r="G38" s="4" t="s">
        <v>2679</v>
      </c>
      <c r="H38" s="4" t="s">
        <v>2532</v>
      </c>
      <c r="I38" s="4" t="s">
        <v>2673</v>
      </c>
      <c r="J38" s="6">
        <v>46319</v>
      </c>
      <c r="K38" s="7"/>
      <c r="L38" s="4" t="s">
        <v>2680</v>
      </c>
      <c r="M38" s="4" t="s">
        <v>54</v>
      </c>
    </row>
    <row r="39" spans="1:13" ht="40" customHeight="1">
      <c r="A39" s="8" t="s">
        <v>2681</v>
      </c>
      <c r="B39" s="8" t="s">
        <v>33</v>
      </c>
      <c r="C39" s="8" t="s">
        <v>2682</v>
      </c>
      <c r="D39" s="8" t="s">
        <v>2683</v>
      </c>
      <c r="E39" s="5" t="s">
        <v>2537</v>
      </c>
      <c r="F39" s="8" t="s">
        <v>2684</v>
      </c>
      <c r="G39" s="8" t="s">
        <v>2685</v>
      </c>
      <c r="H39" s="8" t="s">
        <v>2686</v>
      </c>
      <c r="I39" s="8" t="s">
        <v>2540</v>
      </c>
      <c r="J39" s="9">
        <v>46319</v>
      </c>
      <c r="K39" s="7"/>
      <c r="L39" s="8" t="s">
        <v>2683</v>
      </c>
      <c r="M39" s="8" t="s">
        <v>41</v>
      </c>
    </row>
    <row r="40" spans="1:13" ht="40" customHeight="1">
      <c r="A40" s="4" t="s">
        <v>2687</v>
      </c>
      <c r="B40" s="4" t="s">
        <v>33</v>
      </c>
      <c r="C40" s="4" t="s">
        <v>2682</v>
      </c>
      <c r="D40" s="4" t="s">
        <v>2688</v>
      </c>
      <c r="E40" s="5" t="s">
        <v>2537</v>
      </c>
      <c r="F40" s="4" t="s">
        <v>2689</v>
      </c>
      <c r="G40" s="4" t="s">
        <v>2685</v>
      </c>
      <c r="H40" s="4" t="s">
        <v>2686</v>
      </c>
      <c r="I40" s="4" t="s">
        <v>2540</v>
      </c>
      <c r="J40" s="6">
        <v>46319</v>
      </c>
      <c r="K40" s="7"/>
      <c r="L40" s="4" t="s">
        <v>2690</v>
      </c>
      <c r="M40" s="4" t="s">
        <v>41</v>
      </c>
    </row>
    <row r="41" spans="1:13" ht="40" customHeight="1">
      <c r="A41" s="8" t="s">
        <v>64</v>
      </c>
      <c r="B41" s="8" t="s">
        <v>55</v>
      </c>
      <c r="C41" s="8" t="s">
        <v>2664</v>
      </c>
      <c r="D41" s="8" t="s">
        <v>56</v>
      </c>
      <c r="E41" s="5" t="s">
        <v>2529</v>
      </c>
      <c r="F41" s="8" t="s">
        <v>2665</v>
      </c>
      <c r="G41" s="8" t="s">
        <v>2666</v>
      </c>
      <c r="H41" s="8" t="s">
        <v>2532</v>
      </c>
      <c r="I41" s="8" t="s">
        <v>2667</v>
      </c>
      <c r="J41" s="9">
        <v>46319</v>
      </c>
      <c r="K41" s="7"/>
      <c r="L41" s="8" t="s">
        <v>41</v>
      </c>
      <c r="M41" s="8" t="s">
        <v>66</v>
      </c>
    </row>
    <row r="42" spans="1:13" ht="40" customHeight="1">
      <c r="A42" s="4" t="s">
        <v>2691</v>
      </c>
      <c r="B42" s="4" t="s">
        <v>55</v>
      </c>
      <c r="C42" s="4" t="s">
        <v>2669</v>
      </c>
      <c r="D42" s="4" t="s">
        <v>2670</v>
      </c>
      <c r="E42" s="5" t="s">
        <v>2529</v>
      </c>
      <c r="F42" s="4" t="s">
        <v>2671</v>
      </c>
      <c r="G42" s="4" t="s">
        <v>2672</v>
      </c>
      <c r="H42" s="4" t="s">
        <v>2532</v>
      </c>
      <c r="I42" s="4" t="s">
        <v>2673</v>
      </c>
      <c r="J42" s="6">
        <v>46319</v>
      </c>
      <c r="K42" s="7"/>
      <c r="L42" s="4" t="s">
        <v>2692</v>
      </c>
      <c r="M42" s="4" t="s">
        <v>66</v>
      </c>
    </row>
    <row r="43" spans="1:13" ht="40" customHeight="1">
      <c r="A43" s="8" t="s">
        <v>2693</v>
      </c>
      <c r="B43" s="8" t="s">
        <v>55</v>
      </c>
      <c r="C43" s="8" t="s">
        <v>2676</v>
      </c>
      <c r="D43" s="8" t="s">
        <v>2677</v>
      </c>
      <c r="E43" s="5" t="s">
        <v>2529</v>
      </c>
      <c r="F43" s="8" t="s">
        <v>2678</v>
      </c>
      <c r="G43" s="8" t="s">
        <v>2679</v>
      </c>
      <c r="H43" s="8" t="s">
        <v>2532</v>
      </c>
      <c r="I43" s="8" t="s">
        <v>2673</v>
      </c>
      <c r="J43" s="9">
        <v>46319</v>
      </c>
      <c r="K43" s="7"/>
      <c r="L43" s="8" t="s">
        <v>2694</v>
      </c>
      <c r="M43" s="8" t="s">
        <v>66</v>
      </c>
    </row>
    <row r="44" spans="1:13" ht="40" customHeight="1">
      <c r="A44" s="4" t="s">
        <v>2695</v>
      </c>
      <c r="B44" s="4" t="s">
        <v>55</v>
      </c>
      <c r="C44" s="4" t="s">
        <v>2696</v>
      </c>
      <c r="D44" s="4" t="s">
        <v>2697</v>
      </c>
      <c r="E44" s="5" t="s">
        <v>2529</v>
      </c>
      <c r="F44" s="4" t="s">
        <v>2698</v>
      </c>
      <c r="G44" s="4" t="s">
        <v>2685</v>
      </c>
      <c r="H44" s="4" t="s">
        <v>2686</v>
      </c>
      <c r="I44" s="4" t="s">
        <v>2540</v>
      </c>
      <c r="J44" s="6">
        <v>46319</v>
      </c>
      <c r="K44" s="7"/>
      <c r="L44" s="4" t="s">
        <v>2697</v>
      </c>
      <c r="M44" s="4" t="s">
        <v>41</v>
      </c>
    </row>
    <row r="45" spans="1:13" ht="40" customHeight="1">
      <c r="A45" s="8" t="s">
        <v>2699</v>
      </c>
      <c r="B45" s="8" t="s">
        <v>55</v>
      </c>
      <c r="C45" s="8" t="s">
        <v>2682</v>
      </c>
      <c r="D45" s="8" t="s">
        <v>2700</v>
      </c>
      <c r="E45" s="5" t="s">
        <v>2537</v>
      </c>
      <c r="F45" s="8" t="s">
        <v>2701</v>
      </c>
      <c r="G45" s="8" t="s">
        <v>2685</v>
      </c>
      <c r="H45" s="8" t="s">
        <v>2686</v>
      </c>
      <c r="I45" s="8" t="s">
        <v>2540</v>
      </c>
      <c r="J45" s="9">
        <v>46319</v>
      </c>
      <c r="K45" s="7"/>
      <c r="L45" s="8" t="s">
        <v>2702</v>
      </c>
      <c r="M45" s="8" t="s">
        <v>41</v>
      </c>
    </row>
    <row r="46" spans="1:13" ht="40" customHeight="1">
      <c r="A46" s="4" t="s">
        <v>2703</v>
      </c>
      <c r="B46" s="4" t="s">
        <v>55</v>
      </c>
      <c r="C46" s="4" t="s">
        <v>2682</v>
      </c>
      <c r="D46" s="4" t="s">
        <v>2704</v>
      </c>
      <c r="E46" s="5" t="s">
        <v>2537</v>
      </c>
      <c r="F46" s="4" t="s">
        <v>2689</v>
      </c>
      <c r="G46" s="4" t="s">
        <v>2685</v>
      </c>
      <c r="H46" s="4" t="s">
        <v>2686</v>
      </c>
      <c r="I46" s="4" t="s">
        <v>2540</v>
      </c>
      <c r="J46" s="6">
        <v>46319</v>
      </c>
      <c r="K46" s="7"/>
      <c r="L46" s="4" t="s">
        <v>2705</v>
      </c>
      <c r="M46" s="4" t="s">
        <v>41</v>
      </c>
    </row>
    <row r="47" spans="1:13" ht="40" customHeight="1">
      <c r="A47" s="8" t="s">
        <v>77</v>
      </c>
      <c r="B47" s="8" t="s">
        <v>67</v>
      </c>
      <c r="C47" s="8" t="s">
        <v>2664</v>
      </c>
      <c r="D47" s="8" t="s">
        <v>68</v>
      </c>
      <c r="E47" s="5" t="s">
        <v>2529</v>
      </c>
      <c r="F47" s="8" t="s">
        <v>2665</v>
      </c>
      <c r="G47" s="8" t="s">
        <v>2666</v>
      </c>
      <c r="H47" s="8" t="s">
        <v>2532</v>
      </c>
      <c r="I47" s="8" t="s">
        <v>2667</v>
      </c>
      <c r="J47" s="9">
        <v>46319</v>
      </c>
      <c r="K47" s="7"/>
      <c r="L47" s="8" t="s">
        <v>41</v>
      </c>
      <c r="M47" s="8" t="s">
        <v>80</v>
      </c>
    </row>
    <row r="48" spans="1:13" ht="40" customHeight="1">
      <c r="A48" s="4" t="s">
        <v>2706</v>
      </c>
      <c r="B48" s="4" t="s">
        <v>67</v>
      </c>
      <c r="C48" s="4" t="s">
        <v>2669</v>
      </c>
      <c r="D48" s="4" t="s">
        <v>2670</v>
      </c>
      <c r="E48" s="5" t="s">
        <v>2529</v>
      </c>
      <c r="F48" s="4" t="s">
        <v>2671</v>
      </c>
      <c r="G48" s="4" t="s">
        <v>2672</v>
      </c>
      <c r="H48" s="4" t="s">
        <v>2532</v>
      </c>
      <c r="I48" s="4" t="s">
        <v>2673</v>
      </c>
      <c r="J48" s="6">
        <v>46319</v>
      </c>
      <c r="K48" s="7"/>
      <c r="L48" s="4" t="s">
        <v>2707</v>
      </c>
      <c r="M48" s="4" t="s">
        <v>80</v>
      </c>
    </row>
    <row r="49" spans="1:13" ht="40" customHeight="1">
      <c r="A49" s="8" t="s">
        <v>2708</v>
      </c>
      <c r="B49" s="8" t="s">
        <v>67</v>
      </c>
      <c r="C49" s="8" t="s">
        <v>2676</v>
      </c>
      <c r="D49" s="8" t="s">
        <v>2677</v>
      </c>
      <c r="E49" s="5" t="s">
        <v>2529</v>
      </c>
      <c r="F49" s="8" t="s">
        <v>2678</v>
      </c>
      <c r="G49" s="8" t="s">
        <v>2679</v>
      </c>
      <c r="H49" s="8" t="s">
        <v>2532</v>
      </c>
      <c r="I49" s="8" t="s">
        <v>2673</v>
      </c>
      <c r="J49" s="9">
        <v>46319</v>
      </c>
      <c r="K49" s="7"/>
      <c r="L49" s="8" t="s">
        <v>2709</v>
      </c>
      <c r="M49" s="8" t="s">
        <v>80</v>
      </c>
    </row>
    <row r="50" spans="1:13" ht="40" customHeight="1">
      <c r="A50" s="4" t="s">
        <v>2710</v>
      </c>
      <c r="B50" s="4" t="s">
        <v>67</v>
      </c>
      <c r="C50" s="4" t="s">
        <v>2696</v>
      </c>
      <c r="D50" s="4" t="s">
        <v>2688</v>
      </c>
      <c r="E50" s="5" t="s">
        <v>2529</v>
      </c>
      <c r="F50" s="4" t="s">
        <v>2689</v>
      </c>
      <c r="G50" s="4" t="s">
        <v>2685</v>
      </c>
      <c r="H50" s="4" t="s">
        <v>2686</v>
      </c>
      <c r="I50" s="4" t="s">
        <v>2540</v>
      </c>
      <c r="J50" s="6">
        <v>46319</v>
      </c>
      <c r="K50" s="7"/>
      <c r="L50" s="4" t="s">
        <v>2711</v>
      </c>
      <c r="M50" s="4" t="s">
        <v>41</v>
      </c>
    </row>
    <row r="51" spans="1:13" ht="40" customHeight="1">
      <c r="A51" s="8" t="s">
        <v>2712</v>
      </c>
      <c r="B51" s="8" t="s">
        <v>67</v>
      </c>
      <c r="C51" s="8" t="s">
        <v>2696</v>
      </c>
      <c r="D51" s="8" t="s">
        <v>2713</v>
      </c>
      <c r="E51" s="5" t="s">
        <v>2529</v>
      </c>
      <c r="F51" s="8" t="s">
        <v>2714</v>
      </c>
      <c r="G51" s="8" t="s">
        <v>2685</v>
      </c>
      <c r="H51" s="8" t="s">
        <v>2686</v>
      </c>
      <c r="I51" s="8" t="s">
        <v>2540</v>
      </c>
      <c r="J51" s="9">
        <v>46319</v>
      </c>
      <c r="K51" s="7"/>
      <c r="L51" s="8" t="s">
        <v>2715</v>
      </c>
      <c r="M51" s="8" t="s">
        <v>41</v>
      </c>
    </row>
    <row r="52" spans="1:13" ht="40" customHeight="1">
      <c r="A52" s="4" t="s">
        <v>88</v>
      </c>
      <c r="B52" s="4" t="s">
        <v>81</v>
      </c>
      <c r="C52" s="4" t="s">
        <v>2664</v>
      </c>
      <c r="D52" s="4" t="s">
        <v>82</v>
      </c>
      <c r="E52" s="5" t="s">
        <v>2529</v>
      </c>
      <c r="F52" s="4" t="s">
        <v>2665</v>
      </c>
      <c r="G52" s="4" t="s">
        <v>2666</v>
      </c>
      <c r="H52" s="4" t="s">
        <v>2532</v>
      </c>
      <c r="I52" s="4" t="s">
        <v>2667</v>
      </c>
      <c r="J52" s="6">
        <v>46319</v>
      </c>
      <c r="K52" s="7"/>
      <c r="L52" s="4" t="s">
        <v>41</v>
      </c>
      <c r="M52" s="4" t="s">
        <v>91</v>
      </c>
    </row>
    <row r="53" spans="1:13" ht="40" customHeight="1">
      <c r="A53" s="8" t="s">
        <v>2716</v>
      </c>
      <c r="B53" s="8" t="s">
        <v>81</v>
      </c>
      <c r="C53" s="8" t="s">
        <v>2669</v>
      </c>
      <c r="D53" s="8" t="s">
        <v>2670</v>
      </c>
      <c r="E53" s="5" t="s">
        <v>2529</v>
      </c>
      <c r="F53" s="8" t="s">
        <v>2671</v>
      </c>
      <c r="G53" s="8" t="s">
        <v>2672</v>
      </c>
      <c r="H53" s="8" t="s">
        <v>2532</v>
      </c>
      <c r="I53" s="8" t="s">
        <v>2673</v>
      </c>
      <c r="J53" s="9">
        <v>46319</v>
      </c>
      <c r="K53" s="7"/>
      <c r="L53" s="8" t="s">
        <v>2717</v>
      </c>
      <c r="M53" s="8" t="s">
        <v>91</v>
      </c>
    </row>
    <row r="54" spans="1:13" ht="40" customHeight="1">
      <c r="A54" s="4" t="s">
        <v>2718</v>
      </c>
      <c r="B54" s="4" t="s">
        <v>81</v>
      </c>
      <c r="C54" s="4" t="s">
        <v>2676</v>
      </c>
      <c r="D54" s="4" t="s">
        <v>2677</v>
      </c>
      <c r="E54" s="5" t="s">
        <v>2529</v>
      </c>
      <c r="F54" s="4" t="s">
        <v>2678</v>
      </c>
      <c r="G54" s="4" t="s">
        <v>2679</v>
      </c>
      <c r="H54" s="4" t="s">
        <v>2532</v>
      </c>
      <c r="I54" s="4" t="s">
        <v>2673</v>
      </c>
      <c r="J54" s="6">
        <v>46319</v>
      </c>
      <c r="K54" s="7"/>
      <c r="L54" s="4" t="s">
        <v>2719</v>
      </c>
      <c r="M54" s="4" t="s">
        <v>91</v>
      </c>
    </row>
    <row r="55" spans="1:13" ht="40" customHeight="1">
      <c r="A55" s="8" t="s">
        <v>2720</v>
      </c>
      <c r="B55" s="8" t="s">
        <v>81</v>
      </c>
      <c r="C55" s="8" t="s">
        <v>2696</v>
      </c>
      <c r="D55" s="8" t="s">
        <v>2721</v>
      </c>
      <c r="E55" s="5" t="s">
        <v>2529</v>
      </c>
      <c r="F55" s="8" t="s">
        <v>2722</v>
      </c>
      <c r="G55" s="8" t="s">
        <v>2685</v>
      </c>
      <c r="H55" s="8" t="s">
        <v>2686</v>
      </c>
      <c r="I55" s="8" t="s">
        <v>2540</v>
      </c>
      <c r="J55" s="9">
        <v>46319</v>
      </c>
      <c r="K55" s="7"/>
      <c r="L55" s="8" t="s">
        <v>2721</v>
      </c>
      <c r="M55" s="8" t="s">
        <v>41</v>
      </c>
    </row>
    <row r="56" spans="1:13" ht="40" customHeight="1">
      <c r="A56" s="4" t="s">
        <v>2723</v>
      </c>
      <c r="B56" s="4" t="s">
        <v>81</v>
      </c>
      <c r="C56" s="4" t="s">
        <v>2682</v>
      </c>
      <c r="D56" s="4" t="s">
        <v>2724</v>
      </c>
      <c r="E56" s="5" t="s">
        <v>2537</v>
      </c>
      <c r="F56" s="4" t="s">
        <v>2725</v>
      </c>
      <c r="G56" s="4" t="s">
        <v>2685</v>
      </c>
      <c r="H56" s="4" t="s">
        <v>2686</v>
      </c>
      <c r="I56" s="4" t="s">
        <v>2540</v>
      </c>
      <c r="J56" s="6">
        <v>46319</v>
      </c>
      <c r="K56" s="7"/>
      <c r="L56" s="4" t="s">
        <v>2726</v>
      </c>
      <c r="M56" s="4" t="s">
        <v>41</v>
      </c>
    </row>
    <row r="57" spans="1:13" ht="40" customHeight="1">
      <c r="A57" s="8" t="s">
        <v>2727</v>
      </c>
      <c r="B57" s="8" t="s">
        <v>81</v>
      </c>
      <c r="C57" s="8" t="s">
        <v>2696</v>
      </c>
      <c r="D57" s="8" t="s">
        <v>2728</v>
      </c>
      <c r="E57" s="5" t="s">
        <v>2529</v>
      </c>
      <c r="F57" s="8" t="s">
        <v>2729</v>
      </c>
      <c r="G57" s="8" t="s">
        <v>2685</v>
      </c>
      <c r="H57" s="8" t="s">
        <v>2686</v>
      </c>
      <c r="I57" s="8" t="s">
        <v>2540</v>
      </c>
      <c r="J57" s="9">
        <v>46319</v>
      </c>
      <c r="K57" s="7"/>
      <c r="L57" s="8" t="s">
        <v>2730</v>
      </c>
      <c r="M57" s="8" t="s">
        <v>41</v>
      </c>
    </row>
    <row r="58" spans="1:13" ht="40" customHeight="1">
      <c r="A58" s="4" t="s">
        <v>102</v>
      </c>
      <c r="B58" s="4" t="s">
        <v>92</v>
      </c>
      <c r="C58" s="4" t="s">
        <v>2664</v>
      </c>
      <c r="D58" s="4" t="s">
        <v>105</v>
      </c>
      <c r="E58" s="5" t="s">
        <v>2529</v>
      </c>
      <c r="F58" s="4" t="s">
        <v>2665</v>
      </c>
      <c r="G58" s="4" t="s">
        <v>2666</v>
      </c>
      <c r="H58" s="4" t="s">
        <v>2532</v>
      </c>
      <c r="I58" s="4" t="s">
        <v>2667</v>
      </c>
      <c r="J58" s="6">
        <v>46319</v>
      </c>
      <c r="K58" s="7"/>
      <c r="L58" s="4" t="s">
        <v>41</v>
      </c>
      <c r="M58" s="4" t="s">
        <v>106</v>
      </c>
    </row>
    <row r="59" spans="1:13" ht="40" customHeight="1">
      <c r="A59" s="8" t="s">
        <v>2731</v>
      </c>
      <c r="B59" s="8" t="s">
        <v>92</v>
      </c>
      <c r="C59" s="8" t="s">
        <v>2669</v>
      </c>
      <c r="D59" s="8" t="s">
        <v>2670</v>
      </c>
      <c r="E59" s="5" t="s">
        <v>2529</v>
      </c>
      <c r="F59" s="8" t="s">
        <v>2671</v>
      </c>
      <c r="G59" s="8" t="s">
        <v>2672</v>
      </c>
      <c r="H59" s="8" t="s">
        <v>2532</v>
      </c>
      <c r="I59" s="8" t="s">
        <v>2673</v>
      </c>
      <c r="J59" s="9">
        <v>46319</v>
      </c>
      <c r="K59" s="7"/>
      <c r="L59" s="8" t="s">
        <v>2732</v>
      </c>
      <c r="M59" s="8" t="s">
        <v>106</v>
      </c>
    </row>
    <row r="60" spans="1:13" ht="40" customHeight="1">
      <c r="A60" s="4" t="s">
        <v>2733</v>
      </c>
      <c r="B60" s="4" t="s">
        <v>92</v>
      </c>
      <c r="C60" s="4" t="s">
        <v>2676</v>
      </c>
      <c r="D60" s="4" t="s">
        <v>2677</v>
      </c>
      <c r="E60" s="5" t="s">
        <v>2529</v>
      </c>
      <c r="F60" s="4" t="s">
        <v>2678</v>
      </c>
      <c r="G60" s="4" t="s">
        <v>2679</v>
      </c>
      <c r="H60" s="4" t="s">
        <v>2532</v>
      </c>
      <c r="I60" s="4" t="s">
        <v>2673</v>
      </c>
      <c r="J60" s="6">
        <v>46319</v>
      </c>
      <c r="K60" s="7"/>
      <c r="L60" s="4" t="s">
        <v>2734</v>
      </c>
      <c r="M60" s="4" t="s">
        <v>106</v>
      </c>
    </row>
    <row r="61" spans="1:13" ht="40" customHeight="1">
      <c r="A61" s="8" t="s">
        <v>2735</v>
      </c>
      <c r="B61" s="8" t="s">
        <v>92</v>
      </c>
      <c r="C61" s="8" t="s">
        <v>2696</v>
      </c>
      <c r="D61" s="8" t="s">
        <v>2736</v>
      </c>
      <c r="E61" s="5" t="s">
        <v>2529</v>
      </c>
      <c r="F61" s="8" t="s">
        <v>2737</v>
      </c>
      <c r="G61" s="8" t="s">
        <v>2685</v>
      </c>
      <c r="H61" s="8" t="s">
        <v>2686</v>
      </c>
      <c r="I61" s="8" t="s">
        <v>2540</v>
      </c>
      <c r="J61" s="9">
        <v>46319</v>
      </c>
      <c r="K61" s="7"/>
      <c r="L61" s="8" t="s">
        <v>2738</v>
      </c>
      <c r="M61" s="8" t="s">
        <v>41</v>
      </c>
    </row>
    <row r="62" spans="1:13" ht="40" customHeight="1">
      <c r="A62" s="4" t="s">
        <v>2739</v>
      </c>
      <c r="B62" s="4" t="s">
        <v>92</v>
      </c>
      <c r="C62" s="4" t="s">
        <v>2696</v>
      </c>
      <c r="D62" s="4" t="s">
        <v>2740</v>
      </c>
      <c r="E62" s="5" t="s">
        <v>2529</v>
      </c>
      <c r="F62" s="4" t="s">
        <v>2741</v>
      </c>
      <c r="G62" s="4" t="s">
        <v>2685</v>
      </c>
      <c r="H62" s="4" t="s">
        <v>2686</v>
      </c>
      <c r="I62" s="4" t="s">
        <v>2540</v>
      </c>
      <c r="J62" s="6">
        <v>46319</v>
      </c>
      <c r="K62" s="7"/>
      <c r="L62" s="4" t="s">
        <v>2742</v>
      </c>
      <c r="M62" s="4" t="s">
        <v>41</v>
      </c>
    </row>
    <row r="63" spans="1:13" ht="40" customHeight="1">
      <c r="A63" s="8" t="s">
        <v>2743</v>
      </c>
      <c r="B63" s="8" t="s">
        <v>92</v>
      </c>
      <c r="C63" s="8" t="s">
        <v>2696</v>
      </c>
      <c r="D63" s="8" t="s">
        <v>2688</v>
      </c>
      <c r="E63" s="5" t="s">
        <v>2529</v>
      </c>
      <c r="F63" s="8" t="s">
        <v>2689</v>
      </c>
      <c r="G63" s="8" t="s">
        <v>2685</v>
      </c>
      <c r="H63" s="8" t="s">
        <v>2686</v>
      </c>
      <c r="I63" s="8" t="s">
        <v>2540</v>
      </c>
      <c r="J63" s="9">
        <v>46319</v>
      </c>
      <c r="K63" s="7"/>
      <c r="L63" s="8" t="s">
        <v>2744</v>
      </c>
      <c r="M63" s="8" t="s">
        <v>41</v>
      </c>
    </row>
    <row r="64" spans="1:13" ht="40" customHeight="1">
      <c r="A64" s="4" t="s">
        <v>2745</v>
      </c>
      <c r="B64" s="4" t="s">
        <v>92</v>
      </c>
      <c r="C64" s="4" t="s">
        <v>2696</v>
      </c>
      <c r="D64" s="4" t="s">
        <v>2746</v>
      </c>
      <c r="E64" s="5" t="s">
        <v>2529</v>
      </c>
      <c r="F64" s="4" t="s">
        <v>2714</v>
      </c>
      <c r="G64" s="4" t="s">
        <v>2685</v>
      </c>
      <c r="H64" s="4" t="s">
        <v>2686</v>
      </c>
      <c r="I64" s="4" t="s">
        <v>2540</v>
      </c>
      <c r="J64" s="6">
        <v>46319</v>
      </c>
      <c r="K64" s="7"/>
      <c r="L64" s="4" t="s">
        <v>2747</v>
      </c>
      <c r="M64" s="4" t="s">
        <v>41</v>
      </c>
    </row>
    <row r="65" spans="1:13" ht="40" customHeight="1">
      <c r="A65" s="8" t="s">
        <v>2748</v>
      </c>
      <c r="B65" s="8" t="s">
        <v>92</v>
      </c>
      <c r="C65" s="8" t="s">
        <v>2696</v>
      </c>
      <c r="D65" s="8" t="s">
        <v>2749</v>
      </c>
      <c r="E65" s="5" t="s">
        <v>2529</v>
      </c>
      <c r="F65" s="8" t="s">
        <v>2750</v>
      </c>
      <c r="G65" s="8" t="s">
        <v>2685</v>
      </c>
      <c r="H65" s="8" t="s">
        <v>2686</v>
      </c>
      <c r="I65" s="8" t="s">
        <v>2540</v>
      </c>
      <c r="J65" s="9">
        <v>46319</v>
      </c>
      <c r="K65" s="7"/>
      <c r="L65" s="8" t="s">
        <v>2751</v>
      </c>
      <c r="M65" s="8" t="s">
        <v>41</v>
      </c>
    </row>
    <row r="66" spans="1:13" ht="40" customHeight="1">
      <c r="A66" s="4" t="s">
        <v>2752</v>
      </c>
      <c r="B66" s="4" t="s">
        <v>92</v>
      </c>
      <c r="C66" s="4" t="s">
        <v>2696</v>
      </c>
      <c r="D66" s="4" t="s">
        <v>2753</v>
      </c>
      <c r="E66" s="5" t="s">
        <v>2529</v>
      </c>
      <c r="F66" s="4" t="s">
        <v>2754</v>
      </c>
      <c r="G66" s="4" t="s">
        <v>2685</v>
      </c>
      <c r="H66" s="4" t="s">
        <v>2686</v>
      </c>
      <c r="I66" s="4" t="s">
        <v>2540</v>
      </c>
      <c r="J66" s="6">
        <v>46319</v>
      </c>
      <c r="K66" s="7"/>
      <c r="L66" s="4" t="s">
        <v>2755</v>
      </c>
      <c r="M66" s="4" t="s">
        <v>41</v>
      </c>
    </row>
    <row r="67" spans="1:13" ht="40" customHeight="1">
      <c r="A67" s="8" t="s">
        <v>2756</v>
      </c>
      <c r="B67" s="8" t="s">
        <v>92</v>
      </c>
      <c r="C67" s="8" t="s">
        <v>2696</v>
      </c>
      <c r="D67" s="8" t="s">
        <v>2757</v>
      </c>
      <c r="E67" s="5" t="s">
        <v>2529</v>
      </c>
      <c r="F67" s="8" t="s">
        <v>2758</v>
      </c>
      <c r="G67" s="8" t="s">
        <v>2685</v>
      </c>
      <c r="H67" s="8" t="s">
        <v>2686</v>
      </c>
      <c r="I67" s="8" t="s">
        <v>2540</v>
      </c>
      <c r="J67" s="9">
        <v>46319</v>
      </c>
      <c r="K67" s="7"/>
      <c r="L67" s="8" t="s">
        <v>2759</v>
      </c>
      <c r="M67" s="8" t="s">
        <v>41</v>
      </c>
    </row>
    <row r="68" spans="1:13" ht="40" customHeight="1">
      <c r="A68" s="4" t="s">
        <v>118</v>
      </c>
      <c r="B68" s="4" t="s">
        <v>107</v>
      </c>
      <c r="C68" s="4" t="s">
        <v>2664</v>
      </c>
      <c r="D68" s="4" t="s">
        <v>108</v>
      </c>
      <c r="E68" s="5" t="s">
        <v>2529</v>
      </c>
      <c r="F68" s="4" t="s">
        <v>2665</v>
      </c>
      <c r="G68" s="4" t="s">
        <v>2666</v>
      </c>
      <c r="H68" s="4" t="s">
        <v>2532</v>
      </c>
      <c r="I68" s="4" t="s">
        <v>2667</v>
      </c>
      <c r="J68" s="6">
        <v>46319</v>
      </c>
      <c r="K68" s="7"/>
      <c r="L68" s="4" t="s">
        <v>41</v>
      </c>
      <c r="M68" s="4" t="s">
        <v>120</v>
      </c>
    </row>
    <row r="69" spans="1:13" ht="40" customHeight="1">
      <c r="A69" s="8" t="s">
        <v>2760</v>
      </c>
      <c r="B69" s="8" t="s">
        <v>107</v>
      </c>
      <c r="C69" s="8" t="s">
        <v>2669</v>
      </c>
      <c r="D69" s="8" t="s">
        <v>2670</v>
      </c>
      <c r="E69" s="5" t="s">
        <v>2529</v>
      </c>
      <c r="F69" s="8" t="s">
        <v>2671</v>
      </c>
      <c r="G69" s="8" t="s">
        <v>2672</v>
      </c>
      <c r="H69" s="8" t="s">
        <v>2532</v>
      </c>
      <c r="I69" s="8" t="s">
        <v>2673</v>
      </c>
      <c r="J69" s="9">
        <v>46319</v>
      </c>
      <c r="K69" s="7"/>
      <c r="L69" s="8" t="s">
        <v>2761</v>
      </c>
      <c r="M69" s="8" t="s">
        <v>120</v>
      </c>
    </row>
    <row r="70" spans="1:13" ht="40" customHeight="1">
      <c r="A70" s="4" t="s">
        <v>2762</v>
      </c>
      <c r="B70" s="4" t="s">
        <v>107</v>
      </c>
      <c r="C70" s="4" t="s">
        <v>2676</v>
      </c>
      <c r="D70" s="4" t="s">
        <v>2677</v>
      </c>
      <c r="E70" s="5" t="s">
        <v>2529</v>
      </c>
      <c r="F70" s="4" t="s">
        <v>2678</v>
      </c>
      <c r="G70" s="4" t="s">
        <v>2679</v>
      </c>
      <c r="H70" s="4" t="s">
        <v>2532</v>
      </c>
      <c r="I70" s="4" t="s">
        <v>2673</v>
      </c>
      <c r="J70" s="6">
        <v>46319</v>
      </c>
      <c r="K70" s="7"/>
      <c r="L70" s="4" t="s">
        <v>2763</v>
      </c>
      <c r="M70" s="4" t="s">
        <v>120</v>
      </c>
    </row>
    <row r="71" spans="1:13" ht="40" customHeight="1">
      <c r="A71" s="8" t="s">
        <v>2764</v>
      </c>
      <c r="B71" s="8" t="s">
        <v>107</v>
      </c>
      <c r="C71" s="8" t="s">
        <v>2696</v>
      </c>
      <c r="D71" s="8" t="s">
        <v>2765</v>
      </c>
      <c r="E71" s="5" t="s">
        <v>2529</v>
      </c>
      <c r="F71" s="8" t="s">
        <v>2766</v>
      </c>
      <c r="G71" s="8" t="s">
        <v>2685</v>
      </c>
      <c r="H71" s="8" t="s">
        <v>2686</v>
      </c>
      <c r="I71" s="8" t="s">
        <v>2540</v>
      </c>
      <c r="J71" s="9">
        <v>46319</v>
      </c>
      <c r="K71" s="7"/>
      <c r="L71" s="8" t="s">
        <v>2765</v>
      </c>
      <c r="M71" s="8" t="s">
        <v>41</v>
      </c>
    </row>
    <row r="72" spans="1:13" ht="40" customHeight="1">
      <c r="A72" s="4" t="s">
        <v>2767</v>
      </c>
      <c r="B72" s="4" t="s">
        <v>107</v>
      </c>
      <c r="C72" s="4" t="s">
        <v>2696</v>
      </c>
      <c r="D72" s="4" t="s">
        <v>2768</v>
      </c>
      <c r="E72" s="5" t="s">
        <v>2529</v>
      </c>
      <c r="F72" s="4" t="s">
        <v>2689</v>
      </c>
      <c r="G72" s="4" t="s">
        <v>2685</v>
      </c>
      <c r="H72" s="4" t="s">
        <v>2686</v>
      </c>
      <c r="I72" s="4" t="s">
        <v>2540</v>
      </c>
      <c r="J72" s="6">
        <v>46319</v>
      </c>
      <c r="K72" s="7"/>
      <c r="L72" s="4" t="s">
        <v>2769</v>
      </c>
      <c r="M72" s="4" t="s">
        <v>41</v>
      </c>
    </row>
    <row r="73" spans="1:13" ht="40" customHeight="1">
      <c r="A73" s="8" t="s">
        <v>2770</v>
      </c>
      <c r="B73" s="8" t="s">
        <v>107</v>
      </c>
      <c r="C73" s="8" t="s">
        <v>2682</v>
      </c>
      <c r="D73" s="8" t="s">
        <v>2771</v>
      </c>
      <c r="E73" s="5" t="s">
        <v>2537</v>
      </c>
      <c r="F73" s="8" t="s">
        <v>2714</v>
      </c>
      <c r="G73" s="8" t="s">
        <v>2685</v>
      </c>
      <c r="H73" s="8" t="s">
        <v>2686</v>
      </c>
      <c r="I73" s="8" t="s">
        <v>2540</v>
      </c>
      <c r="J73" s="9">
        <v>46319</v>
      </c>
      <c r="K73" s="7"/>
      <c r="L73" s="8" t="s">
        <v>2772</v>
      </c>
      <c r="M73" s="8" t="s">
        <v>41</v>
      </c>
    </row>
    <row r="74" spans="1:13" ht="40" customHeight="1">
      <c r="A74" s="4" t="s">
        <v>2773</v>
      </c>
      <c r="B74" s="4" t="s">
        <v>107</v>
      </c>
      <c r="C74" s="4" t="s">
        <v>2682</v>
      </c>
      <c r="D74" s="4" t="s">
        <v>2774</v>
      </c>
      <c r="E74" s="5" t="s">
        <v>2537</v>
      </c>
      <c r="F74" s="4" t="s">
        <v>2775</v>
      </c>
      <c r="G74" s="4" t="s">
        <v>2685</v>
      </c>
      <c r="H74" s="4" t="s">
        <v>2686</v>
      </c>
      <c r="I74" s="4" t="s">
        <v>2540</v>
      </c>
      <c r="J74" s="6">
        <v>46319</v>
      </c>
      <c r="K74" s="7"/>
      <c r="L74" s="4" t="s">
        <v>2776</v>
      </c>
      <c r="M74" s="4" t="s">
        <v>41</v>
      </c>
    </row>
    <row r="75" spans="1:13" ht="40" customHeight="1">
      <c r="A75" s="8" t="s">
        <v>2777</v>
      </c>
      <c r="B75" s="8" t="s">
        <v>107</v>
      </c>
      <c r="C75" s="8" t="s">
        <v>2682</v>
      </c>
      <c r="D75" s="8" t="s">
        <v>2778</v>
      </c>
      <c r="E75" s="5" t="s">
        <v>2537</v>
      </c>
      <c r="F75" s="8" t="s">
        <v>2750</v>
      </c>
      <c r="G75" s="8" t="s">
        <v>2685</v>
      </c>
      <c r="H75" s="8" t="s">
        <v>2686</v>
      </c>
      <c r="I75" s="8" t="s">
        <v>2540</v>
      </c>
      <c r="J75" s="9">
        <v>46319</v>
      </c>
      <c r="K75" s="7"/>
      <c r="L75" s="8" t="s">
        <v>2779</v>
      </c>
      <c r="M75" s="8" t="s">
        <v>41</v>
      </c>
    </row>
    <row r="76" spans="1:13" ht="40" customHeight="1">
      <c r="A76" s="4" t="s">
        <v>2780</v>
      </c>
      <c r="B76" s="4" t="s">
        <v>107</v>
      </c>
      <c r="C76" s="4" t="s">
        <v>2682</v>
      </c>
      <c r="D76" s="4" t="s">
        <v>2781</v>
      </c>
      <c r="E76" s="5" t="s">
        <v>2537</v>
      </c>
      <c r="F76" s="4" t="s">
        <v>2754</v>
      </c>
      <c r="G76" s="4" t="s">
        <v>2685</v>
      </c>
      <c r="H76" s="4" t="s">
        <v>2686</v>
      </c>
      <c r="I76" s="4" t="s">
        <v>2540</v>
      </c>
      <c r="J76" s="6">
        <v>46319</v>
      </c>
      <c r="K76" s="7"/>
      <c r="L76" s="4" t="s">
        <v>2782</v>
      </c>
      <c r="M76" s="4" t="s">
        <v>41</v>
      </c>
    </row>
    <row r="77" spans="1:13" ht="40" customHeight="1">
      <c r="A77" s="8" t="s">
        <v>132</v>
      </c>
      <c r="B77" s="8" t="s">
        <v>121</v>
      </c>
      <c r="C77" s="8" t="s">
        <v>2664</v>
      </c>
      <c r="D77" s="8" t="s">
        <v>134</v>
      </c>
      <c r="E77" s="5" t="s">
        <v>2529</v>
      </c>
      <c r="F77" s="8" t="s">
        <v>2665</v>
      </c>
      <c r="G77" s="8" t="s">
        <v>2666</v>
      </c>
      <c r="H77" s="8" t="s">
        <v>2532</v>
      </c>
      <c r="I77" s="8" t="s">
        <v>2667</v>
      </c>
      <c r="J77" s="9">
        <v>46319</v>
      </c>
      <c r="K77" s="7"/>
      <c r="L77" s="8" t="s">
        <v>41</v>
      </c>
      <c r="M77" s="8" t="s">
        <v>135</v>
      </c>
    </row>
    <row r="78" spans="1:13" ht="40" customHeight="1">
      <c r="A78" s="4" t="s">
        <v>2783</v>
      </c>
      <c r="B78" s="4" t="s">
        <v>121</v>
      </c>
      <c r="C78" s="4" t="s">
        <v>2669</v>
      </c>
      <c r="D78" s="4" t="s">
        <v>2670</v>
      </c>
      <c r="E78" s="5" t="s">
        <v>2529</v>
      </c>
      <c r="F78" s="4" t="s">
        <v>2671</v>
      </c>
      <c r="G78" s="4" t="s">
        <v>2672</v>
      </c>
      <c r="H78" s="4" t="s">
        <v>2532</v>
      </c>
      <c r="I78" s="4" t="s">
        <v>2673</v>
      </c>
      <c r="J78" s="6">
        <v>46319</v>
      </c>
      <c r="K78" s="7"/>
      <c r="L78" s="4" t="s">
        <v>2784</v>
      </c>
      <c r="M78" s="4" t="s">
        <v>135</v>
      </c>
    </row>
    <row r="79" spans="1:13" ht="40" customHeight="1">
      <c r="A79" s="8" t="s">
        <v>2785</v>
      </c>
      <c r="B79" s="8" t="s">
        <v>121</v>
      </c>
      <c r="C79" s="8" t="s">
        <v>2676</v>
      </c>
      <c r="D79" s="8" t="s">
        <v>2677</v>
      </c>
      <c r="E79" s="5" t="s">
        <v>2529</v>
      </c>
      <c r="F79" s="8" t="s">
        <v>2678</v>
      </c>
      <c r="G79" s="8" t="s">
        <v>2679</v>
      </c>
      <c r="H79" s="8" t="s">
        <v>2532</v>
      </c>
      <c r="I79" s="8" t="s">
        <v>2673</v>
      </c>
      <c r="J79" s="9">
        <v>46319</v>
      </c>
      <c r="K79" s="7"/>
      <c r="L79" s="8" t="s">
        <v>2786</v>
      </c>
      <c r="M79" s="8" t="s">
        <v>135</v>
      </c>
    </row>
    <row r="80" spans="1:13" ht="40" customHeight="1">
      <c r="A80" s="4" t="s">
        <v>2787</v>
      </c>
      <c r="B80" s="4" t="s">
        <v>121</v>
      </c>
      <c r="C80" s="4" t="s">
        <v>2682</v>
      </c>
      <c r="D80" s="4" t="s">
        <v>2788</v>
      </c>
      <c r="E80" s="5" t="s">
        <v>2537</v>
      </c>
      <c r="F80" s="4" t="s">
        <v>2789</v>
      </c>
      <c r="G80" s="4" t="s">
        <v>2685</v>
      </c>
      <c r="H80" s="4" t="s">
        <v>2686</v>
      </c>
      <c r="I80" s="4" t="s">
        <v>2540</v>
      </c>
      <c r="J80" s="6">
        <v>46319</v>
      </c>
      <c r="K80" s="7"/>
      <c r="L80" s="4" t="s">
        <v>2790</v>
      </c>
      <c r="M80" s="4" t="s">
        <v>41</v>
      </c>
    </row>
    <row r="81" spans="1:13" ht="40" customHeight="1">
      <c r="A81" s="8" t="s">
        <v>2791</v>
      </c>
      <c r="B81" s="8" t="s">
        <v>121</v>
      </c>
      <c r="C81" s="8" t="s">
        <v>2682</v>
      </c>
      <c r="D81" s="8" t="s">
        <v>2792</v>
      </c>
      <c r="E81" s="5" t="s">
        <v>2537</v>
      </c>
      <c r="F81" s="8" t="s">
        <v>2793</v>
      </c>
      <c r="G81" s="8" t="s">
        <v>2685</v>
      </c>
      <c r="H81" s="8" t="s">
        <v>2686</v>
      </c>
      <c r="I81" s="8" t="s">
        <v>2540</v>
      </c>
      <c r="J81" s="9">
        <v>46319</v>
      </c>
      <c r="K81" s="7"/>
      <c r="L81" s="8" t="s">
        <v>2794</v>
      </c>
      <c r="M81" s="8" t="s">
        <v>41</v>
      </c>
    </row>
    <row r="82" spans="1:13" ht="40" customHeight="1">
      <c r="A82" s="4" t="s">
        <v>2795</v>
      </c>
      <c r="B82" s="4" t="s">
        <v>121</v>
      </c>
      <c r="C82" s="4" t="s">
        <v>2696</v>
      </c>
      <c r="D82" s="4" t="s">
        <v>2796</v>
      </c>
      <c r="E82" s="5" t="s">
        <v>2529</v>
      </c>
      <c r="F82" s="4" t="s">
        <v>2741</v>
      </c>
      <c r="G82" s="4" t="s">
        <v>2685</v>
      </c>
      <c r="H82" s="4" t="s">
        <v>2686</v>
      </c>
      <c r="I82" s="4" t="s">
        <v>2540</v>
      </c>
      <c r="J82" s="6">
        <v>46319</v>
      </c>
      <c r="K82" s="7"/>
      <c r="L82" s="4" t="s">
        <v>2797</v>
      </c>
      <c r="M82" s="4" t="s">
        <v>41</v>
      </c>
    </row>
    <row r="83" spans="1:13" ht="40" customHeight="1">
      <c r="A83" s="8" t="s">
        <v>2798</v>
      </c>
      <c r="B83" s="8" t="s">
        <v>121</v>
      </c>
      <c r="C83" s="8" t="s">
        <v>2696</v>
      </c>
      <c r="D83" s="8" t="s">
        <v>2799</v>
      </c>
      <c r="E83" s="5" t="s">
        <v>2529</v>
      </c>
      <c r="F83" s="8" t="s">
        <v>2800</v>
      </c>
      <c r="G83" s="8" t="s">
        <v>2685</v>
      </c>
      <c r="H83" s="8" t="s">
        <v>2686</v>
      </c>
      <c r="I83" s="8" t="s">
        <v>2540</v>
      </c>
      <c r="J83" s="9">
        <v>46319</v>
      </c>
      <c r="K83" s="7"/>
      <c r="L83" s="8" t="s">
        <v>2801</v>
      </c>
      <c r="M83" s="8" t="s">
        <v>41</v>
      </c>
    </row>
    <row r="84" spans="1:13" ht="40" customHeight="1">
      <c r="A84" s="4" t="s">
        <v>2802</v>
      </c>
      <c r="B84" s="4" t="s">
        <v>121</v>
      </c>
      <c r="C84" s="4" t="s">
        <v>2682</v>
      </c>
      <c r="D84" s="4" t="s">
        <v>2803</v>
      </c>
      <c r="E84" s="5" t="s">
        <v>2537</v>
      </c>
      <c r="F84" s="4" t="s">
        <v>2804</v>
      </c>
      <c r="G84" s="4" t="s">
        <v>2685</v>
      </c>
      <c r="H84" s="4" t="s">
        <v>2686</v>
      </c>
      <c r="I84" s="4" t="s">
        <v>2540</v>
      </c>
      <c r="J84" s="6">
        <v>46319</v>
      </c>
      <c r="K84" s="7"/>
      <c r="L84" s="4" t="s">
        <v>2805</v>
      </c>
      <c r="M84" s="4" t="s">
        <v>41</v>
      </c>
    </row>
    <row r="85" spans="1:13" ht="40" customHeight="1">
      <c r="A85" s="8" t="s">
        <v>2806</v>
      </c>
      <c r="B85" s="8" t="s">
        <v>121</v>
      </c>
      <c r="C85" s="8" t="s">
        <v>2696</v>
      </c>
      <c r="D85" s="8" t="s">
        <v>2688</v>
      </c>
      <c r="E85" s="5" t="s">
        <v>2529</v>
      </c>
      <c r="F85" s="8" t="s">
        <v>2689</v>
      </c>
      <c r="G85" s="8" t="s">
        <v>2685</v>
      </c>
      <c r="H85" s="8" t="s">
        <v>2686</v>
      </c>
      <c r="I85" s="8" t="s">
        <v>2540</v>
      </c>
      <c r="J85" s="9">
        <v>46319</v>
      </c>
      <c r="K85" s="7"/>
      <c r="L85" s="8" t="s">
        <v>2807</v>
      </c>
      <c r="M85" s="8" t="s">
        <v>41</v>
      </c>
    </row>
    <row r="86" spans="1:13" ht="40" customHeight="1">
      <c r="A86" s="4" t="s">
        <v>2808</v>
      </c>
      <c r="B86" s="4" t="s">
        <v>121</v>
      </c>
      <c r="C86" s="4" t="s">
        <v>2682</v>
      </c>
      <c r="D86" s="4" t="s">
        <v>2809</v>
      </c>
      <c r="E86" s="5" t="s">
        <v>2537</v>
      </c>
      <c r="F86" s="4" t="s">
        <v>2714</v>
      </c>
      <c r="G86" s="4" t="s">
        <v>2685</v>
      </c>
      <c r="H86" s="4" t="s">
        <v>2686</v>
      </c>
      <c r="I86" s="4" t="s">
        <v>2540</v>
      </c>
      <c r="J86" s="6">
        <v>46319</v>
      </c>
      <c r="K86" s="7"/>
      <c r="L86" s="4" t="s">
        <v>2810</v>
      </c>
      <c r="M86" s="4" t="s">
        <v>41</v>
      </c>
    </row>
    <row r="87" spans="1:13" ht="54" customHeight="1">
      <c r="A87" s="8" t="s">
        <v>2811</v>
      </c>
      <c r="B87" s="8" t="s">
        <v>121</v>
      </c>
      <c r="C87" s="8" t="s">
        <v>2696</v>
      </c>
      <c r="D87" s="8" t="s">
        <v>2812</v>
      </c>
      <c r="E87" s="5" t="s">
        <v>2529</v>
      </c>
      <c r="F87" s="8" t="s">
        <v>2775</v>
      </c>
      <c r="G87" s="8" t="s">
        <v>2685</v>
      </c>
      <c r="H87" s="8" t="s">
        <v>2686</v>
      </c>
      <c r="I87" s="8" t="s">
        <v>2540</v>
      </c>
      <c r="J87" s="9">
        <v>46319</v>
      </c>
      <c r="K87" s="7"/>
      <c r="L87" s="8" t="s">
        <v>2813</v>
      </c>
      <c r="M87" s="8" t="s">
        <v>41</v>
      </c>
    </row>
    <row r="88" spans="1:13" ht="40" customHeight="1">
      <c r="A88" s="4" t="s">
        <v>2814</v>
      </c>
      <c r="B88" s="4" t="s">
        <v>121</v>
      </c>
      <c r="C88" s="4" t="s">
        <v>2682</v>
      </c>
      <c r="D88" s="4" t="s">
        <v>2815</v>
      </c>
      <c r="E88" s="5" t="s">
        <v>2537</v>
      </c>
      <c r="F88" s="4" t="s">
        <v>2750</v>
      </c>
      <c r="G88" s="4" t="s">
        <v>2685</v>
      </c>
      <c r="H88" s="4" t="s">
        <v>2686</v>
      </c>
      <c r="I88" s="4" t="s">
        <v>2540</v>
      </c>
      <c r="J88" s="6">
        <v>46319</v>
      </c>
      <c r="K88" s="7"/>
      <c r="L88" s="4" t="s">
        <v>2816</v>
      </c>
      <c r="M88" s="4" t="s">
        <v>41</v>
      </c>
    </row>
    <row r="89" spans="1:13" ht="40" customHeight="1">
      <c r="A89" s="8" t="s">
        <v>2817</v>
      </c>
      <c r="B89" s="8" t="s">
        <v>121</v>
      </c>
      <c r="C89" s="8" t="s">
        <v>2696</v>
      </c>
      <c r="D89" s="8" t="s">
        <v>2818</v>
      </c>
      <c r="E89" s="5" t="s">
        <v>2529</v>
      </c>
      <c r="F89" s="8" t="s">
        <v>2754</v>
      </c>
      <c r="G89" s="8" t="s">
        <v>2685</v>
      </c>
      <c r="H89" s="8" t="s">
        <v>2686</v>
      </c>
      <c r="I89" s="8" t="s">
        <v>2540</v>
      </c>
      <c r="J89" s="9">
        <v>46319</v>
      </c>
      <c r="K89" s="7"/>
      <c r="L89" s="8" t="s">
        <v>2819</v>
      </c>
      <c r="M89" s="8" t="s">
        <v>41</v>
      </c>
    </row>
    <row r="90" spans="1:13" ht="40" customHeight="1">
      <c r="A90" s="4" t="s">
        <v>2820</v>
      </c>
      <c r="B90" s="4" t="s">
        <v>121</v>
      </c>
      <c r="C90" s="4" t="s">
        <v>2696</v>
      </c>
      <c r="D90" s="4" t="s">
        <v>2821</v>
      </c>
      <c r="E90" s="5" t="s">
        <v>2529</v>
      </c>
      <c r="F90" s="4" t="s">
        <v>2822</v>
      </c>
      <c r="G90" s="4" t="s">
        <v>2685</v>
      </c>
      <c r="H90" s="4" t="s">
        <v>2686</v>
      </c>
      <c r="I90" s="4" t="s">
        <v>2540</v>
      </c>
      <c r="J90" s="6">
        <v>46319</v>
      </c>
      <c r="K90" s="7"/>
      <c r="L90" s="4" t="s">
        <v>2823</v>
      </c>
      <c r="M90" s="4" t="s">
        <v>41</v>
      </c>
    </row>
    <row r="91" spans="1:13" ht="40" customHeight="1">
      <c r="A91" s="8" t="s">
        <v>144</v>
      </c>
      <c r="B91" s="8" t="s">
        <v>136</v>
      </c>
      <c r="C91" s="8" t="s">
        <v>2664</v>
      </c>
      <c r="D91" s="8" t="s">
        <v>145</v>
      </c>
      <c r="E91" s="5" t="s">
        <v>2529</v>
      </c>
      <c r="F91" s="8" t="s">
        <v>2665</v>
      </c>
      <c r="G91" s="8" t="s">
        <v>2666</v>
      </c>
      <c r="H91" s="8" t="s">
        <v>2532</v>
      </c>
      <c r="I91" s="8" t="s">
        <v>2667</v>
      </c>
      <c r="J91" s="9">
        <v>46319</v>
      </c>
      <c r="K91" s="7"/>
      <c r="L91" s="8" t="s">
        <v>41</v>
      </c>
      <c r="M91" s="8" t="s">
        <v>146</v>
      </c>
    </row>
    <row r="92" spans="1:13" ht="40" customHeight="1">
      <c r="A92" s="4" t="s">
        <v>2824</v>
      </c>
      <c r="B92" s="4" t="s">
        <v>136</v>
      </c>
      <c r="C92" s="4" t="s">
        <v>2669</v>
      </c>
      <c r="D92" s="4" t="s">
        <v>2670</v>
      </c>
      <c r="E92" s="5" t="s">
        <v>2529</v>
      </c>
      <c r="F92" s="4" t="s">
        <v>2671</v>
      </c>
      <c r="G92" s="4" t="s">
        <v>2672</v>
      </c>
      <c r="H92" s="4" t="s">
        <v>2532</v>
      </c>
      <c r="I92" s="4" t="s">
        <v>2673</v>
      </c>
      <c r="J92" s="6">
        <v>46319</v>
      </c>
      <c r="K92" s="7"/>
      <c r="L92" s="4" t="s">
        <v>2825</v>
      </c>
      <c r="M92" s="4" t="s">
        <v>146</v>
      </c>
    </row>
    <row r="93" spans="1:13" ht="40" customHeight="1">
      <c r="A93" s="8" t="s">
        <v>2826</v>
      </c>
      <c r="B93" s="8" t="s">
        <v>136</v>
      </c>
      <c r="C93" s="8" t="s">
        <v>2676</v>
      </c>
      <c r="D93" s="8" t="s">
        <v>2677</v>
      </c>
      <c r="E93" s="5" t="s">
        <v>2529</v>
      </c>
      <c r="F93" s="8" t="s">
        <v>2678</v>
      </c>
      <c r="G93" s="8" t="s">
        <v>2679</v>
      </c>
      <c r="H93" s="8" t="s">
        <v>2532</v>
      </c>
      <c r="I93" s="8" t="s">
        <v>2673</v>
      </c>
      <c r="J93" s="9">
        <v>46319</v>
      </c>
      <c r="K93" s="7"/>
      <c r="L93" s="8" t="s">
        <v>2827</v>
      </c>
      <c r="M93" s="8" t="s">
        <v>146</v>
      </c>
    </row>
    <row r="94" spans="1:13" ht="40" customHeight="1">
      <c r="A94" s="4" t="s">
        <v>2828</v>
      </c>
      <c r="B94" s="4" t="s">
        <v>136</v>
      </c>
      <c r="C94" s="4" t="s">
        <v>2682</v>
      </c>
      <c r="D94" s="4" t="s">
        <v>2792</v>
      </c>
      <c r="E94" s="5" t="s">
        <v>2537</v>
      </c>
      <c r="F94" s="4" t="s">
        <v>2829</v>
      </c>
      <c r="G94" s="4" t="s">
        <v>2685</v>
      </c>
      <c r="H94" s="4" t="s">
        <v>2686</v>
      </c>
      <c r="I94" s="4" t="s">
        <v>2540</v>
      </c>
      <c r="J94" s="6">
        <v>46319</v>
      </c>
      <c r="K94" s="7"/>
      <c r="L94" s="4" t="s">
        <v>2794</v>
      </c>
      <c r="M94" s="4" t="s">
        <v>41</v>
      </c>
    </row>
    <row r="95" spans="1:13" ht="40" customHeight="1">
      <c r="A95" s="8" t="s">
        <v>2830</v>
      </c>
      <c r="B95" s="8" t="s">
        <v>136</v>
      </c>
      <c r="C95" s="8" t="s">
        <v>2696</v>
      </c>
      <c r="D95" s="8" t="s">
        <v>2796</v>
      </c>
      <c r="E95" s="5" t="s">
        <v>2529</v>
      </c>
      <c r="F95" s="8" t="s">
        <v>2831</v>
      </c>
      <c r="G95" s="8" t="s">
        <v>2685</v>
      </c>
      <c r="H95" s="8" t="s">
        <v>2686</v>
      </c>
      <c r="I95" s="8" t="s">
        <v>2540</v>
      </c>
      <c r="J95" s="9">
        <v>46319</v>
      </c>
      <c r="K95" s="7"/>
      <c r="L95" s="8" t="s">
        <v>2797</v>
      </c>
      <c r="M95" s="8" t="s">
        <v>41</v>
      </c>
    </row>
    <row r="96" spans="1:13" ht="40" customHeight="1">
      <c r="A96" s="4" t="s">
        <v>2832</v>
      </c>
      <c r="B96" s="4" t="s">
        <v>136</v>
      </c>
      <c r="C96" s="4" t="s">
        <v>2696</v>
      </c>
      <c r="D96" s="4" t="s">
        <v>2799</v>
      </c>
      <c r="E96" s="5" t="s">
        <v>2529</v>
      </c>
      <c r="F96" s="4" t="s">
        <v>2833</v>
      </c>
      <c r="G96" s="4" t="s">
        <v>2685</v>
      </c>
      <c r="H96" s="4" t="s">
        <v>2686</v>
      </c>
      <c r="I96" s="4" t="s">
        <v>2540</v>
      </c>
      <c r="J96" s="6">
        <v>46319</v>
      </c>
      <c r="K96" s="7"/>
      <c r="L96" s="4" t="s">
        <v>2801</v>
      </c>
      <c r="M96" s="4" t="s">
        <v>41</v>
      </c>
    </row>
    <row r="97" spans="1:13" ht="40" customHeight="1">
      <c r="A97" s="8" t="s">
        <v>2834</v>
      </c>
      <c r="B97" s="8" t="s">
        <v>136</v>
      </c>
      <c r="C97" s="8" t="s">
        <v>2682</v>
      </c>
      <c r="D97" s="8" t="s">
        <v>2803</v>
      </c>
      <c r="E97" s="5" t="s">
        <v>2537</v>
      </c>
      <c r="F97" s="8" t="s">
        <v>2835</v>
      </c>
      <c r="G97" s="8" t="s">
        <v>2685</v>
      </c>
      <c r="H97" s="8" t="s">
        <v>2686</v>
      </c>
      <c r="I97" s="8" t="s">
        <v>2540</v>
      </c>
      <c r="J97" s="9">
        <v>46319</v>
      </c>
      <c r="K97" s="7"/>
      <c r="L97" s="8" t="s">
        <v>2805</v>
      </c>
      <c r="M97" s="8" t="s">
        <v>41</v>
      </c>
    </row>
    <row r="98" spans="1:13" ht="40" customHeight="1">
      <c r="A98" s="4" t="s">
        <v>2836</v>
      </c>
      <c r="B98" s="4" t="s">
        <v>136</v>
      </c>
      <c r="C98" s="4" t="s">
        <v>2682</v>
      </c>
      <c r="D98" s="4" t="s">
        <v>2837</v>
      </c>
      <c r="E98" s="5" t="s">
        <v>2537</v>
      </c>
      <c r="F98" s="4" t="s">
        <v>2838</v>
      </c>
      <c r="G98" s="4" t="s">
        <v>2685</v>
      </c>
      <c r="H98" s="4" t="s">
        <v>2686</v>
      </c>
      <c r="I98" s="4" t="s">
        <v>2540</v>
      </c>
      <c r="J98" s="6">
        <v>46319</v>
      </c>
      <c r="K98" s="7"/>
      <c r="L98" s="4" t="s">
        <v>2790</v>
      </c>
      <c r="M98" s="4" t="s">
        <v>41</v>
      </c>
    </row>
    <row r="99" spans="1:13" ht="40" customHeight="1">
      <c r="A99" s="8" t="s">
        <v>2839</v>
      </c>
      <c r="B99" s="8" t="s">
        <v>136</v>
      </c>
      <c r="C99" s="8" t="s">
        <v>2696</v>
      </c>
      <c r="D99" s="8" t="s">
        <v>2688</v>
      </c>
      <c r="E99" s="5" t="s">
        <v>2529</v>
      </c>
      <c r="F99" s="8" t="s">
        <v>2689</v>
      </c>
      <c r="G99" s="8" t="s">
        <v>2685</v>
      </c>
      <c r="H99" s="8" t="s">
        <v>2686</v>
      </c>
      <c r="I99" s="8" t="s">
        <v>2540</v>
      </c>
      <c r="J99" s="9">
        <v>46319</v>
      </c>
      <c r="K99" s="7"/>
      <c r="L99" s="8" t="s">
        <v>2807</v>
      </c>
      <c r="M99" s="8" t="s">
        <v>41</v>
      </c>
    </row>
    <row r="100" spans="1:13" ht="40" customHeight="1">
      <c r="A100" s="4" t="s">
        <v>2840</v>
      </c>
      <c r="B100" s="4" t="s">
        <v>136</v>
      </c>
      <c r="C100" s="4" t="s">
        <v>2696</v>
      </c>
      <c r="D100" s="4" t="s">
        <v>2818</v>
      </c>
      <c r="E100" s="5" t="s">
        <v>2529</v>
      </c>
      <c r="F100" s="4" t="s">
        <v>2775</v>
      </c>
      <c r="G100" s="4" t="s">
        <v>2685</v>
      </c>
      <c r="H100" s="4" t="s">
        <v>2686</v>
      </c>
      <c r="I100" s="4" t="s">
        <v>2540</v>
      </c>
      <c r="J100" s="6">
        <v>46319</v>
      </c>
      <c r="K100" s="7"/>
      <c r="L100" s="4" t="s">
        <v>2819</v>
      </c>
      <c r="M100" s="4" t="s">
        <v>41</v>
      </c>
    </row>
    <row r="101" spans="1:13" ht="40" customHeight="1">
      <c r="A101" s="8" t="s">
        <v>2841</v>
      </c>
      <c r="B101" s="8" t="s">
        <v>136</v>
      </c>
      <c r="C101" s="8" t="s">
        <v>2696</v>
      </c>
      <c r="D101" s="8" t="s">
        <v>2821</v>
      </c>
      <c r="E101" s="5" t="s">
        <v>2529</v>
      </c>
      <c r="F101" s="8" t="s">
        <v>2754</v>
      </c>
      <c r="G101" s="8" t="s">
        <v>2685</v>
      </c>
      <c r="H101" s="8" t="s">
        <v>2686</v>
      </c>
      <c r="I101" s="8" t="s">
        <v>2540</v>
      </c>
      <c r="J101" s="9">
        <v>46319</v>
      </c>
      <c r="K101" s="7"/>
      <c r="L101" s="8" t="s">
        <v>2823</v>
      </c>
      <c r="M101" s="8" t="s">
        <v>41</v>
      </c>
    </row>
    <row r="102" spans="1:13" ht="40" customHeight="1">
      <c r="A102" s="4" t="s">
        <v>157</v>
      </c>
      <c r="B102" s="4" t="s">
        <v>147</v>
      </c>
      <c r="C102" s="4" t="s">
        <v>2664</v>
      </c>
      <c r="D102" s="4" t="s">
        <v>148</v>
      </c>
      <c r="E102" s="5" t="s">
        <v>2529</v>
      </c>
      <c r="F102" s="4" t="s">
        <v>2665</v>
      </c>
      <c r="G102" s="4" t="s">
        <v>2842</v>
      </c>
      <c r="H102" s="4" t="s">
        <v>2532</v>
      </c>
      <c r="I102" s="4" t="s">
        <v>2843</v>
      </c>
      <c r="J102" s="6">
        <v>46318</v>
      </c>
      <c r="K102" s="7"/>
      <c r="L102" s="4" t="s">
        <v>41</v>
      </c>
      <c r="M102" s="4" t="s">
        <v>162</v>
      </c>
    </row>
    <row r="103" spans="1:13" ht="40" customHeight="1">
      <c r="A103" s="8" t="s">
        <v>170</v>
      </c>
      <c r="B103" s="8" t="s">
        <v>163</v>
      </c>
      <c r="C103" s="8" t="s">
        <v>2664</v>
      </c>
      <c r="D103" s="8" t="s">
        <v>164</v>
      </c>
      <c r="E103" s="5" t="s">
        <v>2529</v>
      </c>
      <c r="F103" s="8" t="s">
        <v>2665</v>
      </c>
      <c r="G103" s="8" t="s">
        <v>2842</v>
      </c>
      <c r="H103" s="8" t="s">
        <v>2532</v>
      </c>
      <c r="I103" s="8" t="s">
        <v>2843</v>
      </c>
      <c r="J103" s="9">
        <v>46318</v>
      </c>
      <c r="K103" s="7"/>
      <c r="L103" s="8" t="s">
        <v>41</v>
      </c>
      <c r="M103" s="8" t="s">
        <v>172</v>
      </c>
    </row>
    <row r="104" spans="1:13" ht="40" customHeight="1">
      <c r="A104" s="4" t="s">
        <v>182</v>
      </c>
      <c r="B104" s="4" t="s">
        <v>173</v>
      </c>
      <c r="C104" s="4" t="s">
        <v>2664</v>
      </c>
      <c r="D104" s="4" t="s">
        <v>174</v>
      </c>
      <c r="E104" s="5" t="s">
        <v>2529</v>
      </c>
      <c r="F104" s="4" t="s">
        <v>2665</v>
      </c>
      <c r="G104" s="4" t="s">
        <v>2666</v>
      </c>
      <c r="H104" s="4" t="s">
        <v>2532</v>
      </c>
      <c r="I104" s="4" t="s">
        <v>2667</v>
      </c>
      <c r="J104" s="6">
        <v>46319</v>
      </c>
      <c r="K104" s="7"/>
      <c r="L104" s="4" t="s">
        <v>41</v>
      </c>
      <c r="M104" s="4" t="s">
        <v>185</v>
      </c>
    </row>
    <row r="105" spans="1:13" ht="40" customHeight="1">
      <c r="A105" s="8" t="s">
        <v>2844</v>
      </c>
      <c r="B105" s="8" t="s">
        <v>173</v>
      </c>
      <c r="C105" s="8" t="s">
        <v>2669</v>
      </c>
      <c r="D105" s="8" t="s">
        <v>2670</v>
      </c>
      <c r="E105" s="5" t="s">
        <v>2529</v>
      </c>
      <c r="F105" s="8" t="s">
        <v>2671</v>
      </c>
      <c r="G105" s="8" t="s">
        <v>2672</v>
      </c>
      <c r="H105" s="8" t="s">
        <v>2532</v>
      </c>
      <c r="I105" s="8" t="s">
        <v>2673</v>
      </c>
      <c r="J105" s="9">
        <v>46319</v>
      </c>
      <c r="K105" s="7"/>
      <c r="L105" s="8" t="s">
        <v>2845</v>
      </c>
      <c r="M105" s="8" t="s">
        <v>185</v>
      </c>
    </row>
    <row r="106" spans="1:13" ht="40" customHeight="1">
      <c r="A106" s="4" t="s">
        <v>2846</v>
      </c>
      <c r="B106" s="4" t="s">
        <v>173</v>
      </c>
      <c r="C106" s="4" t="s">
        <v>2676</v>
      </c>
      <c r="D106" s="4" t="s">
        <v>2677</v>
      </c>
      <c r="E106" s="5" t="s">
        <v>2529</v>
      </c>
      <c r="F106" s="4" t="s">
        <v>2678</v>
      </c>
      <c r="G106" s="4" t="s">
        <v>2679</v>
      </c>
      <c r="H106" s="4" t="s">
        <v>2532</v>
      </c>
      <c r="I106" s="4" t="s">
        <v>2673</v>
      </c>
      <c r="J106" s="6">
        <v>46319</v>
      </c>
      <c r="K106" s="7"/>
      <c r="L106" s="4" t="s">
        <v>2847</v>
      </c>
      <c r="M106" s="4" t="s">
        <v>185</v>
      </c>
    </row>
    <row r="107" spans="1:13" ht="40" customHeight="1">
      <c r="A107" s="8" t="s">
        <v>2848</v>
      </c>
      <c r="B107" s="8" t="s">
        <v>173</v>
      </c>
      <c r="C107" s="8" t="s">
        <v>2696</v>
      </c>
      <c r="D107" s="8" t="s">
        <v>2849</v>
      </c>
      <c r="E107" s="5" t="s">
        <v>2529</v>
      </c>
      <c r="F107" s="8" t="s">
        <v>2850</v>
      </c>
      <c r="G107" s="8" t="s">
        <v>2685</v>
      </c>
      <c r="H107" s="8" t="s">
        <v>2686</v>
      </c>
      <c r="I107" s="8" t="s">
        <v>2540</v>
      </c>
      <c r="J107" s="9">
        <v>46319</v>
      </c>
      <c r="K107" s="7"/>
      <c r="L107" s="8" t="s">
        <v>2851</v>
      </c>
      <c r="M107" s="8" t="s">
        <v>41</v>
      </c>
    </row>
    <row r="108" spans="1:13" ht="40" customHeight="1">
      <c r="A108" s="4" t="s">
        <v>2852</v>
      </c>
      <c r="B108" s="4" t="s">
        <v>173</v>
      </c>
      <c r="C108" s="4" t="s">
        <v>2696</v>
      </c>
      <c r="D108" s="4" t="s">
        <v>2853</v>
      </c>
      <c r="E108" s="5" t="s">
        <v>2529</v>
      </c>
      <c r="F108" s="4" t="s">
        <v>2854</v>
      </c>
      <c r="G108" s="4" t="s">
        <v>2685</v>
      </c>
      <c r="H108" s="4" t="s">
        <v>2686</v>
      </c>
      <c r="I108" s="4" t="s">
        <v>2540</v>
      </c>
      <c r="J108" s="6">
        <v>46319</v>
      </c>
      <c r="K108" s="7"/>
      <c r="L108" s="4" t="s">
        <v>2855</v>
      </c>
      <c r="M108" s="4" t="s">
        <v>41</v>
      </c>
    </row>
    <row r="109" spans="1:13" ht="40" customHeight="1">
      <c r="A109" s="8" t="s">
        <v>2856</v>
      </c>
      <c r="B109" s="8" t="s">
        <v>173</v>
      </c>
      <c r="C109" s="8" t="s">
        <v>2696</v>
      </c>
      <c r="D109" s="8" t="s">
        <v>2857</v>
      </c>
      <c r="E109" s="5" t="s">
        <v>2529</v>
      </c>
      <c r="F109" s="8" t="s">
        <v>2858</v>
      </c>
      <c r="G109" s="8" t="s">
        <v>2685</v>
      </c>
      <c r="H109" s="8" t="s">
        <v>2686</v>
      </c>
      <c r="I109" s="8" t="s">
        <v>2540</v>
      </c>
      <c r="J109" s="9">
        <v>46319</v>
      </c>
      <c r="K109" s="7"/>
      <c r="L109" s="8" t="s">
        <v>2859</v>
      </c>
      <c r="M109" s="8" t="s">
        <v>41</v>
      </c>
    </row>
    <row r="110" spans="1:13" ht="40" customHeight="1">
      <c r="A110" s="4" t="s">
        <v>2860</v>
      </c>
      <c r="B110" s="4" t="s">
        <v>173</v>
      </c>
      <c r="C110" s="4" t="s">
        <v>2696</v>
      </c>
      <c r="D110" s="4" t="s">
        <v>2861</v>
      </c>
      <c r="E110" s="5" t="s">
        <v>2529</v>
      </c>
      <c r="F110" s="4" t="s">
        <v>2862</v>
      </c>
      <c r="G110" s="4" t="s">
        <v>2685</v>
      </c>
      <c r="H110" s="4" t="s">
        <v>2686</v>
      </c>
      <c r="I110" s="4" t="s">
        <v>2540</v>
      </c>
      <c r="J110" s="6">
        <v>46319</v>
      </c>
      <c r="K110" s="7"/>
      <c r="L110" s="4" t="s">
        <v>2863</v>
      </c>
      <c r="M110" s="4" t="s">
        <v>41</v>
      </c>
    </row>
    <row r="111" spans="1:13" ht="40" customHeight="1">
      <c r="A111" s="8" t="s">
        <v>2864</v>
      </c>
      <c r="B111" s="8" t="s">
        <v>173</v>
      </c>
      <c r="C111" s="8" t="s">
        <v>2696</v>
      </c>
      <c r="D111" s="8" t="s">
        <v>2865</v>
      </c>
      <c r="E111" s="5" t="s">
        <v>2529</v>
      </c>
      <c r="F111" s="8" t="s">
        <v>2714</v>
      </c>
      <c r="G111" s="8" t="s">
        <v>2685</v>
      </c>
      <c r="H111" s="8" t="s">
        <v>2686</v>
      </c>
      <c r="I111" s="8" t="s">
        <v>2540</v>
      </c>
      <c r="J111" s="9">
        <v>46319</v>
      </c>
      <c r="K111" s="7"/>
      <c r="L111" s="8" t="s">
        <v>2866</v>
      </c>
      <c r="M111" s="8" t="s">
        <v>41</v>
      </c>
    </row>
    <row r="112" spans="1:13" ht="40" customHeight="1">
      <c r="A112" s="4" t="s">
        <v>195</v>
      </c>
      <c r="B112" s="4" t="s">
        <v>186</v>
      </c>
      <c r="C112" s="4" t="s">
        <v>2664</v>
      </c>
      <c r="D112" s="4" t="s">
        <v>187</v>
      </c>
      <c r="E112" s="5" t="s">
        <v>2529</v>
      </c>
      <c r="F112" s="4" t="s">
        <v>2665</v>
      </c>
      <c r="G112" s="4" t="s">
        <v>2666</v>
      </c>
      <c r="H112" s="4" t="s">
        <v>2532</v>
      </c>
      <c r="I112" s="4" t="s">
        <v>2667</v>
      </c>
      <c r="J112" s="6">
        <v>46319</v>
      </c>
      <c r="K112" s="7"/>
      <c r="L112" s="4" t="s">
        <v>41</v>
      </c>
      <c r="M112" s="4" t="s">
        <v>197</v>
      </c>
    </row>
    <row r="113" spans="1:13" ht="40" customHeight="1">
      <c r="A113" s="8" t="s">
        <v>2867</v>
      </c>
      <c r="B113" s="8" t="s">
        <v>186</v>
      </c>
      <c r="C113" s="8" t="s">
        <v>2669</v>
      </c>
      <c r="D113" s="8" t="s">
        <v>2670</v>
      </c>
      <c r="E113" s="5" t="s">
        <v>2529</v>
      </c>
      <c r="F113" s="8" t="s">
        <v>2671</v>
      </c>
      <c r="G113" s="8" t="s">
        <v>2672</v>
      </c>
      <c r="H113" s="8" t="s">
        <v>2532</v>
      </c>
      <c r="I113" s="8" t="s">
        <v>2673</v>
      </c>
      <c r="J113" s="9">
        <v>46319</v>
      </c>
      <c r="K113" s="7"/>
      <c r="L113" s="8" t="s">
        <v>2868</v>
      </c>
      <c r="M113" s="8" t="s">
        <v>197</v>
      </c>
    </row>
    <row r="114" spans="1:13" ht="40" customHeight="1">
      <c r="A114" s="4" t="s">
        <v>2869</v>
      </c>
      <c r="B114" s="4" t="s">
        <v>186</v>
      </c>
      <c r="C114" s="4" t="s">
        <v>2676</v>
      </c>
      <c r="D114" s="4" t="s">
        <v>2677</v>
      </c>
      <c r="E114" s="5" t="s">
        <v>2529</v>
      </c>
      <c r="F114" s="4" t="s">
        <v>2678</v>
      </c>
      <c r="G114" s="4" t="s">
        <v>2679</v>
      </c>
      <c r="H114" s="4" t="s">
        <v>2532</v>
      </c>
      <c r="I114" s="4" t="s">
        <v>2673</v>
      </c>
      <c r="J114" s="6">
        <v>46319</v>
      </c>
      <c r="K114" s="7"/>
      <c r="L114" s="4" t="s">
        <v>2870</v>
      </c>
      <c r="M114" s="4" t="s">
        <v>197</v>
      </c>
    </row>
    <row r="115" spans="1:13" ht="54" customHeight="1">
      <c r="A115" s="8" t="s">
        <v>2871</v>
      </c>
      <c r="B115" s="8" t="s">
        <v>186</v>
      </c>
      <c r="C115" s="8" t="s">
        <v>2682</v>
      </c>
      <c r="D115" s="8" t="s">
        <v>2872</v>
      </c>
      <c r="E115" s="5" t="s">
        <v>2537</v>
      </c>
      <c r="F115" s="8" t="s">
        <v>2873</v>
      </c>
      <c r="G115" s="8" t="s">
        <v>2685</v>
      </c>
      <c r="H115" s="8" t="s">
        <v>2686</v>
      </c>
      <c r="I115" s="8" t="s">
        <v>2540</v>
      </c>
      <c r="J115" s="9">
        <v>46319</v>
      </c>
      <c r="K115" s="7"/>
      <c r="L115" s="8" t="s">
        <v>2874</v>
      </c>
      <c r="M115" s="8" t="s">
        <v>41</v>
      </c>
    </row>
    <row r="116" spans="1:13" ht="68" customHeight="1">
      <c r="A116" s="4" t="s">
        <v>207</v>
      </c>
      <c r="B116" s="4" t="s">
        <v>198</v>
      </c>
      <c r="C116" s="4" t="s">
        <v>2664</v>
      </c>
      <c r="D116" s="4" t="s">
        <v>199</v>
      </c>
      <c r="E116" s="5" t="s">
        <v>2529</v>
      </c>
      <c r="F116" s="4" t="s">
        <v>2665</v>
      </c>
      <c r="G116" s="4" t="s">
        <v>2666</v>
      </c>
      <c r="H116" s="4" t="s">
        <v>2532</v>
      </c>
      <c r="I116" s="4" t="s">
        <v>2667</v>
      </c>
      <c r="J116" s="6">
        <v>46319</v>
      </c>
      <c r="K116" s="7"/>
      <c r="L116" s="4" t="s">
        <v>41</v>
      </c>
      <c r="M116" s="4" t="s">
        <v>210</v>
      </c>
    </row>
    <row r="117" spans="1:13" ht="40" customHeight="1">
      <c r="A117" s="8" t="s">
        <v>2875</v>
      </c>
      <c r="B117" s="8" t="s">
        <v>198</v>
      </c>
      <c r="C117" s="8" t="s">
        <v>2669</v>
      </c>
      <c r="D117" s="8" t="s">
        <v>2670</v>
      </c>
      <c r="E117" s="5" t="s">
        <v>2529</v>
      </c>
      <c r="F117" s="8" t="s">
        <v>2671</v>
      </c>
      <c r="G117" s="8" t="s">
        <v>2672</v>
      </c>
      <c r="H117" s="8" t="s">
        <v>2532</v>
      </c>
      <c r="I117" s="8" t="s">
        <v>2673</v>
      </c>
      <c r="J117" s="9">
        <v>46319</v>
      </c>
      <c r="K117" s="7"/>
      <c r="L117" s="8" t="s">
        <v>2876</v>
      </c>
      <c r="M117" s="8" t="s">
        <v>210</v>
      </c>
    </row>
    <row r="118" spans="1:13" ht="40" customHeight="1">
      <c r="A118" s="4" t="s">
        <v>2877</v>
      </c>
      <c r="B118" s="4" t="s">
        <v>198</v>
      </c>
      <c r="C118" s="4" t="s">
        <v>2676</v>
      </c>
      <c r="D118" s="4" t="s">
        <v>2677</v>
      </c>
      <c r="E118" s="5" t="s">
        <v>2529</v>
      </c>
      <c r="F118" s="4" t="s">
        <v>2678</v>
      </c>
      <c r="G118" s="4" t="s">
        <v>2679</v>
      </c>
      <c r="H118" s="4" t="s">
        <v>2532</v>
      </c>
      <c r="I118" s="4" t="s">
        <v>2673</v>
      </c>
      <c r="J118" s="6">
        <v>46319</v>
      </c>
      <c r="K118" s="7"/>
      <c r="L118" s="4" t="s">
        <v>2878</v>
      </c>
      <c r="M118" s="4" t="s">
        <v>210</v>
      </c>
    </row>
    <row r="119" spans="1:13" ht="40" customHeight="1">
      <c r="A119" s="8" t="s">
        <v>2879</v>
      </c>
      <c r="B119" s="8" t="s">
        <v>198</v>
      </c>
      <c r="C119" s="8" t="s">
        <v>2682</v>
      </c>
      <c r="D119" s="8" t="s">
        <v>2880</v>
      </c>
      <c r="E119" s="5" t="s">
        <v>2537</v>
      </c>
      <c r="F119" s="8" t="s">
        <v>2881</v>
      </c>
      <c r="G119" s="8" t="s">
        <v>2685</v>
      </c>
      <c r="H119" s="8" t="s">
        <v>2686</v>
      </c>
      <c r="I119" s="8" t="s">
        <v>2540</v>
      </c>
      <c r="J119" s="9">
        <v>46319</v>
      </c>
      <c r="K119" s="7"/>
      <c r="L119" s="8" t="s">
        <v>2882</v>
      </c>
      <c r="M119" s="8" t="s">
        <v>41</v>
      </c>
    </row>
    <row r="120" spans="1:13" ht="40" customHeight="1">
      <c r="A120" s="4" t="s">
        <v>218</v>
      </c>
      <c r="B120" s="4" t="s">
        <v>211</v>
      </c>
      <c r="C120" s="4" t="s">
        <v>2664</v>
      </c>
      <c r="D120" s="4" t="s">
        <v>212</v>
      </c>
      <c r="E120" s="5" t="s">
        <v>2529</v>
      </c>
      <c r="F120" s="4" t="s">
        <v>2665</v>
      </c>
      <c r="G120" s="4" t="s">
        <v>2666</v>
      </c>
      <c r="H120" s="4" t="s">
        <v>2532</v>
      </c>
      <c r="I120" s="4" t="s">
        <v>2667</v>
      </c>
      <c r="J120" s="6">
        <v>46319</v>
      </c>
      <c r="K120" s="7"/>
      <c r="L120" s="4" t="s">
        <v>41</v>
      </c>
      <c r="M120" s="4" t="s">
        <v>220</v>
      </c>
    </row>
    <row r="121" spans="1:13" ht="40" customHeight="1">
      <c r="A121" s="8" t="s">
        <v>2883</v>
      </c>
      <c r="B121" s="8" t="s">
        <v>211</v>
      </c>
      <c r="C121" s="8" t="s">
        <v>2669</v>
      </c>
      <c r="D121" s="8" t="s">
        <v>2670</v>
      </c>
      <c r="E121" s="5" t="s">
        <v>2529</v>
      </c>
      <c r="F121" s="8" t="s">
        <v>2671</v>
      </c>
      <c r="G121" s="8" t="s">
        <v>2672</v>
      </c>
      <c r="H121" s="8" t="s">
        <v>2532</v>
      </c>
      <c r="I121" s="8" t="s">
        <v>2673</v>
      </c>
      <c r="J121" s="9">
        <v>46319</v>
      </c>
      <c r="K121" s="7"/>
      <c r="L121" s="8" t="s">
        <v>2884</v>
      </c>
      <c r="M121" s="8" t="s">
        <v>220</v>
      </c>
    </row>
    <row r="122" spans="1:13" ht="40" customHeight="1">
      <c r="A122" s="4" t="s">
        <v>2885</v>
      </c>
      <c r="B122" s="4" t="s">
        <v>211</v>
      </c>
      <c r="C122" s="4" t="s">
        <v>2676</v>
      </c>
      <c r="D122" s="4" t="s">
        <v>2677</v>
      </c>
      <c r="E122" s="5" t="s">
        <v>2529</v>
      </c>
      <c r="F122" s="4" t="s">
        <v>2678</v>
      </c>
      <c r="G122" s="4" t="s">
        <v>2679</v>
      </c>
      <c r="H122" s="4" t="s">
        <v>2532</v>
      </c>
      <c r="I122" s="4" t="s">
        <v>2673</v>
      </c>
      <c r="J122" s="6">
        <v>46319</v>
      </c>
      <c r="K122" s="7"/>
      <c r="L122" s="4" t="s">
        <v>2886</v>
      </c>
      <c r="M122" s="4" t="s">
        <v>220</v>
      </c>
    </row>
    <row r="123" spans="1:13" ht="40" customHeight="1">
      <c r="A123" s="8" t="s">
        <v>2887</v>
      </c>
      <c r="B123" s="8" t="s">
        <v>211</v>
      </c>
      <c r="C123" s="8" t="s">
        <v>2696</v>
      </c>
      <c r="D123" s="8" t="s">
        <v>2888</v>
      </c>
      <c r="E123" s="5" t="s">
        <v>2529</v>
      </c>
      <c r="F123" s="8" t="s">
        <v>2698</v>
      </c>
      <c r="G123" s="8" t="s">
        <v>2685</v>
      </c>
      <c r="H123" s="8" t="s">
        <v>2686</v>
      </c>
      <c r="I123" s="8" t="s">
        <v>2540</v>
      </c>
      <c r="J123" s="9">
        <v>46319</v>
      </c>
      <c r="K123" s="7"/>
      <c r="L123" s="8" t="s">
        <v>2889</v>
      </c>
      <c r="M123" s="8" t="s">
        <v>41</v>
      </c>
    </row>
    <row r="124" spans="1:13" ht="40" customHeight="1">
      <c r="A124" s="4" t="s">
        <v>2890</v>
      </c>
      <c r="B124" s="4" t="s">
        <v>211</v>
      </c>
      <c r="C124" s="4" t="s">
        <v>2696</v>
      </c>
      <c r="D124" s="4" t="s">
        <v>2891</v>
      </c>
      <c r="E124" s="5" t="s">
        <v>2529</v>
      </c>
      <c r="F124" s="4" t="s">
        <v>2892</v>
      </c>
      <c r="G124" s="4" t="s">
        <v>2685</v>
      </c>
      <c r="H124" s="4" t="s">
        <v>2686</v>
      </c>
      <c r="I124" s="4" t="s">
        <v>2540</v>
      </c>
      <c r="J124" s="6">
        <v>46319</v>
      </c>
      <c r="K124" s="7"/>
      <c r="L124" s="4" t="s">
        <v>2893</v>
      </c>
      <c r="M124" s="4" t="s">
        <v>41</v>
      </c>
    </row>
    <row r="125" spans="1:13" ht="40" customHeight="1">
      <c r="A125" s="8" t="s">
        <v>2894</v>
      </c>
      <c r="B125" s="8" t="s">
        <v>211</v>
      </c>
      <c r="C125" s="8" t="s">
        <v>2696</v>
      </c>
      <c r="D125" s="8" t="s">
        <v>2895</v>
      </c>
      <c r="E125" s="5" t="s">
        <v>2529</v>
      </c>
      <c r="F125" s="8" t="s">
        <v>2896</v>
      </c>
      <c r="G125" s="8" t="s">
        <v>2685</v>
      </c>
      <c r="H125" s="8" t="s">
        <v>2686</v>
      </c>
      <c r="I125" s="8" t="s">
        <v>2540</v>
      </c>
      <c r="J125" s="9">
        <v>46319</v>
      </c>
      <c r="K125" s="7"/>
      <c r="L125" s="8" t="s">
        <v>2897</v>
      </c>
      <c r="M125" s="8" t="s">
        <v>41</v>
      </c>
    </row>
    <row r="126" spans="1:13" ht="40" customHeight="1">
      <c r="A126" s="4" t="s">
        <v>2898</v>
      </c>
      <c r="B126" s="4" t="s">
        <v>211</v>
      </c>
      <c r="C126" s="4" t="s">
        <v>2696</v>
      </c>
      <c r="D126" s="4" t="s">
        <v>2899</v>
      </c>
      <c r="E126" s="5" t="s">
        <v>2529</v>
      </c>
      <c r="F126" s="4" t="s">
        <v>2900</v>
      </c>
      <c r="G126" s="4" t="s">
        <v>2685</v>
      </c>
      <c r="H126" s="4" t="s">
        <v>2686</v>
      </c>
      <c r="I126" s="4" t="s">
        <v>2540</v>
      </c>
      <c r="J126" s="6">
        <v>46319</v>
      </c>
      <c r="K126" s="7"/>
      <c r="L126" s="4" t="s">
        <v>2901</v>
      </c>
      <c r="M126" s="4" t="s">
        <v>41</v>
      </c>
    </row>
    <row r="127" spans="1:13" ht="40" customHeight="1">
      <c r="A127" s="8" t="s">
        <v>2902</v>
      </c>
      <c r="B127" s="8" t="s">
        <v>211</v>
      </c>
      <c r="C127" s="8" t="s">
        <v>2682</v>
      </c>
      <c r="D127" s="8" t="s">
        <v>2903</v>
      </c>
      <c r="E127" s="5" t="s">
        <v>2537</v>
      </c>
      <c r="F127" s="8" t="s">
        <v>2689</v>
      </c>
      <c r="G127" s="8" t="s">
        <v>2685</v>
      </c>
      <c r="H127" s="8" t="s">
        <v>2686</v>
      </c>
      <c r="I127" s="8" t="s">
        <v>2540</v>
      </c>
      <c r="J127" s="9">
        <v>46319</v>
      </c>
      <c r="K127" s="7"/>
      <c r="L127" s="8" t="s">
        <v>2904</v>
      </c>
      <c r="M127" s="8" t="s">
        <v>41</v>
      </c>
    </row>
    <row r="128" spans="1:13" ht="40" customHeight="1">
      <c r="A128" s="4" t="s">
        <v>228</v>
      </c>
      <c r="B128" s="4" t="s">
        <v>221</v>
      </c>
      <c r="C128" s="4" t="s">
        <v>2664</v>
      </c>
      <c r="D128" s="4" t="s">
        <v>222</v>
      </c>
      <c r="E128" s="5" t="s">
        <v>2529</v>
      </c>
      <c r="F128" s="4" t="s">
        <v>2665</v>
      </c>
      <c r="G128" s="4" t="s">
        <v>2666</v>
      </c>
      <c r="H128" s="4" t="s">
        <v>2532</v>
      </c>
      <c r="I128" s="4" t="s">
        <v>2667</v>
      </c>
      <c r="J128" s="6">
        <v>46319</v>
      </c>
      <c r="K128" s="7"/>
      <c r="L128" s="4" t="s">
        <v>41</v>
      </c>
      <c r="M128" s="4" t="s">
        <v>230</v>
      </c>
    </row>
    <row r="129" spans="1:13" ht="40" customHeight="1">
      <c r="A129" s="8" t="s">
        <v>2905</v>
      </c>
      <c r="B129" s="8" t="s">
        <v>221</v>
      </c>
      <c r="C129" s="8" t="s">
        <v>2669</v>
      </c>
      <c r="D129" s="8" t="s">
        <v>2670</v>
      </c>
      <c r="E129" s="5" t="s">
        <v>2529</v>
      </c>
      <c r="F129" s="8" t="s">
        <v>2671</v>
      </c>
      <c r="G129" s="8" t="s">
        <v>2672</v>
      </c>
      <c r="H129" s="8" t="s">
        <v>2532</v>
      </c>
      <c r="I129" s="8" t="s">
        <v>2673</v>
      </c>
      <c r="J129" s="9">
        <v>46319</v>
      </c>
      <c r="K129" s="7"/>
      <c r="L129" s="8" t="s">
        <v>2906</v>
      </c>
      <c r="M129" s="8" t="s">
        <v>230</v>
      </c>
    </row>
    <row r="130" spans="1:13" ht="40" customHeight="1">
      <c r="A130" s="4" t="s">
        <v>2907</v>
      </c>
      <c r="B130" s="4" t="s">
        <v>221</v>
      </c>
      <c r="C130" s="4" t="s">
        <v>2676</v>
      </c>
      <c r="D130" s="4" t="s">
        <v>2677</v>
      </c>
      <c r="E130" s="5" t="s">
        <v>2529</v>
      </c>
      <c r="F130" s="4" t="s">
        <v>2678</v>
      </c>
      <c r="G130" s="4" t="s">
        <v>2679</v>
      </c>
      <c r="H130" s="4" t="s">
        <v>2532</v>
      </c>
      <c r="I130" s="4" t="s">
        <v>2673</v>
      </c>
      <c r="J130" s="6">
        <v>46319</v>
      </c>
      <c r="K130" s="7"/>
      <c r="L130" s="4" t="s">
        <v>2908</v>
      </c>
      <c r="M130" s="4" t="s">
        <v>230</v>
      </c>
    </row>
    <row r="131" spans="1:13" ht="40" customHeight="1">
      <c r="A131" s="8" t="s">
        <v>2909</v>
      </c>
      <c r="B131" s="8" t="s">
        <v>221</v>
      </c>
      <c r="C131" s="8" t="s">
        <v>2696</v>
      </c>
      <c r="D131" s="8" t="s">
        <v>2910</v>
      </c>
      <c r="E131" s="5" t="s">
        <v>2529</v>
      </c>
      <c r="F131" s="8" t="s">
        <v>2829</v>
      </c>
      <c r="G131" s="8" t="s">
        <v>2685</v>
      </c>
      <c r="H131" s="8" t="s">
        <v>2686</v>
      </c>
      <c r="I131" s="8" t="s">
        <v>2540</v>
      </c>
      <c r="J131" s="9">
        <v>46319</v>
      </c>
      <c r="K131" s="7"/>
      <c r="L131" s="8" t="s">
        <v>2911</v>
      </c>
      <c r="M131" s="8" t="s">
        <v>41</v>
      </c>
    </row>
    <row r="132" spans="1:13" ht="40" customHeight="1">
      <c r="A132" s="4" t="s">
        <v>2912</v>
      </c>
      <c r="B132" s="4" t="s">
        <v>221</v>
      </c>
      <c r="C132" s="4" t="s">
        <v>2696</v>
      </c>
      <c r="D132" s="4" t="s">
        <v>2913</v>
      </c>
      <c r="E132" s="5" t="s">
        <v>2529</v>
      </c>
      <c r="F132" s="4" t="s">
        <v>2914</v>
      </c>
      <c r="G132" s="4" t="s">
        <v>2685</v>
      </c>
      <c r="H132" s="4" t="s">
        <v>2686</v>
      </c>
      <c r="I132" s="4" t="s">
        <v>2540</v>
      </c>
      <c r="J132" s="6">
        <v>46319</v>
      </c>
      <c r="K132" s="7"/>
      <c r="L132" s="4" t="s">
        <v>2913</v>
      </c>
      <c r="M132" s="4" t="s">
        <v>41</v>
      </c>
    </row>
    <row r="133" spans="1:13" ht="40" customHeight="1">
      <c r="A133" s="8" t="s">
        <v>2915</v>
      </c>
      <c r="B133" s="8" t="s">
        <v>221</v>
      </c>
      <c r="C133" s="8" t="s">
        <v>2696</v>
      </c>
      <c r="D133" s="8" t="s">
        <v>2916</v>
      </c>
      <c r="E133" s="5" t="s">
        <v>2529</v>
      </c>
      <c r="F133" s="8" t="s">
        <v>2917</v>
      </c>
      <c r="G133" s="8" t="s">
        <v>2685</v>
      </c>
      <c r="H133" s="8" t="s">
        <v>2686</v>
      </c>
      <c r="I133" s="8" t="s">
        <v>2540</v>
      </c>
      <c r="J133" s="9">
        <v>46319</v>
      </c>
      <c r="K133" s="7"/>
      <c r="L133" s="8" t="s">
        <v>2918</v>
      </c>
      <c r="M133" s="8" t="s">
        <v>41</v>
      </c>
    </row>
    <row r="134" spans="1:13" ht="40" customHeight="1">
      <c r="A134" s="4" t="s">
        <v>2919</v>
      </c>
      <c r="B134" s="4" t="s">
        <v>221</v>
      </c>
      <c r="C134" s="4" t="s">
        <v>2696</v>
      </c>
      <c r="D134" s="4" t="s">
        <v>2920</v>
      </c>
      <c r="E134" s="5" t="s">
        <v>2529</v>
      </c>
      <c r="F134" s="4" t="s">
        <v>2921</v>
      </c>
      <c r="G134" s="4" t="s">
        <v>2685</v>
      </c>
      <c r="H134" s="4" t="s">
        <v>2686</v>
      </c>
      <c r="I134" s="4" t="s">
        <v>2540</v>
      </c>
      <c r="J134" s="6">
        <v>46319</v>
      </c>
      <c r="K134" s="7"/>
      <c r="L134" s="4" t="s">
        <v>2920</v>
      </c>
      <c r="M134" s="4" t="s">
        <v>41</v>
      </c>
    </row>
    <row r="135" spans="1:13" ht="40" customHeight="1">
      <c r="A135" s="8" t="s">
        <v>2922</v>
      </c>
      <c r="B135" s="8" t="s">
        <v>221</v>
      </c>
      <c r="C135" s="8" t="s">
        <v>2682</v>
      </c>
      <c r="D135" s="8" t="s">
        <v>2688</v>
      </c>
      <c r="E135" s="5" t="s">
        <v>2537</v>
      </c>
      <c r="F135" s="8" t="s">
        <v>2689</v>
      </c>
      <c r="G135" s="8" t="s">
        <v>2685</v>
      </c>
      <c r="H135" s="8" t="s">
        <v>2686</v>
      </c>
      <c r="I135" s="8" t="s">
        <v>2540</v>
      </c>
      <c r="J135" s="9">
        <v>46319</v>
      </c>
      <c r="K135" s="7"/>
      <c r="L135" s="8" t="s">
        <v>2923</v>
      </c>
      <c r="M135" s="8" t="s">
        <v>41</v>
      </c>
    </row>
    <row r="136" spans="1:13" ht="54" customHeight="1">
      <c r="A136" s="4" t="s">
        <v>237</v>
      </c>
      <c r="B136" s="4" t="s">
        <v>231</v>
      </c>
      <c r="C136" s="4" t="s">
        <v>2664</v>
      </c>
      <c r="D136" s="4" t="s">
        <v>232</v>
      </c>
      <c r="E136" s="5" t="s">
        <v>2529</v>
      </c>
      <c r="F136" s="4" t="s">
        <v>2665</v>
      </c>
      <c r="G136" s="4" t="s">
        <v>2666</v>
      </c>
      <c r="H136" s="4" t="s">
        <v>2532</v>
      </c>
      <c r="I136" s="4" t="s">
        <v>2667</v>
      </c>
      <c r="J136" s="6">
        <v>46319</v>
      </c>
      <c r="K136" s="7"/>
      <c r="L136" s="4" t="s">
        <v>41</v>
      </c>
      <c r="M136" s="4" t="s">
        <v>239</v>
      </c>
    </row>
    <row r="137" spans="1:13" ht="40" customHeight="1">
      <c r="A137" s="8" t="s">
        <v>2924</v>
      </c>
      <c r="B137" s="8" t="s">
        <v>231</v>
      </c>
      <c r="C137" s="8" t="s">
        <v>2669</v>
      </c>
      <c r="D137" s="8" t="s">
        <v>2670</v>
      </c>
      <c r="E137" s="5" t="s">
        <v>2529</v>
      </c>
      <c r="F137" s="8" t="s">
        <v>2671</v>
      </c>
      <c r="G137" s="8" t="s">
        <v>2672</v>
      </c>
      <c r="H137" s="8" t="s">
        <v>2532</v>
      </c>
      <c r="I137" s="8" t="s">
        <v>2673</v>
      </c>
      <c r="J137" s="9">
        <v>46319</v>
      </c>
      <c r="K137" s="7"/>
      <c r="L137" s="8" t="s">
        <v>2925</v>
      </c>
      <c r="M137" s="8" t="s">
        <v>239</v>
      </c>
    </row>
    <row r="138" spans="1:13" ht="40" customHeight="1">
      <c r="A138" s="4" t="s">
        <v>2926</v>
      </c>
      <c r="B138" s="4" t="s">
        <v>231</v>
      </c>
      <c r="C138" s="4" t="s">
        <v>2676</v>
      </c>
      <c r="D138" s="4" t="s">
        <v>2677</v>
      </c>
      <c r="E138" s="5" t="s">
        <v>2529</v>
      </c>
      <c r="F138" s="4" t="s">
        <v>2678</v>
      </c>
      <c r="G138" s="4" t="s">
        <v>2679</v>
      </c>
      <c r="H138" s="4" t="s">
        <v>2532</v>
      </c>
      <c r="I138" s="4" t="s">
        <v>2673</v>
      </c>
      <c r="J138" s="6">
        <v>46319</v>
      </c>
      <c r="K138" s="7"/>
      <c r="L138" s="4" t="s">
        <v>2927</v>
      </c>
      <c r="M138" s="4" t="s">
        <v>239</v>
      </c>
    </row>
    <row r="139" spans="1:13" ht="40" customHeight="1">
      <c r="A139" s="8" t="s">
        <v>2928</v>
      </c>
      <c r="B139" s="8" t="s">
        <v>231</v>
      </c>
      <c r="C139" s="8" t="s">
        <v>2682</v>
      </c>
      <c r="D139" s="8" t="s">
        <v>2929</v>
      </c>
      <c r="E139" s="5" t="s">
        <v>2537</v>
      </c>
      <c r="F139" s="8" t="s">
        <v>2689</v>
      </c>
      <c r="G139" s="8" t="s">
        <v>2685</v>
      </c>
      <c r="H139" s="8" t="s">
        <v>2686</v>
      </c>
      <c r="I139" s="8" t="s">
        <v>2540</v>
      </c>
      <c r="J139" s="9">
        <v>46319</v>
      </c>
      <c r="K139" s="7"/>
      <c r="L139" s="8" t="s">
        <v>2930</v>
      </c>
      <c r="M139" s="8" t="s">
        <v>41</v>
      </c>
    </row>
    <row r="140" spans="1:13" ht="40" customHeight="1">
      <c r="A140" s="4" t="s">
        <v>246</v>
      </c>
      <c r="B140" s="4" t="s">
        <v>240</v>
      </c>
      <c r="C140" s="4" t="s">
        <v>2664</v>
      </c>
      <c r="D140" s="4" t="s">
        <v>241</v>
      </c>
      <c r="E140" s="5" t="s">
        <v>2529</v>
      </c>
      <c r="F140" s="4" t="s">
        <v>2665</v>
      </c>
      <c r="G140" s="4" t="s">
        <v>2666</v>
      </c>
      <c r="H140" s="4" t="s">
        <v>2532</v>
      </c>
      <c r="I140" s="4" t="s">
        <v>2667</v>
      </c>
      <c r="J140" s="6">
        <v>46319</v>
      </c>
      <c r="K140" s="7"/>
      <c r="L140" s="4" t="s">
        <v>41</v>
      </c>
      <c r="M140" s="4" t="s">
        <v>248</v>
      </c>
    </row>
    <row r="141" spans="1:13" ht="40" customHeight="1">
      <c r="A141" s="8" t="s">
        <v>2931</v>
      </c>
      <c r="B141" s="8" t="s">
        <v>240</v>
      </c>
      <c r="C141" s="8" t="s">
        <v>2669</v>
      </c>
      <c r="D141" s="8" t="s">
        <v>2670</v>
      </c>
      <c r="E141" s="5" t="s">
        <v>2529</v>
      </c>
      <c r="F141" s="8" t="s">
        <v>2671</v>
      </c>
      <c r="G141" s="8" t="s">
        <v>2672</v>
      </c>
      <c r="H141" s="8" t="s">
        <v>2532</v>
      </c>
      <c r="I141" s="8" t="s">
        <v>2673</v>
      </c>
      <c r="J141" s="9">
        <v>46319</v>
      </c>
      <c r="K141" s="7"/>
      <c r="L141" s="8" t="s">
        <v>2932</v>
      </c>
      <c r="M141" s="8" t="s">
        <v>248</v>
      </c>
    </row>
    <row r="142" spans="1:13" ht="40" customHeight="1">
      <c r="A142" s="4" t="s">
        <v>2933</v>
      </c>
      <c r="B142" s="4" t="s">
        <v>240</v>
      </c>
      <c r="C142" s="4" t="s">
        <v>2676</v>
      </c>
      <c r="D142" s="4" t="s">
        <v>2677</v>
      </c>
      <c r="E142" s="5" t="s">
        <v>2529</v>
      </c>
      <c r="F142" s="4" t="s">
        <v>2678</v>
      </c>
      <c r="G142" s="4" t="s">
        <v>2679</v>
      </c>
      <c r="H142" s="4" t="s">
        <v>2532</v>
      </c>
      <c r="I142" s="4" t="s">
        <v>2673</v>
      </c>
      <c r="J142" s="6">
        <v>46319</v>
      </c>
      <c r="K142" s="7"/>
      <c r="L142" s="4" t="s">
        <v>2934</v>
      </c>
      <c r="M142" s="4" t="s">
        <v>248</v>
      </c>
    </row>
    <row r="143" spans="1:13" ht="40" customHeight="1">
      <c r="A143" s="8" t="s">
        <v>2935</v>
      </c>
      <c r="B143" s="8" t="s">
        <v>240</v>
      </c>
      <c r="C143" s="8" t="s">
        <v>2696</v>
      </c>
      <c r="D143" s="8" t="s">
        <v>2936</v>
      </c>
      <c r="E143" s="5" t="s">
        <v>2529</v>
      </c>
      <c r="F143" s="8" t="s">
        <v>2689</v>
      </c>
      <c r="G143" s="8" t="s">
        <v>2685</v>
      </c>
      <c r="H143" s="8" t="s">
        <v>2686</v>
      </c>
      <c r="I143" s="8" t="s">
        <v>2540</v>
      </c>
      <c r="J143" s="9">
        <v>46319</v>
      </c>
      <c r="K143" s="7"/>
      <c r="L143" s="8" t="s">
        <v>2937</v>
      </c>
      <c r="M143" s="8" t="s">
        <v>41</v>
      </c>
    </row>
    <row r="144" spans="1:13" ht="40" customHeight="1">
      <c r="A144" s="4" t="s">
        <v>2938</v>
      </c>
      <c r="B144" s="4" t="s">
        <v>240</v>
      </c>
      <c r="C144" s="4" t="s">
        <v>2696</v>
      </c>
      <c r="D144" s="4" t="s">
        <v>2939</v>
      </c>
      <c r="E144" s="5" t="s">
        <v>2529</v>
      </c>
      <c r="F144" s="4" t="s">
        <v>2714</v>
      </c>
      <c r="G144" s="4" t="s">
        <v>2685</v>
      </c>
      <c r="H144" s="4" t="s">
        <v>2686</v>
      </c>
      <c r="I144" s="4" t="s">
        <v>2540</v>
      </c>
      <c r="J144" s="6">
        <v>46319</v>
      </c>
      <c r="K144" s="7"/>
      <c r="L144" s="4" t="s">
        <v>2940</v>
      </c>
      <c r="M144" s="4" t="s">
        <v>41</v>
      </c>
    </row>
    <row r="145" spans="1:13" ht="40" customHeight="1">
      <c r="A145" s="8" t="s">
        <v>2941</v>
      </c>
      <c r="B145" s="8" t="s">
        <v>240</v>
      </c>
      <c r="C145" s="8" t="s">
        <v>2682</v>
      </c>
      <c r="D145" s="8" t="s">
        <v>2942</v>
      </c>
      <c r="E145" s="5" t="s">
        <v>2537</v>
      </c>
      <c r="F145" s="8" t="s">
        <v>2775</v>
      </c>
      <c r="G145" s="8" t="s">
        <v>2685</v>
      </c>
      <c r="H145" s="8" t="s">
        <v>2686</v>
      </c>
      <c r="I145" s="8" t="s">
        <v>2540</v>
      </c>
      <c r="J145" s="9">
        <v>46319</v>
      </c>
      <c r="K145" s="7"/>
      <c r="L145" s="8" t="s">
        <v>2943</v>
      </c>
      <c r="M145" s="8" t="s">
        <v>41</v>
      </c>
    </row>
    <row r="146" spans="1:13" ht="40" customHeight="1">
      <c r="A146" s="4" t="s">
        <v>256</v>
      </c>
      <c r="B146" s="4" t="s">
        <v>249</v>
      </c>
      <c r="C146" s="4" t="s">
        <v>2664</v>
      </c>
      <c r="D146" s="4" t="s">
        <v>250</v>
      </c>
      <c r="E146" s="5" t="s">
        <v>2529</v>
      </c>
      <c r="F146" s="4" t="s">
        <v>2665</v>
      </c>
      <c r="G146" s="4" t="s">
        <v>2666</v>
      </c>
      <c r="H146" s="4" t="s">
        <v>2532</v>
      </c>
      <c r="I146" s="4" t="s">
        <v>2667</v>
      </c>
      <c r="J146" s="6">
        <v>46319</v>
      </c>
      <c r="K146" s="7"/>
      <c r="L146" s="4" t="s">
        <v>41</v>
      </c>
      <c r="M146" s="4" t="s">
        <v>259</v>
      </c>
    </row>
    <row r="147" spans="1:13" ht="40" customHeight="1">
      <c r="A147" s="8" t="s">
        <v>2944</v>
      </c>
      <c r="B147" s="8" t="s">
        <v>249</v>
      </c>
      <c r="C147" s="8" t="s">
        <v>2669</v>
      </c>
      <c r="D147" s="8" t="s">
        <v>2670</v>
      </c>
      <c r="E147" s="5" t="s">
        <v>2529</v>
      </c>
      <c r="F147" s="8" t="s">
        <v>2671</v>
      </c>
      <c r="G147" s="8" t="s">
        <v>2672</v>
      </c>
      <c r="H147" s="8" t="s">
        <v>2532</v>
      </c>
      <c r="I147" s="8" t="s">
        <v>2673</v>
      </c>
      <c r="J147" s="9">
        <v>46319</v>
      </c>
      <c r="K147" s="7"/>
      <c r="L147" s="8" t="s">
        <v>2945</v>
      </c>
      <c r="M147" s="8" t="s">
        <v>259</v>
      </c>
    </row>
    <row r="148" spans="1:13" ht="40" customHeight="1">
      <c r="A148" s="4" t="s">
        <v>2946</v>
      </c>
      <c r="B148" s="4" t="s">
        <v>249</v>
      </c>
      <c r="C148" s="4" t="s">
        <v>2676</v>
      </c>
      <c r="D148" s="4" t="s">
        <v>2677</v>
      </c>
      <c r="E148" s="5" t="s">
        <v>2529</v>
      </c>
      <c r="F148" s="4" t="s">
        <v>2678</v>
      </c>
      <c r="G148" s="4" t="s">
        <v>2679</v>
      </c>
      <c r="H148" s="4" t="s">
        <v>2532</v>
      </c>
      <c r="I148" s="4" t="s">
        <v>2673</v>
      </c>
      <c r="J148" s="6">
        <v>46319</v>
      </c>
      <c r="K148" s="7"/>
      <c r="L148" s="4" t="s">
        <v>2947</v>
      </c>
      <c r="M148" s="4" t="s">
        <v>259</v>
      </c>
    </row>
    <row r="149" spans="1:13" ht="40" customHeight="1">
      <c r="A149" s="8" t="s">
        <v>2948</v>
      </c>
      <c r="B149" s="8" t="s">
        <v>249</v>
      </c>
      <c r="C149" s="8" t="s">
        <v>2696</v>
      </c>
      <c r="D149" s="8" t="s">
        <v>2949</v>
      </c>
      <c r="E149" s="5" t="s">
        <v>2529</v>
      </c>
      <c r="F149" s="8" t="s">
        <v>2789</v>
      </c>
      <c r="G149" s="8" t="s">
        <v>2685</v>
      </c>
      <c r="H149" s="8" t="s">
        <v>2686</v>
      </c>
      <c r="I149" s="8" t="s">
        <v>2540</v>
      </c>
      <c r="J149" s="9">
        <v>46319</v>
      </c>
      <c r="K149" s="7"/>
      <c r="L149" s="8" t="s">
        <v>2950</v>
      </c>
      <c r="M149" s="8" t="s">
        <v>41</v>
      </c>
    </row>
    <row r="150" spans="1:13" ht="40" customHeight="1">
      <c r="A150" s="4" t="s">
        <v>2951</v>
      </c>
      <c r="B150" s="4" t="s">
        <v>249</v>
      </c>
      <c r="C150" s="4" t="s">
        <v>2696</v>
      </c>
      <c r="D150" s="4" t="s">
        <v>2952</v>
      </c>
      <c r="E150" s="5" t="s">
        <v>2529</v>
      </c>
      <c r="F150" s="4" t="s">
        <v>2953</v>
      </c>
      <c r="G150" s="4" t="s">
        <v>2685</v>
      </c>
      <c r="H150" s="4" t="s">
        <v>2686</v>
      </c>
      <c r="I150" s="4" t="s">
        <v>2540</v>
      </c>
      <c r="J150" s="6">
        <v>46319</v>
      </c>
      <c r="K150" s="7"/>
      <c r="L150" s="4" t="s">
        <v>2954</v>
      </c>
      <c r="M150" s="4" t="s">
        <v>41</v>
      </c>
    </row>
    <row r="151" spans="1:13" ht="40" customHeight="1">
      <c r="A151" s="8" t="s">
        <v>2955</v>
      </c>
      <c r="B151" s="8" t="s">
        <v>249</v>
      </c>
      <c r="C151" s="8" t="s">
        <v>2696</v>
      </c>
      <c r="D151" s="8" t="s">
        <v>2956</v>
      </c>
      <c r="E151" s="5" t="s">
        <v>2529</v>
      </c>
      <c r="F151" s="8" t="s">
        <v>2838</v>
      </c>
      <c r="G151" s="8" t="s">
        <v>2685</v>
      </c>
      <c r="H151" s="8" t="s">
        <v>2686</v>
      </c>
      <c r="I151" s="8" t="s">
        <v>2540</v>
      </c>
      <c r="J151" s="9">
        <v>46319</v>
      </c>
      <c r="K151" s="7"/>
      <c r="L151" s="8" t="s">
        <v>2957</v>
      </c>
      <c r="M151" s="8" t="s">
        <v>41</v>
      </c>
    </row>
    <row r="152" spans="1:13" ht="40" customHeight="1">
      <c r="A152" s="4" t="s">
        <v>2958</v>
      </c>
      <c r="B152" s="4" t="s">
        <v>249</v>
      </c>
      <c r="C152" s="4" t="s">
        <v>2696</v>
      </c>
      <c r="D152" s="4" t="s">
        <v>2959</v>
      </c>
      <c r="E152" s="5" t="s">
        <v>2529</v>
      </c>
      <c r="F152" s="4" t="s">
        <v>2960</v>
      </c>
      <c r="G152" s="4" t="s">
        <v>2685</v>
      </c>
      <c r="H152" s="4" t="s">
        <v>2686</v>
      </c>
      <c r="I152" s="4" t="s">
        <v>2540</v>
      </c>
      <c r="J152" s="6">
        <v>46319</v>
      </c>
      <c r="K152" s="7"/>
      <c r="L152" s="4" t="s">
        <v>2961</v>
      </c>
      <c r="M152" s="4" t="s">
        <v>41</v>
      </c>
    </row>
    <row r="153" spans="1:13" ht="40" customHeight="1">
      <c r="A153" s="8" t="s">
        <v>2962</v>
      </c>
      <c r="B153" s="8" t="s">
        <v>249</v>
      </c>
      <c r="C153" s="8" t="s">
        <v>2696</v>
      </c>
      <c r="D153" s="8" t="s">
        <v>2963</v>
      </c>
      <c r="E153" s="5" t="s">
        <v>2529</v>
      </c>
      <c r="F153" s="8" t="s">
        <v>2964</v>
      </c>
      <c r="G153" s="8" t="s">
        <v>2685</v>
      </c>
      <c r="H153" s="8" t="s">
        <v>2686</v>
      </c>
      <c r="I153" s="8" t="s">
        <v>2540</v>
      </c>
      <c r="J153" s="9">
        <v>46319</v>
      </c>
      <c r="K153" s="7"/>
      <c r="L153" s="8" t="s">
        <v>2965</v>
      </c>
      <c r="M153" s="8" t="s">
        <v>41</v>
      </c>
    </row>
    <row r="154" spans="1:13" ht="40" customHeight="1">
      <c r="A154" s="4" t="s">
        <v>2966</v>
      </c>
      <c r="B154" s="4" t="s">
        <v>249</v>
      </c>
      <c r="C154" s="4" t="s">
        <v>2682</v>
      </c>
      <c r="D154" s="4" t="s">
        <v>2688</v>
      </c>
      <c r="E154" s="5" t="s">
        <v>2537</v>
      </c>
      <c r="F154" s="4" t="s">
        <v>2714</v>
      </c>
      <c r="G154" s="4" t="s">
        <v>2685</v>
      </c>
      <c r="H154" s="4" t="s">
        <v>2686</v>
      </c>
      <c r="I154" s="4" t="s">
        <v>2540</v>
      </c>
      <c r="J154" s="6">
        <v>46319</v>
      </c>
      <c r="K154" s="7"/>
      <c r="L154" s="4" t="s">
        <v>2967</v>
      </c>
      <c r="M154" s="4" t="s">
        <v>41</v>
      </c>
    </row>
    <row r="155" spans="1:13" ht="40" customHeight="1">
      <c r="A155" s="8" t="s">
        <v>2968</v>
      </c>
      <c r="B155" s="8" t="s">
        <v>249</v>
      </c>
      <c r="C155" s="8" t="s">
        <v>2682</v>
      </c>
      <c r="D155" s="8" t="s">
        <v>2969</v>
      </c>
      <c r="E155" s="5" t="s">
        <v>2537</v>
      </c>
      <c r="F155" s="8" t="s">
        <v>2775</v>
      </c>
      <c r="G155" s="8" t="s">
        <v>2685</v>
      </c>
      <c r="H155" s="8" t="s">
        <v>2686</v>
      </c>
      <c r="I155" s="8" t="s">
        <v>2540</v>
      </c>
      <c r="J155" s="9">
        <v>46319</v>
      </c>
      <c r="K155" s="7"/>
      <c r="L155" s="8" t="s">
        <v>2970</v>
      </c>
      <c r="M155" s="8" t="s">
        <v>41</v>
      </c>
    </row>
    <row r="156" spans="1:13" ht="40" customHeight="1">
      <c r="A156" s="4" t="s">
        <v>267</v>
      </c>
      <c r="B156" s="4" t="s">
        <v>260</v>
      </c>
      <c r="C156" s="4" t="s">
        <v>2664</v>
      </c>
      <c r="D156" s="4" t="s">
        <v>261</v>
      </c>
      <c r="E156" s="5" t="s">
        <v>2529</v>
      </c>
      <c r="F156" s="4" t="s">
        <v>2665</v>
      </c>
      <c r="G156" s="4" t="s">
        <v>2666</v>
      </c>
      <c r="H156" s="4" t="s">
        <v>2532</v>
      </c>
      <c r="I156" s="4" t="s">
        <v>2667</v>
      </c>
      <c r="J156" s="6">
        <v>46319</v>
      </c>
      <c r="K156" s="7"/>
      <c r="L156" s="4" t="s">
        <v>41</v>
      </c>
      <c r="M156" s="4" t="s">
        <v>269</v>
      </c>
    </row>
    <row r="157" spans="1:13" ht="40" customHeight="1">
      <c r="A157" s="8" t="s">
        <v>2971</v>
      </c>
      <c r="B157" s="8" t="s">
        <v>260</v>
      </c>
      <c r="C157" s="8" t="s">
        <v>2669</v>
      </c>
      <c r="D157" s="8" t="s">
        <v>2670</v>
      </c>
      <c r="E157" s="5" t="s">
        <v>2529</v>
      </c>
      <c r="F157" s="8" t="s">
        <v>2671</v>
      </c>
      <c r="G157" s="8" t="s">
        <v>2672</v>
      </c>
      <c r="H157" s="8" t="s">
        <v>2532</v>
      </c>
      <c r="I157" s="8" t="s">
        <v>2673</v>
      </c>
      <c r="J157" s="9">
        <v>46319</v>
      </c>
      <c r="K157" s="7"/>
      <c r="L157" s="8" t="s">
        <v>2972</v>
      </c>
      <c r="M157" s="8" t="s">
        <v>269</v>
      </c>
    </row>
    <row r="158" spans="1:13" ht="40" customHeight="1">
      <c r="A158" s="4" t="s">
        <v>2973</v>
      </c>
      <c r="B158" s="4" t="s">
        <v>260</v>
      </c>
      <c r="C158" s="4" t="s">
        <v>2676</v>
      </c>
      <c r="D158" s="4" t="s">
        <v>2677</v>
      </c>
      <c r="E158" s="5" t="s">
        <v>2529</v>
      </c>
      <c r="F158" s="4" t="s">
        <v>2678</v>
      </c>
      <c r="G158" s="4" t="s">
        <v>2679</v>
      </c>
      <c r="H158" s="4" t="s">
        <v>2532</v>
      </c>
      <c r="I158" s="4" t="s">
        <v>2673</v>
      </c>
      <c r="J158" s="6">
        <v>46319</v>
      </c>
      <c r="K158" s="7"/>
      <c r="L158" s="4" t="s">
        <v>2974</v>
      </c>
      <c r="M158" s="4" t="s">
        <v>269</v>
      </c>
    </row>
    <row r="159" spans="1:13" ht="40" customHeight="1">
      <c r="A159" s="8" t="s">
        <v>2975</v>
      </c>
      <c r="B159" s="8" t="s">
        <v>260</v>
      </c>
      <c r="C159" s="8" t="s">
        <v>2682</v>
      </c>
      <c r="D159" s="8" t="s">
        <v>2688</v>
      </c>
      <c r="E159" s="5" t="s">
        <v>2537</v>
      </c>
      <c r="F159" s="8" t="s">
        <v>2689</v>
      </c>
      <c r="G159" s="8" t="s">
        <v>2685</v>
      </c>
      <c r="H159" s="8" t="s">
        <v>2686</v>
      </c>
      <c r="I159" s="8" t="s">
        <v>2540</v>
      </c>
      <c r="J159" s="9">
        <v>46319</v>
      </c>
      <c r="K159" s="7"/>
      <c r="L159" s="8" t="s">
        <v>2976</v>
      </c>
      <c r="M159" s="8" t="s">
        <v>41</v>
      </c>
    </row>
    <row r="160" spans="1:13" ht="40" customHeight="1">
      <c r="A160" s="4" t="s">
        <v>2977</v>
      </c>
      <c r="B160" s="4" t="s">
        <v>260</v>
      </c>
      <c r="C160" s="4" t="s">
        <v>2682</v>
      </c>
      <c r="D160" s="4" t="s">
        <v>2749</v>
      </c>
      <c r="E160" s="5" t="s">
        <v>2537</v>
      </c>
      <c r="F160" s="4" t="s">
        <v>2714</v>
      </c>
      <c r="G160" s="4" t="s">
        <v>2685</v>
      </c>
      <c r="H160" s="4" t="s">
        <v>2686</v>
      </c>
      <c r="I160" s="4" t="s">
        <v>2540</v>
      </c>
      <c r="J160" s="6">
        <v>46319</v>
      </c>
      <c r="K160" s="7"/>
      <c r="L160" s="4" t="s">
        <v>2978</v>
      </c>
      <c r="M160" s="4" t="s">
        <v>41</v>
      </c>
    </row>
    <row r="161" spans="1:13" ht="68" customHeight="1">
      <c r="A161" s="8" t="s">
        <v>277</v>
      </c>
      <c r="B161" s="8" t="s">
        <v>270</v>
      </c>
      <c r="C161" s="8" t="s">
        <v>2664</v>
      </c>
      <c r="D161" s="8" t="s">
        <v>271</v>
      </c>
      <c r="E161" s="5" t="s">
        <v>2529</v>
      </c>
      <c r="F161" s="8" t="s">
        <v>2665</v>
      </c>
      <c r="G161" s="8" t="s">
        <v>2666</v>
      </c>
      <c r="H161" s="8" t="s">
        <v>2532</v>
      </c>
      <c r="I161" s="8" t="s">
        <v>2667</v>
      </c>
      <c r="J161" s="9">
        <v>46319</v>
      </c>
      <c r="K161" s="7"/>
      <c r="L161" s="8" t="s">
        <v>41</v>
      </c>
      <c r="M161" s="8" t="s">
        <v>279</v>
      </c>
    </row>
    <row r="162" spans="1:13" ht="40" customHeight="1">
      <c r="A162" s="4" t="s">
        <v>2979</v>
      </c>
      <c r="B162" s="4" t="s">
        <v>270</v>
      </c>
      <c r="C162" s="4" t="s">
        <v>2669</v>
      </c>
      <c r="D162" s="4" t="s">
        <v>2670</v>
      </c>
      <c r="E162" s="5" t="s">
        <v>2529</v>
      </c>
      <c r="F162" s="4" t="s">
        <v>2671</v>
      </c>
      <c r="G162" s="4" t="s">
        <v>2672</v>
      </c>
      <c r="H162" s="4" t="s">
        <v>2532</v>
      </c>
      <c r="I162" s="4" t="s">
        <v>2673</v>
      </c>
      <c r="J162" s="6">
        <v>46319</v>
      </c>
      <c r="K162" s="7"/>
      <c r="L162" s="4" t="s">
        <v>2980</v>
      </c>
      <c r="M162" s="4" t="s">
        <v>279</v>
      </c>
    </row>
    <row r="163" spans="1:13" ht="40" customHeight="1">
      <c r="A163" s="8" t="s">
        <v>2981</v>
      </c>
      <c r="B163" s="8" t="s">
        <v>270</v>
      </c>
      <c r="C163" s="8" t="s">
        <v>2676</v>
      </c>
      <c r="D163" s="8" t="s">
        <v>2677</v>
      </c>
      <c r="E163" s="5" t="s">
        <v>2529</v>
      </c>
      <c r="F163" s="8" t="s">
        <v>2678</v>
      </c>
      <c r="G163" s="8" t="s">
        <v>2679</v>
      </c>
      <c r="H163" s="8" t="s">
        <v>2532</v>
      </c>
      <c r="I163" s="8" t="s">
        <v>2673</v>
      </c>
      <c r="J163" s="9">
        <v>46319</v>
      </c>
      <c r="K163" s="7"/>
      <c r="L163" s="8" t="s">
        <v>2982</v>
      </c>
      <c r="M163" s="8" t="s">
        <v>279</v>
      </c>
    </row>
    <row r="164" spans="1:13" ht="40" customHeight="1">
      <c r="A164" s="4" t="s">
        <v>2983</v>
      </c>
      <c r="B164" s="4" t="s">
        <v>270</v>
      </c>
      <c r="C164" s="4" t="s">
        <v>2682</v>
      </c>
      <c r="D164" s="4" t="s">
        <v>2984</v>
      </c>
      <c r="E164" s="5" t="s">
        <v>2537</v>
      </c>
      <c r="F164" s="4" t="s">
        <v>2985</v>
      </c>
      <c r="G164" s="4" t="s">
        <v>2685</v>
      </c>
      <c r="H164" s="4" t="s">
        <v>2686</v>
      </c>
      <c r="I164" s="4" t="s">
        <v>2540</v>
      </c>
      <c r="J164" s="6">
        <v>46319</v>
      </c>
      <c r="K164" s="7"/>
      <c r="L164" s="4" t="s">
        <v>2986</v>
      </c>
      <c r="M164" s="4" t="s">
        <v>41</v>
      </c>
    </row>
    <row r="165" spans="1:13" ht="40" customHeight="1">
      <c r="A165" s="8" t="s">
        <v>2987</v>
      </c>
      <c r="B165" s="8" t="s">
        <v>270</v>
      </c>
      <c r="C165" s="8" t="s">
        <v>2682</v>
      </c>
      <c r="D165" s="8" t="s">
        <v>2988</v>
      </c>
      <c r="E165" s="5" t="s">
        <v>2537</v>
      </c>
      <c r="F165" s="8" t="s">
        <v>2714</v>
      </c>
      <c r="G165" s="8" t="s">
        <v>2685</v>
      </c>
      <c r="H165" s="8" t="s">
        <v>2686</v>
      </c>
      <c r="I165" s="8" t="s">
        <v>2540</v>
      </c>
      <c r="J165" s="9">
        <v>46319</v>
      </c>
      <c r="K165" s="7"/>
      <c r="L165" s="8" t="s">
        <v>2989</v>
      </c>
      <c r="M165" s="8" t="s">
        <v>41</v>
      </c>
    </row>
    <row r="166" spans="1:13" ht="40" customHeight="1">
      <c r="A166" s="4" t="s">
        <v>2990</v>
      </c>
      <c r="B166" s="4" t="s">
        <v>270</v>
      </c>
      <c r="C166" s="4" t="s">
        <v>2696</v>
      </c>
      <c r="D166" s="4" t="s">
        <v>2991</v>
      </c>
      <c r="E166" s="5" t="s">
        <v>2529</v>
      </c>
      <c r="F166" s="4" t="s">
        <v>2775</v>
      </c>
      <c r="G166" s="4" t="s">
        <v>2685</v>
      </c>
      <c r="H166" s="4" t="s">
        <v>2686</v>
      </c>
      <c r="I166" s="4" t="s">
        <v>2540</v>
      </c>
      <c r="J166" s="6">
        <v>46319</v>
      </c>
      <c r="K166" s="7"/>
      <c r="L166" s="4" t="s">
        <v>2992</v>
      </c>
      <c r="M166" s="4" t="s">
        <v>41</v>
      </c>
    </row>
    <row r="167" spans="1:13" ht="40" customHeight="1">
      <c r="A167" s="8" t="s">
        <v>288</v>
      </c>
      <c r="B167" s="8" t="s">
        <v>280</v>
      </c>
      <c r="C167" s="8" t="s">
        <v>2664</v>
      </c>
      <c r="D167" s="8" t="s">
        <v>281</v>
      </c>
      <c r="E167" s="5" t="s">
        <v>2529</v>
      </c>
      <c r="F167" s="8" t="s">
        <v>2665</v>
      </c>
      <c r="G167" s="8" t="s">
        <v>2666</v>
      </c>
      <c r="H167" s="8" t="s">
        <v>2532</v>
      </c>
      <c r="I167" s="8" t="s">
        <v>2667</v>
      </c>
      <c r="J167" s="9">
        <v>46319</v>
      </c>
      <c r="K167" s="7"/>
      <c r="L167" s="8" t="s">
        <v>41</v>
      </c>
      <c r="M167" s="8" t="s">
        <v>290</v>
      </c>
    </row>
    <row r="168" spans="1:13" ht="40" customHeight="1">
      <c r="A168" s="4" t="s">
        <v>2993</v>
      </c>
      <c r="B168" s="4" t="s">
        <v>280</v>
      </c>
      <c r="C168" s="4" t="s">
        <v>2669</v>
      </c>
      <c r="D168" s="4" t="s">
        <v>2670</v>
      </c>
      <c r="E168" s="5" t="s">
        <v>2529</v>
      </c>
      <c r="F168" s="4" t="s">
        <v>2671</v>
      </c>
      <c r="G168" s="4" t="s">
        <v>2672</v>
      </c>
      <c r="H168" s="4" t="s">
        <v>2532</v>
      </c>
      <c r="I168" s="4" t="s">
        <v>2673</v>
      </c>
      <c r="J168" s="6">
        <v>46319</v>
      </c>
      <c r="K168" s="7"/>
      <c r="L168" s="4" t="s">
        <v>2994</v>
      </c>
      <c r="M168" s="4" t="s">
        <v>290</v>
      </c>
    </row>
    <row r="169" spans="1:13" ht="40" customHeight="1">
      <c r="A169" s="8" t="s">
        <v>2995</v>
      </c>
      <c r="B169" s="8" t="s">
        <v>280</v>
      </c>
      <c r="C169" s="8" t="s">
        <v>2676</v>
      </c>
      <c r="D169" s="8" t="s">
        <v>2677</v>
      </c>
      <c r="E169" s="5" t="s">
        <v>2529</v>
      </c>
      <c r="F169" s="8" t="s">
        <v>2678</v>
      </c>
      <c r="G169" s="8" t="s">
        <v>2679</v>
      </c>
      <c r="H169" s="8" t="s">
        <v>2532</v>
      </c>
      <c r="I169" s="8" t="s">
        <v>2673</v>
      </c>
      <c r="J169" s="9">
        <v>46319</v>
      </c>
      <c r="K169" s="7"/>
      <c r="L169" s="8" t="s">
        <v>2996</v>
      </c>
      <c r="M169" s="8" t="s">
        <v>290</v>
      </c>
    </row>
    <row r="170" spans="1:13" ht="40" customHeight="1">
      <c r="A170" s="4" t="s">
        <v>2997</v>
      </c>
      <c r="B170" s="4" t="s">
        <v>280</v>
      </c>
      <c r="C170" s="4" t="s">
        <v>2682</v>
      </c>
      <c r="D170" s="4" t="s">
        <v>2688</v>
      </c>
      <c r="E170" s="5" t="s">
        <v>2537</v>
      </c>
      <c r="F170" s="4" t="s">
        <v>2689</v>
      </c>
      <c r="G170" s="4" t="s">
        <v>2685</v>
      </c>
      <c r="H170" s="4" t="s">
        <v>2686</v>
      </c>
      <c r="I170" s="4" t="s">
        <v>2540</v>
      </c>
      <c r="J170" s="6">
        <v>46319</v>
      </c>
      <c r="K170" s="7"/>
      <c r="L170" s="4" t="s">
        <v>2998</v>
      </c>
      <c r="M170" s="4" t="s">
        <v>41</v>
      </c>
    </row>
    <row r="171" spans="1:13" ht="40" customHeight="1">
      <c r="A171" s="8" t="s">
        <v>2999</v>
      </c>
      <c r="B171" s="8" t="s">
        <v>280</v>
      </c>
      <c r="C171" s="8" t="s">
        <v>2696</v>
      </c>
      <c r="D171" s="8" t="s">
        <v>2949</v>
      </c>
      <c r="E171" s="5" t="s">
        <v>2529</v>
      </c>
      <c r="F171" s="8" t="s">
        <v>2714</v>
      </c>
      <c r="G171" s="8" t="s">
        <v>2685</v>
      </c>
      <c r="H171" s="8" t="s">
        <v>2686</v>
      </c>
      <c r="I171" s="8" t="s">
        <v>2540</v>
      </c>
      <c r="J171" s="9">
        <v>46319</v>
      </c>
      <c r="K171" s="7"/>
      <c r="L171" s="8" t="s">
        <v>3000</v>
      </c>
      <c r="M171" s="8" t="s">
        <v>41</v>
      </c>
    </row>
    <row r="172" spans="1:13" ht="40" customHeight="1">
      <c r="A172" s="4" t="s">
        <v>3001</v>
      </c>
      <c r="B172" s="4" t="s">
        <v>280</v>
      </c>
      <c r="C172" s="4" t="s">
        <v>2682</v>
      </c>
      <c r="D172" s="4" t="s">
        <v>3002</v>
      </c>
      <c r="E172" s="5" t="s">
        <v>2537</v>
      </c>
      <c r="F172" s="4" t="s">
        <v>2775</v>
      </c>
      <c r="G172" s="4" t="s">
        <v>2685</v>
      </c>
      <c r="H172" s="4" t="s">
        <v>2686</v>
      </c>
      <c r="I172" s="4" t="s">
        <v>2540</v>
      </c>
      <c r="J172" s="6">
        <v>46319</v>
      </c>
      <c r="K172" s="7"/>
      <c r="L172" s="4" t="s">
        <v>3003</v>
      </c>
      <c r="M172" s="4" t="s">
        <v>41</v>
      </c>
    </row>
    <row r="173" spans="1:13" ht="40" customHeight="1">
      <c r="A173" s="8" t="s">
        <v>3004</v>
      </c>
      <c r="B173" s="8" t="s">
        <v>280</v>
      </c>
      <c r="C173" s="8" t="s">
        <v>2696</v>
      </c>
      <c r="D173" s="8" t="s">
        <v>3005</v>
      </c>
      <c r="E173" s="5" t="s">
        <v>2529</v>
      </c>
      <c r="F173" s="8" t="s">
        <v>2750</v>
      </c>
      <c r="G173" s="8" t="s">
        <v>2685</v>
      </c>
      <c r="H173" s="8" t="s">
        <v>2686</v>
      </c>
      <c r="I173" s="8" t="s">
        <v>2540</v>
      </c>
      <c r="J173" s="9">
        <v>46319</v>
      </c>
      <c r="K173" s="7"/>
      <c r="L173" s="8" t="s">
        <v>3006</v>
      </c>
      <c r="M173" s="8" t="s">
        <v>41</v>
      </c>
    </row>
    <row r="174" spans="1:13" ht="40" customHeight="1">
      <c r="A174" s="4" t="s">
        <v>296</v>
      </c>
      <c r="B174" s="4" t="s">
        <v>291</v>
      </c>
      <c r="C174" s="4" t="s">
        <v>2664</v>
      </c>
      <c r="D174" s="4" t="s">
        <v>292</v>
      </c>
      <c r="E174" s="5" t="s">
        <v>2529</v>
      </c>
      <c r="F174" s="4" t="s">
        <v>2665</v>
      </c>
      <c r="G174" s="4" t="s">
        <v>2666</v>
      </c>
      <c r="H174" s="4" t="s">
        <v>2532</v>
      </c>
      <c r="I174" s="4" t="s">
        <v>2667</v>
      </c>
      <c r="J174" s="6">
        <v>46319</v>
      </c>
      <c r="K174" s="7"/>
      <c r="L174" s="4" t="s">
        <v>41</v>
      </c>
      <c r="M174" s="4" t="s">
        <v>298</v>
      </c>
    </row>
    <row r="175" spans="1:13" ht="40" customHeight="1">
      <c r="A175" s="8" t="s">
        <v>3007</v>
      </c>
      <c r="B175" s="8" t="s">
        <v>291</v>
      </c>
      <c r="C175" s="8" t="s">
        <v>2669</v>
      </c>
      <c r="D175" s="8" t="s">
        <v>2670</v>
      </c>
      <c r="E175" s="5" t="s">
        <v>2529</v>
      </c>
      <c r="F175" s="8" t="s">
        <v>2671</v>
      </c>
      <c r="G175" s="8" t="s">
        <v>2672</v>
      </c>
      <c r="H175" s="8" t="s">
        <v>2532</v>
      </c>
      <c r="I175" s="8" t="s">
        <v>2673</v>
      </c>
      <c r="J175" s="9">
        <v>46319</v>
      </c>
      <c r="K175" s="7"/>
      <c r="L175" s="8" t="s">
        <v>3008</v>
      </c>
      <c r="M175" s="8" t="s">
        <v>298</v>
      </c>
    </row>
    <row r="176" spans="1:13" ht="40" customHeight="1">
      <c r="A176" s="4" t="s">
        <v>3009</v>
      </c>
      <c r="B176" s="4" t="s">
        <v>291</v>
      </c>
      <c r="C176" s="4" t="s">
        <v>2676</v>
      </c>
      <c r="D176" s="4" t="s">
        <v>2677</v>
      </c>
      <c r="E176" s="5" t="s">
        <v>2529</v>
      </c>
      <c r="F176" s="4" t="s">
        <v>2678</v>
      </c>
      <c r="G176" s="4" t="s">
        <v>2679</v>
      </c>
      <c r="H176" s="4" t="s">
        <v>2532</v>
      </c>
      <c r="I176" s="4" t="s">
        <v>2673</v>
      </c>
      <c r="J176" s="6">
        <v>46319</v>
      </c>
      <c r="K176" s="7"/>
      <c r="L176" s="4" t="s">
        <v>3010</v>
      </c>
      <c r="M176" s="4" t="s">
        <v>298</v>
      </c>
    </row>
    <row r="177" spans="1:13" ht="40" customHeight="1">
      <c r="A177" s="8" t="s">
        <v>3011</v>
      </c>
      <c r="B177" s="8" t="s">
        <v>291</v>
      </c>
      <c r="C177" s="8" t="s">
        <v>2696</v>
      </c>
      <c r="D177" s="8" t="s">
        <v>2796</v>
      </c>
      <c r="E177" s="5" t="s">
        <v>2529</v>
      </c>
      <c r="F177" s="8" t="s">
        <v>2917</v>
      </c>
      <c r="G177" s="8" t="s">
        <v>2685</v>
      </c>
      <c r="H177" s="8" t="s">
        <v>2686</v>
      </c>
      <c r="I177" s="8" t="s">
        <v>2540</v>
      </c>
      <c r="J177" s="9">
        <v>46319</v>
      </c>
      <c r="K177" s="7"/>
      <c r="L177" s="8" t="s">
        <v>3012</v>
      </c>
      <c r="M177" s="8" t="s">
        <v>41</v>
      </c>
    </row>
    <row r="178" spans="1:13" ht="40" customHeight="1">
      <c r="A178" s="4" t="s">
        <v>3013</v>
      </c>
      <c r="B178" s="4" t="s">
        <v>291</v>
      </c>
      <c r="C178" s="4" t="s">
        <v>2682</v>
      </c>
      <c r="D178" s="4" t="s">
        <v>2688</v>
      </c>
      <c r="E178" s="5" t="s">
        <v>2537</v>
      </c>
      <c r="F178" s="4" t="s">
        <v>2689</v>
      </c>
      <c r="G178" s="4" t="s">
        <v>2685</v>
      </c>
      <c r="H178" s="4" t="s">
        <v>2686</v>
      </c>
      <c r="I178" s="4" t="s">
        <v>2540</v>
      </c>
      <c r="J178" s="6">
        <v>46319</v>
      </c>
      <c r="K178" s="7"/>
      <c r="L178" s="4" t="s">
        <v>3014</v>
      </c>
      <c r="M178" s="4" t="s">
        <v>41</v>
      </c>
    </row>
    <row r="179" spans="1:13" ht="40" customHeight="1">
      <c r="A179" s="8" t="s">
        <v>3015</v>
      </c>
      <c r="B179" s="8" t="s">
        <v>291</v>
      </c>
      <c r="C179" s="8" t="s">
        <v>2682</v>
      </c>
      <c r="D179" s="8" t="s">
        <v>3016</v>
      </c>
      <c r="E179" s="5" t="s">
        <v>2537</v>
      </c>
      <c r="F179" s="8" t="s">
        <v>2714</v>
      </c>
      <c r="G179" s="8" t="s">
        <v>2685</v>
      </c>
      <c r="H179" s="8" t="s">
        <v>2686</v>
      </c>
      <c r="I179" s="8" t="s">
        <v>2540</v>
      </c>
      <c r="J179" s="9">
        <v>46319</v>
      </c>
      <c r="K179" s="7"/>
      <c r="L179" s="8" t="s">
        <v>3017</v>
      </c>
      <c r="M179" s="8" t="s">
        <v>41</v>
      </c>
    </row>
    <row r="180" spans="1:13" ht="40" customHeight="1">
      <c r="A180" s="4" t="s">
        <v>3018</v>
      </c>
      <c r="B180" s="4" t="s">
        <v>291</v>
      </c>
      <c r="C180" s="4" t="s">
        <v>2682</v>
      </c>
      <c r="D180" s="4" t="s">
        <v>3019</v>
      </c>
      <c r="E180" s="5" t="s">
        <v>2537</v>
      </c>
      <c r="F180" s="4" t="s">
        <v>2775</v>
      </c>
      <c r="G180" s="4" t="s">
        <v>2685</v>
      </c>
      <c r="H180" s="4" t="s">
        <v>2686</v>
      </c>
      <c r="I180" s="4" t="s">
        <v>2540</v>
      </c>
      <c r="J180" s="6">
        <v>46319</v>
      </c>
      <c r="K180" s="7"/>
      <c r="L180" s="4" t="s">
        <v>3020</v>
      </c>
      <c r="M180" s="4" t="s">
        <v>41</v>
      </c>
    </row>
    <row r="181" spans="1:13" ht="40" customHeight="1">
      <c r="A181" s="8" t="s">
        <v>3021</v>
      </c>
      <c r="B181" s="8" t="s">
        <v>291</v>
      </c>
      <c r="C181" s="8" t="s">
        <v>2682</v>
      </c>
      <c r="D181" s="8" t="s">
        <v>3022</v>
      </c>
      <c r="E181" s="5" t="s">
        <v>2537</v>
      </c>
      <c r="F181" s="8" t="s">
        <v>2750</v>
      </c>
      <c r="G181" s="8" t="s">
        <v>2685</v>
      </c>
      <c r="H181" s="8" t="s">
        <v>2686</v>
      </c>
      <c r="I181" s="8" t="s">
        <v>2540</v>
      </c>
      <c r="J181" s="9">
        <v>46319</v>
      </c>
      <c r="K181" s="7"/>
      <c r="L181" s="8" t="s">
        <v>3023</v>
      </c>
      <c r="M181" s="8" t="s">
        <v>41</v>
      </c>
    </row>
    <row r="182" spans="1:13" ht="40" customHeight="1">
      <c r="A182" s="4" t="s">
        <v>305</v>
      </c>
      <c r="B182" s="4" t="s">
        <v>299</v>
      </c>
      <c r="C182" s="4" t="s">
        <v>2664</v>
      </c>
      <c r="D182" s="4" t="s">
        <v>300</v>
      </c>
      <c r="E182" s="5" t="s">
        <v>2529</v>
      </c>
      <c r="F182" s="4" t="s">
        <v>2665</v>
      </c>
      <c r="G182" s="4" t="s">
        <v>2666</v>
      </c>
      <c r="H182" s="4" t="s">
        <v>2532</v>
      </c>
      <c r="I182" s="4" t="s">
        <v>2667</v>
      </c>
      <c r="J182" s="6">
        <v>46319</v>
      </c>
      <c r="K182" s="7"/>
      <c r="L182" s="4" t="s">
        <v>41</v>
      </c>
      <c r="M182" s="4" t="s">
        <v>307</v>
      </c>
    </row>
    <row r="183" spans="1:13" ht="40" customHeight="1">
      <c r="A183" s="8" t="s">
        <v>3024</v>
      </c>
      <c r="B183" s="8" t="s">
        <v>299</v>
      </c>
      <c r="C183" s="8" t="s">
        <v>2669</v>
      </c>
      <c r="D183" s="8" t="s">
        <v>2670</v>
      </c>
      <c r="E183" s="5" t="s">
        <v>2529</v>
      </c>
      <c r="F183" s="8" t="s">
        <v>2671</v>
      </c>
      <c r="G183" s="8" t="s">
        <v>2672</v>
      </c>
      <c r="H183" s="8" t="s">
        <v>2532</v>
      </c>
      <c r="I183" s="8" t="s">
        <v>2673</v>
      </c>
      <c r="J183" s="9">
        <v>46319</v>
      </c>
      <c r="K183" s="7"/>
      <c r="L183" s="8" t="s">
        <v>3025</v>
      </c>
      <c r="M183" s="8" t="s">
        <v>307</v>
      </c>
    </row>
    <row r="184" spans="1:13" ht="40" customHeight="1">
      <c r="A184" s="4" t="s">
        <v>3026</v>
      </c>
      <c r="B184" s="4" t="s">
        <v>299</v>
      </c>
      <c r="C184" s="4" t="s">
        <v>2676</v>
      </c>
      <c r="D184" s="4" t="s">
        <v>2677</v>
      </c>
      <c r="E184" s="5" t="s">
        <v>2529</v>
      </c>
      <c r="F184" s="4" t="s">
        <v>2678</v>
      </c>
      <c r="G184" s="4" t="s">
        <v>2679</v>
      </c>
      <c r="H184" s="4" t="s">
        <v>2532</v>
      </c>
      <c r="I184" s="4" t="s">
        <v>2673</v>
      </c>
      <c r="J184" s="6">
        <v>46319</v>
      </c>
      <c r="K184" s="7"/>
      <c r="L184" s="4" t="s">
        <v>3027</v>
      </c>
      <c r="M184" s="4" t="s">
        <v>307</v>
      </c>
    </row>
    <row r="185" spans="1:13" ht="40" customHeight="1">
      <c r="A185" s="8" t="s">
        <v>3028</v>
      </c>
      <c r="B185" s="8" t="s">
        <v>299</v>
      </c>
      <c r="C185" s="8" t="s">
        <v>2696</v>
      </c>
      <c r="D185" s="8" t="s">
        <v>2688</v>
      </c>
      <c r="E185" s="5" t="s">
        <v>2529</v>
      </c>
      <c r="F185" s="8" t="s">
        <v>2689</v>
      </c>
      <c r="G185" s="8" t="s">
        <v>2685</v>
      </c>
      <c r="H185" s="8" t="s">
        <v>2686</v>
      </c>
      <c r="I185" s="8" t="s">
        <v>2540</v>
      </c>
      <c r="J185" s="9">
        <v>46319</v>
      </c>
      <c r="K185" s="7"/>
      <c r="L185" s="8" t="s">
        <v>3029</v>
      </c>
      <c r="M185" s="8" t="s">
        <v>41</v>
      </c>
    </row>
    <row r="186" spans="1:13" ht="40" customHeight="1">
      <c r="A186" s="4" t="s">
        <v>3030</v>
      </c>
      <c r="B186" s="4" t="s">
        <v>299</v>
      </c>
      <c r="C186" s="4" t="s">
        <v>2696</v>
      </c>
      <c r="D186" s="4" t="s">
        <v>3031</v>
      </c>
      <c r="E186" s="5" t="s">
        <v>2529</v>
      </c>
      <c r="F186" s="4" t="s">
        <v>2714</v>
      </c>
      <c r="G186" s="4" t="s">
        <v>2685</v>
      </c>
      <c r="H186" s="4" t="s">
        <v>2686</v>
      </c>
      <c r="I186" s="4" t="s">
        <v>2540</v>
      </c>
      <c r="J186" s="6">
        <v>46319</v>
      </c>
      <c r="K186" s="7"/>
      <c r="L186" s="4" t="s">
        <v>3032</v>
      </c>
      <c r="M186" s="4" t="s">
        <v>41</v>
      </c>
    </row>
    <row r="187" spans="1:13" ht="40" customHeight="1">
      <c r="A187" s="8" t="s">
        <v>315</v>
      </c>
      <c r="B187" s="8" t="s">
        <v>308</v>
      </c>
      <c r="C187" s="8" t="s">
        <v>2664</v>
      </c>
      <c r="D187" s="8" t="s">
        <v>309</v>
      </c>
      <c r="E187" s="5" t="s">
        <v>2529</v>
      </c>
      <c r="F187" s="8" t="s">
        <v>2665</v>
      </c>
      <c r="G187" s="8" t="s">
        <v>2666</v>
      </c>
      <c r="H187" s="8" t="s">
        <v>2532</v>
      </c>
      <c r="I187" s="8" t="s">
        <v>2667</v>
      </c>
      <c r="J187" s="9">
        <v>46319</v>
      </c>
      <c r="K187" s="7"/>
      <c r="L187" s="8" t="s">
        <v>41</v>
      </c>
      <c r="M187" s="8" t="s">
        <v>317</v>
      </c>
    </row>
    <row r="188" spans="1:13" ht="40" customHeight="1">
      <c r="A188" s="4" t="s">
        <v>3033</v>
      </c>
      <c r="B188" s="4" t="s">
        <v>308</v>
      </c>
      <c r="C188" s="4" t="s">
        <v>2669</v>
      </c>
      <c r="D188" s="4" t="s">
        <v>2670</v>
      </c>
      <c r="E188" s="5" t="s">
        <v>2529</v>
      </c>
      <c r="F188" s="4" t="s">
        <v>2671</v>
      </c>
      <c r="G188" s="4" t="s">
        <v>2672</v>
      </c>
      <c r="H188" s="4" t="s">
        <v>2532</v>
      </c>
      <c r="I188" s="4" t="s">
        <v>2673</v>
      </c>
      <c r="J188" s="6">
        <v>46319</v>
      </c>
      <c r="K188" s="7"/>
      <c r="L188" s="4" t="s">
        <v>3034</v>
      </c>
      <c r="M188" s="4" t="s">
        <v>317</v>
      </c>
    </row>
    <row r="189" spans="1:13" ht="40" customHeight="1">
      <c r="A189" s="8" t="s">
        <v>3035</v>
      </c>
      <c r="B189" s="8" t="s">
        <v>308</v>
      </c>
      <c r="C189" s="8" t="s">
        <v>2676</v>
      </c>
      <c r="D189" s="8" t="s">
        <v>2677</v>
      </c>
      <c r="E189" s="5" t="s">
        <v>2529</v>
      </c>
      <c r="F189" s="8" t="s">
        <v>2678</v>
      </c>
      <c r="G189" s="8" t="s">
        <v>2679</v>
      </c>
      <c r="H189" s="8" t="s">
        <v>2532</v>
      </c>
      <c r="I189" s="8" t="s">
        <v>2673</v>
      </c>
      <c r="J189" s="9">
        <v>46319</v>
      </c>
      <c r="K189" s="7"/>
      <c r="L189" s="8" t="s">
        <v>3036</v>
      </c>
      <c r="M189" s="8" t="s">
        <v>317</v>
      </c>
    </row>
    <row r="190" spans="1:13" ht="40" customHeight="1">
      <c r="A190" s="4" t="s">
        <v>3037</v>
      </c>
      <c r="B190" s="4" t="s">
        <v>308</v>
      </c>
      <c r="C190" s="4" t="s">
        <v>2696</v>
      </c>
      <c r="D190" s="4" t="s">
        <v>3038</v>
      </c>
      <c r="E190" s="5" t="s">
        <v>2529</v>
      </c>
      <c r="F190" s="4" t="s">
        <v>2766</v>
      </c>
      <c r="G190" s="4" t="s">
        <v>2685</v>
      </c>
      <c r="H190" s="4" t="s">
        <v>2686</v>
      </c>
      <c r="I190" s="4" t="s">
        <v>2540</v>
      </c>
      <c r="J190" s="6">
        <v>46319</v>
      </c>
      <c r="K190" s="7"/>
      <c r="L190" s="4" t="s">
        <v>3039</v>
      </c>
      <c r="M190" s="4" t="s">
        <v>41</v>
      </c>
    </row>
    <row r="191" spans="1:13" ht="40" customHeight="1">
      <c r="A191" s="8" t="s">
        <v>3040</v>
      </c>
      <c r="B191" s="8" t="s">
        <v>308</v>
      </c>
      <c r="C191" s="8" t="s">
        <v>2696</v>
      </c>
      <c r="D191" s="8" t="s">
        <v>3041</v>
      </c>
      <c r="E191" s="5" t="s">
        <v>2529</v>
      </c>
      <c r="F191" s="8" t="s">
        <v>3042</v>
      </c>
      <c r="G191" s="8" t="s">
        <v>2685</v>
      </c>
      <c r="H191" s="8" t="s">
        <v>2686</v>
      </c>
      <c r="I191" s="8" t="s">
        <v>2540</v>
      </c>
      <c r="J191" s="9">
        <v>46319</v>
      </c>
      <c r="K191" s="7"/>
      <c r="L191" s="8" t="s">
        <v>3043</v>
      </c>
      <c r="M191" s="8" t="s">
        <v>41</v>
      </c>
    </row>
    <row r="192" spans="1:13" ht="40" customHeight="1">
      <c r="A192" s="4" t="s">
        <v>3044</v>
      </c>
      <c r="B192" s="4" t="s">
        <v>308</v>
      </c>
      <c r="C192" s="4" t="s">
        <v>2682</v>
      </c>
      <c r="D192" s="4" t="s">
        <v>2688</v>
      </c>
      <c r="E192" s="5" t="s">
        <v>2537</v>
      </c>
      <c r="F192" s="4" t="s">
        <v>2689</v>
      </c>
      <c r="G192" s="4" t="s">
        <v>2685</v>
      </c>
      <c r="H192" s="4" t="s">
        <v>2686</v>
      </c>
      <c r="I192" s="4" t="s">
        <v>2540</v>
      </c>
      <c r="J192" s="6">
        <v>46319</v>
      </c>
      <c r="K192" s="7"/>
      <c r="L192" s="4" t="s">
        <v>3045</v>
      </c>
      <c r="M192" s="4" t="s">
        <v>41</v>
      </c>
    </row>
    <row r="193" spans="1:13" ht="40" customHeight="1">
      <c r="A193" s="8" t="s">
        <v>3046</v>
      </c>
      <c r="B193" s="8" t="s">
        <v>308</v>
      </c>
      <c r="C193" s="8" t="s">
        <v>2682</v>
      </c>
      <c r="D193" s="8" t="s">
        <v>3047</v>
      </c>
      <c r="E193" s="5" t="s">
        <v>2537</v>
      </c>
      <c r="F193" s="8" t="s">
        <v>2714</v>
      </c>
      <c r="G193" s="8" t="s">
        <v>2685</v>
      </c>
      <c r="H193" s="8" t="s">
        <v>2686</v>
      </c>
      <c r="I193" s="8" t="s">
        <v>2540</v>
      </c>
      <c r="J193" s="9">
        <v>46319</v>
      </c>
      <c r="K193" s="7"/>
      <c r="L193" s="8" t="s">
        <v>3048</v>
      </c>
      <c r="M193" s="8" t="s">
        <v>41</v>
      </c>
    </row>
    <row r="194" spans="1:13" ht="40" customHeight="1">
      <c r="A194" s="4" t="s">
        <v>3049</v>
      </c>
      <c r="B194" s="4" t="s">
        <v>308</v>
      </c>
      <c r="C194" s="4" t="s">
        <v>2682</v>
      </c>
      <c r="D194" s="4" t="s">
        <v>3050</v>
      </c>
      <c r="E194" s="5" t="s">
        <v>2537</v>
      </c>
      <c r="F194" s="4" t="s">
        <v>2750</v>
      </c>
      <c r="G194" s="4" t="s">
        <v>2685</v>
      </c>
      <c r="H194" s="4" t="s">
        <v>2686</v>
      </c>
      <c r="I194" s="4" t="s">
        <v>2540</v>
      </c>
      <c r="J194" s="6">
        <v>46319</v>
      </c>
      <c r="K194" s="7"/>
      <c r="L194" s="4" t="s">
        <v>3051</v>
      </c>
      <c r="M194" s="4" t="s">
        <v>41</v>
      </c>
    </row>
    <row r="195" spans="1:13" ht="40" customHeight="1">
      <c r="A195" s="8" t="s">
        <v>3052</v>
      </c>
      <c r="B195" s="8" t="s">
        <v>308</v>
      </c>
      <c r="C195" s="8" t="s">
        <v>2682</v>
      </c>
      <c r="D195" s="8" t="s">
        <v>3053</v>
      </c>
      <c r="E195" s="5" t="s">
        <v>2537</v>
      </c>
      <c r="F195" s="8" t="s">
        <v>2754</v>
      </c>
      <c r="G195" s="8" t="s">
        <v>2685</v>
      </c>
      <c r="H195" s="8" t="s">
        <v>2686</v>
      </c>
      <c r="I195" s="8" t="s">
        <v>2540</v>
      </c>
      <c r="J195" s="9">
        <v>46319</v>
      </c>
      <c r="K195" s="7"/>
      <c r="L195" s="8" t="s">
        <v>3054</v>
      </c>
      <c r="M195" s="8" t="s">
        <v>41</v>
      </c>
    </row>
    <row r="196" spans="1:13" ht="40" customHeight="1">
      <c r="A196" s="4" t="s">
        <v>323</v>
      </c>
      <c r="B196" s="4" t="s">
        <v>318</v>
      </c>
      <c r="C196" s="4" t="s">
        <v>2664</v>
      </c>
      <c r="D196" s="4" t="s">
        <v>319</v>
      </c>
      <c r="E196" s="5" t="s">
        <v>2529</v>
      </c>
      <c r="F196" s="4" t="s">
        <v>2665</v>
      </c>
      <c r="G196" s="4" t="s">
        <v>2666</v>
      </c>
      <c r="H196" s="4" t="s">
        <v>2532</v>
      </c>
      <c r="I196" s="4" t="s">
        <v>2667</v>
      </c>
      <c r="J196" s="6">
        <v>46319</v>
      </c>
      <c r="K196" s="7"/>
      <c r="L196" s="4" t="s">
        <v>41</v>
      </c>
      <c r="M196" s="4" t="s">
        <v>325</v>
      </c>
    </row>
    <row r="197" spans="1:13" ht="40" customHeight="1">
      <c r="A197" s="8" t="s">
        <v>3055</v>
      </c>
      <c r="B197" s="8" t="s">
        <v>318</v>
      </c>
      <c r="C197" s="8" t="s">
        <v>2669</v>
      </c>
      <c r="D197" s="8" t="s">
        <v>2670</v>
      </c>
      <c r="E197" s="5" t="s">
        <v>2529</v>
      </c>
      <c r="F197" s="8" t="s">
        <v>2671</v>
      </c>
      <c r="G197" s="8" t="s">
        <v>2672</v>
      </c>
      <c r="H197" s="8" t="s">
        <v>2532</v>
      </c>
      <c r="I197" s="8" t="s">
        <v>2673</v>
      </c>
      <c r="J197" s="9">
        <v>46319</v>
      </c>
      <c r="K197" s="7"/>
      <c r="L197" s="8" t="s">
        <v>3056</v>
      </c>
      <c r="M197" s="8" t="s">
        <v>325</v>
      </c>
    </row>
    <row r="198" spans="1:13" ht="40" customHeight="1">
      <c r="A198" s="4" t="s">
        <v>3057</v>
      </c>
      <c r="B198" s="4" t="s">
        <v>318</v>
      </c>
      <c r="C198" s="4" t="s">
        <v>2676</v>
      </c>
      <c r="D198" s="4" t="s">
        <v>2677</v>
      </c>
      <c r="E198" s="5" t="s">
        <v>2529</v>
      </c>
      <c r="F198" s="4" t="s">
        <v>2678</v>
      </c>
      <c r="G198" s="4" t="s">
        <v>2679</v>
      </c>
      <c r="H198" s="4" t="s">
        <v>2532</v>
      </c>
      <c r="I198" s="4" t="s">
        <v>2673</v>
      </c>
      <c r="J198" s="6">
        <v>46319</v>
      </c>
      <c r="K198" s="7"/>
      <c r="L198" s="4" t="s">
        <v>3058</v>
      </c>
      <c r="M198" s="4" t="s">
        <v>325</v>
      </c>
    </row>
    <row r="199" spans="1:13" ht="40" customHeight="1">
      <c r="A199" s="8" t="s">
        <v>3059</v>
      </c>
      <c r="B199" s="8" t="s">
        <v>318</v>
      </c>
      <c r="C199" s="8" t="s">
        <v>2696</v>
      </c>
      <c r="D199" s="8" t="s">
        <v>3060</v>
      </c>
      <c r="E199" s="5" t="s">
        <v>2529</v>
      </c>
      <c r="F199" s="8" t="s">
        <v>3061</v>
      </c>
      <c r="G199" s="8" t="s">
        <v>2685</v>
      </c>
      <c r="H199" s="8" t="s">
        <v>2686</v>
      </c>
      <c r="I199" s="8" t="s">
        <v>2540</v>
      </c>
      <c r="J199" s="9">
        <v>46319</v>
      </c>
      <c r="K199" s="7"/>
      <c r="L199" s="8" t="s">
        <v>3062</v>
      </c>
      <c r="M199" s="8" t="s">
        <v>41</v>
      </c>
    </row>
    <row r="200" spans="1:13" ht="40" customHeight="1">
      <c r="A200" s="4" t="s">
        <v>3063</v>
      </c>
      <c r="B200" s="4" t="s">
        <v>318</v>
      </c>
      <c r="C200" s="4" t="s">
        <v>2696</v>
      </c>
      <c r="D200" s="4" t="s">
        <v>2688</v>
      </c>
      <c r="E200" s="5" t="s">
        <v>2529</v>
      </c>
      <c r="F200" s="4" t="s">
        <v>2689</v>
      </c>
      <c r="G200" s="4" t="s">
        <v>2685</v>
      </c>
      <c r="H200" s="4" t="s">
        <v>2686</v>
      </c>
      <c r="I200" s="4" t="s">
        <v>2540</v>
      </c>
      <c r="J200" s="6">
        <v>46319</v>
      </c>
      <c r="K200" s="7"/>
      <c r="L200" s="4" t="s">
        <v>3064</v>
      </c>
      <c r="M200" s="4" t="s">
        <v>41</v>
      </c>
    </row>
    <row r="201" spans="1:13" ht="40" customHeight="1">
      <c r="A201" s="8" t="s">
        <v>332</v>
      </c>
      <c r="B201" s="8" t="s">
        <v>326</v>
      </c>
      <c r="C201" s="8" t="s">
        <v>2664</v>
      </c>
      <c r="D201" s="8" t="s">
        <v>327</v>
      </c>
      <c r="E201" s="5" t="s">
        <v>2529</v>
      </c>
      <c r="F201" s="8" t="s">
        <v>2665</v>
      </c>
      <c r="G201" s="8" t="s">
        <v>2666</v>
      </c>
      <c r="H201" s="8" t="s">
        <v>2532</v>
      </c>
      <c r="I201" s="8" t="s">
        <v>2667</v>
      </c>
      <c r="J201" s="9">
        <v>46319</v>
      </c>
      <c r="K201" s="7"/>
      <c r="L201" s="8" t="s">
        <v>41</v>
      </c>
      <c r="M201" s="8" t="s">
        <v>334</v>
      </c>
    </row>
    <row r="202" spans="1:13" ht="40" customHeight="1">
      <c r="A202" s="4" t="s">
        <v>3065</v>
      </c>
      <c r="B202" s="4" t="s">
        <v>326</v>
      </c>
      <c r="C202" s="4" t="s">
        <v>2669</v>
      </c>
      <c r="D202" s="4" t="s">
        <v>2670</v>
      </c>
      <c r="E202" s="5" t="s">
        <v>2529</v>
      </c>
      <c r="F202" s="4" t="s">
        <v>2671</v>
      </c>
      <c r="G202" s="4" t="s">
        <v>2672</v>
      </c>
      <c r="H202" s="4" t="s">
        <v>2532</v>
      </c>
      <c r="I202" s="4" t="s">
        <v>2673</v>
      </c>
      <c r="J202" s="6">
        <v>46319</v>
      </c>
      <c r="K202" s="7"/>
      <c r="L202" s="4" t="s">
        <v>3066</v>
      </c>
      <c r="M202" s="4" t="s">
        <v>334</v>
      </c>
    </row>
    <row r="203" spans="1:13" ht="40" customHeight="1">
      <c r="A203" s="8" t="s">
        <v>3067</v>
      </c>
      <c r="B203" s="8" t="s">
        <v>326</v>
      </c>
      <c r="C203" s="8" t="s">
        <v>2676</v>
      </c>
      <c r="D203" s="8" t="s">
        <v>2677</v>
      </c>
      <c r="E203" s="5" t="s">
        <v>2529</v>
      </c>
      <c r="F203" s="8" t="s">
        <v>2678</v>
      </c>
      <c r="G203" s="8" t="s">
        <v>2679</v>
      </c>
      <c r="H203" s="8" t="s">
        <v>2532</v>
      </c>
      <c r="I203" s="8" t="s">
        <v>2673</v>
      </c>
      <c r="J203" s="9">
        <v>46319</v>
      </c>
      <c r="K203" s="7"/>
      <c r="L203" s="8" t="s">
        <v>3068</v>
      </c>
      <c r="M203" s="8" t="s">
        <v>334</v>
      </c>
    </row>
    <row r="204" spans="1:13" ht="40" customHeight="1">
      <c r="A204" s="4" t="s">
        <v>3069</v>
      </c>
      <c r="B204" s="4" t="s">
        <v>326</v>
      </c>
      <c r="C204" s="4" t="s">
        <v>2682</v>
      </c>
      <c r="D204" s="4" t="s">
        <v>2704</v>
      </c>
      <c r="E204" s="5" t="s">
        <v>2537</v>
      </c>
      <c r="F204" s="4" t="s">
        <v>2689</v>
      </c>
      <c r="G204" s="4" t="s">
        <v>2685</v>
      </c>
      <c r="H204" s="4" t="s">
        <v>2686</v>
      </c>
      <c r="I204" s="4" t="s">
        <v>2540</v>
      </c>
      <c r="J204" s="6">
        <v>46319</v>
      </c>
      <c r="K204" s="7"/>
      <c r="L204" s="4" t="s">
        <v>3070</v>
      </c>
      <c r="M204" s="4" t="s">
        <v>41</v>
      </c>
    </row>
    <row r="205" spans="1:13" ht="40" customHeight="1">
      <c r="A205" s="8" t="s">
        <v>3071</v>
      </c>
      <c r="B205" s="8" t="s">
        <v>326</v>
      </c>
      <c r="C205" s="8" t="s">
        <v>2696</v>
      </c>
      <c r="D205" s="8" t="s">
        <v>3072</v>
      </c>
      <c r="E205" s="5" t="s">
        <v>2529</v>
      </c>
      <c r="F205" s="8" t="s">
        <v>2714</v>
      </c>
      <c r="G205" s="8" t="s">
        <v>2685</v>
      </c>
      <c r="H205" s="8" t="s">
        <v>2686</v>
      </c>
      <c r="I205" s="8" t="s">
        <v>2540</v>
      </c>
      <c r="J205" s="9">
        <v>46319</v>
      </c>
      <c r="K205" s="7"/>
      <c r="L205" s="8" t="s">
        <v>3073</v>
      </c>
      <c r="M205" s="8" t="s">
        <v>41</v>
      </c>
    </row>
    <row r="206" spans="1:13" ht="40" customHeight="1">
      <c r="A206" s="4" t="s">
        <v>3074</v>
      </c>
      <c r="B206" s="4" t="s">
        <v>326</v>
      </c>
      <c r="C206" s="4" t="s">
        <v>2696</v>
      </c>
      <c r="D206" s="4" t="s">
        <v>3075</v>
      </c>
      <c r="E206" s="5" t="s">
        <v>2529</v>
      </c>
      <c r="F206" s="4" t="s">
        <v>2775</v>
      </c>
      <c r="G206" s="4" t="s">
        <v>2685</v>
      </c>
      <c r="H206" s="4" t="s">
        <v>2686</v>
      </c>
      <c r="I206" s="4" t="s">
        <v>2540</v>
      </c>
      <c r="J206" s="6">
        <v>46319</v>
      </c>
      <c r="K206" s="7"/>
      <c r="L206" s="4" t="s">
        <v>3076</v>
      </c>
      <c r="M206" s="4" t="s">
        <v>41</v>
      </c>
    </row>
    <row r="207" spans="1:13" ht="40" customHeight="1">
      <c r="A207" s="8" t="s">
        <v>341</v>
      </c>
      <c r="B207" s="8" t="s">
        <v>335</v>
      </c>
      <c r="C207" s="8" t="s">
        <v>2664</v>
      </c>
      <c r="D207" s="8" t="s">
        <v>336</v>
      </c>
      <c r="E207" s="5" t="s">
        <v>2529</v>
      </c>
      <c r="F207" s="8" t="s">
        <v>2665</v>
      </c>
      <c r="G207" s="8" t="s">
        <v>2666</v>
      </c>
      <c r="H207" s="8" t="s">
        <v>2532</v>
      </c>
      <c r="I207" s="8" t="s">
        <v>2667</v>
      </c>
      <c r="J207" s="9">
        <v>46319</v>
      </c>
      <c r="K207" s="7"/>
      <c r="L207" s="8" t="s">
        <v>41</v>
      </c>
      <c r="M207" s="8" t="s">
        <v>343</v>
      </c>
    </row>
    <row r="208" spans="1:13" ht="40" customHeight="1">
      <c r="A208" s="4" t="s">
        <v>3077</v>
      </c>
      <c r="B208" s="4" t="s">
        <v>335</v>
      </c>
      <c r="C208" s="4" t="s">
        <v>2669</v>
      </c>
      <c r="D208" s="4" t="s">
        <v>2670</v>
      </c>
      <c r="E208" s="5" t="s">
        <v>2529</v>
      </c>
      <c r="F208" s="4" t="s">
        <v>2671</v>
      </c>
      <c r="G208" s="4" t="s">
        <v>2672</v>
      </c>
      <c r="H208" s="4" t="s">
        <v>2532</v>
      </c>
      <c r="I208" s="4" t="s">
        <v>2673</v>
      </c>
      <c r="J208" s="6">
        <v>46319</v>
      </c>
      <c r="K208" s="7"/>
      <c r="L208" s="4" t="s">
        <v>3078</v>
      </c>
      <c r="M208" s="4" t="s">
        <v>343</v>
      </c>
    </row>
    <row r="209" spans="1:13" ht="40" customHeight="1">
      <c r="A209" s="8" t="s">
        <v>3079</v>
      </c>
      <c r="B209" s="8" t="s">
        <v>335</v>
      </c>
      <c r="C209" s="8" t="s">
        <v>2676</v>
      </c>
      <c r="D209" s="8" t="s">
        <v>2677</v>
      </c>
      <c r="E209" s="5" t="s">
        <v>2529</v>
      </c>
      <c r="F209" s="8" t="s">
        <v>2678</v>
      </c>
      <c r="G209" s="8" t="s">
        <v>2679</v>
      </c>
      <c r="H209" s="8" t="s">
        <v>2532</v>
      </c>
      <c r="I209" s="8" t="s">
        <v>2673</v>
      </c>
      <c r="J209" s="9">
        <v>46319</v>
      </c>
      <c r="K209" s="7"/>
      <c r="L209" s="8" t="s">
        <v>3080</v>
      </c>
      <c r="M209" s="8" t="s">
        <v>343</v>
      </c>
    </row>
    <row r="210" spans="1:13" ht="40" customHeight="1">
      <c r="A210" s="4" t="s">
        <v>350</v>
      </c>
      <c r="B210" s="4" t="s">
        <v>344</v>
      </c>
      <c r="C210" s="4" t="s">
        <v>2664</v>
      </c>
      <c r="D210" s="4" t="s">
        <v>345</v>
      </c>
      <c r="E210" s="5" t="s">
        <v>2529</v>
      </c>
      <c r="F210" s="4" t="s">
        <v>2665</v>
      </c>
      <c r="G210" s="4" t="s">
        <v>2666</v>
      </c>
      <c r="H210" s="4" t="s">
        <v>2532</v>
      </c>
      <c r="I210" s="4" t="s">
        <v>2667</v>
      </c>
      <c r="J210" s="6">
        <v>46319</v>
      </c>
      <c r="K210" s="7"/>
      <c r="L210" s="4" t="s">
        <v>41</v>
      </c>
      <c r="M210" s="4" t="s">
        <v>352</v>
      </c>
    </row>
    <row r="211" spans="1:13" ht="40" customHeight="1">
      <c r="A211" s="8" t="s">
        <v>3081</v>
      </c>
      <c r="B211" s="8" t="s">
        <v>344</v>
      </c>
      <c r="C211" s="8" t="s">
        <v>2669</v>
      </c>
      <c r="D211" s="8" t="s">
        <v>2670</v>
      </c>
      <c r="E211" s="5" t="s">
        <v>2529</v>
      </c>
      <c r="F211" s="8" t="s">
        <v>2671</v>
      </c>
      <c r="G211" s="8" t="s">
        <v>2672</v>
      </c>
      <c r="H211" s="8" t="s">
        <v>2532</v>
      </c>
      <c r="I211" s="8" t="s">
        <v>2673</v>
      </c>
      <c r="J211" s="9">
        <v>46319</v>
      </c>
      <c r="K211" s="7"/>
      <c r="L211" s="8" t="s">
        <v>3082</v>
      </c>
      <c r="M211" s="8" t="s">
        <v>352</v>
      </c>
    </row>
    <row r="212" spans="1:13" ht="40" customHeight="1">
      <c r="A212" s="4" t="s">
        <v>3083</v>
      </c>
      <c r="B212" s="4" t="s">
        <v>344</v>
      </c>
      <c r="C212" s="4" t="s">
        <v>2676</v>
      </c>
      <c r="D212" s="4" t="s">
        <v>2677</v>
      </c>
      <c r="E212" s="5" t="s">
        <v>2529</v>
      </c>
      <c r="F212" s="4" t="s">
        <v>2678</v>
      </c>
      <c r="G212" s="4" t="s">
        <v>2679</v>
      </c>
      <c r="H212" s="4" t="s">
        <v>2532</v>
      </c>
      <c r="I212" s="4" t="s">
        <v>2673</v>
      </c>
      <c r="J212" s="6">
        <v>46319</v>
      </c>
      <c r="K212" s="7"/>
      <c r="L212" s="4" t="s">
        <v>3084</v>
      </c>
      <c r="M212" s="4" t="s">
        <v>352</v>
      </c>
    </row>
    <row r="213" spans="1:13" ht="40" customHeight="1">
      <c r="A213" s="8" t="s">
        <v>3085</v>
      </c>
      <c r="B213" s="8" t="s">
        <v>344</v>
      </c>
      <c r="C213" s="8" t="s">
        <v>2696</v>
      </c>
      <c r="D213" s="8" t="s">
        <v>3086</v>
      </c>
      <c r="E213" s="5" t="s">
        <v>2529</v>
      </c>
      <c r="F213" s="8" t="s">
        <v>2684</v>
      </c>
      <c r="G213" s="8" t="s">
        <v>2685</v>
      </c>
      <c r="H213" s="8" t="s">
        <v>2686</v>
      </c>
      <c r="I213" s="8" t="s">
        <v>2540</v>
      </c>
      <c r="J213" s="9">
        <v>46319</v>
      </c>
      <c r="K213" s="7"/>
      <c r="L213" s="8" t="s">
        <v>3087</v>
      </c>
      <c r="M213" s="8" t="s">
        <v>41</v>
      </c>
    </row>
    <row r="214" spans="1:13" ht="40" customHeight="1">
      <c r="A214" s="4" t="s">
        <v>3088</v>
      </c>
      <c r="B214" s="4" t="s">
        <v>344</v>
      </c>
      <c r="C214" s="4" t="s">
        <v>2696</v>
      </c>
      <c r="D214" s="4" t="s">
        <v>3089</v>
      </c>
      <c r="E214" s="5" t="s">
        <v>2529</v>
      </c>
      <c r="F214" s="4" t="s">
        <v>3090</v>
      </c>
      <c r="G214" s="4" t="s">
        <v>2685</v>
      </c>
      <c r="H214" s="4" t="s">
        <v>2686</v>
      </c>
      <c r="I214" s="4" t="s">
        <v>2540</v>
      </c>
      <c r="J214" s="6">
        <v>46319</v>
      </c>
      <c r="K214" s="7"/>
      <c r="L214" s="4" t="s">
        <v>3091</v>
      </c>
      <c r="M214" s="4" t="s">
        <v>41</v>
      </c>
    </row>
    <row r="215" spans="1:13" ht="40" customHeight="1">
      <c r="A215" s="8" t="s">
        <v>3092</v>
      </c>
      <c r="B215" s="8" t="s">
        <v>344</v>
      </c>
      <c r="C215" s="8" t="s">
        <v>2696</v>
      </c>
      <c r="D215" s="8" t="s">
        <v>3093</v>
      </c>
      <c r="E215" s="5" t="s">
        <v>2529</v>
      </c>
      <c r="F215" s="8" t="s">
        <v>3094</v>
      </c>
      <c r="G215" s="8" t="s">
        <v>2685</v>
      </c>
      <c r="H215" s="8" t="s">
        <v>2686</v>
      </c>
      <c r="I215" s="8" t="s">
        <v>2540</v>
      </c>
      <c r="J215" s="9">
        <v>46319</v>
      </c>
      <c r="K215" s="7"/>
      <c r="L215" s="8" t="s">
        <v>3095</v>
      </c>
      <c r="M215" s="8" t="s">
        <v>41</v>
      </c>
    </row>
    <row r="216" spans="1:13" ht="40" customHeight="1">
      <c r="A216" s="4" t="s">
        <v>3096</v>
      </c>
      <c r="B216" s="4" t="s">
        <v>344</v>
      </c>
      <c r="C216" s="4" t="s">
        <v>2696</v>
      </c>
      <c r="D216" s="4" t="s">
        <v>3097</v>
      </c>
      <c r="E216" s="5" t="s">
        <v>2529</v>
      </c>
      <c r="F216" s="4" t="s">
        <v>3098</v>
      </c>
      <c r="G216" s="4" t="s">
        <v>2685</v>
      </c>
      <c r="H216" s="4" t="s">
        <v>2686</v>
      </c>
      <c r="I216" s="4" t="s">
        <v>2540</v>
      </c>
      <c r="J216" s="6">
        <v>46319</v>
      </c>
      <c r="K216" s="7"/>
      <c r="L216" s="4" t="s">
        <v>3099</v>
      </c>
      <c r="M216" s="4" t="s">
        <v>41</v>
      </c>
    </row>
    <row r="217" spans="1:13" ht="40" customHeight="1">
      <c r="A217" s="8" t="s">
        <v>3100</v>
      </c>
      <c r="B217" s="8" t="s">
        <v>344</v>
      </c>
      <c r="C217" s="8" t="s">
        <v>2696</v>
      </c>
      <c r="D217" s="8" t="s">
        <v>3101</v>
      </c>
      <c r="E217" s="5" t="s">
        <v>2529</v>
      </c>
      <c r="F217" s="8" t="s">
        <v>2775</v>
      </c>
      <c r="G217" s="8" t="s">
        <v>2685</v>
      </c>
      <c r="H217" s="8" t="s">
        <v>2686</v>
      </c>
      <c r="I217" s="8" t="s">
        <v>2540</v>
      </c>
      <c r="J217" s="9">
        <v>46319</v>
      </c>
      <c r="K217" s="7"/>
      <c r="L217" s="8" t="s">
        <v>3102</v>
      </c>
      <c r="M217" s="8" t="s">
        <v>41</v>
      </c>
    </row>
    <row r="218" spans="1:13" ht="40" customHeight="1">
      <c r="A218" s="4" t="s">
        <v>358</v>
      </c>
      <c r="B218" s="4" t="s">
        <v>353</v>
      </c>
      <c r="C218" s="4" t="s">
        <v>2664</v>
      </c>
      <c r="D218" s="4" t="s">
        <v>354</v>
      </c>
      <c r="E218" s="5" t="s">
        <v>2529</v>
      </c>
      <c r="F218" s="4" t="s">
        <v>2665</v>
      </c>
      <c r="G218" s="4" t="s">
        <v>2666</v>
      </c>
      <c r="H218" s="4" t="s">
        <v>2532</v>
      </c>
      <c r="I218" s="4" t="s">
        <v>2667</v>
      </c>
      <c r="J218" s="6">
        <v>46319</v>
      </c>
      <c r="K218" s="7"/>
      <c r="L218" s="4" t="s">
        <v>41</v>
      </c>
      <c r="M218" s="4" t="s">
        <v>360</v>
      </c>
    </row>
    <row r="219" spans="1:13" ht="40" customHeight="1">
      <c r="A219" s="8" t="s">
        <v>3103</v>
      </c>
      <c r="B219" s="8" t="s">
        <v>353</v>
      </c>
      <c r="C219" s="8" t="s">
        <v>2669</v>
      </c>
      <c r="D219" s="8" t="s">
        <v>2670</v>
      </c>
      <c r="E219" s="5" t="s">
        <v>2529</v>
      </c>
      <c r="F219" s="8" t="s">
        <v>2671</v>
      </c>
      <c r="G219" s="8" t="s">
        <v>2672</v>
      </c>
      <c r="H219" s="8" t="s">
        <v>2532</v>
      </c>
      <c r="I219" s="8" t="s">
        <v>2673</v>
      </c>
      <c r="J219" s="9">
        <v>46319</v>
      </c>
      <c r="K219" s="7"/>
      <c r="L219" s="8" t="s">
        <v>3104</v>
      </c>
      <c r="M219" s="8" t="s">
        <v>360</v>
      </c>
    </row>
    <row r="220" spans="1:13" ht="40" customHeight="1">
      <c r="A220" s="4" t="s">
        <v>3105</v>
      </c>
      <c r="B220" s="4" t="s">
        <v>353</v>
      </c>
      <c r="C220" s="4" t="s">
        <v>2676</v>
      </c>
      <c r="D220" s="4" t="s">
        <v>2677</v>
      </c>
      <c r="E220" s="5" t="s">
        <v>2529</v>
      </c>
      <c r="F220" s="4" t="s">
        <v>2678</v>
      </c>
      <c r="G220" s="4" t="s">
        <v>2679</v>
      </c>
      <c r="H220" s="4" t="s">
        <v>2532</v>
      </c>
      <c r="I220" s="4" t="s">
        <v>2673</v>
      </c>
      <c r="J220" s="6">
        <v>46319</v>
      </c>
      <c r="K220" s="7"/>
      <c r="L220" s="4" t="s">
        <v>3106</v>
      </c>
      <c r="M220" s="4" t="s">
        <v>360</v>
      </c>
    </row>
    <row r="221" spans="1:13" ht="40" customHeight="1">
      <c r="A221" s="8" t="s">
        <v>3107</v>
      </c>
      <c r="B221" s="8" t="s">
        <v>353</v>
      </c>
      <c r="C221" s="8" t="s">
        <v>2696</v>
      </c>
      <c r="D221" s="8" t="s">
        <v>3108</v>
      </c>
      <c r="E221" s="5" t="s">
        <v>2529</v>
      </c>
      <c r="F221" s="8" t="s">
        <v>3109</v>
      </c>
      <c r="G221" s="8" t="s">
        <v>2685</v>
      </c>
      <c r="H221" s="8" t="s">
        <v>2686</v>
      </c>
      <c r="I221" s="8" t="s">
        <v>2540</v>
      </c>
      <c r="J221" s="9">
        <v>46319</v>
      </c>
      <c r="K221" s="7"/>
      <c r="L221" s="8" t="s">
        <v>3110</v>
      </c>
      <c r="M221" s="8" t="s">
        <v>41</v>
      </c>
    </row>
    <row r="222" spans="1:13" ht="40" customHeight="1">
      <c r="A222" s="4" t="s">
        <v>3111</v>
      </c>
      <c r="B222" s="4" t="s">
        <v>353</v>
      </c>
      <c r="C222" s="4" t="s">
        <v>2696</v>
      </c>
      <c r="D222" s="4" t="s">
        <v>3112</v>
      </c>
      <c r="E222" s="5" t="s">
        <v>2529</v>
      </c>
      <c r="F222" s="4" t="s">
        <v>3113</v>
      </c>
      <c r="G222" s="4" t="s">
        <v>2685</v>
      </c>
      <c r="H222" s="4" t="s">
        <v>2686</v>
      </c>
      <c r="I222" s="4" t="s">
        <v>2540</v>
      </c>
      <c r="J222" s="6">
        <v>46319</v>
      </c>
      <c r="K222" s="7"/>
      <c r="L222" s="4" t="s">
        <v>3112</v>
      </c>
      <c r="M222" s="4" t="s">
        <v>41</v>
      </c>
    </row>
    <row r="223" spans="1:13" ht="40" customHeight="1">
      <c r="A223" s="8" t="s">
        <v>3114</v>
      </c>
      <c r="B223" s="8" t="s">
        <v>353</v>
      </c>
      <c r="C223" s="8" t="s">
        <v>2696</v>
      </c>
      <c r="D223" s="8" t="s">
        <v>3115</v>
      </c>
      <c r="E223" s="5" t="s">
        <v>2529</v>
      </c>
      <c r="F223" s="8" t="s">
        <v>3116</v>
      </c>
      <c r="G223" s="8" t="s">
        <v>2685</v>
      </c>
      <c r="H223" s="8" t="s">
        <v>2686</v>
      </c>
      <c r="I223" s="8" t="s">
        <v>2540</v>
      </c>
      <c r="J223" s="9">
        <v>46319</v>
      </c>
      <c r="K223" s="7"/>
      <c r="L223" s="8" t="s">
        <v>3115</v>
      </c>
      <c r="M223" s="8" t="s">
        <v>41</v>
      </c>
    </row>
    <row r="224" spans="1:13" ht="40" customHeight="1">
      <c r="A224" s="4" t="s">
        <v>3117</v>
      </c>
      <c r="B224" s="4" t="s">
        <v>353</v>
      </c>
      <c r="C224" s="4" t="s">
        <v>2682</v>
      </c>
      <c r="D224" s="4" t="s">
        <v>2688</v>
      </c>
      <c r="E224" s="5" t="s">
        <v>2537</v>
      </c>
      <c r="F224" s="4" t="s">
        <v>2689</v>
      </c>
      <c r="G224" s="4" t="s">
        <v>2685</v>
      </c>
      <c r="H224" s="4" t="s">
        <v>2686</v>
      </c>
      <c r="I224" s="4" t="s">
        <v>2540</v>
      </c>
      <c r="J224" s="6">
        <v>46319</v>
      </c>
      <c r="K224" s="7"/>
      <c r="L224" s="4" t="s">
        <v>3118</v>
      </c>
      <c r="M224" s="4" t="s">
        <v>41</v>
      </c>
    </row>
    <row r="225" spans="1:13" ht="40" customHeight="1">
      <c r="A225" s="8" t="s">
        <v>365</v>
      </c>
      <c r="B225" s="8" t="s">
        <v>361</v>
      </c>
      <c r="C225" s="8" t="s">
        <v>2664</v>
      </c>
      <c r="D225" s="8" t="s">
        <v>362</v>
      </c>
      <c r="E225" s="5" t="s">
        <v>2529</v>
      </c>
      <c r="F225" s="8" t="s">
        <v>2665</v>
      </c>
      <c r="G225" s="8" t="s">
        <v>2666</v>
      </c>
      <c r="H225" s="8" t="s">
        <v>2532</v>
      </c>
      <c r="I225" s="8" t="s">
        <v>2667</v>
      </c>
      <c r="J225" s="9">
        <v>46319</v>
      </c>
      <c r="K225" s="7"/>
      <c r="L225" s="8" t="s">
        <v>41</v>
      </c>
      <c r="M225" s="8" t="s">
        <v>367</v>
      </c>
    </row>
    <row r="226" spans="1:13" ht="40" customHeight="1">
      <c r="A226" s="4" t="s">
        <v>3119</v>
      </c>
      <c r="B226" s="4" t="s">
        <v>361</v>
      </c>
      <c r="C226" s="4" t="s">
        <v>2669</v>
      </c>
      <c r="D226" s="4" t="s">
        <v>2670</v>
      </c>
      <c r="E226" s="5" t="s">
        <v>2529</v>
      </c>
      <c r="F226" s="4" t="s">
        <v>2671</v>
      </c>
      <c r="G226" s="4" t="s">
        <v>2672</v>
      </c>
      <c r="H226" s="4" t="s">
        <v>2532</v>
      </c>
      <c r="I226" s="4" t="s">
        <v>2673</v>
      </c>
      <c r="J226" s="6">
        <v>46319</v>
      </c>
      <c r="K226" s="7"/>
      <c r="L226" s="4" t="s">
        <v>3120</v>
      </c>
      <c r="M226" s="4" t="s">
        <v>367</v>
      </c>
    </row>
    <row r="227" spans="1:13" ht="40" customHeight="1">
      <c r="A227" s="8" t="s">
        <v>3121</v>
      </c>
      <c r="B227" s="8" t="s">
        <v>361</v>
      </c>
      <c r="C227" s="8" t="s">
        <v>2676</v>
      </c>
      <c r="D227" s="8" t="s">
        <v>2677</v>
      </c>
      <c r="E227" s="5" t="s">
        <v>2529</v>
      </c>
      <c r="F227" s="8" t="s">
        <v>2678</v>
      </c>
      <c r="G227" s="8" t="s">
        <v>2679</v>
      </c>
      <c r="H227" s="8" t="s">
        <v>2532</v>
      </c>
      <c r="I227" s="8" t="s">
        <v>2673</v>
      </c>
      <c r="J227" s="9">
        <v>46319</v>
      </c>
      <c r="K227" s="7"/>
      <c r="L227" s="8" t="s">
        <v>3122</v>
      </c>
      <c r="M227" s="8" t="s">
        <v>367</v>
      </c>
    </row>
    <row r="228" spans="1:13" ht="40" customHeight="1">
      <c r="A228" s="4" t="s">
        <v>3123</v>
      </c>
      <c r="B228" s="4" t="s">
        <v>361</v>
      </c>
      <c r="C228" s="4" t="s">
        <v>2696</v>
      </c>
      <c r="D228" s="4" t="s">
        <v>3086</v>
      </c>
      <c r="E228" s="5" t="s">
        <v>2529</v>
      </c>
      <c r="F228" s="4" t="s">
        <v>2698</v>
      </c>
      <c r="G228" s="4" t="s">
        <v>2685</v>
      </c>
      <c r="H228" s="4" t="s">
        <v>2686</v>
      </c>
      <c r="I228" s="4" t="s">
        <v>2540</v>
      </c>
      <c r="J228" s="6">
        <v>46319</v>
      </c>
      <c r="K228" s="7"/>
      <c r="L228" s="4" t="s">
        <v>3124</v>
      </c>
      <c r="M228" s="4" t="s">
        <v>41</v>
      </c>
    </row>
    <row r="229" spans="1:13" ht="40" customHeight="1">
      <c r="A229" s="8" t="s">
        <v>3125</v>
      </c>
      <c r="B229" s="8" t="s">
        <v>361</v>
      </c>
      <c r="C229" s="8" t="s">
        <v>2696</v>
      </c>
      <c r="D229" s="8" t="s">
        <v>3126</v>
      </c>
      <c r="E229" s="5" t="s">
        <v>2529</v>
      </c>
      <c r="F229" s="8" t="s">
        <v>3127</v>
      </c>
      <c r="G229" s="8" t="s">
        <v>2685</v>
      </c>
      <c r="H229" s="8" t="s">
        <v>2686</v>
      </c>
      <c r="I229" s="8" t="s">
        <v>2540</v>
      </c>
      <c r="J229" s="9">
        <v>46319</v>
      </c>
      <c r="K229" s="7"/>
      <c r="L229" s="8" t="s">
        <v>3128</v>
      </c>
      <c r="M229" s="8" t="s">
        <v>41</v>
      </c>
    </row>
    <row r="230" spans="1:13" ht="40" customHeight="1">
      <c r="A230" s="4" t="s">
        <v>3129</v>
      </c>
      <c r="B230" s="4" t="s">
        <v>361</v>
      </c>
      <c r="C230" s="4" t="s">
        <v>2696</v>
      </c>
      <c r="D230" s="4" t="s">
        <v>3130</v>
      </c>
      <c r="E230" s="5" t="s">
        <v>2529</v>
      </c>
      <c r="F230" s="4" t="s">
        <v>2892</v>
      </c>
      <c r="G230" s="4" t="s">
        <v>2685</v>
      </c>
      <c r="H230" s="4" t="s">
        <v>2686</v>
      </c>
      <c r="I230" s="4" t="s">
        <v>2540</v>
      </c>
      <c r="J230" s="6">
        <v>46319</v>
      </c>
      <c r="K230" s="7"/>
      <c r="L230" s="4" t="s">
        <v>3131</v>
      </c>
      <c r="M230" s="4" t="s">
        <v>41</v>
      </c>
    </row>
    <row r="231" spans="1:13" ht="40" customHeight="1">
      <c r="A231" s="8" t="s">
        <v>3132</v>
      </c>
      <c r="B231" s="8" t="s">
        <v>361</v>
      </c>
      <c r="C231" s="8" t="s">
        <v>2696</v>
      </c>
      <c r="D231" s="8" t="s">
        <v>3133</v>
      </c>
      <c r="E231" s="5" t="s">
        <v>2529</v>
      </c>
      <c r="F231" s="8" t="s">
        <v>2689</v>
      </c>
      <c r="G231" s="8" t="s">
        <v>2685</v>
      </c>
      <c r="H231" s="8" t="s">
        <v>2686</v>
      </c>
      <c r="I231" s="8" t="s">
        <v>2540</v>
      </c>
      <c r="J231" s="9">
        <v>46319</v>
      </c>
      <c r="K231" s="7"/>
      <c r="L231" s="8" t="s">
        <v>3134</v>
      </c>
      <c r="M231" s="8" t="s">
        <v>41</v>
      </c>
    </row>
    <row r="232" spans="1:13" ht="40" customHeight="1">
      <c r="A232" s="4" t="s">
        <v>375</v>
      </c>
      <c r="B232" s="4" t="s">
        <v>368</v>
      </c>
      <c r="C232" s="4" t="s">
        <v>2664</v>
      </c>
      <c r="D232" s="4" t="s">
        <v>369</v>
      </c>
      <c r="E232" s="5" t="s">
        <v>2529</v>
      </c>
      <c r="F232" s="4" t="s">
        <v>2665</v>
      </c>
      <c r="G232" s="4" t="s">
        <v>2666</v>
      </c>
      <c r="H232" s="4" t="s">
        <v>2532</v>
      </c>
      <c r="I232" s="4" t="s">
        <v>2667</v>
      </c>
      <c r="J232" s="6">
        <v>46319</v>
      </c>
      <c r="K232" s="7"/>
      <c r="L232" s="4" t="s">
        <v>41</v>
      </c>
      <c r="M232" s="4" t="s">
        <v>377</v>
      </c>
    </row>
    <row r="233" spans="1:13" ht="40" customHeight="1">
      <c r="A233" s="8" t="s">
        <v>3135</v>
      </c>
      <c r="B233" s="8" t="s">
        <v>368</v>
      </c>
      <c r="C233" s="8" t="s">
        <v>2669</v>
      </c>
      <c r="D233" s="8" t="s">
        <v>2670</v>
      </c>
      <c r="E233" s="5" t="s">
        <v>2529</v>
      </c>
      <c r="F233" s="8" t="s">
        <v>2671</v>
      </c>
      <c r="G233" s="8" t="s">
        <v>2672</v>
      </c>
      <c r="H233" s="8" t="s">
        <v>2532</v>
      </c>
      <c r="I233" s="8" t="s">
        <v>2673</v>
      </c>
      <c r="J233" s="9">
        <v>46319</v>
      </c>
      <c r="K233" s="7"/>
      <c r="L233" s="8" t="s">
        <v>3136</v>
      </c>
      <c r="M233" s="8" t="s">
        <v>377</v>
      </c>
    </row>
    <row r="234" spans="1:13" ht="40" customHeight="1">
      <c r="A234" s="4" t="s">
        <v>3137</v>
      </c>
      <c r="B234" s="4" t="s">
        <v>368</v>
      </c>
      <c r="C234" s="4" t="s">
        <v>2676</v>
      </c>
      <c r="D234" s="4" t="s">
        <v>2677</v>
      </c>
      <c r="E234" s="5" t="s">
        <v>2529</v>
      </c>
      <c r="F234" s="4" t="s">
        <v>2678</v>
      </c>
      <c r="G234" s="4" t="s">
        <v>2679</v>
      </c>
      <c r="H234" s="4" t="s">
        <v>2532</v>
      </c>
      <c r="I234" s="4" t="s">
        <v>2673</v>
      </c>
      <c r="J234" s="6">
        <v>46319</v>
      </c>
      <c r="K234" s="7"/>
      <c r="L234" s="4" t="s">
        <v>3138</v>
      </c>
      <c r="M234" s="4" t="s">
        <v>377</v>
      </c>
    </row>
    <row r="235" spans="1:13" ht="40" customHeight="1">
      <c r="A235" s="8" t="s">
        <v>384</v>
      </c>
      <c r="B235" s="8" t="s">
        <v>378</v>
      </c>
      <c r="C235" s="8" t="s">
        <v>2664</v>
      </c>
      <c r="D235" s="8" t="s">
        <v>379</v>
      </c>
      <c r="E235" s="5" t="s">
        <v>2529</v>
      </c>
      <c r="F235" s="8" t="s">
        <v>2665</v>
      </c>
      <c r="G235" s="8" t="s">
        <v>2666</v>
      </c>
      <c r="H235" s="8" t="s">
        <v>2532</v>
      </c>
      <c r="I235" s="8" t="s">
        <v>2667</v>
      </c>
      <c r="J235" s="9">
        <v>46319</v>
      </c>
      <c r="K235" s="7"/>
      <c r="L235" s="8" t="s">
        <v>41</v>
      </c>
      <c r="M235" s="8" t="s">
        <v>386</v>
      </c>
    </row>
    <row r="236" spans="1:13" ht="40" customHeight="1">
      <c r="A236" s="4" t="s">
        <v>3139</v>
      </c>
      <c r="B236" s="4" t="s">
        <v>378</v>
      </c>
      <c r="C236" s="4" t="s">
        <v>2669</v>
      </c>
      <c r="D236" s="4" t="s">
        <v>2670</v>
      </c>
      <c r="E236" s="5" t="s">
        <v>2529</v>
      </c>
      <c r="F236" s="4" t="s">
        <v>2671</v>
      </c>
      <c r="G236" s="4" t="s">
        <v>2672</v>
      </c>
      <c r="H236" s="4" t="s">
        <v>2532</v>
      </c>
      <c r="I236" s="4" t="s">
        <v>2673</v>
      </c>
      <c r="J236" s="6">
        <v>46319</v>
      </c>
      <c r="K236" s="7"/>
      <c r="L236" s="4" t="s">
        <v>3140</v>
      </c>
      <c r="M236" s="4" t="s">
        <v>386</v>
      </c>
    </row>
    <row r="237" spans="1:13" ht="40" customHeight="1">
      <c r="A237" s="8" t="s">
        <v>3141</v>
      </c>
      <c r="B237" s="8" t="s">
        <v>378</v>
      </c>
      <c r="C237" s="8" t="s">
        <v>2676</v>
      </c>
      <c r="D237" s="8" t="s">
        <v>2677</v>
      </c>
      <c r="E237" s="5" t="s">
        <v>2529</v>
      </c>
      <c r="F237" s="8" t="s">
        <v>2678</v>
      </c>
      <c r="G237" s="8" t="s">
        <v>2679</v>
      </c>
      <c r="H237" s="8" t="s">
        <v>2532</v>
      </c>
      <c r="I237" s="8" t="s">
        <v>2673</v>
      </c>
      <c r="J237" s="9">
        <v>46319</v>
      </c>
      <c r="K237" s="7"/>
      <c r="L237" s="8" t="s">
        <v>3142</v>
      </c>
      <c r="M237" s="8" t="s">
        <v>386</v>
      </c>
    </row>
    <row r="238" spans="1:13" ht="40" customHeight="1">
      <c r="A238" s="4" t="s">
        <v>3143</v>
      </c>
      <c r="B238" s="4" t="s">
        <v>378</v>
      </c>
      <c r="C238" s="4" t="s">
        <v>2696</v>
      </c>
      <c r="D238" s="4" t="s">
        <v>2949</v>
      </c>
      <c r="E238" s="5" t="s">
        <v>2529</v>
      </c>
      <c r="F238" s="4" t="s">
        <v>3144</v>
      </c>
      <c r="G238" s="4" t="s">
        <v>2685</v>
      </c>
      <c r="H238" s="4" t="s">
        <v>2686</v>
      </c>
      <c r="I238" s="4" t="s">
        <v>2540</v>
      </c>
      <c r="J238" s="6">
        <v>46319</v>
      </c>
      <c r="K238" s="7"/>
      <c r="L238" s="4" t="s">
        <v>3145</v>
      </c>
      <c r="M238" s="4" t="s">
        <v>41</v>
      </c>
    </row>
    <row r="239" spans="1:13" ht="40" customHeight="1">
      <c r="A239" s="8" t="s">
        <v>3146</v>
      </c>
      <c r="B239" s="8" t="s">
        <v>378</v>
      </c>
      <c r="C239" s="8" t="s">
        <v>2696</v>
      </c>
      <c r="D239" s="8" t="s">
        <v>2949</v>
      </c>
      <c r="E239" s="5" t="s">
        <v>2529</v>
      </c>
      <c r="F239" s="8" t="s">
        <v>3147</v>
      </c>
      <c r="G239" s="8" t="s">
        <v>2685</v>
      </c>
      <c r="H239" s="8" t="s">
        <v>2686</v>
      </c>
      <c r="I239" s="8" t="s">
        <v>2540</v>
      </c>
      <c r="J239" s="9">
        <v>46319</v>
      </c>
      <c r="K239" s="7"/>
      <c r="L239" s="8" t="s">
        <v>3148</v>
      </c>
      <c r="M239" s="8" t="s">
        <v>41</v>
      </c>
    </row>
    <row r="240" spans="1:13" ht="40" customHeight="1">
      <c r="A240" s="4" t="s">
        <v>3149</v>
      </c>
      <c r="B240" s="4" t="s">
        <v>378</v>
      </c>
      <c r="C240" s="4" t="s">
        <v>2696</v>
      </c>
      <c r="D240" s="4" t="s">
        <v>2949</v>
      </c>
      <c r="E240" s="5" t="s">
        <v>2529</v>
      </c>
      <c r="F240" s="4" t="s">
        <v>3150</v>
      </c>
      <c r="G240" s="4" t="s">
        <v>2685</v>
      </c>
      <c r="H240" s="4" t="s">
        <v>2686</v>
      </c>
      <c r="I240" s="4" t="s">
        <v>2540</v>
      </c>
      <c r="J240" s="6">
        <v>46319</v>
      </c>
      <c r="K240" s="7"/>
      <c r="L240" s="4" t="s">
        <v>3151</v>
      </c>
      <c r="M240" s="4" t="s">
        <v>41</v>
      </c>
    </row>
    <row r="241" spans="1:13" ht="40" customHeight="1">
      <c r="A241" s="8" t="s">
        <v>3152</v>
      </c>
      <c r="B241" s="8" t="s">
        <v>378</v>
      </c>
      <c r="C241" s="8" t="s">
        <v>2682</v>
      </c>
      <c r="D241" s="8" t="s">
        <v>3153</v>
      </c>
      <c r="E241" s="5" t="s">
        <v>2537</v>
      </c>
      <c r="F241" s="8" t="s">
        <v>2689</v>
      </c>
      <c r="G241" s="8" t="s">
        <v>2685</v>
      </c>
      <c r="H241" s="8" t="s">
        <v>2686</v>
      </c>
      <c r="I241" s="8" t="s">
        <v>2540</v>
      </c>
      <c r="J241" s="9">
        <v>46319</v>
      </c>
      <c r="K241" s="7"/>
      <c r="L241" s="8" t="s">
        <v>3154</v>
      </c>
      <c r="M241" s="8" t="s">
        <v>41</v>
      </c>
    </row>
    <row r="242" spans="1:13" ht="40" customHeight="1">
      <c r="A242" s="4" t="s">
        <v>3155</v>
      </c>
      <c r="B242" s="4" t="s">
        <v>378</v>
      </c>
      <c r="C242" s="4" t="s">
        <v>2682</v>
      </c>
      <c r="D242" s="4" t="s">
        <v>3156</v>
      </c>
      <c r="E242" s="5" t="s">
        <v>2537</v>
      </c>
      <c r="F242" s="4" t="s">
        <v>2714</v>
      </c>
      <c r="G242" s="4" t="s">
        <v>2685</v>
      </c>
      <c r="H242" s="4" t="s">
        <v>2686</v>
      </c>
      <c r="I242" s="4" t="s">
        <v>2540</v>
      </c>
      <c r="J242" s="6">
        <v>46319</v>
      </c>
      <c r="K242" s="7"/>
      <c r="L242" s="4" t="s">
        <v>3157</v>
      </c>
      <c r="M242" s="4" t="s">
        <v>41</v>
      </c>
    </row>
    <row r="243" spans="1:13" ht="40" customHeight="1">
      <c r="A243" s="8" t="s">
        <v>3158</v>
      </c>
      <c r="B243" s="8" t="s">
        <v>378</v>
      </c>
      <c r="C243" s="8" t="s">
        <v>2696</v>
      </c>
      <c r="D243" s="8" t="s">
        <v>3031</v>
      </c>
      <c r="E243" s="5" t="s">
        <v>2529</v>
      </c>
      <c r="F243" s="8" t="s">
        <v>2775</v>
      </c>
      <c r="G243" s="8" t="s">
        <v>2685</v>
      </c>
      <c r="H243" s="8" t="s">
        <v>2686</v>
      </c>
      <c r="I243" s="8" t="s">
        <v>2540</v>
      </c>
      <c r="J243" s="9">
        <v>46319</v>
      </c>
      <c r="K243" s="7"/>
      <c r="L243" s="8" t="s">
        <v>3159</v>
      </c>
      <c r="M243" s="8" t="s">
        <v>41</v>
      </c>
    </row>
    <row r="244" spans="1:13" ht="40" customHeight="1">
      <c r="A244" s="4" t="s">
        <v>3160</v>
      </c>
      <c r="B244" s="4" t="s">
        <v>378</v>
      </c>
      <c r="C244" s="4" t="s">
        <v>2682</v>
      </c>
      <c r="D244" s="4" t="s">
        <v>3161</v>
      </c>
      <c r="E244" s="5" t="s">
        <v>2537</v>
      </c>
      <c r="F244" s="4" t="s">
        <v>2750</v>
      </c>
      <c r="G244" s="4" t="s">
        <v>2685</v>
      </c>
      <c r="H244" s="4" t="s">
        <v>2686</v>
      </c>
      <c r="I244" s="4" t="s">
        <v>2540</v>
      </c>
      <c r="J244" s="6">
        <v>46319</v>
      </c>
      <c r="K244" s="7"/>
      <c r="L244" s="4" t="s">
        <v>3162</v>
      </c>
      <c r="M244" s="4" t="s">
        <v>41</v>
      </c>
    </row>
    <row r="245" spans="1:13" ht="40" customHeight="1">
      <c r="A245" s="8" t="s">
        <v>3163</v>
      </c>
      <c r="B245" s="8" t="s">
        <v>378</v>
      </c>
      <c r="C245" s="8" t="s">
        <v>2696</v>
      </c>
      <c r="D245" s="8" t="s">
        <v>3164</v>
      </c>
      <c r="E245" s="5" t="s">
        <v>2529</v>
      </c>
      <c r="F245" s="8" t="s">
        <v>2754</v>
      </c>
      <c r="G245" s="8" t="s">
        <v>2685</v>
      </c>
      <c r="H245" s="8" t="s">
        <v>2686</v>
      </c>
      <c r="I245" s="8" t="s">
        <v>2540</v>
      </c>
      <c r="J245" s="9">
        <v>46319</v>
      </c>
      <c r="K245" s="7"/>
      <c r="L245" s="8" t="s">
        <v>3165</v>
      </c>
      <c r="M245" s="8" t="s">
        <v>41</v>
      </c>
    </row>
    <row r="246" spans="1:13" ht="40" customHeight="1">
      <c r="A246" s="4" t="s">
        <v>391</v>
      </c>
      <c r="B246" s="4" t="s">
        <v>387</v>
      </c>
      <c r="C246" s="4" t="s">
        <v>2664</v>
      </c>
      <c r="D246" s="4" t="s">
        <v>388</v>
      </c>
      <c r="E246" s="5" t="s">
        <v>2529</v>
      </c>
      <c r="F246" s="4" t="s">
        <v>2665</v>
      </c>
      <c r="G246" s="4" t="s">
        <v>2666</v>
      </c>
      <c r="H246" s="4" t="s">
        <v>2532</v>
      </c>
      <c r="I246" s="4" t="s">
        <v>2667</v>
      </c>
      <c r="J246" s="6">
        <v>46319</v>
      </c>
      <c r="K246" s="7"/>
      <c r="L246" s="4" t="s">
        <v>41</v>
      </c>
      <c r="M246" s="4" t="s">
        <v>393</v>
      </c>
    </row>
    <row r="247" spans="1:13" ht="40" customHeight="1">
      <c r="A247" s="8" t="s">
        <v>3166</v>
      </c>
      <c r="B247" s="8" t="s">
        <v>387</v>
      </c>
      <c r="C247" s="8" t="s">
        <v>2669</v>
      </c>
      <c r="D247" s="8" t="s">
        <v>2670</v>
      </c>
      <c r="E247" s="5" t="s">
        <v>2529</v>
      </c>
      <c r="F247" s="8" t="s">
        <v>2671</v>
      </c>
      <c r="G247" s="8" t="s">
        <v>2672</v>
      </c>
      <c r="H247" s="8" t="s">
        <v>2532</v>
      </c>
      <c r="I247" s="8" t="s">
        <v>2673</v>
      </c>
      <c r="J247" s="9">
        <v>46319</v>
      </c>
      <c r="K247" s="7"/>
      <c r="L247" s="8" t="s">
        <v>3167</v>
      </c>
      <c r="M247" s="8" t="s">
        <v>393</v>
      </c>
    </row>
    <row r="248" spans="1:13" ht="40" customHeight="1">
      <c r="A248" s="4" t="s">
        <v>3168</v>
      </c>
      <c r="B248" s="4" t="s">
        <v>387</v>
      </c>
      <c r="C248" s="4" t="s">
        <v>2676</v>
      </c>
      <c r="D248" s="4" t="s">
        <v>2677</v>
      </c>
      <c r="E248" s="5" t="s">
        <v>2529</v>
      </c>
      <c r="F248" s="4" t="s">
        <v>2678</v>
      </c>
      <c r="G248" s="4" t="s">
        <v>2679</v>
      </c>
      <c r="H248" s="4" t="s">
        <v>2532</v>
      </c>
      <c r="I248" s="4" t="s">
        <v>2673</v>
      </c>
      <c r="J248" s="6">
        <v>46319</v>
      </c>
      <c r="K248" s="7"/>
      <c r="L248" s="4" t="s">
        <v>3169</v>
      </c>
      <c r="M248" s="4" t="s">
        <v>393</v>
      </c>
    </row>
    <row r="249" spans="1:13" ht="40" customHeight="1">
      <c r="A249" s="8" t="s">
        <v>3170</v>
      </c>
      <c r="B249" s="8" t="s">
        <v>387</v>
      </c>
      <c r="C249" s="8" t="s">
        <v>2696</v>
      </c>
      <c r="D249" s="8" t="s">
        <v>2765</v>
      </c>
      <c r="E249" s="5" t="s">
        <v>2529</v>
      </c>
      <c r="F249" s="8" t="s">
        <v>2766</v>
      </c>
      <c r="G249" s="8" t="s">
        <v>2685</v>
      </c>
      <c r="H249" s="8" t="s">
        <v>2686</v>
      </c>
      <c r="I249" s="8" t="s">
        <v>2540</v>
      </c>
      <c r="J249" s="9">
        <v>46319</v>
      </c>
      <c r="K249" s="7"/>
      <c r="L249" s="8" t="s">
        <v>2765</v>
      </c>
      <c r="M249" s="8" t="s">
        <v>41</v>
      </c>
    </row>
    <row r="250" spans="1:13" ht="40" customHeight="1">
      <c r="A250" s="4" t="s">
        <v>3171</v>
      </c>
      <c r="B250" s="4" t="s">
        <v>387</v>
      </c>
      <c r="C250" s="4" t="s">
        <v>2682</v>
      </c>
      <c r="D250" s="4" t="s">
        <v>2704</v>
      </c>
      <c r="E250" s="5" t="s">
        <v>2537</v>
      </c>
      <c r="F250" s="4" t="s">
        <v>2689</v>
      </c>
      <c r="G250" s="4" t="s">
        <v>2685</v>
      </c>
      <c r="H250" s="4" t="s">
        <v>2686</v>
      </c>
      <c r="I250" s="4" t="s">
        <v>2540</v>
      </c>
      <c r="J250" s="6">
        <v>46319</v>
      </c>
      <c r="K250" s="7"/>
      <c r="L250" s="4" t="s">
        <v>2772</v>
      </c>
      <c r="M250" s="4" t="s">
        <v>41</v>
      </c>
    </row>
    <row r="251" spans="1:13" ht="40" customHeight="1">
      <c r="A251" s="8" t="s">
        <v>3172</v>
      </c>
      <c r="B251" s="8" t="s">
        <v>387</v>
      </c>
      <c r="C251" s="8" t="s">
        <v>2682</v>
      </c>
      <c r="D251" s="8" t="s">
        <v>3173</v>
      </c>
      <c r="E251" s="5" t="s">
        <v>2537</v>
      </c>
      <c r="F251" s="8" t="s">
        <v>2714</v>
      </c>
      <c r="G251" s="8" t="s">
        <v>2685</v>
      </c>
      <c r="H251" s="8" t="s">
        <v>2686</v>
      </c>
      <c r="I251" s="8" t="s">
        <v>2540</v>
      </c>
      <c r="J251" s="9">
        <v>46319</v>
      </c>
      <c r="K251" s="7"/>
      <c r="L251" s="8" t="s">
        <v>3174</v>
      </c>
      <c r="M251" s="8" t="s">
        <v>41</v>
      </c>
    </row>
    <row r="252" spans="1:13" ht="40" customHeight="1">
      <c r="A252" s="4" t="s">
        <v>3175</v>
      </c>
      <c r="B252" s="4" t="s">
        <v>387</v>
      </c>
      <c r="C252" s="4" t="s">
        <v>2682</v>
      </c>
      <c r="D252" s="4" t="s">
        <v>3176</v>
      </c>
      <c r="E252" s="5" t="s">
        <v>2537</v>
      </c>
      <c r="F252" s="4" t="s">
        <v>2775</v>
      </c>
      <c r="G252" s="4" t="s">
        <v>2685</v>
      </c>
      <c r="H252" s="4" t="s">
        <v>2686</v>
      </c>
      <c r="I252" s="4" t="s">
        <v>2540</v>
      </c>
      <c r="J252" s="6">
        <v>46319</v>
      </c>
      <c r="K252" s="7"/>
      <c r="L252" s="4" t="s">
        <v>3177</v>
      </c>
      <c r="M252" s="4" t="s">
        <v>41</v>
      </c>
    </row>
    <row r="253" spans="1:13" ht="40" customHeight="1">
      <c r="A253" s="8" t="s">
        <v>3178</v>
      </c>
      <c r="B253" s="8" t="s">
        <v>387</v>
      </c>
      <c r="C253" s="8" t="s">
        <v>2696</v>
      </c>
      <c r="D253" s="8" t="s">
        <v>3179</v>
      </c>
      <c r="E253" s="5" t="s">
        <v>2529</v>
      </c>
      <c r="F253" s="8" t="s">
        <v>2750</v>
      </c>
      <c r="G253" s="8" t="s">
        <v>2685</v>
      </c>
      <c r="H253" s="8" t="s">
        <v>2686</v>
      </c>
      <c r="I253" s="8" t="s">
        <v>2540</v>
      </c>
      <c r="J253" s="9">
        <v>46319</v>
      </c>
      <c r="K253" s="7"/>
      <c r="L253" s="8" t="s">
        <v>3180</v>
      </c>
      <c r="M253" s="8" t="s">
        <v>41</v>
      </c>
    </row>
    <row r="254" spans="1:13" ht="40" customHeight="1">
      <c r="A254" s="4" t="s">
        <v>399</v>
      </c>
      <c r="B254" s="4" t="s">
        <v>394</v>
      </c>
      <c r="C254" s="4" t="s">
        <v>2664</v>
      </c>
      <c r="D254" s="4" t="s">
        <v>395</v>
      </c>
      <c r="E254" s="5" t="s">
        <v>2529</v>
      </c>
      <c r="F254" s="4" t="s">
        <v>2665</v>
      </c>
      <c r="G254" s="4" t="s">
        <v>2666</v>
      </c>
      <c r="H254" s="4" t="s">
        <v>2532</v>
      </c>
      <c r="I254" s="4" t="s">
        <v>2667</v>
      </c>
      <c r="J254" s="6">
        <v>46319</v>
      </c>
      <c r="K254" s="7"/>
      <c r="L254" s="4" t="s">
        <v>41</v>
      </c>
      <c r="M254" s="4" t="s">
        <v>401</v>
      </c>
    </row>
    <row r="255" spans="1:13" ht="40" customHeight="1">
      <c r="A255" s="8" t="s">
        <v>3181</v>
      </c>
      <c r="B255" s="8" t="s">
        <v>394</v>
      </c>
      <c r="C255" s="8" t="s">
        <v>2669</v>
      </c>
      <c r="D255" s="8" t="s">
        <v>2670</v>
      </c>
      <c r="E255" s="5" t="s">
        <v>2529</v>
      </c>
      <c r="F255" s="8" t="s">
        <v>2671</v>
      </c>
      <c r="G255" s="8" t="s">
        <v>2672</v>
      </c>
      <c r="H255" s="8" t="s">
        <v>2532</v>
      </c>
      <c r="I255" s="8" t="s">
        <v>2673</v>
      </c>
      <c r="J255" s="9">
        <v>46319</v>
      </c>
      <c r="K255" s="7"/>
      <c r="L255" s="8" t="s">
        <v>3182</v>
      </c>
      <c r="M255" s="8" t="s">
        <v>401</v>
      </c>
    </row>
    <row r="256" spans="1:13" ht="40" customHeight="1">
      <c r="A256" s="4" t="s">
        <v>3183</v>
      </c>
      <c r="B256" s="4" t="s">
        <v>394</v>
      </c>
      <c r="C256" s="4" t="s">
        <v>2676</v>
      </c>
      <c r="D256" s="4" t="s">
        <v>2677</v>
      </c>
      <c r="E256" s="5" t="s">
        <v>2529</v>
      </c>
      <c r="F256" s="4" t="s">
        <v>2678</v>
      </c>
      <c r="G256" s="4" t="s">
        <v>2679</v>
      </c>
      <c r="H256" s="4" t="s">
        <v>2532</v>
      </c>
      <c r="I256" s="4" t="s">
        <v>2673</v>
      </c>
      <c r="J256" s="6">
        <v>46319</v>
      </c>
      <c r="K256" s="7"/>
      <c r="L256" s="4" t="s">
        <v>3184</v>
      </c>
      <c r="M256" s="4" t="s">
        <v>401</v>
      </c>
    </row>
    <row r="257" spans="1:13" ht="54" customHeight="1">
      <c r="A257" s="8" t="s">
        <v>3185</v>
      </c>
      <c r="B257" s="8" t="s">
        <v>394</v>
      </c>
      <c r="C257" s="8" t="s">
        <v>2682</v>
      </c>
      <c r="D257" s="8" t="s">
        <v>3186</v>
      </c>
      <c r="E257" s="5" t="s">
        <v>2537</v>
      </c>
      <c r="F257" s="8" t="s">
        <v>2829</v>
      </c>
      <c r="G257" s="8" t="s">
        <v>2685</v>
      </c>
      <c r="H257" s="8" t="s">
        <v>2686</v>
      </c>
      <c r="I257" s="8" t="s">
        <v>2540</v>
      </c>
      <c r="J257" s="9">
        <v>46319</v>
      </c>
      <c r="K257" s="7"/>
      <c r="L257" s="8" t="s">
        <v>3187</v>
      </c>
      <c r="M257" s="8" t="s">
        <v>41</v>
      </c>
    </row>
    <row r="258" spans="1:13" ht="40" customHeight="1">
      <c r="A258" s="4" t="s">
        <v>3188</v>
      </c>
      <c r="B258" s="4" t="s">
        <v>394</v>
      </c>
      <c r="C258" s="4" t="s">
        <v>2682</v>
      </c>
      <c r="D258" s="4" t="s">
        <v>3189</v>
      </c>
      <c r="E258" s="5" t="s">
        <v>2537</v>
      </c>
      <c r="F258" s="4" t="s">
        <v>3190</v>
      </c>
      <c r="G258" s="4" t="s">
        <v>2685</v>
      </c>
      <c r="H258" s="4" t="s">
        <v>2686</v>
      </c>
      <c r="I258" s="4" t="s">
        <v>2540</v>
      </c>
      <c r="J258" s="6">
        <v>46319</v>
      </c>
      <c r="K258" s="7"/>
      <c r="L258" s="4" t="s">
        <v>3191</v>
      </c>
      <c r="M258" s="4" t="s">
        <v>41</v>
      </c>
    </row>
    <row r="259" spans="1:13" ht="40" customHeight="1">
      <c r="A259" s="8" t="s">
        <v>3192</v>
      </c>
      <c r="B259" s="8" t="s">
        <v>394</v>
      </c>
      <c r="C259" s="8" t="s">
        <v>2696</v>
      </c>
      <c r="D259" s="8" t="s">
        <v>3193</v>
      </c>
      <c r="E259" s="5" t="s">
        <v>2529</v>
      </c>
      <c r="F259" s="8" t="s">
        <v>2985</v>
      </c>
      <c r="G259" s="8" t="s">
        <v>2685</v>
      </c>
      <c r="H259" s="8" t="s">
        <v>2686</v>
      </c>
      <c r="I259" s="8" t="s">
        <v>2540</v>
      </c>
      <c r="J259" s="9">
        <v>46319</v>
      </c>
      <c r="K259" s="7"/>
      <c r="L259" s="8" t="s">
        <v>3194</v>
      </c>
      <c r="M259" s="8" t="s">
        <v>41</v>
      </c>
    </row>
    <row r="260" spans="1:13" ht="40" customHeight="1">
      <c r="A260" s="4" t="s">
        <v>408</v>
      </c>
      <c r="B260" s="4" t="s">
        <v>402</v>
      </c>
      <c r="C260" s="4" t="s">
        <v>2664</v>
      </c>
      <c r="D260" s="4" t="s">
        <v>403</v>
      </c>
      <c r="E260" s="5" t="s">
        <v>2529</v>
      </c>
      <c r="F260" s="4" t="s">
        <v>2665</v>
      </c>
      <c r="G260" s="4" t="s">
        <v>2666</v>
      </c>
      <c r="H260" s="4" t="s">
        <v>2532</v>
      </c>
      <c r="I260" s="4" t="s">
        <v>2667</v>
      </c>
      <c r="J260" s="6">
        <v>46319</v>
      </c>
      <c r="K260" s="7"/>
      <c r="L260" s="4" t="s">
        <v>41</v>
      </c>
      <c r="M260" s="4" t="s">
        <v>410</v>
      </c>
    </row>
    <row r="261" spans="1:13" ht="40" customHeight="1">
      <c r="A261" s="8" t="s">
        <v>3195</v>
      </c>
      <c r="B261" s="8" t="s">
        <v>402</v>
      </c>
      <c r="C261" s="8" t="s">
        <v>2669</v>
      </c>
      <c r="D261" s="8" t="s">
        <v>2670</v>
      </c>
      <c r="E261" s="5" t="s">
        <v>2529</v>
      </c>
      <c r="F261" s="8" t="s">
        <v>2671</v>
      </c>
      <c r="G261" s="8" t="s">
        <v>2672</v>
      </c>
      <c r="H261" s="8" t="s">
        <v>2532</v>
      </c>
      <c r="I261" s="8" t="s">
        <v>2673</v>
      </c>
      <c r="J261" s="9">
        <v>46319</v>
      </c>
      <c r="K261" s="7"/>
      <c r="L261" s="8" t="s">
        <v>3196</v>
      </c>
      <c r="M261" s="8" t="s">
        <v>410</v>
      </c>
    </row>
    <row r="262" spans="1:13" ht="40" customHeight="1">
      <c r="A262" s="4" t="s">
        <v>3197</v>
      </c>
      <c r="B262" s="4" t="s">
        <v>402</v>
      </c>
      <c r="C262" s="4" t="s">
        <v>2676</v>
      </c>
      <c r="D262" s="4" t="s">
        <v>2677</v>
      </c>
      <c r="E262" s="5" t="s">
        <v>2529</v>
      </c>
      <c r="F262" s="4" t="s">
        <v>2678</v>
      </c>
      <c r="G262" s="4" t="s">
        <v>2679</v>
      </c>
      <c r="H262" s="4" t="s">
        <v>2532</v>
      </c>
      <c r="I262" s="4" t="s">
        <v>2673</v>
      </c>
      <c r="J262" s="6">
        <v>46319</v>
      </c>
      <c r="K262" s="7"/>
      <c r="L262" s="4" t="s">
        <v>3198</v>
      </c>
      <c r="M262" s="4" t="s">
        <v>410</v>
      </c>
    </row>
    <row r="263" spans="1:13" ht="40" customHeight="1">
      <c r="A263" s="8" t="s">
        <v>3199</v>
      </c>
      <c r="B263" s="8" t="s">
        <v>402</v>
      </c>
      <c r="C263" s="8" t="s">
        <v>2696</v>
      </c>
      <c r="D263" s="8" t="s">
        <v>3200</v>
      </c>
      <c r="E263" s="5" t="s">
        <v>2529</v>
      </c>
      <c r="F263" s="8" t="s">
        <v>3061</v>
      </c>
      <c r="G263" s="8" t="s">
        <v>2685</v>
      </c>
      <c r="H263" s="8" t="s">
        <v>2686</v>
      </c>
      <c r="I263" s="8" t="s">
        <v>2540</v>
      </c>
      <c r="J263" s="9">
        <v>46319</v>
      </c>
      <c r="K263" s="7"/>
      <c r="L263" s="8" t="s">
        <v>3201</v>
      </c>
      <c r="M263" s="8" t="s">
        <v>41</v>
      </c>
    </row>
    <row r="264" spans="1:13" ht="40" customHeight="1">
      <c r="A264" s="4" t="s">
        <v>3202</v>
      </c>
      <c r="B264" s="4" t="s">
        <v>402</v>
      </c>
      <c r="C264" s="4" t="s">
        <v>2696</v>
      </c>
      <c r="D264" s="4" t="s">
        <v>3203</v>
      </c>
      <c r="E264" s="5" t="s">
        <v>2529</v>
      </c>
      <c r="F264" s="4" t="s">
        <v>3204</v>
      </c>
      <c r="G264" s="4" t="s">
        <v>2685</v>
      </c>
      <c r="H264" s="4" t="s">
        <v>2686</v>
      </c>
      <c r="I264" s="4" t="s">
        <v>2540</v>
      </c>
      <c r="J264" s="6">
        <v>46319</v>
      </c>
      <c r="K264" s="7"/>
      <c r="L264" s="4" t="s">
        <v>3205</v>
      </c>
      <c r="M264" s="4" t="s">
        <v>41</v>
      </c>
    </row>
    <row r="265" spans="1:13" ht="40" customHeight="1">
      <c r="A265" s="8" t="s">
        <v>3206</v>
      </c>
      <c r="B265" s="8" t="s">
        <v>402</v>
      </c>
      <c r="C265" s="8" t="s">
        <v>2682</v>
      </c>
      <c r="D265" s="8" t="s">
        <v>2837</v>
      </c>
      <c r="E265" s="5" t="s">
        <v>2537</v>
      </c>
      <c r="F265" s="8" t="s">
        <v>3207</v>
      </c>
      <c r="G265" s="8" t="s">
        <v>2685</v>
      </c>
      <c r="H265" s="8" t="s">
        <v>2686</v>
      </c>
      <c r="I265" s="8" t="s">
        <v>2540</v>
      </c>
      <c r="J265" s="9">
        <v>46319</v>
      </c>
      <c r="K265" s="7"/>
      <c r="L265" s="8" t="s">
        <v>3208</v>
      </c>
      <c r="M265" s="8" t="s">
        <v>41</v>
      </c>
    </row>
    <row r="266" spans="1:13" ht="40" customHeight="1">
      <c r="A266" s="4" t="s">
        <v>3209</v>
      </c>
      <c r="B266" s="4" t="s">
        <v>402</v>
      </c>
      <c r="C266" s="4" t="s">
        <v>2696</v>
      </c>
      <c r="D266" s="4" t="s">
        <v>2949</v>
      </c>
      <c r="E266" s="5" t="s">
        <v>2529</v>
      </c>
      <c r="F266" s="4" t="s">
        <v>2689</v>
      </c>
      <c r="G266" s="4" t="s">
        <v>2685</v>
      </c>
      <c r="H266" s="4" t="s">
        <v>2686</v>
      </c>
      <c r="I266" s="4" t="s">
        <v>2540</v>
      </c>
      <c r="J266" s="6">
        <v>46319</v>
      </c>
      <c r="K266" s="7"/>
      <c r="L266" s="4" t="s">
        <v>3210</v>
      </c>
      <c r="M266" s="4" t="s">
        <v>41</v>
      </c>
    </row>
    <row r="267" spans="1:13" ht="54" customHeight="1">
      <c r="A267" s="8" t="s">
        <v>3211</v>
      </c>
      <c r="B267" s="8" t="s">
        <v>402</v>
      </c>
      <c r="C267" s="8" t="s">
        <v>2682</v>
      </c>
      <c r="D267" s="8" t="s">
        <v>3212</v>
      </c>
      <c r="E267" s="5" t="s">
        <v>2537</v>
      </c>
      <c r="F267" s="8" t="s">
        <v>2714</v>
      </c>
      <c r="G267" s="8" t="s">
        <v>2685</v>
      </c>
      <c r="H267" s="8" t="s">
        <v>2686</v>
      </c>
      <c r="I267" s="8" t="s">
        <v>2540</v>
      </c>
      <c r="J267" s="9">
        <v>46319</v>
      </c>
      <c r="K267" s="7"/>
      <c r="L267" s="8" t="s">
        <v>3213</v>
      </c>
      <c r="M267" s="8" t="s">
        <v>41</v>
      </c>
    </row>
    <row r="268" spans="1:13" ht="40" customHeight="1">
      <c r="A268" s="4" t="s">
        <v>3214</v>
      </c>
      <c r="B268" s="4" t="s">
        <v>402</v>
      </c>
      <c r="C268" s="4" t="s">
        <v>2682</v>
      </c>
      <c r="D268" s="4" t="s">
        <v>2815</v>
      </c>
      <c r="E268" s="5" t="s">
        <v>2537</v>
      </c>
      <c r="F268" s="4" t="s">
        <v>2775</v>
      </c>
      <c r="G268" s="4" t="s">
        <v>2685</v>
      </c>
      <c r="H268" s="4" t="s">
        <v>2686</v>
      </c>
      <c r="I268" s="4" t="s">
        <v>2540</v>
      </c>
      <c r="J268" s="6">
        <v>46319</v>
      </c>
      <c r="K268" s="7"/>
      <c r="L268" s="4" t="s">
        <v>3215</v>
      </c>
      <c r="M268" s="4" t="s">
        <v>41</v>
      </c>
    </row>
    <row r="269" spans="1:13" ht="40" customHeight="1">
      <c r="A269" s="8" t="s">
        <v>416</v>
      </c>
      <c r="B269" s="8" t="s">
        <v>411</v>
      </c>
      <c r="C269" s="8" t="s">
        <v>2664</v>
      </c>
      <c r="D269" s="8" t="s">
        <v>412</v>
      </c>
      <c r="E269" s="5" t="s">
        <v>2529</v>
      </c>
      <c r="F269" s="8" t="s">
        <v>2665</v>
      </c>
      <c r="G269" s="8" t="s">
        <v>2666</v>
      </c>
      <c r="H269" s="8" t="s">
        <v>2532</v>
      </c>
      <c r="I269" s="8" t="s">
        <v>2667</v>
      </c>
      <c r="J269" s="9">
        <v>46319</v>
      </c>
      <c r="K269" s="7"/>
      <c r="L269" s="8" t="s">
        <v>41</v>
      </c>
      <c r="M269" s="8" t="s">
        <v>418</v>
      </c>
    </row>
    <row r="270" spans="1:13" ht="40" customHeight="1">
      <c r="A270" s="4" t="s">
        <v>3216</v>
      </c>
      <c r="B270" s="4" t="s">
        <v>411</v>
      </c>
      <c r="C270" s="4" t="s">
        <v>2669</v>
      </c>
      <c r="D270" s="4" t="s">
        <v>2670</v>
      </c>
      <c r="E270" s="5" t="s">
        <v>2529</v>
      </c>
      <c r="F270" s="4" t="s">
        <v>2671</v>
      </c>
      <c r="G270" s="4" t="s">
        <v>2672</v>
      </c>
      <c r="H270" s="4" t="s">
        <v>2532</v>
      </c>
      <c r="I270" s="4" t="s">
        <v>2673</v>
      </c>
      <c r="J270" s="6">
        <v>46319</v>
      </c>
      <c r="K270" s="7"/>
      <c r="L270" s="4" t="s">
        <v>3217</v>
      </c>
      <c r="M270" s="4" t="s">
        <v>418</v>
      </c>
    </row>
    <row r="271" spans="1:13" ht="40" customHeight="1">
      <c r="A271" s="8" t="s">
        <v>3218</v>
      </c>
      <c r="B271" s="8" t="s">
        <v>411</v>
      </c>
      <c r="C271" s="8" t="s">
        <v>2676</v>
      </c>
      <c r="D271" s="8" t="s">
        <v>2677</v>
      </c>
      <c r="E271" s="5" t="s">
        <v>2529</v>
      </c>
      <c r="F271" s="8" t="s">
        <v>2678</v>
      </c>
      <c r="G271" s="8" t="s">
        <v>2679</v>
      </c>
      <c r="H271" s="8" t="s">
        <v>2532</v>
      </c>
      <c r="I271" s="8" t="s">
        <v>2673</v>
      </c>
      <c r="J271" s="9">
        <v>46319</v>
      </c>
      <c r="K271" s="7"/>
      <c r="L271" s="8" t="s">
        <v>3219</v>
      </c>
      <c r="M271" s="8" t="s">
        <v>418</v>
      </c>
    </row>
    <row r="272" spans="1:13" ht="40" customHeight="1">
      <c r="A272" s="4" t="s">
        <v>3220</v>
      </c>
      <c r="B272" s="4" t="s">
        <v>411</v>
      </c>
      <c r="C272" s="4" t="s">
        <v>2682</v>
      </c>
      <c r="D272" s="4" t="s">
        <v>2880</v>
      </c>
      <c r="E272" s="5" t="s">
        <v>2537</v>
      </c>
      <c r="F272" s="4" t="s">
        <v>2789</v>
      </c>
      <c r="G272" s="4" t="s">
        <v>2685</v>
      </c>
      <c r="H272" s="4" t="s">
        <v>2686</v>
      </c>
      <c r="I272" s="4" t="s">
        <v>2540</v>
      </c>
      <c r="J272" s="6">
        <v>46319</v>
      </c>
      <c r="K272" s="7"/>
      <c r="L272" s="4" t="s">
        <v>3221</v>
      </c>
      <c r="M272" s="4" t="s">
        <v>41</v>
      </c>
    </row>
    <row r="273" spans="1:13" ht="40" customHeight="1">
      <c r="A273" s="8" t="s">
        <v>3222</v>
      </c>
      <c r="B273" s="8" t="s">
        <v>411</v>
      </c>
      <c r="C273" s="8" t="s">
        <v>2696</v>
      </c>
      <c r="D273" s="8" t="s">
        <v>2837</v>
      </c>
      <c r="E273" s="5" t="s">
        <v>2529</v>
      </c>
      <c r="F273" s="8" t="s">
        <v>3223</v>
      </c>
      <c r="G273" s="8" t="s">
        <v>2685</v>
      </c>
      <c r="H273" s="8" t="s">
        <v>2686</v>
      </c>
      <c r="I273" s="8" t="s">
        <v>2540</v>
      </c>
      <c r="J273" s="9">
        <v>46319</v>
      </c>
      <c r="K273" s="7"/>
      <c r="L273" s="8" t="s">
        <v>3224</v>
      </c>
      <c r="M273" s="8" t="s">
        <v>41</v>
      </c>
    </row>
    <row r="274" spans="1:13" ht="40" customHeight="1">
      <c r="A274" s="4" t="s">
        <v>3225</v>
      </c>
      <c r="B274" s="4" t="s">
        <v>411</v>
      </c>
      <c r="C274" s="4" t="s">
        <v>2682</v>
      </c>
      <c r="D274" s="4" t="s">
        <v>2688</v>
      </c>
      <c r="E274" s="5" t="s">
        <v>2537</v>
      </c>
      <c r="F274" s="4" t="s">
        <v>2689</v>
      </c>
      <c r="G274" s="4" t="s">
        <v>2685</v>
      </c>
      <c r="H274" s="4" t="s">
        <v>2686</v>
      </c>
      <c r="I274" s="4" t="s">
        <v>2540</v>
      </c>
      <c r="J274" s="6">
        <v>46319</v>
      </c>
      <c r="K274" s="7"/>
      <c r="L274" s="4" t="s">
        <v>3226</v>
      </c>
      <c r="M274" s="4" t="s">
        <v>41</v>
      </c>
    </row>
    <row r="275" spans="1:13" ht="40" customHeight="1">
      <c r="A275" s="8" t="s">
        <v>427</v>
      </c>
      <c r="B275" s="8" t="s">
        <v>419</v>
      </c>
      <c r="C275" s="8" t="s">
        <v>2664</v>
      </c>
      <c r="D275" s="8" t="s">
        <v>420</v>
      </c>
      <c r="E275" s="5" t="s">
        <v>2529</v>
      </c>
      <c r="F275" s="8" t="s">
        <v>2665</v>
      </c>
      <c r="G275" s="8" t="s">
        <v>2666</v>
      </c>
      <c r="H275" s="8" t="s">
        <v>2532</v>
      </c>
      <c r="I275" s="8" t="s">
        <v>2667</v>
      </c>
      <c r="J275" s="9">
        <v>46319</v>
      </c>
      <c r="K275" s="7"/>
      <c r="L275" s="8" t="s">
        <v>41</v>
      </c>
      <c r="M275" s="8" t="s">
        <v>429</v>
      </c>
    </row>
    <row r="276" spans="1:13" ht="40" customHeight="1">
      <c r="A276" s="4" t="s">
        <v>3227</v>
      </c>
      <c r="B276" s="4" t="s">
        <v>419</v>
      </c>
      <c r="C276" s="4" t="s">
        <v>2669</v>
      </c>
      <c r="D276" s="4" t="s">
        <v>2670</v>
      </c>
      <c r="E276" s="5" t="s">
        <v>2529</v>
      </c>
      <c r="F276" s="4" t="s">
        <v>2671</v>
      </c>
      <c r="G276" s="4" t="s">
        <v>2672</v>
      </c>
      <c r="H276" s="4" t="s">
        <v>2532</v>
      </c>
      <c r="I276" s="4" t="s">
        <v>2673</v>
      </c>
      <c r="J276" s="6">
        <v>46319</v>
      </c>
      <c r="K276" s="7"/>
      <c r="L276" s="4" t="s">
        <v>3228</v>
      </c>
      <c r="M276" s="4" t="s">
        <v>429</v>
      </c>
    </row>
    <row r="277" spans="1:13" ht="40" customHeight="1">
      <c r="A277" s="8" t="s">
        <v>3229</v>
      </c>
      <c r="B277" s="8" t="s">
        <v>419</v>
      </c>
      <c r="C277" s="8" t="s">
        <v>2676</v>
      </c>
      <c r="D277" s="8" t="s">
        <v>2677</v>
      </c>
      <c r="E277" s="5" t="s">
        <v>2529</v>
      </c>
      <c r="F277" s="8" t="s">
        <v>2678</v>
      </c>
      <c r="G277" s="8" t="s">
        <v>2679</v>
      </c>
      <c r="H277" s="8" t="s">
        <v>2532</v>
      </c>
      <c r="I277" s="8" t="s">
        <v>2673</v>
      </c>
      <c r="J277" s="9">
        <v>46319</v>
      </c>
      <c r="K277" s="7"/>
      <c r="L277" s="8" t="s">
        <v>3230</v>
      </c>
      <c r="M277" s="8" t="s">
        <v>429</v>
      </c>
    </row>
    <row r="278" spans="1:13" ht="40" customHeight="1">
      <c r="A278" s="4" t="s">
        <v>3231</v>
      </c>
      <c r="B278" s="4" t="s">
        <v>419</v>
      </c>
      <c r="C278" s="4" t="s">
        <v>2682</v>
      </c>
      <c r="D278" s="4" t="s">
        <v>3232</v>
      </c>
      <c r="E278" s="5" t="s">
        <v>2537</v>
      </c>
      <c r="F278" s="4" t="s">
        <v>2766</v>
      </c>
      <c r="G278" s="4" t="s">
        <v>2685</v>
      </c>
      <c r="H278" s="4" t="s">
        <v>2686</v>
      </c>
      <c r="I278" s="4" t="s">
        <v>2540</v>
      </c>
      <c r="J278" s="6">
        <v>46319</v>
      </c>
      <c r="K278" s="7"/>
      <c r="L278" s="4" t="s">
        <v>3233</v>
      </c>
      <c r="M278" s="4" t="s">
        <v>41</v>
      </c>
    </row>
    <row r="279" spans="1:13" ht="40" customHeight="1">
      <c r="A279" s="8" t="s">
        <v>3234</v>
      </c>
      <c r="B279" s="8" t="s">
        <v>419</v>
      </c>
      <c r="C279" s="8" t="s">
        <v>2682</v>
      </c>
      <c r="D279" s="8" t="s">
        <v>3235</v>
      </c>
      <c r="E279" s="5" t="s">
        <v>2537</v>
      </c>
      <c r="F279" s="8" t="s">
        <v>2714</v>
      </c>
      <c r="G279" s="8" t="s">
        <v>2685</v>
      </c>
      <c r="H279" s="8" t="s">
        <v>2686</v>
      </c>
      <c r="I279" s="8" t="s">
        <v>2540</v>
      </c>
      <c r="J279" s="9">
        <v>46319</v>
      </c>
      <c r="K279" s="7"/>
      <c r="L279" s="8" t="s">
        <v>3236</v>
      </c>
      <c r="M279" s="8" t="s">
        <v>41</v>
      </c>
    </row>
    <row r="280" spans="1:13" ht="40" customHeight="1">
      <c r="A280" s="4" t="s">
        <v>3237</v>
      </c>
      <c r="B280" s="4" t="s">
        <v>419</v>
      </c>
      <c r="C280" s="4" t="s">
        <v>2682</v>
      </c>
      <c r="D280" s="4" t="s">
        <v>2749</v>
      </c>
      <c r="E280" s="5" t="s">
        <v>2537</v>
      </c>
      <c r="F280" s="4" t="s">
        <v>2775</v>
      </c>
      <c r="G280" s="4" t="s">
        <v>2685</v>
      </c>
      <c r="H280" s="4" t="s">
        <v>2686</v>
      </c>
      <c r="I280" s="4" t="s">
        <v>2540</v>
      </c>
      <c r="J280" s="6">
        <v>46319</v>
      </c>
      <c r="K280" s="7"/>
      <c r="L280" s="4" t="s">
        <v>3238</v>
      </c>
      <c r="M280" s="4" t="s">
        <v>41</v>
      </c>
    </row>
    <row r="281" spans="1:13" ht="40" customHeight="1">
      <c r="A281" s="8" t="s">
        <v>3239</v>
      </c>
      <c r="B281" s="8" t="s">
        <v>419</v>
      </c>
      <c r="C281" s="8" t="s">
        <v>2696</v>
      </c>
      <c r="D281" s="8" t="s">
        <v>2818</v>
      </c>
      <c r="E281" s="5" t="s">
        <v>2529</v>
      </c>
      <c r="F281" s="8" t="s">
        <v>2750</v>
      </c>
      <c r="G281" s="8" t="s">
        <v>2685</v>
      </c>
      <c r="H281" s="8" t="s">
        <v>2686</v>
      </c>
      <c r="I281" s="8" t="s">
        <v>2540</v>
      </c>
      <c r="J281" s="9">
        <v>46319</v>
      </c>
      <c r="K281" s="7"/>
      <c r="L281" s="8" t="s">
        <v>3240</v>
      </c>
      <c r="M281" s="8" t="s">
        <v>41</v>
      </c>
    </row>
    <row r="282" spans="1:13" ht="40" customHeight="1">
      <c r="A282" s="4" t="s">
        <v>3241</v>
      </c>
      <c r="B282" s="4" t="s">
        <v>419</v>
      </c>
      <c r="C282" s="4" t="s">
        <v>2696</v>
      </c>
      <c r="D282" s="4" t="s">
        <v>3242</v>
      </c>
      <c r="E282" s="5" t="s">
        <v>2529</v>
      </c>
      <c r="F282" s="4" t="s">
        <v>2754</v>
      </c>
      <c r="G282" s="4" t="s">
        <v>2685</v>
      </c>
      <c r="H282" s="4" t="s">
        <v>2686</v>
      </c>
      <c r="I282" s="4" t="s">
        <v>2540</v>
      </c>
      <c r="J282" s="6">
        <v>46319</v>
      </c>
      <c r="K282" s="7"/>
      <c r="L282" s="4" t="s">
        <v>3243</v>
      </c>
      <c r="M282" s="4" t="s">
        <v>41</v>
      </c>
    </row>
    <row r="283" spans="1:13" ht="40" customHeight="1">
      <c r="A283" s="8" t="s">
        <v>436</v>
      </c>
      <c r="B283" s="8" t="s">
        <v>430</v>
      </c>
      <c r="C283" s="8" t="s">
        <v>2664</v>
      </c>
      <c r="D283" s="8" t="s">
        <v>431</v>
      </c>
      <c r="E283" s="5" t="s">
        <v>2529</v>
      </c>
      <c r="F283" s="8" t="s">
        <v>2665</v>
      </c>
      <c r="G283" s="8" t="s">
        <v>2666</v>
      </c>
      <c r="H283" s="8" t="s">
        <v>2532</v>
      </c>
      <c r="I283" s="8" t="s">
        <v>2667</v>
      </c>
      <c r="J283" s="9">
        <v>46319</v>
      </c>
      <c r="K283" s="7"/>
      <c r="L283" s="8" t="s">
        <v>41</v>
      </c>
      <c r="M283" s="8" t="s">
        <v>438</v>
      </c>
    </row>
    <row r="284" spans="1:13" ht="40" customHeight="1">
      <c r="A284" s="4" t="s">
        <v>3244</v>
      </c>
      <c r="B284" s="4" t="s">
        <v>430</v>
      </c>
      <c r="C284" s="4" t="s">
        <v>2669</v>
      </c>
      <c r="D284" s="4" t="s">
        <v>2670</v>
      </c>
      <c r="E284" s="5" t="s">
        <v>2529</v>
      </c>
      <c r="F284" s="4" t="s">
        <v>2671</v>
      </c>
      <c r="G284" s="4" t="s">
        <v>2672</v>
      </c>
      <c r="H284" s="4" t="s">
        <v>2532</v>
      </c>
      <c r="I284" s="4" t="s">
        <v>2673</v>
      </c>
      <c r="J284" s="6">
        <v>46319</v>
      </c>
      <c r="K284" s="7"/>
      <c r="L284" s="4" t="s">
        <v>3245</v>
      </c>
      <c r="M284" s="4" t="s">
        <v>438</v>
      </c>
    </row>
    <row r="285" spans="1:13" ht="40" customHeight="1">
      <c r="A285" s="8" t="s">
        <v>3246</v>
      </c>
      <c r="B285" s="8" t="s">
        <v>430</v>
      </c>
      <c r="C285" s="8" t="s">
        <v>2676</v>
      </c>
      <c r="D285" s="8" t="s">
        <v>2677</v>
      </c>
      <c r="E285" s="5" t="s">
        <v>2529</v>
      </c>
      <c r="F285" s="8" t="s">
        <v>2678</v>
      </c>
      <c r="G285" s="8" t="s">
        <v>2679</v>
      </c>
      <c r="H285" s="8" t="s">
        <v>2532</v>
      </c>
      <c r="I285" s="8" t="s">
        <v>2673</v>
      </c>
      <c r="J285" s="9">
        <v>46319</v>
      </c>
      <c r="K285" s="7"/>
      <c r="L285" s="8" t="s">
        <v>3247</v>
      </c>
      <c r="M285" s="8" t="s">
        <v>438</v>
      </c>
    </row>
    <row r="286" spans="1:13" ht="40" customHeight="1">
      <c r="A286" s="4" t="s">
        <v>3248</v>
      </c>
      <c r="B286" s="4" t="s">
        <v>430</v>
      </c>
      <c r="C286" s="4" t="s">
        <v>2696</v>
      </c>
      <c r="D286" s="4" t="s">
        <v>2849</v>
      </c>
      <c r="E286" s="5" t="s">
        <v>2529</v>
      </c>
      <c r="F286" s="4" t="s">
        <v>2850</v>
      </c>
      <c r="G286" s="4" t="s">
        <v>2685</v>
      </c>
      <c r="H286" s="4" t="s">
        <v>2686</v>
      </c>
      <c r="I286" s="4" t="s">
        <v>2540</v>
      </c>
      <c r="J286" s="6">
        <v>46319</v>
      </c>
      <c r="K286" s="7"/>
      <c r="L286" s="4" t="s">
        <v>2851</v>
      </c>
      <c r="M286" s="4" t="s">
        <v>41</v>
      </c>
    </row>
    <row r="287" spans="1:13" ht="40" customHeight="1">
      <c r="A287" s="8" t="s">
        <v>3249</v>
      </c>
      <c r="B287" s="8" t="s">
        <v>430</v>
      </c>
      <c r="C287" s="8" t="s">
        <v>2696</v>
      </c>
      <c r="D287" s="8" t="s">
        <v>2853</v>
      </c>
      <c r="E287" s="5" t="s">
        <v>2529</v>
      </c>
      <c r="F287" s="8" t="s">
        <v>2854</v>
      </c>
      <c r="G287" s="8" t="s">
        <v>2685</v>
      </c>
      <c r="H287" s="8" t="s">
        <v>2686</v>
      </c>
      <c r="I287" s="8" t="s">
        <v>2540</v>
      </c>
      <c r="J287" s="9">
        <v>46319</v>
      </c>
      <c r="K287" s="7"/>
      <c r="L287" s="8" t="s">
        <v>2855</v>
      </c>
      <c r="M287" s="8" t="s">
        <v>41</v>
      </c>
    </row>
    <row r="288" spans="1:13" ht="40" customHeight="1">
      <c r="A288" s="4" t="s">
        <v>3250</v>
      </c>
      <c r="B288" s="4" t="s">
        <v>430</v>
      </c>
      <c r="C288" s="4" t="s">
        <v>2696</v>
      </c>
      <c r="D288" s="4" t="s">
        <v>2857</v>
      </c>
      <c r="E288" s="5" t="s">
        <v>2529</v>
      </c>
      <c r="F288" s="4" t="s">
        <v>2858</v>
      </c>
      <c r="G288" s="4" t="s">
        <v>2685</v>
      </c>
      <c r="H288" s="4" t="s">
        <v>2686</v>
      </c>
      <c r="I288" s="4" t="s">
        <v>2540</v>
      </c>
      <c r="J288" s="6">
        <v>46319</v>
      </c>
      <c r="K288" s="7"/>
      <c r="L288" s="4" t="s">
        <v>2859</v>
      </c>
      <c r="M288" s="4" t="s">
        <v>41</v>
      </c>
    </row>
    <row r="289" spans="1:13" ht="40" customHeight="1">
      <c r="A289" s="8" t="s">
        <v>3251</v>
      </c>
      <c r="B289" s="8" t="s">
        <v>430</v>
      </c>
      <c r="C289" s="8" t="s">
        <v>2696</v>
      </c>
      <c r="D289" s="8" t="s">
        <v>2861</v>
      </c>
      <c r="E289" s="5" t="s">
        <v>2529</v>
      </c>
      <c r="F289" s="8" t="s">
        <v>2862</v>
      </c>
      <c r="G289" s="8" t="s">
        <v>2685</v>
      </c>
      <c r="H289" s="8" t="s">
        <v>2686</v>
      </c>
      <c r="I289" s="8" t="s">
        <v>2540</v>
      </c>
      <c r="J289" s="9">
        <v>46319</v>
      </c>
      <c r="K289" s="7"/>
      <c r="L289" s="8" t="s">
        <v>2863</v>
      </c>
      <c r="M289" s="8" t="s">
        <v>41</v>
      </c>
    </row>
    <row r="290" spans="1:13" ht="40" customHeight="1">
      <c r="A290" s="4" t="s">
        <v>446</v>
      </c>
      <c r="B290" s="4" t="s">
        <v>439</v>
      </c>
      <c r="C290" s="4" t="s">
        <v>2664</v>
      </c>
      <c r="D290" s="4" t="s">
        <v>440</v>
      </c>
      <c r="E290" s="5" t="s">
        <v>2529</v>
      </c>
      <c r="F290" s="4" t="s">
        <v>2665</v>
      </c>
      <c r="G290" s="4" t="s">
        <v>2666</v>
      </c>
      <c r="H290" s="4" t="s">
        <v>2532</v>
      </c>
      <c r="I290" s="4" t="s">
        <v>2667</v>
      </c>
      <c r="J290" s="6">
        <v>46319</v>
      </c>
      <c r="K290" s="7"/>
      <c r="L290" s="4" t="s">
        <v>41</v>
      </c>
      <c r="M290" s="4" t="s">
        <v>448</v>
      </c>
    </row>
    <row r="291" spans="1:13" ht="40" customHeight="1">
      <c r="A291" s="8" t="s">
        <v>3252</v>
      </c>
      <c r="B291" s="8" t="s">
        <v>439</v>
      </c>
      <c r="C291" s="8" t="s">
        <v>2669</v>
      </c>
      <c r="D291" s="8" t="s">
        <v>2670</v>
      </c>
      <c r="E291" s="5" t="s">
        <v>2529</v>
      </c>
      <c r="F291" s="8" t="s">
        <v>2671</v>
      </c>
      <c r="G291" s="8" t="s">
        <v>2672</v>
      </c>
      <c r="H291" s="8" t="s">
        <v>2532</v>
      </c>
      <c r="I291" s="8" t="s">
        <v>2673</v>
      </c>
      <c r="J291" s="9">
        <v>46319</v>
      </c>
      <c r="K291" s="7"/>
      <c r="L291" s="8" t="s">
        <v>3253</v>
      </c>
      <c r="M291" s="8" t="s">
        <v>448</v>
      </c>
    </row>
    <row r="292" spans="1:13" ht="40" customHeight="1">
      <c r="A292" s="4" t="s">
        <v>3254</v>
      </c>
      <c r="B292" s="4" t="s">
        <v>439</v>
      </c>
      <c r="C292" s="4" t="s">
        <v>2676</v>
      </c>
      <c r="D292" s="4" t="s">
        <v>2677</v>
      </c>
      <c r="E292" s="5" t="s">
        <v>2529</v>
      </c>
      <c r="F292" s="4" t="s">
        <v>2678</v>
      </c>
      <c r="G292" s="4" t="s">
        <v>2679</v>
      </c>
      <c r="H292" s="4" t="s">
        <v>2532</v>
      </c>
      <c r="I292" s="4" t="s">
        <v>2673</v>
      </c>
      <c r="J292" s="6">
        <v>46319</v>
      </c>
      <c r="K292" s="7"/>
      <c r="L292" s="4" t="s">
        <v>3255</v>
      </c>
      <c r="M292" s="4" t="s">
        <v>448</v>
      </c>
    </row>
    <row r="293" spans="1:13" ht="40" customHeight="1">
      <c r="A293" s="8" t="s">
        <v>3256</v>
      </c>
      <c r="B293" s="8" t="s">
        <v>439</v>
      </c>
      <c r="C293" s="8" t="s">
        <v>2682</v>
      </c>
      <c r="D293" s="8" t="s">
        <v>2872</v>
      </c>
      <c r="E293" s="5" t="s">
        <v>2537</v>
      </c>
      <c r="F293" s="8" t="s">
        <v>2831</v>
      </c>
      <c r="G293" s="8" t="s">
        <v>2685</v>
      </c>
      <c r="H293" s="8" t="s">
        <v>2686</v>
      </c>
      <c r="I293" s="8" t="s">
        <v>2540</v>
      </c>
      <c r="J293" s="9">
        <v>46319</v>
      </c>
      <c r="K293" s="7"/>
      <c r="L293" s="8" t="s">
        <v>3257</v>
      </c>
      <c r="M293" s="8" t="s">
        <v>41</v>
      </c>
    </row>
    <row r="294" spans="1:13" ht="54" customHeight="1">
      <c r="A294" s="4" t="s">
        <v>454</v>
      </c>
      <c r="B294" s="4" t="s">
        <v>449</v>
      </c>
      <c r="C294" s="4" t="s">
        <v>2664</v>
      </c>
      <c r="D294" s="4" t="s">
        <v>450</v>
      </c>
      <c r="E294" s="5" t="s">
        <v>2529</v>
      </c>
      <c r="F294" s="4" t="s">
        <v>2665</v>
      </c>
      <c r="G294" s="4" t="s">
        <v>2666</v>
      </c>
      <c r="H294" s="4" t="s">
        <v>2532</v>
      </c>
      <c r="I294" s="4" t="s">
        <v>2667</v>
      </c>
      <c r="J294" s="6">
        <v>46319</v>
      </c>
      <c r="K294" s="7"/>
      <c r="L294" s="4" t="s">
        <v>41</v>
      </c>
      <c r="M294" s="4" t="s">
        <v>456</v>
      </c>
    </row>
    <row r="295" spans="1:13" ht="40" customHeight="1">
      <c r="A295" s="8" t="s">
        <v>3258</v>
      </c>
      <c r="B295" s="8" t="s">
        <v>449</v>
      </c>
      <c r="C295" s="8" t="s">
        <v>2669</v>
      </c>
      <c r="D295" s="8" t="s">
        <v>2670</v>
      </c>
      <c r="E295" s="5" t="s">
        <v>2529</v>
      </c>
      <c r="F295" s="8" t="s">
        <v>2671</v>
      </c>
      <c r="G295" s="8" t="s">
        <v>2672</v>
      </c>
      <c r="H295" s="8" t="s">
        <v>2532</v>
      </c>
      <c r="I295" s="8" t="s">
        <v>2673</v>
      </c>
      <c r="J295" s="9">
        <v>46319</v>
      </c>
      <c r="K295" s="7"/>
      <c r="L295" s="8" t="s">
        <v>3259</v>
      </c>
      <c r="M295" s="8" t="s">
        <v>456</v>
      </c>
    </row>
    <row r="296" spans="1:13" ht="40" customHeight="1">
      <c r="A296" s="4" t="s">
        <v>3260</v>
      </c>
      <c r="B296" s="4" t="s">
        <v>449</v>
      </c>
      <c r="C296" s="4" t="s">
        <v>2676</v>
      </c>
      <c r="D296" s="4" t="s">
        <v>2677</v>
      </c>
      <c r="E296" s="5" t="s">
        <v>2529</v>
      </c>
      <c r="F296" s="4" t="s">
        <v>2678</v>
      </c>
      <c r="G296" s="4" t="s">
        <v>2679</v>
      </c>
      <c r="H296" s="4" t="s">
        <v>2532</v>
      </c>
      <c r="I296" s="4" t="s">
        <v>2673</v>
      </c>
      <c r="J296" s="6">
        <v>46319</v>
      </c>
      <c r="K296" s="7"/>
      <c r="L296" s="4" t="s">
        <v>3261</v>
      </c>
      <c r="M296" s="4" t="s">
        <v>456</v>
      </c>
    </row>
    <row r="297" spans="1:13" ht="40" customHeight="1">
      <c r="A297" s="8" t="s">
        <v>3262</v>
      </c>
      <c r="B297" s="8" t="s">
        <v>449</v>
      </c>
      <c r="C297" s="8" t="s">
        <v>2682</v>
      </c>
      <c r="D297" s="8" t="s">
        <v>2688</v>
      </c>
      <c r="E297" s="5" t="s">
        <v>2537</v>
      </c>
      <c r="F297" s="8" t="s">
        <v>2689</v>
      </c>
      <c r="G297" s="8" t="s">
        <v>2685</v>
      </c>
      <c r="H297" s="8" t="s">
        <v>2686</v>
      </c>
      <c r="I297" s="8" t="s">
        <v>2540</v>
      </c>
      <c r="J297" s="9">
        <v>46319</v>
      </c>
      <c r="K297" s="7"/>
      <c r="L297" s="8" t="s">
        <v>3263</v>
      </c>
      <c r="M297" s="8" t="s">
        <v>41</v>
      </c>
    </row>
    <row r="298" spans="1:13" ht="40" customHeight="1">
      <c r="A298" s="4" t="s">
        <v>464</v>
      </c>
      <c r="B298" s="4" t="s">
        <v>457</v>
      </c>
      <c r="C298" s="4" t="s">
        <v>2664</v>
      </c>
      <c r="D298" s="4" t="s">
        <v>458</v>
      </c>
      <c r="E298" s="5" t="s">
        <v>2529</v>
      </c>
      <c r="F298" s="4" t="s">
        <v>2665</v>
      </c>
      <c r="G298" s="4" t="s">
        <v>2666</v>
      </c>
      <c r="H298" s="4" t="s">
        <v>2532</v>
      </c>
      <c r="I298" s="4" t="s">
        <v>2667</v>
      </c>
      <c r="J298" s="6">
        <v>46319</v>
      </c>
      <c r="K298" s="7"/>
      <c r="L298" s="4" t="s">
        <v>41</v>
      </c>
      <c r="M298" s="4" t="s">
        <v>466</v>
      </c>
    </row>
    <row r="299" spans="1:13" ht="40" customHeight="1">
      <c r="A299" s="8" t="s">
        <v>3264</v>
      </c>
      <c r="B299" s="8" t="s">
        <v>457</v>
      </c>
      <c r="C299" s="8" t="s">
        <v>2669</v>
      </c>
      <c r="D299" s="8" t="s">
        <v>2670</v>
      </c>
      <c r="E299" s="5" t="s">
        <v>2529</v>
      </c>
      <c r="F299" s="8" t="s">
        <v>2671</v>
      </c>
      <c r="G299" s="8" t="s">
        <v>2672</v>
      </c>
      <c r="H299" s="8" t="s">
        <v>2532</v>
      </c>
      <c r="I299" s="8" t="s">
        <v>2673</v>
      </c>
      <c r="J299" s="9">
        <v>46319</v>
      </c>
      <c r="K299" s="7"/>
      <c r="L299" s="8" t="s">
        <v>3265</v>
      </c>
      <c r="M299" s="8" t="s">
        <v>466</v>
      </c>
    </row>
    <row r="300" spans="1:13" ht="40" customHeight="1">
      <c r="A300" s="4" t="s">
        <v>3266</v>
      </c>
      <c r="B300" s="4" t="s">
        <v>457</v>
      </c>
      <c r="C300" s="4" t="s">
        <v>2676</v>
      </c>
      <c r="D300" s="4" t="s">
        <v>2677</v>
      </c>
      <c r="E300" s="5" t="s">
        <v>2529</v>
      </c>
      <c r="F300" s="4" t="s">
        <v>2678</v>
      </c>
      <c r="G300" s="4" t="s">
        <v>2679</v>
      </c>
      <c r="H300" s="4" t="s">
        <v>2532</v>
      </c>
      <c r="I300" s="4" t="s">
        <v>2673</v>
      </c>
      <c r="J300" s="6">
        <v>46319</v>
      </c>
      <c r="K300" s="7"/>
      <c r="L300" s="4" t="s">
        <v>3267</v>
      </c>
      <c r="M300" s="4" t="s">
        <v>466</v>
      </c>
    </row>
    <row r="301" spans="1:13" ht="40" customHeight="1">
      <c r="A301" s="8" t="s">
        <v>3268</v>
      </c>
      <c r="B301" s="8" t="s">
        <v>457</v>
      </c>
      <c r="C301" s="8" t="s">
        <v>2696</v>
      </c>
      <c r="D301" s="8" t="s">
        <v>3269</v>
      </c>
      <c r="E301" s="5" t="s">
        <v>2529</v>
      </c>
      <c r="F301" s="8" t="s">
        <v>2689</v>
      </c>
      <c r="G301" s="8" t="s">
        <v>2685</v>
      </c>
      <c r="H301" s="8" t="s">
        <v>2686</v>
      </c>
      <c r="I301" s="8" t="s">
        <v>2540</v>
      </c>
      <c r="J301" s="9">
        <v>46319</v>
      </c>
      <c r="K301" s="7"/>
      <c r="L301" s="8" t="s">
        <v>3270</v>
      </c>
      <c r="M301" s="8" t="s">
        <v>41</v>
      </c>
    </row>
    <row r="302" spans="1:13" ht="40" customHeight="1">
      <c r="A302" s="4" t="s">
        <v>3271</v>
      </c>
      <c r="B302" s="4" t="s">
        <v>457</v>
      </c>
      <c r="C302" s="4" t="s">
        <v>2682</v>
      </c>
      <c r="D302" s="4" t="s">
        <v>2688</v>
      </c>
      <c r="E302" s="5" t="s">
        <v>2537</v>
      </c>
      <c r="F302" s="4" t="s">
        <v>2714</v>
      </c>
      <c r="G302" s="4" t="s">
        <v>2685</v>
      </c>
      <c r="H302" s="4" t="s">
        <v>2686</v>
      </c>
      <c r="I302" s="4" t="s">
        <v>2540</v>
      </c>
      <c r="J302" s="6">
        <v>46319</v>
      </c>
      <c r="K302" s="7"/>
      <c r="L302" s="4" t="s">
        <v>3272</v>
      </c>
      <c r="M302" s="4" t="s">
        <v>41</v>
      </c>
    </row>
    <row r="303" spans="1:13" ht="40" customHeight="1">
      <c r="A303" s="8" t="s">
        <v>473</v>
      </c>
      <c r="B303" s="8" t="s">
        <v>467</v>
      </c>
      <c r="C303" s="8" t="s">
        <v>2664</v>
      </c>
      <c r="D303" s="8" t="s">
        <v>468</v>
      </c>
      <c r="E303" s="5" t="s">
        <v>2529</v>
      </c>
      <c r="F303" s="8" t="s">
        <v>2665</v>
      </c>
      <c r="G303" s="8" t="s">
        <v>2666</v>
      </c>
      <c r="H303" s="8" t="s">
        <v>2532</v>
      </c>
      <c r="I303" s="8" t="s">
        <v>2667</v>
      </c>
      <c r="J303" s="9">
        <v>46319</v>
      </c>
      <c r="K303" s="7"/>
      <c r="L303" s="8" t="s">
        <v>41</v>
      </c>
      <c r="M303" s="8" t="s">
        <v>475</v>
      </c>
    </row>
    <row r="304" spans="1:13" ht="40" customHeight="1">
      <c r="A304" s="4" t="s">
        <v>3273</v>
      </c>
      <c r="B304" s="4" t="s">
        <v>467</v>
      </c>
      <c r="C304" s="4" t="s">
        <v>2669</v>
      </c>
      <c r="D304" s="4" t="s">
        <v>2670</v>
      </c>
      <c r="E304" s="5" t="s">
        <v>2529</v>
      </c>
      <c r="F304" s="4" t="s">
        <v>2671</v>
      </c>
      <c r="G304" s="4" t="s">
        <v>2672</v>
      </c>
      <c r="H304" s="4" t="s">
        <v>2532</v>
      </c>
      <c r="I304" s="4" t="s">
        <v>2673</v>
      </c>
      <c r="J304" s="6">
        <v>46319</v>
      </c>
      <c r="K304" s="7"/>
      <c r="L304" s="4" t="s">
        <v>3274</v>
      </c>
      <c r="M304" s="4" t="s">
        <v>475</v>
      </c>
    </row>
    <row r="305" spans="1:13" ht="40" customHeight="1">
      <c r="A305" s="8" t="s">
        <v>3275</v>
      </c>
      <c r="B305" s="8" t="s">
        <v>467</v>
      </c>
      <c r="C305" s="8" t="s">
        <v>2676</v>
      </c>
      <c r="D305" s="8" t="s">
        <v>2677</v>
      </c>
      <c r="E305" s="5" t="s">
        <v>2529</v>
      </c>
      <c r="F305" s="8" t="s">
        <v>2678</v>
      </c>
      <c r="G305" s="8" t="s">
        <v>2679</v>
      </c>
      <c r="H305" s="8" t="s">
        <v>2532</v>
      </c>
      <c r="I305" s="8" t="s">
        <v>2673</v>
      </c>
      <c r="J305" s="9">
        <v>46319</v>
      </c>
      <c r="K305" s="7"/>
      <c r="L305" s="8" t="s">
        <v>3276</v>
      </c>
      <c r="M305" s="8" t="s">
        <v>475</v>
      </c>
    </row>
    <row r="306" spans="1:13" ht="40" customHeight="1">
      <c r="A306" s="4" t="s">
        <v>3277</v>
      </c>
      <c r="B306" s="4" t="s">
        <v>467</v>
      </c>
      <c r="C306" s="4" t="s">
        <v>2696</v>
      </c>
      <c r="D306" s="4" t="s">
        <v>2837</v>
      </c>
      <c r="E306" s="5" t="s">
        <v>2529</v>
      </c>
      <c r="F306" s="4" t="s">
        <v>3223</v>
      </c>
      <c r="G306" s="4" t="s">
        <v>2685</v>
      </c>
      <c r="H306" s="4" t="s">
        <v>2686</v>
      </c>
      <c r="I306" s="4" t="s">
        <v>2540</v>
      </c>
      <c r="J306" s="6">
        <v>46319</v>
      </c>
      <c r="K306" s="7"/>
      <c r="L306" s="4" t="s">
        <v>3278</v>
      </c>
      <c r="M306" s="4" t="s">
        <v>41</v>
      </c>
    </row>
    <row r="307" spans="1:13" ht="40" customHeight="1">
      <c r="A307" s="8" t="s">
        <v>3279</v>
      </c>
      <c r="B307" s="8" t="s">
        <v>467</v>
      </c>
      <c r="C307" s="8" t="s">
        <v>2696</v>
      </c>
      <c r="D307" s="8" t="s">
        <v>2688</v>
      </c>
      <c r="E307" s="5" t="s">
        <v>2529</v>
      </c>
      <c r="F307" s="8" t="s">
        <v>2689</v>
      </c>
      <c r="G307" s="8" t="s">
        <v>2685</v>
      </c>
      <c r="H307" s="8" t="s">
        <v>2686</v>
      </c>
      <c r="I307" s="8" t="s">
        <v>2540</v>
      </c>
      <c r="J307" s="9">
        <v>46319</v>
      </c>
      <c r="K307" s="7"/>
      <c r="L307" s="8" t="s">
        <v>3280</v>
      </c>
      <c r="M307" s="8" t="s">
        <v>41</v>
      </c>
    </row>
    <row r="308" spans="1:13" ht="40" customHeight="1">
      <c r="A308" s="4" t="s">
        <v>3281</v>
      </c>
      <c r="B308" s="4" t="s">
        <v>467</v>
      </c>
      <c r="C308" s="4" t="s">
        <v>2682</v>
      </c>
      <c r="D308" s="4" t="s">
        <v>3282</v>
      </c>
      <c r="E308" s="5" t="s">
        <v>2537</v>
      </c>
      <c r="F308" s="4" t="s">
        <v>2714</v>
      </c>
      <c r="G308" s="4" t="s">
        <v>2685</v>
      </c>
      <c r="H308" s="4" t="s">
        <v>2686</v>
      </c>
      <c r="I308" s="4" t="s">
        <v>2540</v>
      </c>
      <c r="J308" s="6">
        <v>46319</v>
      </c>
      <c r="K308" s="7"/>
      <c r="L308" s="4" t="s">
        <v>3283</v>
      </c>
      <c r="M308" s="4" t="s">
        <v>41</v>
      </c>
    </row>
    <row r="309" spans="1:13" ht="40" customHeight="1">
      <c r="A309" s="8" t="s">
        <v>483</v>
      </c>
      <c r="B309" s="8" t="s">
        <v>476</v>
      </c>
      <c r="C309" s="8" t="s">
        <v>2664</v>
      </c>
      <c r="D309" s="8" t="s">
        <v>477</v>
      </c>
      <c r="E309" s="5" t="s">
        <v>2529</v>
      </c>
      <c r="F309" s="8" t="s">
        <v>2665</v>
      </c>
      <c r="G309" s="8" t="s">
        <v>2666</v>
      </c>
      <c r="H309" s="8" t="s">
        <v>2532</v>
      </c>
      <c r="I309" s="8" t="s">
        <v>2667</v>
      </c>
      <c r="J309" s="9">
        <v>46319</v>
      </c>
      <c r="K309" s="7"/>
      <c r="L309" s="8" t="s">
        <v>41</v>
      </c>
      <c r="M309" s="8" t="s">
        <v>485</v>
      </c>
    </row>
    <row r="310" spans="1:13" ht="40" customHeight="1">
      <c r="A310" s="4" t="s">
        <v>3284</v>
      </c>
      <c r="B310" s="4" t="s">
        <v>476</v>
      </c>
      <c r="C310" s="4" t="s">
        <v>2669</v>
      </c>
      <c r="D310" s="4" t="s">
        <v>2670</v>
      </c>
      <c r="E310" s="5" t="s">
        <v>2529</v>
      </c>
      <c r="F310" s="4" t="s">
        <v>2671</v>
      </c>
      <c r="G310" s="4" t="s">
        <v>2672</v>
      </c>
      <c r="H310" s="4" t="s">
        <v>2532</v>
      </c>
      <c r="I310" s="4" t="s">
        <v>2673</v>
      </c>
      <c r="J310" s="6">
        <v>46319</v>
      </c>
      <c r="K310" s="7"/>
      <c r="L310" s="4" t="s">
        <v>3285</v>
      </c>
      <c r="M310" s="4" t="s">
        <v>485</v>
      </c>
    </row>
    <row r="311" spans="1:13" ht="40" customHeight="1">
      <c r="A311" s="8" t="s">
        <v>3286</v>
      </c>
      <c r="B311" s="8" t="s">
        <v>476</v>
      </c>
      <c r="C311" s="8" t="s">
        <v>2676</v>
      </c>
      <c r="D311" s="8" t="s">
        <v>2677</v>
      </c>
      <c r="E311" s="5" t="s">
        <v>2529</v>
      </c>
      <c r="F311" s="8" t="s">
        <v>2678</v>
      </c>
      <c r="G311" s="8" t="s">
        <v>2679</v>
      </c>
      <c r="H311" s="8" t="s">
        <v>2532</v>
      </c>
      <c r="I311" s="8" t="s">
        <v>2673</v>
      </c>
      <c r="J311" s="9">
        <v>46319</v>
      </c>
      <c r="K311" s="7"/>
      <c r="L311" s="8" t="s">
        <v>3287</v>
      </c>
      <c r="M311" s="8" t="s">
        <v>485</v>
      </c>
    </row>
    <row r="312" spans="1:13" ht="54" customHeight="1">
      <c r="A312" s="4" t="s">
        <v>3288</v>
      </c>
      <c r="B312" s="4" t="s">
        <v>476</v>
      </c>
      <c r="C312" s="4" t="s">
        <v>2682</v>
      </c>
      <c r="D312" s="4" t="s">
        <v>2688</v>
      </c>
      <c r="E312" s="5" t="s">
        <v>2537</v>
      </c>
      <c r="F312" s="4" t="s">
        <v>2689</v>
      </c>
      <c r="G312" s="4" t="s">
        <v>2685</v>
      </c>
      <c r="H312" s="4" t="s">
        <v>2686</v>
      </c>
      <c r="I312" s="4" t="s">
        <v>2540</v>
      </c>
      <c r="J312" s="6">
        <v>46319</v>
      </c>
      <c r="K312" s="7"/>
      <c r="L312" s="4" t="s">
        <v>3289</v>
      </c>
      <c r="M312" s="4" t="s">
        <v>41</v>
      </c>
    </row>
    <row r="313" spans="1:13" ht="40" customHeight="1">
      <c r="A313" s="8" t="s">
        <v>3290</v>
      </c>
      <c r="B313" s="8" t="s">
        <v>476</v>
      </c>
      <c r="C313" s="8" t="s">
        <v>2696</v>
      </c>
      <c r="D313" s="8" t="s">
        <v>2865</v>
      </c>
      <c r="E313" s="5" t="s">
        <v>2529</v>
      </c>
      <c r="F313" s="8" t="s">
        <v>2714</v>
      </c>
      <c r="G313" s="8" t="s">
        <v>2685</v>
      </c>
      <c r="H313" s="8" t="s">
        <v>2686</v>
      </c>
      <c r="I313" s="8" t="s">
        <v>2540</v>
      </c>
      <c r="J313" s="9">
        <v>46319</v>
      </c>
      <c r="K313" s="7"/>
      <c r="L313" s="8" t="s">
        <v>3291</v>
      </c>
      <c r="M313" s="8" t="s">
        <v>41</v>
      </c>
    </row>
    <row r="314" spans="1:13" ht="40" customHeight="1">
      <c r="A314" s="4" t="s">
        <v>490</v>
      </c>
      <c r="B314" s="4" t="s">
        <v>486</v>
      </c>
      <c r="C314" s="4" t="s">
        <v>2664</v>
      </c>
      <c r="D314" s="4" t="s">
        <v>487</v>
      </c>
      <c r="E314" s="5" t="s">
        <v>2529</v>
      </c>
      <c r="F314" s="4" t="s">
        <v>2665</v>
      </c>
      <c r="G314" s="4" t="s">
        <v>2666</v>
      </c>
      <c r="H314" s="4" t="s">
        <v>2532</v>
      </c>
      <c r="I314" s="4" t="s">
        <v>2667</v>
      </c>
      <c r="J314" s="6">
        <v>46319</v>
      </c>
      <c r="K314" s="7"/>
      <c r="L314" s="4" t="s">
        <v>41</v>
      </c>
      <c r="M314" s="4" t="s">
        <v>492</v>
      </c>
    </row>
    <row r="315" spans="1:13" ht="40" customHeight="1">
      <c r="A315" s="8" t="s">
        <v>3292</v>
      </c>
      <c r="B315" s="8" t="s">
        <v>486</v>
      </c>
      <c r="C315" s="8" t="s">
        <v>2669</v>
      </c>
      <c r="D315" s="8" t="s">
        <v>2670</v>
      </c>
      <c r="E315" s="5" t="s">
        <v>2529</v>
      </c>
      <c r="F315" s="8" t="s">
        <v>2671</v>
      </c>
      <c r="G315" s="8" t="s">
        <v>2672</v>
      </c>
      <c r="H315" s="8" t="s">
        <v>2532</v>
      </c>
      <c r="I315" s="8" t="s">
        <v>2673</v>
      </c>
      <c r="J315" s="9">
        <v>46319</v>
      </c>
      <c r="K315" s="7"/>
      <c r="L315" s="8" t="s">
        <v>3293</v>
      </c>
      <c r="M315" s="8" t="s">
        <v>492</v>
      </c>
    </row>
    <row r="316" spans="1:13" ht="40" customHeight="1">
      <c r="A316" s="4" t="s">
        <v>3294</v>
      </c>
      <c r="B316" s="4" t="s">
        <v>486</v>
      </c>
      <c r="C316" s="4" t="s">
        <v>2676</v>
      </c>
      <c r="D316" s="4" t="s">
        <v>2677</v>
      </c>
      <c r="E316" s="5" t="s">
        <v>2529</v>
      </c>
      <c r="F316" s="4" t="s">
        <v>2678</v>
      </c>
      <c r="G316" s="4" t="s">
        <v>2679</v>
      </c>
      <c r="H316" s="4" t="s">
        <v>2532</v>
      </c>
      <c r="I316" s="4" t="s">
        <v>2673</v>
      </c>
      <c r="J316" s="6">
        <v>46319</v>
      </c>
      <c r="K316" s="7"/>
      <c r="L316" s="4" t="s">
        <v>3295</v>
      </c>
      <c r="M316" s="4" t="s">
        <v>492</v>
      </c>
    </row>
    <row r="317" spans="1:13" ht="40" customHeight="1">
      <c r="A317" s="8" t="s">
        <v>3296</v>
      </c>
      <c r="B317" s="8" t="s">
        <v>486</v>
      </c>
      <c r="C317" s="8" t="s">
        <v>2696</v>
      </c>
      <c r="D317" s="8" t="s">
        <v>2688</v>
      </c>
      <c r="E317" s="5" t="s">
        <v>2529</v>
      </c>
      <c r="F317" s="8" t="s">
        <v>2689</v>
      </c>
      <c r="G317" s="8" t="s">
        <v>2685</v>
      </c>
      <c r="H317" s="8" t="s">
        <v>2686</v>
      </c>
      <c r="I317" s="8" t="s">
        <v>2540</v>
      </c>
      <c r="J317" s="9">
        <v>46319</v>
      </c>
      <c r="K317" s="7"/>
      <c r="L317" s="8" t="s">
        <v>3297</v>
      </c>
      <c r="M317" s="8" t="s">
        <v>41</v>
      </c>
    </row>
    <row r="318" spans="1:13" ht="40" customHeight="1">
      <c r="A318" s="4" t="s">
        <v>3298</v>
      </c>
      <c r="B318" s="4" t="s">
        <v>486</v>
      </c>
      <c r="C318" s="4" t="s">
        <v>2696</v>
      </c>
      <c r="D318" s="4" t="s">
        <v>2818</v>
      </c>
      <c r="E318" s="5" t="s">
        <v>2529</v>
      </c>
      <c r="F318" s="4" t="s">
        <v>2714</v>
      </c>
      <c r="G318" s="4" t="s">
        <v>2685</v>
      </c>
      <c r="H318" s="4" t="s">
        <v>2686</v>
      </c>
      <c r="I318" s="4" t="s">
        <v>2540</v>
      </c>
      <c r="J318" s="6">
        <v>46319</v>
      </c>
      <c r="K318" s="7"/>
      <c r="L318" s="4" t="s">
        <v>3299</v>
      </c>
      <c r="M318" s="4" t="s">
        <v>41</v>
      </c>
    </row>
    <row r="319" spans="1:13" ht="40" customHeight="1">
      <c r="A319" s="8" t="s">
        <v>498</v>
      </c>
      <c r="B319" s="8" t="s">
        <v>493</v>
      </c>
      <c r="C319" s="8" t="s">
        <v>2664</v>
      </c>
      <c r="D319" s="8" t="s">
        <v>494</v>
      </c>
      <c r="E319" s="5" t="s">
        <v>2529</v>
      </c>
      <c r="F319" s="8" t="s">
        <v>2665</v>
      </c>
      <c r="G319" s="8" t="s">
        <v>2666</v>
      </c>
      <c r="H319" s="8" t="s">
        <v>2532</v>
      </c>
      <c r="I319" s="8" t="s">
        <v>2667</v>
      </c>
      <c r="J319" s="9">
        <v>46319</v>
      </c>
      <c r="K319" s="7"/>
      <c r="L319" s="8" t="s">
        <v>41</v>
      </c>
      <c r="M319" s="8" t="s">
        <v>500</v>
      </c>
    </row>
    <row r="320" spans="1:13" ht="40" customHeight="1">
      <c r="A320" s="4" t="s">
        <v>3300</v>
      </c>
      <c r="B320" s="4" t="s">
        <v>493</v>
      </c>
      <c r="C320" s="4" t="s">
        <v>2669</v>
      </c>
      <c r="D320" s="4" t="s">
        <v>2670</v>
      </c>
      <c r="E320" s="5" t="s">
        <v>2529</v>
      </c>
      <c r="F320" s="4" t="s">
        <v>2671</v>
      </c>
      <c r="G320" s="4" t="s">
        <v>2672</v>
      </c>
      <c r="H320" s="4" t="s">
        <v>2532</v>
      </c>
      <c r="I320" s="4" t="s">
        <v>2673</v>
      </c>
      <c r="J320" s="6">
        <v>46319</v>
      </c>
      <c r="K320" s="7"/>
      <c r="L320" s="4" t="s">
        <v>3301</v>
      </c>
      <c r="M320" s="4" t="s">
        <v>500</v>
      </c>
    </row>
    <row r="321" spans="1:13" ht="40" customHeight="1">
      <c r="A321" s="8" t="s">
        <v>3302</v>
      </c>
      <c r="B321" s="8" t="s">
        <v>493</v>
      </c>
      <c r="C321" s="8" t="s">
        <v>2676</v>
      </c>
      <c r="D321" s="8" t="s">
        <v>2677</v>
      </c>
      <c r="E321" s="5" t="s">
        <v>2529</v>
      </c>
      <c r="F321" s="8" t="s">
        <v>2678</v>
      </c>
      <c r="G321" s="8" t="s">
        <v>2679</v>
      </c>
      <c r="H321" s="8" t="s">
        <v>2532</v>
      </c>
      <c r="I321" s="8" t="s">
        <v>2673</v>
      </c>
      <c r="J321" s="9">
        <v>46319</v>
      </c>
      <c r="K321" s="7"/>
      <c r="L321" s="8" t="s">
        <v>3303</v>
      </c>
      <c r="M321" s="8" t="s">
        <v>500</v>
      </c>
    </row>
    <row r="322" spans="1:13" ht="40" customHeight="1">
      <c r="A322" s="4" t="s">
        <v>3304</v>
      </c>
      <c r="B322" s="4" t="s">
        <v>493</v>
      </c>
      <c r="C322" s="4" t="s">
        <v>2696</v>
      </c>
      <c r="D322" s="4" t="s">
        <v>3305</v>
      </c>
      <c r="E322" s="5" t="s">
        <v>2529</v>
      </c>
      <c r="F322" s="4" t="s">
        <v>2789</v>
      </c>
      <c r="G322" s="4" t="s">
        <v>2685</v>
      </c>
      <c r="H322" s="4" t="s">
        <v>2686</v>
      </c>
      <c r="I322" s="4" t="s">
        <v>2540</v>
      </c>
      <c r="J322" s="6">
        <v>46319</v>
      </c>
      <c r="K322" s="7"/>
      <c r="L322" s="4" t="s">
        <v>3306</v>
      </c>
      <c r="M322" s="4" t="s">
        <v>41</v>
      </c>
    </row>
    <row r="323" spans="1:13" ht="40" customHeight="1">
      <c r="A323" s="8" t="s">
        <v>3307</v>
      </c>
      <c r="B323" s="8" t="s">
        <v>493</v>
      </c>
      <c r="C323" s="8" t="s">
        <v>2696</v>
      </c>
      <c r="D323" s="8" t="s">
        <v>2837</v>
      </c>
      <c r="E323" s="5" t="s">
        <v>2529</v>
      </c>
      <c r="F323" s="8" t="s">
        <v>3308</v>
      </c>
      <c r="G323" s="8" t="s">
        <v>2685</v>
      </c>
      <c r="H323" s="8" t="s">
        <v>2686</v>
      </c>
      <c r="I323" s="8" t="s">
        <v>2540</v>
      </c>
      <c r="J323" s="9">
        <v>46319</v>
      </c>
      <c r="K323" s="7"/>
      <c r="L323" s="8" t="s">
        <v>3299</v>
      </c>
      <c r="M323" s="8" t="s">
        <v>41</v>
      </c>
    </row>
    <row r="324" spans="1:13" ht="40" customHeight="1">
      <c r="A324" s="4" t="s">
        <v>3309</v>
      </c>
      <c r="B324" s="4" t="s">
        <v>493</v>
      </c>
      <c r="C324" s="4" t="s">
        <v>2696</v>
      </c>
      <c r="D324" s="4" t="s">
        <v>2688</v>
      </c>
      <c r="E324" s="5" t="s">
        <v>2529</v>
      </c>
      <c r="F324" s="4" t="s">
        <v>2689</v>
      </c>
      <c r="G324" s="4" t="s">
        <v>2685</v>
      </c>
      <c r="H324" s="4" t="s">
        <v>2686</v>
      </c>
      <c r="I324" s="4" t="s">
        <v>2540</v>
      </c>
      <c r="J324" s="6">
        <v>46319</v>
      </c>
      <c r="K324" s="7"/>
      <c r="L324" s="4" t="s">
        <v>3310</v>
      </c>
      <c r="M324" s="4" t="s">
        <v>41</v>
      </c>
    </row>
    <row r="325" spans="1:13" ht="40" customHeight="1">
      <c r="A325" s="8" t="s">
        <v>505</v>
      </c>
      <c r="B325" s="8" t="s">
        <v>501</v>
      </c>
      <c r="C325" s="8" t="s">
        <v>2664</v>
      </c>
      <c r="D325" s="8" t="s">
        <v>502</v>
      </c>
      <c r="E325" s="5" t="s">
        <v>2529</v>
      </c>
      <c r="F325" s="8" t="s">
        <v>2665</v>
      </c>
      <c r="G325" s="8" t="s">
        <v>2666</v>
      </c>
      <c r="H325" s="8" t="s">
        <v>2532</v>
      </c>
      <c r="I325" s="8" t="s">
        <v>2667</v>
      </c>
      <c r="J325" s="9">
        <v>46319</v>
      </c>
      <c r="K325" s="7"/>
      <c r="L325" s="8" t="s">
        <v>41</v>
      </c>
      <c r="M325" s="8" t="s">
        <v>507</v>
      </c>
    </row>
    <row r="326" spans="1:13" ht="40" customHeight="1">
      <c r="A326" s="4" t="s">
        <v>3311</v>
      </c>
      <c r="B326" s="4" t="s">
        <v>501</v>
      </c>
      <c r="C326" s="4" t="s">
        <v>2669</v>
      </c>
      <c r="D326" s="4" t="s">
        <v>2670</v>
      </c>
      <c r="E326" s="5" t="s">
        <v>2529</v>
      </c>
      <c r="F326" s="4" t="s">
        <v>2671</v>
      </c>
      <c r="G326" s="4" t="s">
        <v>2672</v>
      </c>
      <c r="H326" s="4" t="s">
        <v>2532</v>
      </c>
      <c r="I326" s="4" t="s">
        <v>2673</v>
      </c>
      <c r="J326" s="6">
        <v>46319</v>
      </c>
      <c r="K326" s="7"/>
      <c r="L326" s="4" t="s">
        <v>3312</v>
      </c>
      <c r="M326" s="4" t="s">
        <v>507</v>
      </c>
    </row>
    <row r="327" spans="1:13" ht="40" customHeight="1">
      <c r="A327" s="8" t="s">
        <v>3313</v>
      </c>
      <c r="B327" s="8" t="s">
        <v>501</v>
      </c>
      <c r="C327" s="8" t="s">
        <v>2676</v>
      </c>
      <c r="D327" s="8" t="s">
        <v>2677</v>
      </c>
      <c r="E327" s="5" t="s">
        <v>2529</v>
      </c>
      <c r="F327" s="8" t="s">
        <v>2678</v>
      </c>
      <c r="G327" s="8" t="s">
        <v>2679</v>
      </c>
      <c r="H327" s="8" t="s">
        <v>2532</v>
      </c>
      <c r="I327" s="8" t="s">
        <v>2673</v>
      </c>
      <c r="J327" s="9">
        <v>46319</v>
      </c>
      <c r="K327" s="7"/>
      <c r="L327" s="8" t="s">
        <v>3314</v>
      </c>
      <c r="M327" s="8" t="s">
        <v>507</v>
      </c>
    </row>
    <row r="328" spans="1:13" ht="40" customHeight="1">
      <c r="A328" s="4" t="s">
        <v>3315</v>
      </c>
      <c r="B328" s="4" t="s">
        <v>501</v>
      </c>
      <c r="C328" s="4" t="s">
        <v>2696</v>
      </c>
      <c r="D328" s="4" t="s">
        <v>3316</v>
      </c>
      <c r="E328" s="5" t="s">
        <v>2529</v>
      </c>
      <c r="F328" s="4" t="s">
        <v>2789</v>
      </c>
      <c r="G328" s="4" t="s">
        <v>2685</v>
      </c>
      <c r="H328" s="4" t="s">
        <v>2686</v>
      </c>
      <c r="I328" s="4" t="s">
        <v>2540</v>
      </c>
      <c r="J328" s="6">
        <v>46319</v>
      </c>
      <c r="K328" s="7"/>
      <c r="L328" s="4" t="s">
        <v>3317</v>
      </c>
      <c r="M328" s="4" t="s">
        <v>41</v>
      </c>
    </row>
    <row r="329" spans="1:13" ht="40" customHeight="1">
      <c r="A329" s="8" t="s">
        <v>3318</v>
      </c>
      <c r="B329" s="8" t="s">
        <v>501</v>
      </c>
      <c r="C329" s="8" t="s">
        <v>2696</v>
      </c>
      <c r="D329" s="8" t="s">
        <v>2688</v>
      </c>
      <c r="E329" s="5" t="s">
        <v>2529</v>
      </c>
      <c r="F329" s="8" t="s">
        <v>2689</v>
      </c>
      <c r="G329" s="8" t="s">
        <v>2685</v>
      </c>
      <c r="H329" s="8" t="s">
        <v>2686</v>
      </c>
      <c r="I329" s="8" t="s">
        <v>2540</v>
      </c>
      <c r="J329" s="9">
        <v>46319</v>
      </c>
      <c r="K329" s="7"/>
      <c r="L329" s="8" t="s">
        <v>3319</v>
      </c>
      <c r="M329" s="8" t="s">
        <v>41</v>
      </c>
    </row>
    <row r="330" spans="1:13" ht="40" customHeight="1">
      <c r="A330" s="4" t="s">
        <v>513</v>
      </c>
      <c r="B330" s="4" t="s">
        <v>508</v>
      </c>
      <c r="C330" s="4" t="s">
        <v>2664</v>
      </c>
      <c r="D330" s="4" t="s">
        <v>509</v>
      </c>
      <c r="E330" s="5" t="s">
        <v>2529</v>
      </c>
      <c r="F330" s="4" t="s">
        <v>2665</v>
      </c>
      <c r="G330" s="4" t="s">
        <v>2666</v>
      </c>
      <c r="H330" s="4" t="s">
        <v>2532</v>
      </c>
      <c r="I330" s="4" t="s">
        <v>2667</v>
      </c>
      <c r="J330" s="6">
        <v>46319</v>
      </c>
      <c r="K330" s="7"/>
      <c r="L330" s="4" t="s">
        <v>41</v>
      </c>
      <c r="M330" s="4" t="s">
        <v>516</v>
      </c>
    </row>
    <row r="331" spans="1:13" ht="40" customHeight="1">
      <c r="A331" s="8" t="s">
        <v>3320</v>
      </c>
      <c r="B331" s="8" t="s">
        <v>508</v>
      </c>
      <c r="C331" s="8" t="s">
        <v>2669</v>
      </c>
      <c r="D331" s="8" t="s">
        <v>2670</v>
      </c>
      <c r="E331" s="5" t="s">
        <v>2529</v>
      </c>
      <c r="F331" s="8" t="s">
        <v>2671</v>
      </c>
      <c r="G331" s="8" t="s">
        <v>2672</v>
      </c>
      <c r="H331" s="8" t="s">
        <v>2532</v>
      </c>
      <c r="I331" s="8" t="s">
        <v>2673</v>
      </c>
      <c r="J331" s="9">
        <v>46319</v>
      </c>
      <c r="K331" s="7"/>
      <c r="L331" s="8" t="s">
        <v>3321</v>
      </c>
      <c r="M331" s="8" t="s">
        <v>516</v>
      </c>
    </row>
    <row r="332" spans="1:13" ht="40" customHeight="1">
      <c r="A332" s="4" t="s">
        <v>3322</v>
      </c>
      <c r="B332" s="4" t="s">
        <v>508</v>
      </c>
      <c r="C332" s="4" t="s">
        <v>2676</v>
      </c>
      <c r="D332" s="4" t="s">
        <v>2677</v>
      </c>
      <c r="E332" s="5" t="s">
        <v>2529</v>
      </c>
      <c r="F332" s="4" t="s">
        <v>2678</v>
      </c>
      <c r="G332" s="4" t="s">
        <v>2679</v>
      </c>
      <c r="H332" s="4" t="s">
        <v>2532</v>
      </c>
      <c r="I332" s="4" t="s">
        <v>2673</v>
      </c>
      <c r="J332" s="6">
        <v>46319</v>
      </c>
      <c r="K332" s="7"/>
      <c r="L332" s="4" t="s">
        <v>3323</v>
      </c>
      <c r="M332" s="4" t="s">
        <v>516</v>
      </c>
    </row>
    <row r="333" spans="1:13" ht="40" customHeight="1">
      <c r="A333" s="8" t="s">
        <v>3324</v>
      </c>
      <c r="B333" s="8" t="s">
        <v>508</v>
      </c>
      <c r="C333" s="8" t="s">
        <v>2696</v>
      </c>
      <c r="D333" s="8" t="s">
        <v>3325</v>
      </c>
      <c r="E333" s="5" t="s">
        <v>2529</v>
      </c>
      <c r="F333" s="8" t="s">
        <v>2789</v>
      </c>
      <c r="G333" s="8" t="s">
        <v>2685</v>
      </c>
      <c r="H333" s="8" t="s">
        <v>2686</v>
      </c>
      <c r="I333" s="8" t="s">
        <v>2540</v>
      </c>
      <c r="J333" s="9">
        <v>46319</v>
      </c>
      <c r="K333" s="7"/>
      <c r="L333" s="8" t="s">
        <v>3299</v>
      </c>
      <c r="M333" s="8" t="s">
        <v>41</v>
      </c>
    </row>
    <row r="334" spans="1:13" ht="40" customHeight="1">
      <c r="A334" s="4" t="s">
        <v>3326</v>
      </c>
      <c r="B334" s="4" t="s">
        <v>508</v>
      </c>
      <c r="C334" s="4" t="s">
        <v>2696</v>
      </c>
      <c r="D334" s="4" t="s">
        <v>2688</v>
      </c>
      <c r="E334" s="5" t="s">
        <v>2529</v>
      </c>
      <c r="F334" s="4" t="s">
        <v>2689</v>
      </c>
      <c r="G334" s="4" t="s">
        <v>2685</v>
      </c>
      <c r="H334" s="4" t="s">
        <v>2686</v>
      </c>
      <c r="I334" s="4" t="s">
        <v>2540</v>
      </c>
      <c r="J334" s="6">
        <v>46319</v>
      </c>
      <c r="K334" s="7"/>
      <c r="L334" s="4" t="s">
        <v>3327</v>
      </c>
      <c r="M334" s="4" t="s">
        <v>41</v>
      </c>
    </row>
    <row r="335" spans="1:13" ht="40" customHeight="1">
      <c r="A335" s="8" t="s">
        <v>522</v>
      </c>
      <c r="B335" s="8" t="s">
        <v>517</v>
      </c>
      <c r="C335" s="8" t="s">
        <v>2664</v>
      </c>
      <c r="D335" s="8" t="s">
        <v>518</v>
      </c>
      <c r="E335" s="5" t="s">
        <v>2529</v>
      </c>
      <c r="F335" s="8" t="s">
        <v>2665</v>
      </c>
      <c r="G335" s="8" t="s">
        <v>2666</v>
      </c>
      <c r="H335" s="8" t="s">
        <v>2532</v>
      </c>
      <c r="I335" s="8" t="s">
        <v>2667</v>
      </c>
      <c r="J335" s="9">
        <v>46319</v>
      </c>
      <c r="K335" s="7"/>
      <c r="L335" s="8" t="s">
        <v>41</v>
      </c>
      <c r="M335" s="8" t="s">
        <v>524</v>
      </c>
    </row>
    <row r="336" spans="1:13" ht="40" customHeight="1">
      <c r="A336" s="4" t="s">
        <v>3328</v>
      </c>
      <c r="B336" s="4" t="s">
        <v>517</v>
      </c>
      <c r="C336" s="4" t="s">
        <v>2669</v>
      </c>
      <c r="D336" s="4" t="s">
        <v>2670</v>
      </c>
      <c r="E336" s="5" t="s">
        <v>2529</v>
      </c>
      <c r="F336" s="4" t="s">
        <v>2671</v>
      </c>
      <c r="G336" s="4" t="s">
        <v>2672</v>
      </c>
      <c r="H336" s="4" t="s">
        <v>2532</v>
      </c>
      <c r="I336" s="4" t="s">
        <v>2673</v>
      </c>
      <c r="J336" s="6">
        <v>46319</v>
      </c>
      <c r="K336" s="7"/>
      <c r="L336" s="4" t="s">
        <v>3329</v>
      </c>
      <c r="M336" s="4" t="s">
        <v>524</v>
      </c>
    </row>
    <row r="337" spans="1:13" ht="40" customHeight="1">
      <c r="A337" s="8" t="s">
        <v>3330</v>
      </c>
      <c r="B337" s="8" t="s">
        <v>517</v>
      </c>
      <c r="C337" s="8" t="s">
        <v>2676</v>
      </c>
      <c r="D337" s="8" t="s">
        <v>2677</v>
      </c>
      <c r="E337" s="5" t="s">
        <v>2529</v>
      </c>
      <c r="F337" s="8" t="s">
        <v>2678</v>
      </c>
      <c r="G337" s="8" t="s">
        <v>2679</v>
      </c>
      <c r="H337" s="8" t="s">
        <v>2532</v>
      </c>
      <c r="I337" s="8" t="s">
        <v>2673</v>
      </c>
      <c r="J337" s="9">
        <v>46319</v>
      </c>
      <c r="K337" s="7"/>
      <c r="L337" s="8" t="s">
        <v>3331</v>
      </c>
      <c r="M337" s="8" t="s">
        <v>524</v>
      </c>
    </row>
    <row r="338" spans="1:13" ht="40" customHeight="1">
      <c r="A338" s="4" t="s">
        <v>3332</v>
      </c>
      <c r="B338" s="4" t="s">
        <v>517</v>
      </c>
      <c r="C338" s="4" t="s">
        <v>2696</v>
      </c>
      <c r="D338" s="4" t="s">
        <v>3316</v>
      </c>
      <c r="E338" s="5" t="s">
        <v>2529</v>
      </c>
      <c r="F338" s="4" t="s">
        <v>2789</v>
      </c>
      <c r="G338" s="4" t="s">
        <v>2685</v>
      </c>
      <c r="H338" s="4" t="s">
        <v>2686</v>
      </c>
      <c r="I338" s="4" t="s">
        <v>2540</v>
      </c>
      <c r="J338" s="6">
        <v>46319</v>
      </c>
      <c r="K338" s="7"/>
      <c r="L338" s="4" t="s">
        <v>3317</v>
      </c>
      <c r="M338" s="4" t="s">
        <v>41</v>
      </c>
    </row>
    <row r="339" spans="1:13" ht="40" customHeight="1">
      <c r="A339" s="8" t="s">
        <v>3333</v>
      </c>
      <c r="B339" s="8" t="s">
        <v>517</v>
      </c>
      <c r="C339" s="8" t="s">
        <v>2696</v>
      </c>
      <c r="D339" s="8" t="s">
        <v>2688</v>
      </c>
      <c r="E339" s="5" t="s">
        <v>2529</v>
      </c>
      <c r="F339" s="8" t="s">
        <v>2689</v>
      </c>
      <c r="G339" s="8" t="s">
        <v>2685</v>
      </c>
      <c r="H339" s="8" t="s">
        <v>2686</v>
      </c>
      <c r="I339" s="8" t="s">
        <v>2540</v>
      </c>
      <c r="J339" s="9">
        <v>46319</v>
      </c>
      <c r="K339" s="7"/>
      <c r="L339" s="8" t="s">
        <v>3327</v>
      </c>
      <c r="M339" s="8" t="s">
        <v>41</v>
      </c>
    </row>
    <row r="340" spans="1:13" ht="40" customHeight="1">
      <c r="A340" s="4" t="s">
        <v>529</v>
      </c>
      <c r="B340" s="4" t="s">
        <v>525</v>
      </c>
      <c r="C340" s="4" t="s">
        <v>2664</v>
      </c>
      <c r="D340" s="4" t="s">
        <v>526</v>
      </c>
      <c r="E340" s="5" t="s">
        <v>2529</v>
      </c>
      <c r="F340" s="4" t="s">
        <v>2665</v>
      </c>
      <c r="G340" s="4" t="s">
        <v>2666</v>
      </c>
      <c r="H340" s="4" t="s">
        <v>2532</v>
      </c>
      <c r="I340" s="4" t="s">
        <v>2667</v>
      </c>
      <c r="J340" s="6">
        <v>46319</v>
      </c>
      <c r="K340" s="7"/>
      <c r="L340" s="4" t="s">
        <v>41</v>
      </c>
      <c r="M340" s="4" t="s">
        <v>530</v>
      </c>
    </row>
    <row r="341" spans="1:13" ht="40" customHeight="1">
      <c r="A341" s="8" t="s">
        <v>3334</v>
      </c>
      <c r="B341" s="8" t="s">
        <v>525</v>
      </c>
      <c r="C341" s="8" t="s">
        <v>2669</v>
      </c>
      <c r="D341" s="8" t="s">
        <v>2670</v>
      </c>
      <c r="E341" s="5" t="s">
        <v>2529</v>
      </c>
      <c r="F341" s="8" t="s">
        <v>2671</v>
      </c>
      <c r="G341" s="8" t="s">
        <v>2672</v>
      </c>
      <c r="H341" s="8" t="s">
        <v>2532</v>
      </c>
      <c r="I341" s="8" t="s">
        <v>2673</v>
      </c>
      <c r="J341" s="9">
        <v>46319</v>
      </c>
      <c r="K341" s="7"/>
      <c r="L341" s="8" t="s">
        <v>3335</v>
      </c>
      <c r="M341" s="8" t="s">
        <v>530</v>
      </c>
    </row>
    <row r="342" spans="1:13" ht="40" customHeight="1">
      <c r="A342" s="4" t="s">
        <v>3336</v>
      </c>
      <c r="B342" s="4" t="s">
        <v>525</v>
      </c>
      <c r="C342" s="4" t="s">
        <v>2676</v>
      </c>
      <c r="D342" s="4" t="s">
        <v>2677</v>
      </c>
      <c r="E342" s="5" t="s">
        <v>2529</v>
      </c>
      <c r="F342" s="4" t="s">
        <v>2678</v>
      </c>
      <c r="G342" s="4" t="s">
        <v>2679</v>
      </c>
      <c r="H342" s="4" t="s">
        <v>2532</v>
      </c>
      <c r="I342" s="4" t="s">
        <v>2673</v>
      </c>
      <c r="J342" s="6">
        <v>46319</v>
      </c>
      <c r="K342" s="7"/>
      <c r="L342" s="4" t="s">
        <v>3337</v>
      </c>
      <c r="M342" s="4" t="s">
        <v>530</v>
      </c>
    </row>
    <row r="343" spans="1:13" ht="40" customHeight="1">
      <c r="A343" s="8" t="s">
        <v>3338</v>
      </c>
      <c r="B343" s="8" t="s">
        <v>525</v>
      </c>
      <c r="C343" s="8" t="s">
        <v>2696</v>
      </c>
      <c r="D343" s="8" t="s">
        <v>3339</v>
      </c>
      <c r="E343" s="5" t="s">
        <v>2529</v>
      </c>
      <c r="F343" s="8" t="s">
        <v>2789</v>
      </c>
      <c r="G343" s="8" t="s">
        <v>2685</v>
      </c>
      <c r="H343" s="8" t="s">
        <v>2686</v>
      </c>
      <c r="I343" s="8" t="s">
        <v>2540</v>
      </c>
      <c r="J343" s="9">
        <v>46319</v>
      </c>
      <c r="K343" s="7"/>
      <c r="L343" s="8" t="s">
        <v>3299</v>
      </c>
      <c r="M343" s="8" t="s">
        <v>41</v>
      </c>
    </row>
    <row r="344" spans="1:13" ht="40" customHeight="1">
      <c r="A344" s="4" t="s">
        <v>3340</v>
      </c>
      <c r="B344" s="4" t="s">
        <v>525</v>
      </c>
      <c r="C344" s="4" t="s">
        <v>2696</v>
      </c>
      <c r="D344" s="4" t="s">
        <v>2688</v>
      </c>
      <c r="E344" s="5" t="s">
        <v>2529</v>
      </c>
      <c r="F344" s="4" t="s">
        <v>2689</v>
      </c>
      <c r="G344" s="4" t="s">
        <v>2685</v>
      </c>
      <c r="H344" s="4" t="s">
        <v>2686</v>
      </c>
      <c r="I344" s="4" t="s">
        <v>2540</v>
      </c>
      <c r="J344" s="6">
        <v>46319</v>
      </c>
      <c r="K344" s="7"/>
      <c r="L344" s="4" t="s">
        <v>3310</v>
      </c>
      <c r="M344" s="4" t="s">
        <v>41</v>
      </c>
    </row>
    <row r="345" spans="1:13" ht="40" customHeight="1">
      <c r="A345" s="8" t="s">
        <v>536</v>
      </c>
      <c r="B345" s="8" t="s">
        <v>531</v>
      </c>
      <c r="C345" s="8" t="s">
        <v>2664</v>
      </c>
      <c r="D345" s="8" t="s">
        <v>532</v>
      </c>
      <c r="E345" s="5" t="s">
        <v>2529</v>
      </c>
      <c r="F345" s="8" t="s">
        <v>2665</v>
      </c>
      <c r="G345" s="8" t="s">
        <v>2666</v>
      </c>
      <c r="H345" s="8" t="s">
        <v>2532</v>
      </c>
      <c r="I345" s="8" t="s">
        <v>2667</v>
      </c>
      <c r="J345" s="9">
        <v>46319</v>
      </c>
      <c r="K345" s="7"/>
      <c r="L345" s="8" t="s">
        <v>41</v>
      </c>
      <c r="M345" s="8" t="s">
        <v>538</v>
      </c>
    </row>
    <row r="346" spans="1:13" ht="40" customHeight="1">
      <c r="A346" s="4" t="s">
        <v>3341</v>
      </c>
      <c r="B346" s="4" t="s">
        <v>531</v>
      </c>
      <c r="C346" s="4" t="s">
        <v>2669</v>
      </c>
      <c r="D346" s="4" t="s">
        <v>2670</v>
      </c>
      <c r="E346" s="5" t="s">
        <v>2529</v>
      </c>
      <c r="F346" s="4" t="s">
        <v>2671</v>
      </c>
      <c r="G346" s="4" t="s">
        <v>2672</v>
      </c>
      <c r="H346" s="4" t="s">
        <v>2532</v>
      </c>
      <c r="I346" s="4" t="s">
        <v>2673</v>
      </c>
      <c r="J346" s="6">
        <v>46319</v>
      </c>
      <c r="K346" s="7"/>
      <c r="L346" s="4" t="s">
        <v>3342</v>
      </c>
      <c r="M346" s="4" t="s">
        <v>538</v>
      </c>
    </row>
    <row r="347" spans="1:13" ht="40" customHeight="1">
      <c r="A347" s="8" t="s">
        <v>3343</v>
      </c>
      <c r="B347" s="8" t="s">
        <v>531</v>
      </c>
      <c r="C347" s="8" t="s">
        <v>2676</v>
      </c>
      <c r="D347" s="8" t="s">
        <v>2677</v>
      </c>
      <c r="E347" s="5" t="s">
        <v>2529</v>
      </c>
      <c r="F347" s="8" t="s">
        <v>2678</v>
      </c>
      <c r="G347" s="8" t="s">
        <v>2679</v>
      </c>
      <c r="H347" s="8" t="s">
        <v>2532</v>
      </c>
      <c r="I347" s="8" t="s">
        <v>2673</v>
      </c>
      <c r="J347" s="9">
        <v>46319</v>
      </c>
      <c r="K347" s="7"/>
      <c r="L347" s="8" t="s">
        <v>3344</v>
      </c>
      <c r="M347" s="8" t="s">
        <v>538</v>
      </c>
    </row>
    <row r="348" spans="1:13" ht="40" customHeight="1">
      <c r="A348" s="4" t="s">
        <v>3345</v>
      </c>
      <c r="B348" s="4" t="s">
        <v>531</v>
      </c>
      <c r="C348" s="4" t="s">
        <v>2696</v>
      </c>
      <c r="D348" s="4" t="s">
        <v>3339</v>
      </c>
      <c r="E348" s="5" t="s">
        <v>2529</v>
      </c>
      <c r="F348" s="4" t="s">
        <v>2789</v>
      </c>
      <c r="G348" s="4" t="s">
        <v>2685</v>
      </c>
      <c r="H348" s="4" t="s">
        <v>2686</v>
      </c>
      <c r="I348" s="4" t="s">
        <v>2540</v>
      </c>
      <c r="J348" s="6">
        <v>46319</v>
      </c>
      <c r="K348" s="7"/>
      <c r="L348" s="4" t="s">
        <v>3299</v>
      </c>
      <c r="M348" s="4" t="s">
        <v>41</v>
      </c>
    </row>
    <row r="349" spans="1:13" ht="40" customHeight="1">
      <c r="A349" s="8" t="s">
        <v>3346</v>
      </c>
      <c r="B349" s="8" t="s">
        <v>531</v>
      </c>
      <c r="C349" s="8" t="s">
        <v>2696</v>
      </c>
      <c r="D349" s="8" t="s">
        <v>2688</v>
      </c>
      <c r="E349" s="5" t="s">
        <v>2529</v>
      </c>
      <c r="F349" s="8" t="s">
        <v>2689</v>
      </c>
      <c r="G349" s="8" t="s">
        <v>2685</v>
      </c>
      <c r="H349" s="8" t="s">
        <v>2686</v>
      </c>
      <c r="I349" s="8" t="s">
        <v>2540</v>
      </c>
      <c r="J349" s="9">
        <v>46319</v>
      </c>
      <c r="K349" s="7"/>
      <c r="L349" s="8" t="s">
        <v>3310</v>
      </c>
      <c r="M349" s="8" t="s">
        <v>41</v>
      </c>
    </row>
    <row r="350" spans="1:13" ht="40" customHeight="1">
      <c r="A350" s="4" t="s">
        <v>543</v>
      </c>
      <c r="B350" s="4" t="s">
        <v>539</v>
      </c>
      <c r="C350" s="4" t="s">
        <v>2664</v>
      </c>
      <c r="D350" s="4" t="s">
        <v>540</v>
      </c>
      <c r="E350" s="5" t="s">
        <v>2529</v>
      </c>
      <c r="F350" s="4" t="s">
        <v>2665</v>
      </c>
      <c r="G350" s="4" t="s">
        <v>2666</v>
      </c>
      <c r="H350" s="4" t="s">
        <v>2532</v>
      </c>
      <c r="I350" s="4" t="s">
        <v>2667</v>
      </c>
      <c r="J350" s="6">
        <v>46319</v>
      </c>
      <c r="K350" s="7"/>
      <c r="L350" s="4" t="s">
        <v>41</v>
      </c>
      <c r="M350" s="4" t="s">
        <v>545</v>
      </c>
    </row>
    <row r="351" spans="1:13" ht="40" customHeight="1">
      <c r="A351" s="8" t="s">
        <v>3347</v>
      </c>
      <c r="B351" s="8" t="s">
        <v>539</v>
      </c>
      <c r="C351" s="8" t="s">
        <v>2669</v>
      </c>
      <c r="D351" s="8" t="s">
        <v>2670</v>
      </c>
      <c r="E351" s="5" t="s">
        <v>2529</v>
      </c>
      <c r="F351" s="8" t="s">
        <v>2671</v>
      </c>
      <c r="G351" s="8" t="s">
        <v>2672</v>
      </c>
      <c r="H351" s="8" t="s">
        <v>2532</v>
      </c>
      <c r="I351" s="8" t="s">
        <v>2673</v>
      </c>
      <c r="J351" s="9">
        <v>46319</v>
      </c>
      <c r="K351" s="7"/>
      <c r="L351" s="8" t="s">
        <v>3348</v>
      </c>
      <c r="M351" s="8" t="s">
        <v>545</v>
      </c>
    </row>
    <row r="352" spans="1:13" ht="40" customHeight="1">
      <c r="A352" s="4" t="s">
        <v>3349</v>
      </c>
      <c r="B352" s="4" t="s">
        <v>539</v>
      </c>
      <c r="C352" s="4" t="s">
        <v>2676</v>
      </c>
      <c r="D352" s="4" t="s">
        <v>2677</v>
      </c>
      <c r="E352" s="5" t="s">
        <v>2529</v>
      </c>
      <c r="F352" s="4" t="s">
        <v>2678</v>
      </c>
      <c r="G352" s="4" t="s">
        <v>2679</v>
      </c>
      <c r="H352" s="4" t="s">
        <v>2532</v>
      </c>
      <c r="I352" s="4" t="s">
        <v>2673</v>
      </c>
      <c r="J352" s="6">
        <v>46319</v>
      </c>
      <c r="K352" s="7"/>
      <c r="L352" s="4" t="s">
        <v>3350</v>
      </c>
      <c r="M352" s="4" t="s">
        <v>545</v>
      </c>
    </row>
    <row r="353" spans="1:13" ht="40" customHeight="1">
      <c r="A353" s="8" t="s">
        <v>3351</v>
      </c>
      <c r="B353" s="8" t="s">
        <v>539</v>
      </c>
      <c r="C353" s="8" t="s">
        <v>2696</v>
      </c>
      <c r="D353" s="8" t="s">
        <v>2949</v>
      </c>
      <c r="E353" s="5" t="s">
        <v>2529</v>
      </c>
      <c r="F353" s="8" t="s">
        <v>2689</v>
      </c>
      <c r="G353" s="8" t="s">
        <v>2685</v>
      </c>
      <c r="H353" s="8" t="s">
        <v>2686</v>
      </c>
      <c r="I353" s="8" t="s">
        <v>2540</v>
      </c>
      <c r="J353" s="9">
        <v>46319</v>
      </c>
      <c r="K353" s="7"/>
      <c r="L353" s="8" t="s">
        <v>3352</v>
      </c>
      <c r="M353" s="8" t="s">
        <v>41</v>
      </c>
    </row>
    <row r="354" spans="1:13" ht="40" customHeight="1">
      <c r="A354" s="4" t="s">
        <v>551</v>
      </c>
      <c r="B354" s="4" t="s">
        <v>546</v>
      </c>
      <c r="C354" s="4" t="s">
        <v>2664</v>
      </c>
      <c r="D354" s="4" t="s">
        <v>547</v>
      </c>
      <c r="E354" s="5" t="s">
        <v>2529</v>
      </c>
      <c r="F354" s="4" t="s">
        <v>2665</v>
      </c>
      <c r="G354" s="4" t="s">
        <v>2666</v>
      </c>
      <c r="H354" s="4" t="s">
        <v>2532</v>
      </c>
      <c r="I354" s="4" t="s">
        <v>2667</v>
      </c>
      <c r="J354" s="6">
        <v>46319</v>
      </c>
      <c r="K354" s="7"/>
      <c r="L354" s="4" t="s">
        <v>41</v>
      </c>
      <c r="M354" s="4" t="s">
        <v>553</v>
      </c>
    </row>
    <row r="355" spans="1:13" ht="40" customHeight="1">
      <c r="A355" s="8" t="s">
        <v>3353</v>
      </c>
      <c r="B355" s="8" t="s">
        <v>546</v>
      </c>
      <c r="C355" s="8" t="s">
        <v>2669</v>
      </c>
      <c r="D355" s="8" t="s">
        <v>2670</v>
      </c>
      <c r="E355" s="5" t="s">
        <v>2529</v>
      </c>
      <c r="F355" s="8" t="s">
        <v>2671</v>
      </c>
      <c r="G355" s="8" t="s">
        <v>2672</v>
      </c>
      <c r="H355" s="8" t="s">
        <v>2532</v>
      </c>
      <c r="I355" s="8" t="s">
        <v>2673</v>
      </c>
      <c r="J355" s="9">
        <v>46319</v>
      </c>
      <c r="K355" s="7"/>
      <c r="L355" s="8" t="s">
        <v>3354</v>
      </c>
      <c r="M355" s="8" t="s">
        <v>553</v>
      </c>
    </row>
    <row r="356" spans="1:13" ht="40" customHeight="1">
      <c r="A356" s="4" t="s">
        <v>3355</v>
      </c>
      <c r="B356" s="4" t="s">
        <v>546</v>
      </c>
      <c r="C356" s="4" t="s">
        <v>2676</v>
      </c>
      <c r="D356" s="4" t="s">
        <v>2677</v>
      </c>
      <c r="E356" s="5" t="s">
        <v>2529</v>
      </c>
      <c r="F356" s="4" t="s">
        <v>2678</v>
      </c>
      <c r="G356" s="4" t="s">
        <v>2679</v>
      </c>
      <c r="H356" s="4" t="s">
        <v>2532</v>
      </c>
      <c r="I356" s="4" t="s">
        <v>2673</v>
      </c>
      <c r="J356" s="6">
        <v>46319</v>
      </c>
      <c r="K356" s="7"/>
      <c r="L356" s="4" t="s">
        <v>3356</v>
      </c>
      <c r="M356" s="4" t="s">
        <v>553</v>
      </c>
    </row>
    <row r="357" spans="1:13" ht="40" customHeight="1">
      <c r="A357" s="8" t="s">
        <v>3357</v>
      </c>
      <c r="B357" s="8" t="s">
        <v>546</v>
      </c>
      <c r="C357" s="8" t="s">
        <v>2696</v>
      </c>
      <c r="D357" s="8" t="s">
        <v>3358</v>
      </c>
      <c r="E357" s="5" t="s">
        <v>2529</v>
      </c>
      <c r="F357" s="8" t="s">
        <v>2829</v>
      </c>
      <c r="G357" s="8" t="s">
        <v>2685</v>
      </c>
      <c r="H357" s="8" t="s">
        <v>2686</v>
      </c>
      <c r="I357" s="8" t="s">
        <v>2540</v>
      </c>
      <c r="J357" s="9">
        <v>46319</v>
      </c>
      <c r="K357" s="7"/>
      <c r="L357" s="8" t="s">
        <v>3359</v>
      </c>
      <c r="M357" s="8" t="s">
        <v>41</v>
      </c>
    </row>
    <row r="358" spans="1:13" ht="40" customHeight="1">
      <c r="A358" s="4" t="s">
        <v>3360</v>
      </c>
      <c r="B358" s="4" t="s">
        <v>546</v>
      </c>
      <c r="C358" s="4" t="s">
        <v>2682</v>
      </c>
      <c r="D358" s="4" t="s">
        <v>2688</v>
      </c>
      <c r="E358" s="5" t="s">
        <v>2537</v>
      </c>
      <c r="F358" s="4" t="s">
        <v>2689</v>
      </c>
      <c r="G358" s="4" t="s">
        <v>2685</v>
      </c>
      <c r="H358" s="4" t="s">
        <v>2686</v>
      </c>
      <c r="I358" s="4" t="s">
        <v>2540</v>
      </c>
      <c r="J358" s="6">
        <v>46319</v>
      </c>
      <c r="K358" s="7"/>
      <c r="L358" s="4" t="s">
        <v>3361</v>
      </c>
      <c r="M358" s="4" t="s">
        <v>41</v>
      </c>
    </row>
    <row r="359" spans="1:13" ht="40" customHeight="1">
      <c r="A359" s="8" t="s">
        <v>3362</v>
      </c>
      <c r="B359" s="8" t="s">
        <v>546</v>
      </c>
      <c r="C359" s="8" t="s">
        <v>2696</v>
      </c>
      <c r="D359" s="8" t="s">
        <v>3363</v>
      </c>
      <c r="E359" s="5" t="s">
        <v>2529</v>
      </c>
      <c r="F359" s="8" t="s">
        <v>2714</v>
      </c>
      <c r="G359" s="8" t="s">
        <v>2685</v>
      </c>
      <c r="H359" s="8" t="s">
        <v>2686</v>
      </c>
      <c r="I359" s="8" t="s">
        <v>2540</v>
      </c>
      <c r="J359" s="9">
        <v>46319</v>
      </c>
      <c r="K359" s="7"/>
      <c r="L359" s="8" t="s">
        <v>3364</v>
      </c>
      <c r="M359" s="8" t="s">
        <v>41</v>
      </c>
    </row>
    <row r="360" spans="1:13" ht="40" customHeight="1">
      <c r="A360" s="4" t="s">
        <v>560</v>
      </c>
      <c r="B360" s="4" t="s">
        <v>554</v>
      </c>
      <c r="C360" s="4" t="s">
        <v>2664</v>
      </c>
      <c r="D360" s="4" t="s">
        <v>555</v>
      </c>
      <c r="E360" s="5" t="s">
        <v>2529</v>
      </c>
      <c r="F360" s="4" t="s">
        <v>2665</v>
      </c>
      <c r="G360" s="4" t="s">
        <v>2666</v>
      </c>
      <c r="H360" s="4" t="s">
        <v>2532</v>
      </c>
      <c r="I360" s="4" t="s">
        <v>2667</v>
      </c>
      <c r="J360" s="6">
        <v>46319</v>
      </c>
      <c r="K360" s="7"/>
      <c r="L360" s="4" t="s">
        <v>41</v>
      </c>
      <c r="M360" s="4" t="s">
        <v>562</v>
      </c>
    </row>
    <row r="361" spans="1:13" ht="40" customHeight="1">
      <c r="A361" s="8" t="s">
        <v>3365</v>
      </c>
      <c r="B361" s="8" t="s">
        <v>554</v>
      </c>
      <c r="C361" s="8" t="s">
        <v>2669</v>
      </c>
      <c r="D361" s="8" t="s">
        <v>2670</v>
      </c>
      <c r="E361" s="5" t="s">
        <v>2529</v>
      </c>
      <c r="F361" s="8" t="s">
        <v>2671</v>
      </c>
      <c r="G361" s="8" t="s">
        <v>2672</v>
      </c>
      <c r="H361" s="8" t="s">
        <v>2532</v>
      </c>
      <c r="I361" s="8" t="s">
        <v>2673</v>
      </c>
      <c r="J361" s="9">
        <v>46319</v>
      </c>
      <c r="K361" s="7"/>
      <c r="L361" s="8" t="s">
        <v>3366</v>
      </c>
      <c r="M361" s="8" t="s">
        <v>562</v>
      </c>
    </row>
    <row r="362" spans="1:13" ht="40" customHeight="1">
      <c r="A362" s="4" t="s">
        <v>3367</v>
      </c>
      <c r="B362" s="4" t="s">
        <v>554</v>
      </c>
      <c r="C362" s="4" t="s">
        <v>2676</v>
      </c>
      <c r="D362" s="4" t="s">
        <v>2677</v>
      </c>
      <c r="E362" s="5" t="s">
        <v>2529</v>
      </c>
      <c r="F362" s="4" t="s">
        <v>2678</v>
      </c>
      <c r="G362" s="4" t="s">
        <v>2679</v>
      </c>
      <c r="H362" s="4" t="s">
        <v>2532</v>
      </c>
      <c r="I362" s="4" t="s">
        <v>2673</v>
      </c>
      <c r="J362" s="6">
        <v>46319</v>
      </c>
      <c r="K362" s="7"/>
      <c r="L362" s="4" t="s">
        <v>3368</v>
      </c>
      <c r="M362" s="4" t="s">
        <v>562</v>
      </c>
    </row>
    <row r="363" spans="1:13" ht="40" customHeight="1">
      <c r="A363" s="8" t="s">
        <v>3369</v>
      </c>
      <c r="B363" s="8" t="s">
        <v>554</v>
      </c>
      <c r="C363" s="8" t="s">
        <v>2696</v>
      </c>
      <c r="D363" s="8" t="s">
        <v>3370</v>
      </c>
      <c r="E363" s="5" t="s">
        <v>2529</v>
      </c>
      <c r="F363" s="8" t="s">
        <v>2766</v>
      </c>
      <c r="G363" s="8" t="s">
        <v>2685</v>
      </c>
      <c r="H363" s="8" t="s">
        <v>2686</v>
      </c>
      <c r="I363" s="8" t="s">
        <v>2540</v>
      </c>
      <c r="J363" s="9">
        <v>46319</v>
      </c>
      <c r="K363" s="7"/>
      <c r="L363" s="8" t="s">
        <v>3370</v>
      </c>
      <c r="M363" s="8" t="s">
        <v>41</v>
      </c>
    </row>
    <row r="364" spans="1:13" ht="40" customHeight="1">
      <c r="A364" s="4" t="s">
        <v>567</v>
      </c>
      <c r="B364" s="4" t="s">
        <v>563</v>
      </c>
      <c r="C364" s="4" t="s">
        <v>2664</v>
      </c>
      <c r="D364" s="4" t="s">
        <v>564</v>
      </c>
      <c r="E364" s="5" t="s">
        <v>2529</v>
      </c>
      <c r="F364" s="4" t="s">
        <v>2665</v>
      </c>
      <c r="G364" s="4" t="s">
        <v>2666</v>
      </c>
      <c r="H364" s="4" t="s">
        <v>2532</v>
      </c>
      <c r="I364" s="4" t="s">
        <v>2667</v>
      </c>
      <c r="J364" s="6">
        <v>46319</v>
      </c>
      <c r="K364" s="7"/>
      <c r="L364" s="4" t="s">
        <v>41</v>
      </c>
      <c r="M364" s="4" t="s">
        <v>569</v>
      </c>
    </row>
    <row r="365" spans="1:13" ht="40" customHeight="1">
      <c r="A365" s="8" t="s">
        <v>3371</v>
      </c>
      <c r="B365" s="8" t="s">
        <v>563</v>
      </c>
      <c r="C365" s="8" t="s">
        <v>2669</v>
      </c>
      <c r="D365" s="8" t="s">
        <v>2670</v>
      </c>
      <c r="E365" s="5" t="s">
        <v>2529</v>
      </c>
      <c r="F365" s="8" t="s">
        <v>2671</v>
      </c>
      <c r="G365" s="8" t="s">
        <v>2672</v>
      </c>
      <c r="H365" s="8" t="s">
        <v>2532</v>
      </c>
      <c r="I365" s="8" t="s">
        <v>2673</v>
      </c>
      <c r="J365" s="9">
        <v>46319</v>
      </c>
      <c r="K365" s="7"/>
      <c r="L365" s="8" t="s">
        <v>3372</v>
      </c>
      <c r="M365" s="8" t="s">
        <v>569</v>
      </c>
    </row>
    <row r="366" spans="1:13" ht="40" customHeight="1">
      <c r="A366" s="4" t="s">
        <v>3373</v>
      </c>
      <c r="B366" s="4" t="s">
        <v>563</v>
      </c>
      <c r="C366" s="4" t="s">
        <v>2676</v>
      </c>
      <c r="D366" s="4" t="s">
        <v>2677</v>
      </c>
      <c r="E366" s="5" t="s">
        <v>2529</v>
      </c>
      <c r="F366" s="4" t="s">
        <v>2678</v>
      </c>
      <c r="G366" s="4" t="s">
        <v>2679</v>
      </c>
      <c r="H366" s="4" t="s">
        <v>2532</v>
      </c>
      <c r="I366" s="4" t="s">
        <v>2673</v>
      </c>
      <c r="J366" s="6">
        <v>46319</v>
      </c>
      <c r="K366" s="7"/>
      <c r="L366" s="4" t="s">
        <v>3374</v>
      </c>
      <c r="M366" s="4" t="s">
        <v>569</v>
      </c>
    </row>
    <row r="367" spans="1:13" ht="40" customHeight="1">
      <c r="A367" s="8" t="s">
        <v>3375</v>
      </c>
      <c r="B367" s="8" t="s">
        <v>563</v>
      </c>
      <c r="C367" s="8" t="s">
        <v>2696</v>
      </c>
      <c r="D367" s="8" t="s">
        <v>3376</v>
      </c>
      <c r="E367" s="5" t="s">
        <v>2529</v>
      </c>
      <c r="F367" s="8" t="s">
        <v>2829</v>
      </c>
      <c r="G367" s="8" t="s">
        <v>2685</v>
      </c>
      <c r="H367" s="8" t="s">
        <v>2686</v>
      </c>
      <c r="I367" s="8" t="s">
        <v>2540</v>
      </c>
      <c r="J367" s="9">
        <v>46319</v>
      </c>
      <c r="K367" s="7"/>
      <c r="L367" s="8" t="s">
        <v>3377</v>
      </c>
      <c r="M367" s="8" t="s">
        <v>41</v>
      </c>
    </row>
    <row r="368" spans="1:13" ht="40" customHeight="1">
      <c r="A368" s="4" t="s">
        <v>3378</v>
      </c>
      <c r="B368" s="4" t="s">
        <v>563</v>
      </c>
      <c r="C368" s="4" t="s">
        <v>2696</v>
      </c>
      <c r="D368" s="4" t="s">
        <v>3379</v>
      </c>
      <c r="E368" s="5" t="s">
        <v>2529</v>
      </c>
      <c r="F368" s="4" t="s">
        <v>2714</v>
      </c>
      <c r="G368" s="4" t="s">
        <v>2685</v>
      </c>
      <c r="H368" s="4" t="s">
        <v>2686</v>
      </c>
      <c r="I368" s="4" t="s">
        <v>2540</v>
      </c>
      <c r="J368" s="6">
        <v>46319</v>
      </c>
      <c r="K368" s="7"/>
      <c r="L368" s="4" t="s">
        <v>3380</v>
      </c>
      <c r="M368" s="4" t="s">
        <v>41</v>
      </c>
    </row>
    <row r="369" spans="1:13" ht="40" customHeight="1">
      <c r="A369" s="8" t="s">
        <v>575</v>
      </c>
      <c r="B369" s="8" t="s">
        <v>570</v>
      </c>
      <c r="C369" s="8" t="s">
        <v>2664</v>
      </c>
      <c r="D369" s="8" t="s">
        <v>571</v>
      </c>
      <c r="E369" s="5" t="s">
        <v>2529</v>
      </c>
      <c r="F369" s="8" t="s">
        <v>2665</v>
      </c>
      <c r="G369" s="8" t="s">
        <v>2666</v>
      </c>
      <c r="H369" s="8" t="s">
        <v>2532</v>
      </c>
      <c r="I369" s="8" t="s">
        <v>2667</v>
      </c>
      <c r="J369" s="9">
        <v>46319</v>
      </c>
      <c r="K369" s="7"/>
      <c r="L369" s="8" t="s">
        <v>41</v>
      </c>
      <c r="M369" s="8" t="s">
        <v>577</v>
      </c>
    </row>
    <row r="370" spans="1:13" ht="40" customHeight="1">
      <c r="A370" s="4" t="s">
        <v>3381</v>
      </c>
      <c r="B370" s="4" t="s">
        <v>570</v>
      </c>
      <c r="C370" s="4" t="s">
        <v>2669</v>
      </c>
      <c r="D370" s="4" t="s">
        <v>2670</v>
      </c>
      <c r="E370" s="5" t="s">
        <v>2529</v>
      </c>
      <c r="F370" s="4" t="s">
        <v>2671</v>
      </c>
      <c r="G370" s="4" t="s">
        <v>2672</v>
      </c>
      <c r="H370" s="4" t="s">
        <v>2532</v>
      </c>
      <c r="I370" s="4" t="s">
        <v>2673</v>
      </c>
      <c r="J370" s="6">
        <v>46319</v>
      </c>
      <c r="K370" s="7"/>
      <c r="L370" s="4" t="s">
        <v>3382</v>
      </c>
      <c r="M370" s="4" t="s">
        <v>577</v>
      </c>
    </row>
    <row r="371" spans="1:13" ht="40" customHeight="1">
      <c r="A371" s="8" t="s">
        <v>3383</v>
      </c>
      <c r="B371" s="8" t="s">
        <v>570</v>
      </c>
      <c r="C371" s="8" t="s">
        <v>2676</v>
      </c>
      <c r="D371" s="8" t="s">
        <v>2677</v>
      </c>
      <c r="E371" s="5" t="s">
        <v>2529</v>
      </c>
      <c r="F371" s="8" t="s">
        <v>2678</v>
      </c>
      <c r="G371" s="8" t="s">
        <v>2679</v>
      </c>
      <c r="H371" s="8" t="s">
        <v>2532</v>
      </c>
      <c r="I371" s="8" t="s">
        <v>2673</v>
      </c>
      <c r="J371" s="9">
        <v>46319</v>
      </c>
      <c r="K371" s="7"/>
      <c r="L371" s="8" t="s">
        <v>3384</v>
      </c>
      <c r="M371" s="8" t="s">
        <v>577</v>
      </c>
    </row>
    <row r="372" spans="1:13" ht="40" customHeight="1">
      <c r="A372" s="4" t="s">
        <v>3385</v>
      </c>
      <c r="B372" s="4" t="s">
        <v>570</v>
      </c>
      <c r="C372" s="4" t="s">
        <v>2682</v>
      </c>
      <c r="D372" s="4" t="s">
        <v>2880</v>
      </c>
      <c r="E372" s="5" t="s">
        <v>2537</v>
      </c>
      <c r="F372" s="4" t="s">
        <v>2789</v>
      </c>
      <c r="G372" s="4" t="s">
        <v>2685</v>
      </c>
      <c r="H372" s="4" t="s">
        <v>2686</v>
      </c>
      <c r="I372" s="4" t="s">
        <v>2540</v>
      </c>
      <c r="J372" s="6">
        <v>46319</v>
      </c>
      <c r="K372" s="7"/>
      <c r="L372" s="4" t="s">
        <v>3386</v>
      </c>
      <c r="M372" s="4" t="s">
        <v>41</v>
      </c>
    </row>
    <row r="373" spans="1:13" ht="40" customHeight="1">
      <c r="A373" s="8" t="s">
        <v>3387</v>
      </c>
      <c r="B373" s="8" t="s">
        <v>570</v>
      </c>
      <c r="C373" s="8" t="s">
        <v>2696</v>
      </c>
      <c r="D373" s="8" t="s">
        <v>2688</v>
      </c>
      <c r="E373" s="5" t="s">
        <v>2529</v>
      </c>
      <c r="F373" s="8" t="s">
        <v>2689</v>
      </c>
      <c r="G373" s="8" t="s">
        <v>2685</v>
      </c>
      <c r="H373" s="8" t="s">
        <v>2686</v>
      </c>
      <c r="I373" s="8" t="s">
        <v>2540</v>
      </c>
      <c r="J373" s="9">
        <v>46319</v>
      </c>
      <c r="K373" s="7"/>
      <c r="L373" s="8" t="s">
        <v>3388</v>
      </c>
      <c r="M373" s="8" t="s">
        <v>41</v>
      </c>
    </row>
    <row r="374" spans="1:13" ht="40" customHeight="1">
      <c r="A374" s="4" t="s">
        <v>3389</v>
      </c>
      <c r="B374" s="4" t="s">
        <v>570</v>
      </c>
      <c r="C374" s="4" t="s">
        <v>2696</v>
      </c>
      <c r="D374" s="4" t="s">
        <v>2949</v>
      </c>
      <c r="E374" s="5" t="s">
        <v>2529</v>
      </c>
      <c r="F374" s="4" t="s">
        <v>2714</v>
      </c>
      <c r="G374" s="4" t="s">
        <v>2685</v>
      </c>
      <c r="H374" s="4" t="s">
        <v>2686</v>
      </c>
      <c r="I374" s="4" t="s">
        <v>2540</v>
      </c>
      <c r="J374" s="6">
        <v>46319</v>
      </c>
      <c r="K374" s="7"/>
      <c r="L374" s="4" t="s">
        <v>3390</v>
      </c>
      <c r="M374" s="4" t="s">
        <v>41</v>
      </c>
    </row>
    <row r="375" spans="1:13" ht="40" customHeight="1">
      <c r="A375" s="8" t="s">
        <v>583</v>
      </c>
      <c r="B375" s="8" t="s">
        <v>578</v>
      </c>
      <c r="C375" s="8" t="s">
        <v>2664</v>
      </c>
      <c r="D375" s="8" t="s">
        <v>579</v>
      </c>
      <c r="E375" s="5" t="s">
        <v>2529</v>
      </c>
      <c r="F375" s="8" t="s">
        <v>2665</v>
      </c>
      <c r="G375" s="8" t="s">
        <v>2666</v>
      </c>
      <c r="H375" s="8" t="s">
        <v>2532</v>
      </c>
      <c r="I375" s="8" t="s">
        <v>2667</v>
      </c>
      <c r="J375" s="9">
        <v>46319</v>
      </c>
      <c r="K375" s="7"/>
      <c r="L375" s="8" t="s">
        <v>41</v>
      </c>
      <c r="M375" s="8" t="s">
        <v>585</v>
      </c>
    </row>
    <row r="376" spans="1:13" ht="40" customHeight="1">
      <c r="A376" s="4" t="s">
        <v>3391</v>
      </c>
      <c r="B376" s="4" t="s">
        <v>578</v>
      </c>
      <c r="C376" s="4" t="s">
        <v>2669</v>
      </c>
      <c r="D376" s="4" t="s">
        <v>2670</v>
      </c>
      <c r="E376" s="5" t="s">
        <v>2529</v>
      </c>
      <c r="F376" s="4" t="s">
        <v>2671</v>
      </c>
      <c r="G376" s="4" t="s">
        <v>2672</v>
      </c>
      <c r="H376" s="4" t="s">
        <v>2532</v>
      </c>
      <c r="I376" s="4" t="s">
        <v>2673</v>
      </c>
      <c r="J376" s="6">
        <v>46319</v>
      </c>
      <c r="K376" s="7"/>
      <c r="L376" s="4" t="s">
        <v>3392</v>
      </c>
      <c r="M376" s="4" t="s">
        <v>585</v>
      </c>
    </row>
    <row r="377" spans="1:13" ht="40" customHeight="1">
      <c r="A377" s="8" t="s">
        <v>3393</v>
      </c>
      <c r="B377" s="8" t="s">
        <v>578</v>
      </c>
      <c r="C377" s="8" t="s">
        <v>2676</v>
      </c>
      <c r="D377" s="8" t="s">
        <v>2677</v>
      </c>
      <c r="E377" s="5" t="s">
        <v>2529</v>
      </c>
      <c r="F377" s="8" t="s">
        <v>2678</v>
      </c>
      <c r="G377" s="8" t="s">
        <v>2679</v>
      </c>
      <c r="H377" s="8" t="s">
        <v>2532</v>
      </c>
      <c r="I377" s="8" t="s">
        <v>2673</v>
      </c>
      <c r="J377" s="9">
        <v>46319</v>
      </c>
      <c r="K377" s="7"/>
      <c r="L377" s="8" t="s">
        <v>3394</v>
      </c>
      <c r="M377" s="8" t="s">
        <v>585</v>
      </c>
    </row>
    <row r="378" spans="1:13" ht="40" customHeight="1">
      <c r="A378" s="4" t="s">
        <v>3395</v>
      </c>
      <c r="B378" s="4" t="s">
        <v>578</v>
      </c>
      <c r="C378" s="4" t="s">
        <v>2696</v>
      </c>
      <c r="D378" s="4" t="s">
        <v>3339</v>
      </c>
      <c r="E378" s="5" t="s">
        <v>2529</v>
      </c>
      <c r="F378" s="4" t="s">
        <v>2789</v>
      </c>
      <c r="G378" s="4" t="s">
        <v>2685</v>
      </c>
      <c r="H378" s="4" t="s">
        <v>2686</v>
      </c>
      <c r="I378" s="4" t="s">
        <v>2540</v>
      </c>
      <c r="J378" s="6">
        <v>46319</v>
      </c>
      <c r="K378" s="7"/>
      <c r="L378" s="4" t="s">
        <v>3299</v>
      </c>
      <c r="M378" s="4" t="s">
        <v>41</v>
      </c>
    </row>
    <row r="379" spans="1:13" ht="40" customHeight="1">
      <c r="A379" s="8" t="s">
        <v>3396</v>
      </c>
      <c r="B379" s="8" t="s">
        <v>578</v>
      </c>
      <c r="C379" s="8" t="s">
        <v>2696</v>
      </c>
      <c r="D379" s="8" t="s">
        <v>2688</v>
      </c>
      <c r="E379" s="5" t="s">
        <v>2529</v>
      </c>
      <c r="F379" s="8" t="s">
        <v>2689</v>
      </c>
      <c r="G379" s="8" t="s">
        <v>2685</v>
      </c>
      <c r="H379" s="8" t="s">
        <v>2686</v>
      </c>
      <c r="I379" s="8" t="s">
        <v>2540</v>
      </c>
      <c r="J379" s="9">
        <v>46319</v>
      </c>
      <c r="K379" s="7"/>
      <c r="L379" s="8" t="s">
        <v>3310</v>
      </c>
      <c r="M379" s="8" t="s">
        <v>41</v>
      </c>
    </row>
    <row r="380" spans="1:13" ht="40" customHeight="1">
      <c r="A380" s="4" t="s">
        <v>591</v>
      </c>
      <c r="B380" s="4" t="s">
        <v>586</v>
      </c>
      <c r="C380" s="4" t="s">
        <v>2664</v>
      </c>
      <c r="D380" s="4" t="s">
        <v>587</v>
      </c>
      <c r="E380" s="5" t="s">
        <v>2529</v>
      </c>
      <c r="F380" s="4" t="s">
        <v>2665</v>
      </c>
      <c r="G380" s="4" t="s">
        <v>2666</v>
      </c>
      <c r="H380" s="4" t="s">
        <v>2532</v>
      </c>
      <c r="I380" s="4" t="s">
        <v>2667</v>
      </c>
      <c r="J380" s="6">
        <v>46319</v>
      </c>
      <c r="K380" s="7"/>
      <c r="L380" s="4" t="s">
        <v>41</v>
      </c>
      <c r="M380" s="4" t="s">
        <v>593</v>
      </c>
    </row>
    <row r="381" spans="1:13" ht="40" customHeight="1">
      <c r="A381" s="8" t="s">
        <v>3397</v>
      </c>
      <c r="B381" s="8" t="s">
        <v>586</v>
      </c>
      <c r="C381" s="8" t="s">
        <v>2669</v>
      </c>
      <c r="D381" s="8" t="s">
        <v>2670</v>
      </c>
      <c r="E381" s="5" t="s">
        <v>2529</v>
      </c>
      <c r="F381" s="8" t="s">
        <v>2671</v>
      </c>
      <c r="G381" s="8" t="s">
        <v>2672</v>
      </c>
      <c r="H381" s="8" t="s">
        <v>2532</v>
      </c>
      <c r="I381" s="8" t="s">
        <v>2673</v>
      </c>
      <c r="J381" s="9">
        <v>46319</v>
      </c>
      <c r="K381" s="7"/>
      <c r="L381" s="8" t="s">
        <v>3398</v>
      </c>
      <c r="M381" s="8" t="s">
        <v>593</v>
      </c>
    </row>
    <row r="382" spans="1:13" ht="40" customHeight="1">
      <c r="A382" s="4" t="s">
        <v>3399</v>
      </c>
      <c r="B382" s="4" t="s">
        <v>586</v>
      </c>
      <c r="C382" s="4" t="s">
        <v>2676</v>
      </c>
      <c r="D382" s="4" t="s">
        <v>2677</v>
      </c>
      <c r="E382" s="5" t="s">
        <v>2529</v>
      </c>
      <c r="F382" s="4" t="s">
        <v>2678</v>
      </c>
      <c r="G382" s="4" t="s">
        <v>2679</v>
      </c>
      <c r="H382" s="4" t="s">
        <v>2532</v>
      </c>
      <c r="I382" s="4" t="s">
        <v>2673</v>
      </c>
      <c r="J382" s="6">
        <v>46319</v>
      </c>
      <c r="K382" s="7"/>
      <c r="L382" s="4" t="s">
        <v>3400</v>
      </c>
      <c r="M382" s="4" t="s">
        <v>593</v>
      </c>
    </row>
    <row r="383" spans="1:13" ht="40" customHeight="1">
      <c r="A383" s="8" t="s">
        <v>3401</v>
      </c>
      <c r="B383" s="8" t="s">
        <v>586</v>
      </c>
      <c r="C383" s="8" t="s">
        <v>2696</v>
      </c>
      <c r="D383" s="8" t="s">
        <v>3402</v>
      </c>
      <c r="E383" s="5" t="s">
        <v>2529</v>
      </c>
      <c r="F383" s="8" t="s">
        <v>2829</v>
      </c>
      <c r="G383" s="8" t="s">
        <v>2685</v>
      </c>
      <c r="H383" s="8" t="s">
        <v>2686</v>
      </c>
      <c r="I383" s="8" t="s">
        <v>2540</v>
      </c>
      <c r="J383" s="9">
        <v>46319</v>
      </c>
      <c r="K383" s="7"/>
      <c r="L383" s="8" t="s">
        <v>3403</v>
      </c>
      <c r="M383" s="8" t="s">
        <v>41</v>
      </c>
    </row>
    <row r="384" spans="1:13" ht="40" customHeight="1">
      <c r="A384" s="4" t="s">
        <v>3404</v>
      </c>
      <c r="B384" s="4" t="s">
        <v>586</v>
      </c>
      <c r="C384" s="4" t="s">
        <v>2696</v>
      </c>
      <c r="D384" s="4" t="s">
        <v>3405</v>
      </c>
      <c r="E384" s="5" t="s">
        <v>2529</v>
      </c>
      <c r="F384" s="4" t="s">
        <v>2953</v>
      </c>
      <c r="G384" s="4" t="s">
        <v>2685</v>
      </c>
      <c r="H384" s="4" t="s">
        <v>2686</v>
      </c>
      <c r="I384" s="4" t="s">
        <v>2540</v>
      </c>
      <c r="J384" s="6">
        <v>46319</v>
      </c>
      <c r="K384" s="7"/>
      <c r="L384" s="4" t="s">
        <v>3406</v>
      </c>
      <c r="M384" s="4" t="s">
        <v>41</v>
      </c>
    </row>
    <row r="385" spans="1:13" ht="40" customHeight="1">
      <c r="A385" s="8" t="s">
        <v>3407</v>
      </c>
      <c r="B385" s="8" t="s">
        <v>586</v>
      </c>
      <c r="C385" s="8" t="s">
        <v>2682</v>
      </c>
      <c r="D385" s="8" t="s">
        <v>3408</v>
      </c>
      <c r="E385" s="5" t="s">
        <v>2537</v>
      </c>
      <c r="F385" s="8" t="s">
        <v>2689</v>
      </c>
      <c r="G385" s="8" t="s">
        <v>2685</v>
      </c>
      <c r="H385" s="8" t="s">
        <v>2686</v>
      </c>
      <c r="I385" s="8" t="s">
        <v>2540</v>
      </c>
      <c r="J385" s="9">
        <v>46319</v>
      </c>
      <c r="K385" s="7"/>
      <c r="L385" s="8" t="s">
        <v>3409</v>
      </c>
      <c r="M385" s="8" t="s">
        <v>41</v>
      </c>
    </row>
    <row r="386" spans="1:13" ht="40" customHeight="1">
      <c r="A386" s="4" t="s">
        <v>600</v>
      </c>
      <c r="B386" s="4" t="s">
        <v>594</v>
      </c>
      <c r="C386" s="4" t="s">
        <v>2664</v>
      </c>
      <c r="D386" s="4" t="s">
        <v>595</v>
      </c>
      <c r="E386" s="5" t="s">
        <v>2529</v>
      </c>
      <c r="F386" s="4" t="s">
        <v>2665</v>
      </c>
      <c r="G386" s="4" t="s">
        <v>2666</v>
      </c>
      <c r="H386" s="4" t="s">
        <v>2532</v>
      </c>
      <c r="I386" s="4" t="s">
        <v>2667</v>
      </c>
      <c r="J386" s="6">
        <v>46319</v>
      </c>
      <c r="K386" s="7"/>
      <c r="L386" s="4" t="s">
        <v>41</v>
      </c>
      <c r="M386" s="4" t="s">
        <v>602</v>
      </c>
    </row>
    <row r="387" spans="1:13" ht="40" customHeight="1">
      <c r="A387" s="8" t="s">
        <v>3410</v>
      </c>
      <c r="B387" s="8" t="s">
        <v>594</v>
      </c>
      <c r="C387" s="8" t="s">
        <v>2669</v>
      </c>
      <c r="D387" s="8" t="s">
        <v>2670</v>
      </c>
      <c r="E387" s="5" t="s">
        <v>2529</v>
      </c>
      <c r="F387" s="8" t="s">
        <v>2671</v>
      </c>
      <c r="G387" s="8" t="s">
        <v>2672</v>
      </c>
      <c r="H387" s="8" t="s">
        <v>2532</v>
      </c>
      <c r="I387" s="8" t="s">
        <v>2673</v>
      </c>
      <c r="J387" s="9">
        <v>46319</v>
      </c>
      <c r="K387" s="7"/>
      <c r="L387" s="8" t="s">
        <v>3411</v>
      </c>
      <c r="M387" s="8" t="s">
        <v>602</v>
      </c>
    </row>
    <row r="388" spans="1:13" ht="40" customHeight="1">
      <c r="A388" s="4" t="s">
        <v>3412</v>
      </c>
      <c r="B388" s="4" t="s">
        <v>594</v>
      </c>
      <c r="C388" s="4" t="s">
        <v>2676</v>
      </c>
      <c r="D388" s="4" t="s">
        <v>2677</v>
      </c>
      <c r="E388" s="5" t="s">
        <v>2529</v>
      </c>
      <c r="F388" s="4" t="s">
        <v>2678</v>
      </c>
      <c r="G388" s="4" t="s">
        <v>2679</v>
      </c>
      <c r="H388" s="4" t="s">
        <v>2532</v>
      </c>
      <c r="I388" s="4" t="s">
        <v>2673</v>
      </c>
      <c r="J388" s="6">
        <v>46319</v>
      </c>
      <c r="K388" s="7"/>
      <c r="L388" s="4" t="s">
        <v>3413</v>
      </c>
      <c r="M388" s="4" t="s">
        <v>602</v>
      </c>
    </row>
    <row r="389" spans="1:13" ht="40" customHeight="1">
      <c r="A389" s="8" t="s">
        <v>3414</v>
      </c>
      <c r="B389" s="8" t="s">
        <v>594</v>
      </c>
      <c r="C389" s="8" t="s">
        <v>2696</v>
      </c>
      <c r="D389" s="8" t="s">
        <v>3038</v>
      </c>
      <c r="E389" s="5" t="s">
        <v>2529</v>
      </c>
      <c r="F389" s="8" t="s">
        <v>2850</v>
      </c>
      <c r="G389" s="8" t="s">
        <v>2685</v>
      </c>
      <c r="H389" s="8" t="s">
        <v>2686</v>
      </c>
      <c r="I389" s="8" t="s">
        <v>2540</v>
      </c>
      <c r="J389" s="9">
        <v>46319</v>
      </c>
      <c r="K389" s="7"/>
      <c r="L389" s="8" t="s">
        <v>3415</v>
      </c>
      <c r="M389" s="8" t="s">
        <v>41</v>
      </c>
    </row>
    <row r="390" spans="1:13" ht="68" customHeight="1">
      <c r="A390" s="4" t="s">
        <v>3416</v>
      </c>
      <c r="B390" s="4" t="s">
        <v>594</v>
      </c>
      <c r="C390" s="4" t="s">
        <v>2682</v>
      </c>
      <c r="D390" s="4" t="s">
        <v>2688</v>
      </c>
      <c r="E390" s="5" t="s">
        <v>2537</v>
      </c>
      <c r="F390" s="4" t="s">
        <v>2689</v>
      </c>
      <c r="G390" s="4" t="s">
        <v>2685</v>
      </c>
      <c r="H390" s="4" t="s">
        <v>2686</v>
      </c>
      <c r="I390" s="4" t="s">
        <v>2540</v>
      </c>
      <c r="J390" s="6">
        <v>46319</v>
      </c>
      <c r="K390" s="7"/>
      <c r="L390" s="4" t="s">
        <v>3417</v>
      </c>
      <c r="M390" s="4" t="s">
        <v>41</v>
      </c>
    </row>
    <row r="391" spans="1:13" ht="40" customHeight="1">
      <c r="A391" s="8" t="s">
        <v>608</v>
      </c>
      <c r="B391" s="8" t="s">
        <v>603</v>
      </c>
      <c r="C391" s="8" t="s">
        <v>2664</v>
      </c>
      <c r="D391" s="8" t="s">
        <v>604</v>
      </c>
      <c r="E391" s="5" t="s">
        <v>2529</v>
      </c>
      <c r="F391" s="8" t="s">
        <v>2665</v>
      </c>
      <c r="G391" s="8" t="s">
        <v>2666</v>
      </c>
      <c r="H391" s="8" t="s">
        <v>2532</v>
      </c>
      <c r="I391" s="8" t="s">
        <v>2667</v>
      </c>
      <c r="J391" s="9">
        <v>46319</v>
      </c>
      <c r="K391" s="7"/>
      <c r="L391" s="8" t="s">
        <v>41</v>
      </c>
      <c r="M391" s="8" t="s">
        <v>610</v>
      </c>
    </row>
    <row r="392" spans="1:13" ht="40" customHeight="1">
      <c r="A392" s="4" t="s">
        <v>3418</v>
      </c>
      <c r="B392" s="4" t="s">
        <v>603</v>
      </c>
      <c r="C392" s="4" t="s">
        <v>2669</v>
      </c>
      <c r="D392" s="4" t="s">
        <v>2670</v>
      </c>
      <c r="E392" s="5" t="s">
        <v>2529</v>
      </c>
      <c r="F392" s="4" t="s">
        <v>2671</v>
      </c>
      <c r="G392" s="4" t="s">
        <v>2672</v>
      </c>
      <c r="H392" s="4" t="s">
        <v>2532</v>
      </c>
      <c r="I392" s="4" t="s">
        <v>2673</v>
      </c>
      <c r="J392" s="6">
        <v>46319</v>
      </c>
      <c r="K392" s="7"/>
      <c r="L392" s="4" t="s">
        <v>3419</v>
      </c>
      <c r="M392" s="4" t="s">
        <v>610</v>
      </c>
    </row>
    <row r="393" spans="1:13" ht="40" customHeight="1">
      <c r="A393" s="8" t="s">
        <v>3420</v>
      </c>
      <c r="B393" s="8" t="s">
        <v>603</v>
      </c>
      <c r="C393" s="8" t="s">
        <v>2676</v>
      </c>
      <c r="D393" s="8" t="s">
        <v>2677</v>
      </c>
      <c r="E393" s="5" t="s">
        <v>2529</v>
      </c>
      <c r="F393" s="8" t="s">
        <v>2678</v>
      </c>
      <c r="G393" s="8" t="s">
        <v>2679</v>
      </c>
      <c r="H393" s="8" t="s">
        <v>2532</v>
      </c>
      <c r="I393" s="8" t="s">
        <v>2673</v>
      </c>
      <c r="J393" s="9">
        <v>46319</v>
      </c>
      <c r="K393" s="7"/>
      <c r="L393" s="8" t="s">
        <v>3421</v>
      </c>
      <c r="M393" s="8" t="s">
        <v>610</v>
      </c>
    </row>
    <row r="394" spans="1:13" ht="54" customHeight="1">
      <c r="A394" s="4" t="s">
        <v>3422</v>
      </c>
      <c r="B394" s="4" t="s">
        <v>603</v>
      </c>
      <c r="C394" s="4" t="s">
        <v>2696</v>
      </c>
      <c r="D394" s="4" t="s">
        <v>3423</v>
      </c>
      <c r="E394" s="5" t="s">
        <v>2529</v>
      </c>
      <c r="F394" s="4" t="s">
        <v>3424</v>
      </c>
      <c r="G394" s="4" t="s">
        <v>2685</v>
      </c>
      <c r="H394" s="4" t="s">
        <v>2686</v>
      </c>
      <c r="I394" s="4" t="s">
        <v>2540</v>
      </c>
      <c r="J394" s="6">
        <v>46319</v>
      </c>
      <c r="K394" s="7"/>
      <c r="L394" s="4" t="s">
        <v>3425</v>
      </c>
      <c r="M394" s="4" t="s">
        <v>41</v>
      </c>
    </row>
    <row r="395" spans="1:13" ht="54" customHeight="1">
      <c r="A395" s="8" t="s">
        <v>3426</v>
      </c>
      <c r="B395" s="8" t="s">
        <v>603</v>
      </c>
      <c r="C395" s="8" t="s">
        <v>2696</v>
      </c>
      <c r="D395" s="8" t="s">
        <v>2949</v>
      </c>
      <c r="E395" s="5" t="s">
        <v>2529</v>
      </c>
      <c r="F395" s="8" t="s">
        <v>2689</v>
      </c>
      <c r="G395" s="8" t="s">
        <v>2685</v>
      </c>
      <c r="H395" s="8" t="s">
        <v>2686</v>
      </c>
      <c r="I395" s="8" t="s">
        <v>2540</v>
      </c>
      <c r="J395" s="9">
        <v>46319</v>
      </c>
      <c r="K395" s="7"/>
      <c r="L395" s="8" t="s">
        <v>3427</v>
      </c>
      <c r="M395" s="8" t="s">
        <v>41</v>
      </c>
    </row>
    <row r="396" spans="1:13" ht="54" customHeight="1">
      <c r="A396" s="4" t="s">
        <v>3428</v>
      </c>
      <c r="B396" s="4" t="s">
        <v>603</v>
      </c>
      <c r="C396" s="4" t="s">
        <v>2696</v>
      </c>
      <c r="D396" s="4" t="s">
        <v>2749</v>
      </c>
      <c r="E396" s="5" t="s">
        <v>2529</v>
      </c>
      <c r="F396" s="4" t="s">
        <v>2714</v>
      </c>
      <c r="G396" s="4" t="s">
        <v>2685</v>
      </c>
      <c r="H396" s="4" t="s">
        <v>2686</v>
      </c>
      <c r="I396" s="4" t="s">
        <v>2540</v>
      </c>
      <c r="J396" s="6">
        <v>46319</v>
      </c>
      <c r="K396" s="7"/>
      <c r="L396" s="4" t="s">
        <v>3429</v>
      </c>
      <c r="M396" s="4" t="s">
        <v>41</v>
      </c>
    </row>
    <row r="397" spans="1:13" ht="40" customHeight="1">
      <c r="A397" s="8" t="s">
        <v>616</v>
      </c>
      <c r="B397" s="8" t="s">
        <v>611</v>
      </c>
      <c r="C397" s="8" t="s">
        <v>2664</v>
      </c>
      <c r="D397" s="8" t="s">
        <v>612</v>
      </c>
      <c r="E397" s="5" t="s">
        <v>2529</v>
      </c>
      <c r="F397" s="8" t="s">
        <v>2665</v>
      </c>
      <c r="G397" s="8" t="s">
        <v>2666</v>
      </c>
      <c r="H397" s="8" t="s">
        <v>2532</v>
      </c>
      <c r="I397" s="8" t="s">
        <v>2667</v>
      </c>
      <c r="J397" s="9">
        <v>46319</v>
      </c>
      <c r="K397" s="7"/>
      <c r="L397" s="8" t="s">
        <v>41</v>
      </c>
      <c r="M397" s="8" t="s">
        <v>618</v>
      </c>
    </row>
    <row r="398" spans="1:13" ht="40" customHeight="1">
      <c r="A398" s="4" t="s">
        <v>3430</v>
      </c>
      <c r="B398" s="4" t="s">
        <v>611</v>
      </c>
      <c r="C398" s="4" t="s">
        <v>2669</v>
      </c>
      <c r="D398" s="4" t="s">
        <v>2670</v>
      </c>
      <c r="E398" s="5" t="s">
        <v>2529</v>
      </c>
      <c r="F398" s="4" t="s">
        <v>2671</v>
      </c>
      <c r="G398" s="4" t="s">
        <v>2672</v>
      </c>
      <c r="H398" s="4" t="s">
        <v>2532</v>
      </c>
      <c r="I398" s="4" t="s">
        <v>2673</v>
      </c>
      <c r="J398" s="6">
        <v>46319</v>
      </c>
      <c r="K398" s="7"/>
      <c r="L398" s="4" t="s">
        <v>3431</v>
      </c>
      <c r="M398" s="4" t="s">
        <v>618</v>
      </c>
    </row>
    <row r="399" spans="1:13" ht="40" customHeight="1">
      <c r="A399" s="8" t="s">
        <v>3432</v>
      </c>
      <c r="B399" s="8" t="s">
        <v>611</v>
      </c>
      <c r="C399" s="8" t="s">
        <v>2676</v>
      </c>
      <c r="D399" s="8" t="s">
        <v>2677</v>
      </c>
      <c r="E399" s="5" t="s">
        <v>2529</v>
      </c>
      <c r="F399" s="8" t="s">
        <v>2678</v>
      </c>
      <c r="G399" s="8" t="s">
        <v>2679</v>
      </c>
      <c r="H399" s="8" t="s">
        <v>2532</v>
      </c>
      <c r="I399" s="8" t="s">
        <v>2673</v>
      </c>
      <c r="J399" s="9">
        <v>46319</v>
      </c>
      <c r="K399" s="7"/>
      <c r="L399" s="8" t="s">
        <v>3433</v>
      </c>
      <c r="M399" s="8" t="s">
        <v>618</v>
      </c>
    </row>
    <row r="400" spans="1:13" ht="40" customHeight="1">
      <c r="A400" s="4" t="s">
        <v>3434</v>
      </c>
      <c r="B400" s="4" t="s">
        <v>611</v>
      </c>
      <c r="C400" s="4" t="s">
        <v>2696</v>
      </c>
      <c r="D400" s="4" t="s">
        <v>3435</v>
      </c>
      <c r="E400" s="5" t="s">
        <v>2529</v>
      </c>
      <c r="F400" s="4" t="s">
        <v>3061</v>
      </c>
      <c r="G400" s="4" t="s">
        <v>2685</v>
      </c>
      <c r="H400" s="4" t="s">
        <v>2686</v>
      </c>
      <c r="I400" s="4" t="s">
        <v>2540</v>
      </c>
      <c r="J400" s="6">
        <v>46319</v>
      </c>
      <c r="K400" s="7"/>
      <c r="L400" s="4" t="s">
        <v>3436</v>
      </c>
      <c r="M400" s="4" t="s">
        <v>41</v>
      </c>
    </row>
    <row r="401" spans="1:13" ht="40" customHeight="1">
      <c r="A401" s="8" t="s">
        <v>3437</v>
      </c>
      <c r="B401" s="8" t="s">
        <v>611</v>
      </c>
      <c r="C401" s="8" t="s">
        <v>2682</v>
      </c>
      <c r="D401" s="8" t="s">
        <v>2688</v>
      </c>
      <c r="E401" s="5" t="s">
        <v>2537</v>
      </c>
      <c r="F401" s="8" t="s">
        <v>2689</v>
      </c>
      <c r="G401" s="8" t="s">
        <v>2685</v>
      </c>
      <c r="H401" s="8" t="s">
        <v>2686</v>
      </c>
      <c r="I401" s="8" t="s">
        <v>2540</v>
      </c>
      <c r="J401" s="9">
        <v>46319</v>
      </c>
      <c r="K401" s="7"/>
      <c r="L401" s="8" t="s">
        <v>3438</v>
      </c>
      <c r="M401" s="8" t="s">
        <v>41</v>
      </c>
    </row>
  </sheetData>
  <hyperlinks>
    <hyperlink ref="E6" r:id="rId1"/>
    <hyperlink ref="E7" r:id="rId2"/>
    <hyperlink ref="E8" r:id="rId3"/>
    <hyperlink ref="E9" r:id="rId4"/>
    <hyperlink ref="E10" r:id="rId5"/>
    <hyperlink ref="E11" r:id="rId6"/>
    <hyperlink ref="E12" r:id="rId7"/>
    <hyperlink ref="E13" r:id="rId8"/>
    <hyperlink ref="E14" r:id="rId9"/>
    <hyperlink ref="E15" r:id="rId10"/>
    <hyperlink ref="E16" r:id="rId11"/>
    <hyperlink ref="E17" r:id="rId12"/>
    <hyperlink ref="E18" r:id="rId13"/>
    <hyperlink ref="E19" r:id="rId14"/>
    <hyperlink ref="E20" r:id="rId15"/>
    <hyperlink ref="E21" r:id="rId16"/>
    <hyperlink ref="E22" r:id="rId17"/>
    <hyperlink ref="E23" r:id="rId18"/>
    <hyperlink ref="E24" r:id="rId19"/>
    <hyperlink ref="E25" r:id="rId20"/>
    <hyperlink ref="E26" r:id="rId21"/>
    <hyperlink ref="E27" r:id="rId22"/>
    <hyperlink ref="E28" r:id="rId23"/>
    <hyperlink ref="E29" r:id="rId24"/>
    <hyperlink ref="E30" r:id="rId25"/>
    <hyperlink ref="E31" r:id="rId26"/>
    <hyperlink ref="E32" r:id="rId27"/>
    <hyperlink ref="E33" r:id="rId28"/>
    <hyperlink ref="E34" r:id="rId29"/>
    <hyperlink ref="E35" r:id="rId30"/>
    <hyperlink ref="E36" r:id="rId31"/>
    <hyperlink ref="E37" r:id="rId32"/>
    <hyperlink ref="E38" r:id="rId33"/>
    <hyperlink ref="E39" r:id="rId34" location="zoom=250"/>
    <hyperlink ref="E40" r:id="rId35"/>
    <hyperlink ref="E41" r:id="rId36"/>
    <hyperlink ref="E42" r:id="rId37"/>
    <hyperlink ref="E43" r:id="rId38"/>
    <hyperlink ref="E44" r:id="rId39"/>
    <hyperlink ref="E45" r:id="rId40"/>
    <hyperlink ref="E46" r:id="rId41"/>
    <hyperlink ref="E47" r:id="rId42"/>
    <hyperlink ref="E48" r:id="rId43"/>
    <hyperlink ref="E49" r:id="rId44"/>
    <hyperlink ref="E50" r:id="rId45"/>
    <hyperlink ref="E51" r:id="rId46"/>
    <hyperlink ref="E52" r:id="rId47"/>
    <hyperlink ref="E53" r:id="rId48"/>
    <hyperlink ref="E54" r:id="rId49"/>
    <hyperlink ref="E55" r:id="rId50"/>
    <hyperlink ref="E56" r:id="rId51"/>
    <hyperlink ref="E57" r:id="rId52"/>
    <hyperlink ref="E58" r:id="rId53"/>
    <hyperlink ref="E59" r:id="rId54"/>
    <hyperlink ref="E60" r:id="rId55"/>
    <hyperlink ref="E61" r:id="rId56"/>
    <hyperlink ref="E62" r:id="rId57"/>
    <hyperlink ref="E63" r:id="rId58"/>
    <hyperlink ref="E64" r:id="rId59"/>
    <hyperlink ref="E65" r:id="rId60"/>
    <hyperlink ref="E66" r:id="rId61"/>
    <hyperlink ref="E67" r:id="rId62"/>
    <hyperlink ref="E68" r:id="rId63"/>
    <hyperlink ref="E69" r:id="rId64"/>
    <hyperlink ref="E70" r:id="rId65"/>
    <hyperlink ref="E71" r:id="rId66"/>
    <hyperlink ref="E72" r:id="rId67"/>
    <hyperlink ref="E73" r:id="rId68"/>
    <hyperlink ref="E74" r:id="rId69"/>
    <hyperlink ref="E75" r:id="rId70"/>
    <hyperlink ref="E76" r:id="rId71"/>
    <hyperlink ref="E77" r:id="rId72"/>
    <hyperlink ref="E78" r:id="rId73"/>
    <hyperlink ref="E79" r:id="rId74"/>
    <hyperlink ref="E80" r:id="rId75"/>
    <hyperlink ref="E81" r:id="rId76"/>
    <hyperlink ref="E82" r:id="rId77"/>
    <hyperlink ref="E83" r:id="rId78"/>
    <hyperlink ref="E84" r:id="rId79"/>
    <hyperlink ref="E85" r:id="rId80"/>
    <hyperlink ref="E86" r:id="rId81"/>
    <hyperlink ref="E87" r:id="rId82" location=":~:text=To%20provide%20financial%20assistance%20to,outraged%20women%2C%20Transgender%2C%20etc."/>
    <hyperlink ref="E88" r:id="rId83"/>
    <hyperlink ref="E89" r:id="rId84"/>
    <hyperlink ref="E90" r:id="rId85"/>
    <hyperlink ref="E91" r:id="rId86"/>
    <hyperlink ref="E92" r:id="rId87"/>
    <hyperlink ref="E93" r:id="rId88"/>
    <hyperlink ref="E94" r:id="rId89"/>
    <hyperlink ref="E95" r:id="rId90"/>
    <hyperlink ref="E96" r:id="rId91"/>
    <hyperlink ref="E97" r:id="rId92"/>
    <hyperlink ref="E98" r:id="rId93"/>
    <hyperlink ref="E99" r:id="rId94"/>
    <hyperlink ref="E100" r:id="rId95"/>
    <hyperlink ref="E101" r:id="rId96"/>
    <hyperlink ref="E102" r:id="rId97"/>
    <hyperlink ref="E103" r:id="rId98"/>
    <hyperlink ref="E104" r:id="rId99"/>
    <hyperlink ref="E105" r:id="rId100"/>
    <hyperlink ref="E106" r:id="rId101"/>
    <hyperlink ref="E107" r:id="rId102"/>
    <hyperlink ref="E108" r:id="rId103"/>
    <hyperlink ref="E109" r:id="rId104"/>
    <hyperlink ref="E110" r:id="rId105"/>
    <hyperlink ref="E111" r:id="rId106"/>
    <hyperlink ref="E112" r:id="rId107"/>
    <hyperlink ref="E113" r:id="rId108"/>
    <hyperlink ref="E114" r:id="rId109"/>
    <hyperlink ref="E115" r:id="rId110"/>
    <hyperlink ref="E116" r:id="rId111"/>
    <hyperlink ref="E117" r:id="rId112"/>
    <hyperlink ref="E118" r:id="rId113"/>
    <hyperlink ref="E119" r:id="rId114"/>
    <hyperlink ref="E120" r:id="rId115"/>
    <hyperlink ref="E121" r:id="rId116"/>
    <hyperlink ref="E122" r:id="rId117"/>
    <hyperlink ref="E123" r:id="rId118"/>
    <hyperlink ref="E124" r:id="rId119"/>
    <hyperlink ref="E125" r:id="rId120"/>
    <hyperlink ref="E126" r:id="rId121"/>
    <hyperlink ref="E127" r:id="rId122"/>
    <hyperlink ref="E128" r:id="rId123"/>
    <hyperlink ref="E129" r:id="rId124"/>
    <hyperlink ref="E130" r:id="rId125"/>
    <hyperlink ref="E131" r:id="rId126"/>
    <hyperlink ref="E132" r:id="rId127" location="NoBack"/>
    <hyperlink ref="E133" r:id="rId128"/>
    <hyperlink ref="E134" r:id="rId129"/>
    <hyperlink ref="E135" r:id="rId130"/>
    <hyperlink ref="E136" r:id="rId131"/>
    <hyperlink ref="E137" r:id="rId132"/>
    <hyperlink ref="E138" r:id="rId133"/>
    <hyperlink ref="E139" r:id="rId134"/>
    <hyperlink ref="E140" r:id="rId135"/>
    <hyperlink ref="E141" r:id="rId136"/>
    <hyperlink ref="E142" r:id="rId137"/>
    <hyperlink ref="E143" r:id="rId138"/>
    <hyperlink ref="E144" r:id="rId139"/>
    <hyperlink ref="E145" r:id="rId140"/>
    <hyperlink ref="E146" r:id="rId141"/>
    <hyperlink ref="E147" r:id="rId142"/>
    <hyperlink ref="E148" r:id="rId143"/>
    <hyperlink ref="E149" r:id="rId144"/>
    <hyperlink ref="E150" r:id="rId145"/>
    <hyperlink ref="E151" r:id="rId146"/>
    <hyperlink ref="E152" r:id="rId147"/>
    <hyperlink ref="E153" r:id="rId148"/>
    <hyperlink ref="E154" r:id="rId149"/>
    <hyperlink ref="E155" r:id="rId150"/>
    <hyperlink ref="E156" r:id="rId151"/>
    <hyperlink ref="E157" r:id="rId152"/>
    <hyperlink ref="E158" r:id="rId153"/>
    <hyperlink ref="E159" r:id="rId154"/>
    <hyperlink ref="E160" r:id="rId155"/>
    <hyperlink ref="E161" r:id="rId156"/>
    <hyperlink ref="E162" r:id="rId157"/>
    <hyperlink ref="E163" r:id="rId158"/>
    <hyperlink ref="E164" r:id="rId159"/>
    <hyperlink ref="E165" r:id="rId160"/>
    <hyperlink ref="E166" r:id="rId161"/>
    <hyperlink ref="E167" r:id="rId162"/>
    <hyperlink ref="E168" r:id="rId163"/>
    <hyperlink ref="E169" r:id="rId164"/>
    <hyperlink ref="E170" r:id="rId165"/>
    <hyperlink ref="E171" r:id="rId166"/>
    <hyperlink ref="E172" r:id="rId167"/>
    <hyperlink ref="E173" r:id="rId168"/>
    <hyperlink ref="E174" r:id="rId169"/>
    <hyperlink ref="E175" r:id="rId170"/>
    <hyperlink ref="E176" r:id="rId171"/>
    <hyperlink ref="E177" r:id="rId172"/>
    <hyperlink ref="E178" r:id="rId173"/>
    <hyperlink ref="E179" r:id="rId174"/>
    <hyperlink ref="E180" r:id="rId175"/>
    <hyperlink ref="E181" r:id="rId176"/>
    <hyperlink ref="E182" r:id="rId177"/>
    <hyperlink ref="E183" r:id="rId178"/>
    <hyperlink ref="E184" r:id="rId179"/>
    <hyperlink ref="E185" r:id="rId180"/>
    <hyperlink ref="E186" r:id="rId181" location=":~:text=The%20Government%20has%20approved%20the,by%20the%20Ministry%20of%20Education."/>
    <hyperlink ref="E187" r:id="rId182"/>
    <hyperlink ref="E188" r:id="rId183"/>
    <hyperlink ref="E189" r:id="rId184"/>
    <hyperlink ref="E190" r:id="rId185"/>
    <hyperlink ref="E191" r:id="rId186"/>
    <hyperlink ref="E192" r:id="rId187"/>
    <hyperlink ref="E193" r:id="rId188"/>
    <hyperlink ref="E194" r:id="rId189"/>
    <hyperlink ref="E195" r:id="rId190"/>
    <hyperlink ref="E196" r:id="rId191"/>
    <hyperlink ref="E197" r:id="rId192"/>
    <hyperlink ref="E198" r:id="rId193"/>
    <hyperlink ref="E199" r:id="rId194"/>
    <hyperlink ref="E200" r:id="rId195"/>
    <hyperlink ref="E201" r:id="rId196"/>
    <hyperlink ref="E202" r:id="rId197"/>
    <hyperlink ref="E203" r:id="rId198"/>
    <hyperlink ref="E204" r:id="rId199"/>
    <hyperlink ref="E205" r:id="rId200"/>
    <hyperlink ref="E206" r:id="rId201"/>
    <hyperlink ref="E207" r:id="rId202"/>
    <hyperlink ref="E208" r:id="rId203"/>
    <hyperlink ref="E209" r:id="rId204"/>
    <hyperlink ref="E210" r:id="rId205"/>
    <hyperlink ref="E211" r:id="rId206"/>
    <hyperlink ref="E212" r:id="rId207"/>
    <hyperlink ref="E213" r:id="rId208"/>
    <hyperlink ref="E214" r:id="rId209" location="National%20Post%20Doctoral%20Fellowship"/>
    <hyperlink ref="E215" r:id="rId210"/>
    <hyperlink ref="E216" r:id="rId211"/>
    <hyperlink ref="E217" r:id="rId212"/>
    <hyperlink ref="E218" r:id="rId213"/>
    <hyperlink ref="E219" r:id="rId214"/>
    <hyperlink ref="E220" r:id="rId215"/>
    <hyperlink ref="E221" r:id="rId216"/>
    <hyperlink ref="E222" r:id="rId217"/>
    <hyperlink ref="E223" r:id="rId218"/>
    <hyperlink ref="E224" r:id="rId219"/>
    <hyperlink ref="E225" r:id="rId220"/>
    <hyperlink ref="E226" r:id="rId221"/>
    <hyperlink ref="E227" r:id="rId222"/>
    <hyperlink ref="E228" r:id="rId223"/>
    <hyperlink ref="E229" r:id="rId224" location="Teachers%20Associateship%20for%20Research%20Excellence%20(TARE)"/>
    <hyperlink ref="E230" r:id="rId225"/>
    <hyperlink ref="E231" r:id="rId226"/>
    <hyperlink ref="E232" r:id="rId227"/>
    <hyperlink ref="E233" r:id="rId228"/>
    <hyperlink ref="E234" r:id="rId229"/>
    <hyperlink ref="E235" r:id="rId230"/>
    <hyperlink ref="E236" r:id="rId231"/>
    <hyperlink ref="E237" r:id="rId232"/>
    <hyperlink ref="E238" r:id="rId233"/>
    <hyperlink ref="E239" r:id="rId234"/>
    <hyperlink ref="E240" r:id="rId235"/>
    <hyperlink ref="E241" r:id="rId236"/>
    <hyperlink ref="E242" r:id="rId237"/>
    <hyperlink ref="E243" r:id="rId238"/>
    <hyperlink ref="E244" r:id="rId239"/>
    <hyperlink ref="E245" r:id="rId240"/>
    <hyperlink ref="E246" r:id="rId241"/>
    <hyperlink ref="E247" r:id="rId242"/>
    <hyperlink ref="E248" r:id="rId243"/>
    <hyperlink ref="E249" r:id="rId244"/>
    <hyperlink ref="E250" r:id="rId245"/>
    <hyperlink ref="E251" r:id="rId246"/>
    <hyperlink ref="E252" r:id="rId247"/>
    <hyperlink ref="E253" r:id="rId248"/>
    <hyperlink ref="E254" r:id="rId249"/>
    <hyperlink ref="E255" r:id="rId250"/>
    <hyperlink ref="E256" r:id="rId251"/>
    <hyperlink ref="E257" r:id="rId252"/>
    <hyperlink ref="E258" r:id="rId253"/>
    <hyperlink ref="E259" r:id="rId254" location=":~:text=**%20Apart%20from%20inclusion%20of,funds%20from%20the%20Central%20Government."/>
    <hyperlink ref="E260" r:id="rId255"/>
    <hyperlink ref="E261" r:id="rId256"/>
    <hyperlink ref="E262" r:id="rId257"/>
    <hyperlink ref="E263" r:id="rId258"/>
    <hyperlink ref="E264" r:id="rId259"/>
    <hyperlink ref="E265" r:id="rId260"/>
    <hyperlink ref="E266" r:id="rId261"/>
    <hyperlink ref="E267" r:id="rId262"/>
    <hyperlink ref="E268" r:id="rId263"/>
    <hyperlink ref="E269" r:id="rId264"/>
    <hyperlink ref="E270" r:id="rId265"/>
    <hyperlink ref="E271" r:id="rId266"/>
    <hyperlink ref="E272" r:id="rId267"/>
    <hyperlink ref="E273" r:id="rId268"/>
    <hyperlink ref="E274" r:id="rId269"/>
    <hyperlink ref="E275" r:id="rId270"/>
    <hyperlink ref="E276" r:id="rId271"/>
    <hyperlink ref="E277" r:id="rId272"/>
    <hyperlink ref="E278" r:id="rId273"/>
    <hyperlink ref="E279" r:id="rId274"/>
    <hyperlink ref="E280" r:id="rId275"/>
    <hyperlink ref="E281" r:id="rId276"/>
    <hyperlink ref="E282" r:id="rId277"/>
    <hyperlink ref="E283" r:id="rId278"/>
    <hyperlink ref="E284" r:id="rId279"/>
    <hyperlink ref="E285" r:id="rId280"/>
    <hyperlink ref="E286" r:id="rId281"/>
    <hyperlink ref="E287" r:id="rId282"/>
    <hyperlink ref="E288" r:id="rId283"/>
    <hyperlink ref="E289" r:id="rId284"/>
    <hyperlink ref="E290" r:id="rId285"/>
    <hyperlink ref="E291" r:id="rId286"/>
    <hyperlink ref="E292" r:id="rId287"/>
    <hyperlink ref="E293" r:id="rId288"/>
    <hyperlink ref="E294" r:id="rId289"/>
    <hyperlink ref="E295" r:id="rId290"/>
    <hyperlink ref="E296" r:id="rId291"/>
    <hyperlink ref="E297" r:id="rId292"/>
    <hyperlink ref="E298" r:id="rId293"/>
    <hyperlink ref="E299" r:id="rId294"/>
    <hyperlink ref="E300" r:id="rId295"/>
    <hyperlink ref="E301" r:id="rId296"/>
    <hyperlink ref="E302" r:id="rId297"/>
    <hyperlink ref="E303" r:id="rId298"/>
    <hyperlink ref="E304" r:id="rId299"/>
    <hyperlink ref="E305" r:id="rId300"/>
    <hyperlink ref="E306" r:id="rId301"/>
    <hyperlink ref="E307" r:id="rId302"/>
    <hyperlink ref="E308" r:id="rId303"/>
    <hyperlink ref="E309" r:id="rId304"/>
    <hyperlink ref="E310" r:id="rId305"/>
    <hyperlink ref="E311" r:id="rId306"/>
    <hyperlink ref="E312" r:id="rId307"/>
    <hyperlink ref="E313" r:id="rId308"/>
    <hyperlink ref="E314" r:id="rId309"/>
    <hyperlink ref="E315" r:id="rId310"/>
    <hyperlink ref="E316" r:id="rId311"/>
    <hyperlink ref="E317" r:id="rId312"/>
    <hyperlink ref="E318" r:id="rId313"/>
    <hyperlink ref="E319" r:id="rId314"/>
    <hyperlink ref="E320" r:id="rId315"/>
    <hyperlink ref="E321" r:id="rId316"/>
    <hyperlink ref="E322" r:id="rId317"/>
    <hyperlink ref="E323" r:id="rId318"/>
    <hyperlink ref="E324" r:id="rId319"/>
    <hyperlink ref="E325" r:id="rId320"/>
    <hyperlink ref="E326" r:id="rId321"/>
    <hyperlink ref="E327" r:id="rId322"/>
    <hyperlink ref="E328" r:id="rId323"/>
    <hyperlink ref="E329" r:id="rId324"/>
    <hyperlink ref="E330" r:id="rId325"/>
    <hyperlink ref="E331" r:id="rId326"/>
    <hyperlink ref="E332" r:id="rId327"/>
    <hyperlink ref="E333" r:id="rId328"/>
    <hyperlink ref="E334" r:id="rId329"/>
    <hyperlink ref="E335" r:id="rId330"/>
    <hyperlink ref="E336" r:id="rId331"/>
    <hyperlink ref="E337" r:id="rId332"/>
    <hyperlink ref="E338" r:id="rId333"/>
    <hyperlink ref="E339" r:id="rId334"/>
    <hyperlink ref="E340" r:id="rId335"/>
    <hyperlink ref="E341" r:id="rId336"/>
    <hyperlink ref="E342" r:id="rId337"/>
    <hyperlink ref="E343" r:id="rId338"/>
    <hyperlink ref="E344" r:id="rId339"/>
    <hyperlink ref="E345" r:id="rId340"/>
    <hyperlink ref="E346" r:id="rId341"/>
    <hyperlink ref="E347" r:id="rId342"/>
    <hyperlink ref="E348" r:id="rId343"/>
    <hyperlink ref="E349" r:id="rId344"/>
    <hyperlink ref="E350" r:id="rId345"/>
    <hyperlink ref="E351" r:id="rId346"/>
    <hyperlink ref="E352" r:id="rId347"/>
    <hyperlink ref="E353" r:id="rId348"/>
    <hyperlink ref="E354" r:id="rId349"/>
    <hyperlink ref="E355" r:id="rId350"/>
    <hyperlink ref="E356" r:id="rId351"/>
    <hyperlink ref="E357" r:id="rId352"/>
    <hyperlink ref="E358" r:id="rId353"/>
    <hyperlink ref="E359" r:id="rId354"/>
    <hyperlink ref="E360" r:id="rId355"/>
    <hyperlink ref="E361" r:id="rId356"/>
    <hyperlink ref="E362" r:id="rId357"/>
    <hyperlink ref="E363" r:id="rId358"/>
    <hyperlink ref="E364" r:id="rId359"/>
    <hyperlink ref="E365" r:id="rId360"/>
    <hyperlink ref="E366" r:id="rId361"/>
    <hyperlink ref="E367" r:id="rId362"/>
    <hyperlink ref="E368" r:id="rId363"/>
    <hyperlink ref="E369" r:id="rId364"/>
    <hyperlink ref="E370" r:id="rId365"/>
    <hyperlink ref="E371" r:id="rId366"/>
    <hyperlink ref="E372" r:id="rId367"/>
    <hyperlink ref="E373" r:id="rId368"/>
    <hyperlink ref="E374" r:id="rId369"/>
    <hyperlink ref="E375" r:id="rId370"/>
    <hyperlink ref="E376" r:id="rId371"/>
    <hyperlink ref="E377" r:id="rId372"/>
    <hyperlink ref="E378" r:id="rId373"/>
    <hyperlink ref="E379" r:id="rId374"/>
    <hyperlink ref="E380" r:id="rId375"/>
    <hyperlink ref="E381" r:id="rId376"/>
    <hyperlink ref="E382" r:id="rId377"/>
    <hyperlink ref="E383" r:id="rId378"/>
    <hyperlink ref="E384" r:id="rId379"/>
    <hyperlink ref="E385" r:id="rId380"/>
    <hyperlink ref="E386" r:id="rId381"/>
    <hyperlink ref="E387" r:id="rId382"/>
    <hyperlink ref="E388" r:id="rId383"/>
    <hyperlink ref="E389" r:id="rId384"/>
    <hyperlink ref="E390" r:id="rId385" location="toolbar=0"/>
    <hyperlink ref="E391" r:id="rId386"/>
    <hyperlink ref="E392" r:id="rId387"/>
    <hyperlink ref="E393" r:id="rId388"/>
    <hyperlink ref="E394" r:id="rId389"/>
    <hyperlink ref="E395" r:id="rId390"/>
    <hyperlink ref="E396" r:id="rId391"/>
    <hyperlink ref="E397" r:id="rId392"/>
    <hyperlink ref="E398" r:id="rId393"/>
    <hyperlink ref="E399" r:id="rId394"/>
    <hyperlink ref="E400" r:id="rId395"/>
    <hyperlink ref="E401" r:id="rId396"/>
  </hyperlinks>
  <pageMargins left="0.7" right="0.7" top="0.75" bottom="0.75" header="0.3" footer="0.3"/>
  <pageSetup paperSize="9" fitToHeight="0" orientation="landscape"/>
  <tableParts count="1">
    <tablePart r:id="rId397"/>
  </tableParts>
</worksheet>
</file>

<file path=xl/worksheets/sheet4.xml><?xml version="1.0" encoding="utf-8"?>
<worksheet xmlns="http://schemas.openxmlformats.org/spreadsheetml/2006/main" xmlns:r="http://schemas.openxmlformats.org/officeDocument/2006/relationships">
  <sheetPr>
    <pageSetUpPr fitToPage="1"/>
  </sheetPr>
  <dimension ref="A2:N684"/>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cols>
    <col min="1" max="1" width="13.7109375" customWidth="1"/>
    <col min="2" max="2" width="48.7109375" customWidth="1"/>
    <col min="3" max="3" width="23.7109375" customWidth="1"/>
    <col min="4" max="4" width="27.7109375" customWidth="1"/>
    <col min="5" max="5" width="60.7109375" customWidth="1"/>
    <col min="6" max="6" width="25.7109375" customWidth="1"/>
    <col min="7" max="7" width="100.7109375" customWidth="1"/>
    <col min="8" max="8" width="72.7109375" customWidth="1"/>
    <col min="9" max="9" width="50.7109375" customWidth="1"/>
    <col min="10" max="11" width="20.7109375" customWidth="1"/>
    <col min="12" max="12" width="22.7109375" customWidth="1"/>
    <col min="13" max="13" width="70.7109375" customWidth="1"/>
    <col min="14" max="14" width="65.7109375" customWidth="1"/>
  </cols>
  <sheetData>
    <row r="2" spans="1:14" ht="28" customHeight="1">
      <c r="A2" s="1" t="s">
        <v>3439</v>
      </c>
    </row>
    <row r="3" spans="1:14" ht="22" customHeight="1">
      <c r="A3" s="2" t="s">
        <v>3440</v>
      </c>
    </row>
    <row r="5" spans="1:14" ht="45" customHeight="1">
      <c r="A5" s="3" t="s">
        <v>622</v>
      </c>
      <c r="B5" s="3" t="s">
        <v>3</v>
      </c>
      <c r="C5" s="3" t="s">
        <v>3441</v>
      </c>
      <c r="D5" s="3" t="s">
        <v>3442</v>
      </c>
      <c r="E5" s="3" t="s">
        <v>3443</v>
      </c>
      <c r="F5" s="3" t="s">
        <v>3444</v>
      </c>
      <c r="G5" s="3" t="s">
        <v>3445</v>
      </c>
      <c r="H5" s="3" t="s">
        <v>630</v>
      </c>
      <c r="I5" s="3" t="s">
        <v>631</v>
      </c>
      <c r="J5" s="3" t="s">
        <v>21</v>
      </c>
      <c r="K5" s="3" t="s">
        <v>634</v>
      </c>
      <c r="L5" s="3" t="s">
        <v>12</v>
      </c>
      <c r="M5" s="3" t="s">
        <v>628</v>
      </c>
      <c r="N5" s="3" t="s">
        <v>3446</v>
      </c>
    </row>
    <row r="6" spans="1:14" ht="40" customHeight="1">
      <c r="A6" s="4" t="s">
        <v>33</v>
      </c>
      <c r="B6" s="4" t="s">
        <v>34</v>
      </c>
      <c r="C6" s="4" t="s">
        <v>3447</v>
      </c>
      <c r="D6" s="4" t="s">
        <v>208</v>
      </c>
      <c r="E6" s="4" t="s">
        <v>208</v>
      </c>
      <c r="F6" s="4" t="s">
        <v>3448</v>
      </c>
      <c r="G6" s="4" t="s">
        <v>208</v>
      </c>
      <c r="H6" s="4" t="s">
        <v>3449</v>
      </c>
      <c r="I6" s="4" t="s">
        <v>905</v>
      </c>
      <c r="J6" s="4" t="s">
        <v>48</v>
      </c>
      <c r="K6" s="4" t="s">
        <v>908</v>
      </c>
      <c r="L6" s="7" t="s">
        <v>42</v>
      </c>
      <c r="M6" s="7"/>
      <c r="N6" s="4" t="s">
        <v>3450</v>
      </c>
    </row>
    <row r="7" spans="1:14" ht="54" customHeight="1">
      <c r="A7" s="8" t="s">
        <v>33</v>
      </c>
      <c r="B7" s="8" t="s">
        <v>34</v>
      </c>
      <c r="C7" s="8" t="s">
        <v>3451</v>
      </c>
      <c r="D7" s="8" t="s">
        <v>208</v>
      </c>
      <c r="E7" s="8" t="s">
        <v>208</v>
      </c>
      <c r="F7" s="8" t="s">
        <v>3452</v>
      </c>
      <c r="G7" s="8" t="s">
        <v>3453</v>
      </c>
      <c r="H7" s="8" t="s">
        <v>3454</v>
      </c>
      <c r="I7" s="8" t="s">
        <v>905</v>
      </c>
      <c r="J7" s="8" t="s">
        <v>48</v>
      </c>
      <c r="K7" s="8" t="s">
        <v>908</v>
      </c>
      <c r="L7" s="7" t="s">
        <v>42</v>
      </c>
      <c r="M7" s="7"/>
      <c r="N7" s="8" t="s">
        <v>3450</v>
      </c>
    </row>
    <row r="8" spans="1:14" ht="68" customHeight="1">
      <c r="A8" s="4" t="s">
        <v>33</v>
      </c>
      <c r="B8" s="4" t="s">
        <v>34</v>
      </c>
      <c r="C8" s="4" t="s">
        <v>3455</v>
      </c>
      <c r="D8" s="4" t="s">
        <v>208</v>
      </c>
      <c r="E8" s="4" t="s">
        <v>208</v>
      </c>
      <c r="F8" s="4" t="s">
        <v>3452</v>
      </c>
      <c r="G8" s="4" t="s">
        <v>3456</v>
      </c>
      <c r="H8" s="4" t="s">
        <v>3457</v>
      </c>
      <c r="I8" s="4" t="s">
        <v>905</v>
      </c>
      <c r="J8" s="4" t="s">
        <v>48</v>
      </c>
      <c r="K8" s="4" t="s">
        <v>908</v>
      </c>
      <c r="L8" s="7" t="s">
        <v>42</v>
      </c>
      <c r="M8" s="7"/>
      <c r="N8" s="4" t="s">
        <v>3450</v>
      </c>
    </row>
    <row r="9" spans="1:14" ht="40" customHeight="1">
      <c r="A9" s="8" t="s">
        <v>33</v>
      </c>
      <c r="B9" s="8" t="s">
        <v>34</v>
      </c>
      <c r="C9" s="8" t="s">
        <v>3458</v>
      </c>
      <c r="D9" s="8" t="s">
        <v>183</v>
      </c>
      <c r="E9" s="8" t="s">
        <v>41</v>
      </c>
      <c r="F9" s="8" t="s">
        <v>3452</v>
      </c>
      <c r="G9" s="8" t="s">
        <v>3459</v>
      </c>
      <c r="H9" s="8" t="s">
        <v>3460</v>
      </c>
      <c r="I9" s="8" t="s">
        <v>905</v>
      </c>
      <c r="J9" s="8" t="s">
        <v>48</v>
      </c>
      <c r="K9" s="8" t="s">
        <v>908</v>
      </c>
      <c r="L9" s="7" t="s">
        <v>42</v>
      </c>
      <c r="M9" s="7"/>
      <c r="N9" s="8" t="s">
        <v>3450</v>
      </c>
    </row>
    <row r="10" spans="1:14" ht="54" customHeight="1">
      <c r="A10" s="4" t="s">
        <v>55</v>
      </c>
      <c r="B10" s="4" t="s">
        <v>56</v>
      </c>
      <c r="C10" s="4" t="s">
        <v>3461</v>
      </c>
      <c r="D10" s="4" t="s">
        <v>208</v>
      </c>
      <c r="E10" s="4" t="s">
        <v>41</v>
      </c>
      <c r="F10" s="4" t="s">
        <v>3452</v>
      </c>
      <c r="G10" s="4" t="s">
        <v>3462</v>
      </c>
      <c r="H10" s="4" t="s">
        <v>3463</v>
      </c>
      <c r="I10" s="4" t="s">
        <v>921</v>
      </c>
      <c r="J10" s="4" t="s">
        <v>64</v>
      </c>
      <c r="K10" s="4" t="s">
        <v>908</v>
      </c>
      <c r="L10" s="7" t="s">
        <v>42</v>
      </c>
      <c r="M10" s="7"/>
      <c r="N10" s="4" t="s">
        <v>3450</v>
      </c>
    </row>
    <row r="11" spans="1:14" ht="40" customHeight="1">
      <c r="A11" s="8" t="s">
        <v>55</v>
      </c>
      <c r="B11" s="8" t="s">
        <v>56</v>
      </c>
      <c r="C11" s="8" t="s">
        <v>3464</v>
      </c>
      <c r="D11" s="8" t="s">
        <v>208</v>
      </c>
      <c r="E11" s="8" t="s">
        <v>41</v>
      </c>
      <c r="F11" s="8" t="s">
        <v>3452</v>
      </c>
      <c r="G11" s="8" t="s">
        <v>3465</v>
      </c>
      <c r="H11" s="8" t="s">
        <v>3466</v>
      </c>
      <c r="I11" s="8" t="s">
        <v>921</v>
      </c>
      <c r="J11" s="8" t="s">
        <v>64</v>
      </c>
      <c r="K11" s="8" t="s">
        <v>908</v>
      </c>
      <c r="L11" s="7" t="s">
        <v>42</v>
      </c>
      <c r="M11" s="7"/>
      <c r="N11" s="8" t="s">
        <v>3450</v>
      </c>
    </row>
    <row r="12" spans="1:14" ht="40" customHeight="1">
      <c r="A12" s="4" t="s">
        <v>55</v>
      </c>
      <c r="B12" s="4" t="s">
        <v>56</v>
      </c>
      <c r="C12" s="4" t="s">
        <v>3467</v>
      </c>
      <c r="D12" s="4" t="s">
        <v>208</v>
      </c>
      <c r="E12" s="4" t="s">
        <v>41</v>
      </c>
      <c r="F12" s="4" t="s">
        <v>3452</v>
      </c>
      <c r="G12" s="4" t="s">
        <v>3468</v>
      </c>
      <c r="H12" s="4" t="s">
        <v>3469</v>
      </c>
      <c r="I12" s="4" t="s">
        <v>921</v>
      </c>
      <c r="J12" s="4" t="s">
        <v>64</v>
      </c>
      <c r="K12" s="4" t="s">
        <v>908</v>
      </c>
      <c r="L12" s="7" t="s">
        <v>42</v>
      </c>
      <c r="M12" s="7"/>
      <c r="N12" s="4" t="s">
        <v>3450</v>
      </c>
    </row>
    <row r="13" spans="1:14" ht="40" customHeight="1">
      <c r="A13" s="8" t="s">
        <v>55</v>
      </c>
      <c r="B13" s="8" t="s">
        <v>56</v>
      </c>
      <c r="C13" s="8" t="s">
        <v>3470</v>
      </c>
      <c r="D13" s="8" t="s">
        <v>208</v>
      </c>
      <c r="E13" s="8" t="s">
        <v>41</v>
      </c>
      <c r="F13" s="8" t="s">
        <v>3452</v>
      </c>
      <c r="G13" s="8" t="s">
        <v>3471</v>
      </c>
      <c r="H13" s="8" t="s">
        <v>3472</v>
      </c>
      <c r="I13" s="8" t="s">
        <v>921</v>
      </c>
      <c r="J13" s="8" t="s">
        <v>64</v>
      </c>
      <c r="K13" s="8" t="s">
        <v>908</v>
      </c>
      <c r="L13" s="7" t="s">
        <v>42</v>
      </c>
      <c r="M13" s="7"/>
      <c r="N13" s="8" t="s">
        <v>3450</v>
      </c>
    </row>
    <row r="14" spans="1:14" ht="40" customHeight="1">
      <c r="A14" s="4" t="s">
        <v>55</v>
      </c>
      <c r="B14" s="4" t="s">
        <v>56</v>
      </c>
      <c r="C14" s="4" t="s">
        <v>3473</v>
      </c>
      <c r="D14" s="4" t="s">
        <v>208</v>
      </c>
      <c r="E14" s="4" t="s">
        <v>41</v>
      </c>
      <c r="F14" s="4" t="s">
        <v>3452</v>
      </c>
      <c r="G14" s="4" t="s">
        <v>3474</v>
      </c>
      <c r="H14" s="4" t="s">
        <v>3475</v>
      </c>
      <c r="I14" s="4" t="s">
        <v>921</v>
      </c>
      <c r="J14" s="4" t="s">
        <v>64</v>
      </c>
      <c r="K14" s="4" t="s">
        <v>908</v>
      </c>
      <c r="L14" s="7" t="s">
        <v>42</v>
      </c>
      <c r="M14" s="7"/>
      <c r="N14" s="4" t="s">
        <v>3450</v>
      </c>
    </row>
    <row r="15" spans="1:14" ht="40" customHeight="1">
      <c r="A15" s="8" t="s">
        <v>55</v>
      </c>
      <c r="B15" s="8" t="s">
        <v>56</v>
      </c>
      <c r="C15" s="8" t="s">
        <v>3476</v>
      </c>
      <c r="D15" s="8" t="s">
        <v>208</v>
      </c>
      <c r="E15" s="8" t="s">
        <v>41</v>
      </c>
      <c r="F15" s="8" t="s">
        <v>3452</v>
      </c>
      <c r="G15" s="8" t="s">
        <v>3477</v>
      </c>
      <c r="H15" s="8" t="s">
        <v>3478</v>
      </c>
      <c r="I15" s="8" t="s">
        <v>921</v>
      </c>
      <c r="J15" s="8" t="s">
        <v>64</v>
      </c>
      <c r="K15" s="8" t="s">
        <v>908</v>
      </c>
      <c r="L15" s="7" t="s">
        <v>42</v>
      </c>
      <c r="M15" s="7"/>
      <c r="N15" s="8" t="s">
        <v>3450</v>
      </c>
    </row>
    <row r="16" spans="1:14" ht="40" customHeight="1">
      <c r="A16" s="4" t="s">
        <v>55</v>
      </c>
      <c r="B16" s="4" t="s">
        <v>56</v>
      </c>
      <c r="C16" s="4" t="s">
        <v>3479</v>
      </c>
      <c r="D16" s="4" t="s">
        <v>183</v>
      </c>
      <c r="E16" s="4" t="s">
        <v>41</v>
      </c>
      <c r="F16" s="4" t="s">
        <v>3452</v>
      </c>
      <c r="G16" s="4" t="s">
        <v>3480</v>
      </c>
      <c r="H16" s="4" t="s">
        <v>3460</v>
      </c>
      <c r="I16" s="4" t="s">
        <v>921</v>
      </c>
      <c r="J16" s="4" t="s">
        <v>64</v>
      </c>
      <c r="K16" s="4" t="s">
        <v>908</v>
      </c>
      <c r="L16" s="7" t="s">
        <v>42</v>
      </c>
      <c r="M16" s="7"/>
      <c r="N16" s="4" t="s">
        <v>3450</v>
      </c>
    </row>
    <row r="17" spans="1:14" ht="40" customHeight="1">
      <c r="A17" s="8" t="s">
        <v>67</v>
      </c>
      <c r="B17" s="8" t="s">
        <v>68</v>
      </c>
      <c r="C17" s="8" t="s">
        <v>3481</v>
      </c>
      <c r="D17" s="8" t="s">
        <v>78</v>
      </c>
      <c r="E17" s="8" t="s">
        <v>41</v>
      </c>
      <c r="F17" s="8" t="s">
        <v>3452</v>
      </c>
      <c r="G17" s="8" t="s">
        <v>3482</v>
      </c>
      <c r="H17" s="8" t="s">
        <v>3463</v>
      </c>
      <c r="I17" s="8" t="s">
        <v>927</v>
      </c>
      <c r="J17" s="8" t="s">
        <v>77</v>
      </c>
      <c r="K17" s="8" t="s">
        <v>908</v>
      </c>
      <c r="L17" s="7" t="s">
        <v>42</v>
      </c>
      <c r="M17" s="7"/>
      <c r="N17" s="8" t="s">
        <v>3450</v>
      </c>
    </row>
    <row r="18" spans="1:14" ht="40" customHeight="1">
      <c r="A18" s="4" t="s">
        <v>67</v>
      </c>
      <c r="B18" s="4" t="s">
        <v>68</v>
      </c>
      <c r="C18" s="4" t="s">
        <v>3483</v>
      </c>
      <c r="D18" s="4" t="s">
        <v>78</v>
      </c>
      <c r="E18" s="4" t="s">
        <v>41</v>
      </c>
      <c r="F18" s="4" t="s">
        <v>3452</v>
      </c>
      <c r="G18" s="4" t="s">
        <v>3484</v>
      </c>
      <c r="H18" s="4" t="s">
        <v>3485</v>
      </c>
      <c r="I18" s="4" t="s">
        <v>927</v>
      </c>
      <c r="J18" s="4" t="s">
        <v>77</v>
      </c>
      <c r="K18" s="4" t="s">
        <v>908</v>
      </c>
      <c r="L18" s="7" t="s">
        <v>42</v>
      </c>
      <c r="M18" s="7"/>
      <c r="N18" s="4" t="s">
        <v>3450</v>
      </c>
    </row>
    <row r="19" spans="1:14" ht="40" customHeight="1">
      <c r="A19" s="8" t="s">
        <v>67</v>
      </c>
      <c r="B19" s="8" t="s">
        <v>68</v>
      </c>
      <c r="C19" s="8" t="s">
        <v>3486</v>
      </c>
      <c r="D19" s="8" t="s">
        <v>78</v>
      </c>
      <c r="E19" s="8" t="s">
        <v>41</v>
      </c>
      <c r="F19" s="8" t="s">
        <v>3452</v>
      </c>
      <c r="G19" s="8" t="s">
        <v>3487</v>
      </c>
      <c r="H19" s="8" t="s">
        <v>3488</v>
      </c>
      <c r="I19" s="8" t="s">
        <v>927</v>
      </c>
      <c r="J19" s="8" t="s">
        <v>77</v>
      </c>
      <c r="K19" s="8" t="s">
        <v>908</v>
      </c>
      <c r="L19" s="7" t="s">
        <v>42</v>
      </c>
      <c r="M19" s="7"/>
      <c r="N19" s="8" t="s">
        <v>3450</v>
      </c>
    </row>
    <row r="20" spans="1:14" ht="40" customHeight="1">
      <c r="A20" s="4" t="s">
        <v>67</v>
      </c>
      <c r="B20" s="4" t="s">
        <v>68</v>
      </c>
      <c r="C20" s="4" t="s">
        <v>3489</v>
      </c>
      <c r="D20" s="4" t="s">
        <v>78</v>
      </c>
      <c r="E20" s="4" t="s">
        <v>41</v>
      </c>
      <c r="F20" s="4" t="s">
        <v>3452</v>
      </c>
      <c r="G20" s="4" t="s">
        <v>3490</v>
      </c>
      <c r="H20" s="4" t="s">
        <v>3491</v>
      </c>
      <c r="I20" s="4" t="s">
        <v>927</v>
      </c>
      <c r="J20" s="4" t="s">
        <v>77</v>
      </c>
      <c r="K20" s="4" t="s">
        <v>908</v>
      </c>
      <c r="L20" s="7" t="s">
        <v>42</v>
      </c>
      <c r="M20" s="7"/>
      <c r="N20" s="4" t="s">
        <v>3450</v>
      </c>
    </row>
    <row r="21" spans="1:14" ht="40" customHeight="1">
      <c r="A21" s="8" t="s">
        <v>67</v>
      </c>
      <c r="B21" s="8" t="s">
        <v>68</v>
      </c>
      <c r="C21" s="8" t="s">
        <v>3492</v>
      </c>
      <c r="D21" s="8" t="s">
        <v>78</v>
      </c>
      <c r="E21" s="8" t="s">
        <v>41</v>
      </c>
      <c r="F21" s="8" t="s">
        <v>3452</v>
      </c>
      <c r="G21" s="8" t="s">
        <v>3493</v>
      </c>
      <c r="H21" s="8" t="s">
        <v>3494</v>
      </c>
      <c r="I21" s="8" t="s">
        <v>927</v>
      </c>
      <c r="J21" s="8" t="s">
        <v>77</v>
      </c>
      <c r="K21" s="8" t="s">
        <v>908</v>
      </c>
      <c r="L21" s="7" t="s">
        <v>42</v>
      </c>
      <c r="M21" s="7"/>
      <c r="N21" s="8" t="s">
        <v>3450</v>
      </c>
    </row>
    <row r="22" spans="1:14" ht="40" customHeight="1">
      <c r="A22" s="4" t="s">
        <v>67</v>
      </c>
      <c r="B22" s="4" t="s">
        <v>68</v>
      </c>
      <c r="C22" s="4" t="s">
        <v>3495</v>
      </c>
      <c r="D22" s="4" t="s">
        <v>78</v>
      </c>
      <c r="E22" s="4" t="s">
        <v>41</v>
      </c>
      <c r="F22" s="4" t="s">
        <v>3452</v>
      </c>
      <c r="G22" s="4" t="s">
        <v>3496</v>
      </c>
      <c r="H22" s="4" t="s">
        <v>3497</v>
      </c>
      <c r="I22" s="4" t="s">
        <v>927</v>
      </c>
      <c r="J22" s="4" t="s">
        <v>77</v>
      </c>
      <c r="K22" s="4" t="s">
        <v>908</v>
      </c>
      <c r="L22" s="7" t="s">
        <v>42</v>
      </c>
      <c r="M22" s="7"/>
      <c r="N22" s="4" t="s">
        <v>3450</v>
      </c>
    </row>
    <row r="23" spans="1:14" ht="54" customHeight="1">
      <c r="A23" s="8" t="s">
        <v>67</v>
      </c>
      <c r="B23" s="8" t="s">
        <v>68</v>
      </c>
      <c r="C23" s="8" t="s">
        <v>3498</v>
      </c>
      <c r="D23" s="8" t="s">
        <v>78</v>
      </c>
      <c r="E23" s="8" t="s">
        <v>41</v>
      </c>
      <c r="F23" s="8" t="s">
        <v>3452</v>
      </c>
      <c r="G23" s="8" t="s">
        <v>3499</v>
      </c>
      <c r="H23" s="8" t="s">
        <v>3500</v>
      </c>
      <c r="I23" s="8" t="s">
        <v>927</v>
      </c>
      <c r="J23" s="8" t="s">
        <v>77</v>
      </c>
      <c r="K23" s="8" t="s">
        <v>908</v>
      </c>
      <c r="L23" s="7" t="s">
        <v>42</v>
      </c>
      <c r="M23" s="7"/>
      <c r="N23" s="8" t="s">
        <v>3450</v>
      </c>
    </row>
    <row r="24" spans="1:14" ht="40" customHeight="1">
      <c r="A24" s="4" t="s">
        <v>67</v>
      </c>
      <c r="B24" s="4" t="s">
        <v>68</v>
      </c>
      <c r="C24" s="4" t="s">
        <v>3501</v>
      </c>
      <c r="D24" s="4" t="s">
        <v>78</v>
      </c>
      <c r="E24" s="4" t="s">
        <v>41</v>
      </c>
      <c r="F24" s="4" t="s">
        <v>3452</v>
      </c>
      <c r="G24" s="4" t="s">
        <v>3502</v>
      </c>
      <c r="H24" s="4" t="s">
        <v>3503</v>
      </c>
      <c r="I24" s="4" t="s">
        <v>927</v>
      </c>
      <c r="J24" s="4" t="s">
        <v>77</v>
      </c>
      <c r="K24" s="4" t="s">
        <v>908</v>
      </c>
      <c r="L24" s="7" t="s">
        <v>42</v>
      </c>
      <c r="M24" s="7"/>
      <c r="N24" s="4" t="s">
        <v>3450</v>
      </c>
    </row>
    <row r="25" spans="1:14" ht="40" customHeight="1">
      <c r="A25" s="8" t="s">
        <v>67</v>
      </c>
      <c r="B25" s="8" t="s">
        <v>68</v>
      </c>
      <c r="C25" s="8" t="s">
        <v>3504</v>
      </c>
      <c r="D25" s="8" t="s">
        <v>78</v>
      </c>
      <c r="E25" s="8" t="s">
        <v>41</v>
      </c>
      <c r="F25" s="8" t="s">
        <v>3452</v>
      </c>
      <c r="G25" s="8" t="s">
        <v>3505</v>
      </c>
      <c r="H25" s="8" t="s">
        <v>3506</v>
      </c>
      <c r="I25" s="8" t="s">
        <v>927</v>
      </c>
      <c r="J25" s="8" t="s">
        <v>77</v>
      </c>
      <c r="K25" s="8" t="s">
        <v>908</v>
      </c>
      <c r="L25" s="7" t="s">
        <v>42</v>
      </c>
      <c r="M25" s="7"/>
      <c r="N25" s="8" t="s">
        <v>3450</v>
      </c>
    </row>
    <row r="26" spans="1:14" ht="40" customHeight="1">
      <c r="A26" s="4" t="s">
        <v>67</v>
      </c>
      <c r="B26" s="4" t="s">
        <v>68</v>
      </c>
      <c r="C26" s="4" t="s">
        <v>3507</v>
      </c>
      <c r="D26" s="4" t="s">
        <v>78</v>
      </c>
      <c r="E26" s="4" t="s">
        <v>41</v>
      </c>
      <c r="F26" s="4" t="s">
        <v>3452</v>
      </c>
      <c r="G26" s="4" t="s">
        <v>3508</v>
      </c>
      <c r="H26" s="4" t="s">
        <v>3509</v>
      </c>
      <c r="I26" s="4" t="s">
        <v>927</v>
      </c>
      <c r="J26" s="4" t="s">
        <v>77</v>
      </c>
      <c r="K26" s="4" t="s">
        <v>908</v>
      </c>
      <c r="L26" s="7" t="s">
        <v>42</v>
      </c>
      <c r="M26" s="7"/>
      <c r="N26" s="4" t="s">
        <v>3450</v>
      </c>
    </row>
    <row r="27" spans="1:14" ht="40" customHeight="1">
      <c r="A27" s="8" t="s">
        <v>67</v>
      </c>
      <c r="B27" s="8" t="s">
        <v>68</v>
      </c>
      <c r="C27" s="8" t="s">
        <v>3510</v>
      </c>
      <c r="D27" s="8" t="s">
        <v>78</v>
      </c>
      <c r="E27" s="8" t="s">
        <v>41</v>
      </c>
      <c r="F27" s="8" t="s">
        <v>3452</v>
      </c>
      <c r="G27" s="8" t="s">
        <v>3511</v>
      </c>
      <c r="H27" s="8" t="s">
        <v>3512</v>
      </c>
      <c r="I27" s="8" t="s">
        <v>927</v>
      </c>
      <c r="J27" s="8" t="s">
        <v>77</v>
      </c>
      <c r="K27" s="8" t="s">
        <v>908</v>
      </c>
      <c r="L27" s="7" t="s">
        <v>42</v>
      </c>
      <c r="M27" s="7"/>
      <c r="N27" s="8" t="s">
        <v>3450</v>
      </c>
    </row>
    <row r="28" spans="1:14" ht="40" customHeight="1">
      <c r="A28" s="4" t="s">
        <v>81</v>
      </c>
      <c r="B28" s="4" t="s">
        <v>82</v>
      </c>
      <c r="C28" s="4" t="s">
        <v>3513</v>
      </c>
      <c r="D28" s="4" t="s">
        <v>183</v>
      </c>
      <c r="E28" s="4" t="s">
        <v>41</v>
      </c>
      <c r="F28" s="4" t="s">
        <v>3452</v>
      </c>
      <c r="G28" s="4" t="s">
        <v>3514</v>
      </c>
      <c r="H28" s="4" t="s">
        <v>3463</v>
      </c>
      <c r="I28" s="4" t="s">
        <v>984</v>
      </c>
      <c r="J28" s="4" t="s">
        <v>88</v>
      </c>
      <c r="K28" s="4" t="s">
        <v>908</v>
      </c>
      <c r="L28" s="7" t="s">
        <v>42</v>
      </c>
      <c r="M28" s="7"/>
      <c r="N28" s="4" t="s">
        <v>3450</v>
      </c>
    </row>
    <row r="29" spans="1:14" ht="40" customHeight="1">
      <c r="A29" s="8" t="s">
        <v>81</v>
      </c>
      <c r="B29" s="8" t="s">
        <v>82</v>
      </c>
      <c r="C29" s="8" t="s">
        <v>3515</v>
      </c>
      <c r="D29" s="8" t="s">
        <v>183</v>
      </c>
      <c r="E29" s="8" t="s">
        <v>41</v>
      </c>
      <c r="F29" s="8" t="s">
        <v>3452</v>
      </c>
      <c r="G29" s="8" t="s">
        <v>3516</v>
      </c>
      <c r="H29" s="8" t="s">
        <v>3454</v>
      </c>
      <c r="I29" s="8" t="s">
        <v>984</v>
      </c>
      <c r="J29" s="8" t="s">
        <v>88</v>
      </c>
      <c r="K29" s="8" t="s">
        <v>908</v>
      </c>
      <c r="L29" s="7" t="s">
        <v>42</v>
      </c>
      <c r="M29" s="7"/>
      <c r="N29" s="8" t="s">
        <v>3450</v>
      </c>
    </row>
    <row r="30" spans="1:14" ht="40" customHeight="1">
      <c r="A30" s="4" t="s">
        <v>81</v>
      </c>
      <c r="B30" s="4" t="s">
        <v>82</v>
      </c>
      <c r="C30" s="4" t="s">
        <v>3517</v>
      </c>
      <c r="D30" s="4" t="s">
        <v>183</v>
      </c>
      <c r="E30" s="4" t="s">
        <v>41</v>
      </c>
      <c r="F30" s="4" t="s">
        <v>3452</v>
      </c>
      <c r="G30" s="4" t="s">
        <v>3518</v>
      </c>
      <c r="H30" s="4" t="s">
        <v>3519</v>
      </c>
      <c r="I30" s="4" t="s">
        <v>984</v>
      </c>
      <c r="J30" s="4" t="s">
        <v>88</v>
      </c>
      <c r="K30" s="4" t="s">
        <v>908</v>
      </c>
      <c r="L30" s="7" t="s">
        <v>42</v>
      </c>
      <c r="M30" s="7"/>
      <c r="N30" s="4" t="s">
        <v>3450</v>
      </c>
    </row>
    <row r="31" spans="1:14" ht="40" customHeight="1">
      <c r="A31" s="8" t="s">
        <v>81</v>
      </c>
      <c r="B31" s="8" t="s">
        <v>82</v>
      </c>
      <c r="C31" s="8" t="s">
        <v>3520</v>
      </c>
      <c r="D31" s="8" t="s">
        <v>183</v>
      </c>
      <c r="E31" s="8" t="s">
        <v>41</v>
      </c>
      <c r="F31" s="8" t="s">
        <v>3452</v>
      </c>
      <c r="G31" s="8" t="s">
        <v>3521</v>
      </c>
      <c r="H31" s="8" t="s">
        <v>3522</v>
      </c>
      <c r="I31" s="8" t="s">
        <v>984</v>
      </c>
      <c r="J31" s="8" t="s">
        <v>88</v>
      </c>
      <c r="K31" s="8" t="s">
        <v>908</v>
      </c>
      <c r="L31" s="7" t="s">
        <v>42</v>
      </c>
      <c r="M31" s="7"/>
      <c r="N31" s="8" t="s">
        <v>3450</v>
      </c>
    </row>
    <row r="32" spans="1:14" ht="40" customHeight="1">
      <c r="A32" s="4" t="s">
        <v>81</v>
      </c>
      <c r="B32" s="4" t="s">
        <v>82</v>
      </c>
      <c r="C32" s="4" t="s">
        <v>3523</v>
      </c>
      <c r="D32" s="4" t="s">
        <v>183</v>
      </c>
      <c r="E32" s="4" t="s">
        <v>41</v>
      </c>
      <c r="F32" s="4" t="s">
        <v>3452</v>
      </c>
      <c r="G32" s="4" t="s">
        <v>3524</v>
      </c>
      <c r="H32" s="4" t="s">
        <v>3525</v>
      </c>
      <c r="I32" s="4" t="s">
        <v>984</v>
      </c>
      <c r="J32" s="4" t="s">
        <v>88</v>
      </c>
      <c r="K32" s="4" t="s">
        <v>908</v>
      </c>
      <c r="L32" s="7" t="s">
        <v>42</v>
      </c>
      <c r="M32" s="7"/>
      <c r="N32" s="4" t="s">
        <v>3450</v>
      </c>
    </row>
    <row r="33" spans="1:14" ht="40" customHeight="1">
      <c r="A33" s="8" t="s">
        <v>81</v>
      </c>
      <c r="B33" s="8" t="s">
        <v>82</v>
      </c>
      <c r="C33" s="8" t="s">
        <v>3526</v>
      </c>
      <c r="D33" s="8" t="s">
        <v>183</v>
      </c>
      <c r="E33" s="8" t="s">
        <v>41</v>
      </c>
      <c r="F33" s="8" t="s">
        <v>3452</v>
      </c>
      <c r="G33" s="8" t="s">
        <v>3527</v>
      </c>
      <c r="H33" s="8" t="s">
        <v>3457</v>
      </c>
      <c r="I33" s="8" t="s">
        <v>984</v>
      </c>
      <c r="J33" s="8" t="s">
        <v>88</v>
      </c>
      <c r="K33" s="8" t="s">
        <v>908</v>
      </c>
      <c r="L33" s="7" t="s">
        <v>42</v>
      </c>
      <c r="M33" s="7"/>
      <c r="N33" s="8" t="s">
        <v>3450</v>
      </c>
    </row>
    <row r="34" spans="1:14" ht="40" customHeight="1">
      <c r="A34" s="4" t="s">
        <v>81</v>
      </c>
      <c r="B34" s="4" t="s">
        <v>82</v>
      </c>
      <c r="C34" s="4" t="s">
        <v>3528</v>
      </c>
      <c r="D34" s="4" t="s">
        <v>183</v>
      </c>
      <c r="E34" s="4" t="s">
        <v>41</v>
      </c>
      <c r="F34" s="4" t="s">
        <v>3452</v>
      </c>
      <c r="G34" s="4" t="s">
        <v>3529</v>
      </c>
      <c r="H34" s="4" t="s">
        <v>3530</v>
      </c>
      <c r="I34" s="4" t="s">
        <v>984</v>
      </c>
      <c r="J34" s="4" t="s">
        <v>88</v>
      </c>
      <c r="K34" s="4" t="s">
        <v>908</v>
      </c>
      <c r="L34" s="7" t="s">
        <v>42</v>
      </c>
      <c r="M34" s="7"/>
      <c r="N34" s="4" t="s">
        <v>3450</v>
      </c>
    </row>
    <row r="35" spans="1:14" ht="40" customHeight="1">
      <c r="A35" s="8" t="s">
        <v>81</v>
      </c>
      <c r="B35" s="8" t="s">
        <v>82</v>
      </c>
      <c r="C35" s="8" t="s">
        <v>3531</v>
      </c>
      <c r="D35" s="8" t="s">
        <v>183</v>
      </c>
      <c r="E35" s="8" t="s">
        <v>41</v>
      </c>
      <c r="F35" s="8" t="s">
        <v>3452</v>
      </c>
      <c r="G35" s="8" t="s">
        <v>2721</v>
      </c>
      <c r="H35" s="8" t="s">
        <v>3532</v>
      </c>
      <c r="I35" s="8" t="s">
        <v>984</v>
      </c>
      <c r="J35" s="8" t="s">
        <v>88</v>
      </c>
      <c r="K35" s="8" t="s">
        <v>908</v>
      </c>
      <c r="L35" s="7" t="s">
        <v>42</v>
      </c>
      <c r="M35" s="7"/>
      <c r="N35" s="8" t="s">
        <v>3450</v>
      </c>
    </row>
    <row r="36" spans="1:14" ht="40" customHeight="1">
      <c r="A36" s="4" t="s">
        <v>81</v>
      </c>
      <c r="B36" s="4" t="s">
        <v>82</v>
      </c>
      <c r="C36" s="4" t="s">
        <v>3533</v>
      </c>
      <c r="D36" s="4" t="s">
        <v>183</v>
      </c>
      <c r="E36" s="4" t="s">
        <v>41</v>
      </c>
      <c r="F36" s="4" t="s">
        <v>3452</v>
      </c>
      <c r="G36" s="4" t="s">
        <v>3534</v>
      </c>
      <c r="H36" s="4" t="s">
        <v>3535</v>
      </c>
      <c r="I36" s="4" t="s">
        <v>984</v>
      </c>
      <c r="J36" s="4" t="s">
        <v>88</v>
      </c>
      <c r="K36" s="4" t="s">
        <v>908</v>
      </c>
      <c r="L36" s="7" t="s">
        <v>42</v>
      </c>
      <c r="M36" s="7"/>
      <c r="N36" s="4" t="s">
        <v>3450</v>
      </c>
    </row>
    <row r="37" spans="1:14" ht="40" customHeight="1">
      <c r="A37" s="8" t="s">
        <v>81</v>
      </c>
      <c r="B37" s="8" t="s">
        <v>82</v>
      </c>
      <c r="C37" s="8" t="s">
        <v>3536</v>
      </c>
      <c r="D37" s="8" t="s">
        <v>183</v>
      </c>
      <c r="E37" s="8" t="s">
        <v>41</v>
      </c>
      <c r="F37" s="8" t="s">
        <v>3452</v>
      </c>
      <c r="G37" s="8" t="s">
        <v>3537</v>
      </c>
      <c r="H37" s="8" t="s">
        <v>3538</v>
      </c>
      <c r="I37" s="8" t="s">
        <v>984</v>
      </c>
      <c r="J37" s="8" t="s">
        <v>88</v>
      </c>
      <c r="K37" s="8" t="s">
        <v>908</v>
      </c>
      <c r="L37" s="7" t="s">
        <v>42</v>
      </c>
      <c r="M37" s="7"/>
      <c r="N37" s="8" t="s">
        <v>3450</v>
      </c>
    </row>
    <row r="38" spans="1:14" ht="40" customHeight="1">
      <c r="A38" s="4" t="s">
        <v>81</v>
      </c>
      <c r="B38" s="4" t="s">
        <v>82</v>
      </c>
      <c r="C38" s="4" t="s">
        <v>3539</v>
      </c>
      <c r="D38" s="4" t="s">
        <v>183</v>
      </c>
      <c r="E38" s="4" t="s">
        <v>41</v>
      </c>
      <c r="F38" s="4" t="s">
        <v>3452</v>
      </c>
      <c r="G38" s="4" t="s">
        <v>3540</v>
      </c>
      <c r="H38" s="4" t="s">
        <v>3541</v>
      </c>
      <c r="I38" s="4" t="s">
        <v>984</v>
      </c>
      <c r="J38" s="4" t="s">
        <v>88</v>
      </c>
      <c r="K38" s="4" t="s">
        <v>908</v>
      </c>
      <c r="L38" s="7" t="s">
        <v>42</v>
      </c>
      <c r="M38" s="7"/>
      <c r="N38" s="4" t="s">
        <v>3450</v>
      </c>
    </row>
    <row r="39" spans="1:14" ht="40" customHeight="1">
      <c r="A39" s="8" t="s">
        <v>81</v>
      </c>
      <c r="B39" s="8" t="s">
        <v>82</v>
      </c>
      <c r="C39" s="8" t="s">
        <v>3542</v>
      </c>
      <c r="D39" s="8" t="s">
        <v>183</v>
      </c>
      <c r="E39" s="8" t="s">
        <v>41</v>
      </c>
      <c r="F39" s="8" t="s">
        <v>3452</v>
      </c>
      <c r="G39" s="8" t="s">
        <v>3543</v>
      </c>
      <c r="H39" s="8" t="s">
        <v>3544</v>
      </c>
      <c r="I39" s="8" t="s">
        <v>984</v>
      </c>
      <c r="J39" s="8" t="s">
        <v>88</v>
      </c>
      <c r="K39" s="8" t="s">
        <v>908</v>
      </c>
      <c r="L39" s="7" t="s">
        <v>42</v>
      </c>
      <c r="M39" s="7"/>
      <c r="N39" s="8" t="s">
        <v>3450</v>
      </c>
    </row>
    <row r="40" spans="1:14" ht="40" customHeight="1">
      <c r="A40" s="4" t="s">
        <v>81</v>
      </c>
      <c r="B40" s="4" t="s">
        <v>82</v>
      </c>
      <c r="C40" s="4" t="s">
        <v>3545</v>
      </c>
      <c r="D40" s="4" t="s">
        <v>183</v>
      </c>
      <c r="E40" s="4" t="s">
        <v>41</v>
      </c>
      <c r="F40" s="4" t="s">
        <v>3452</v>
      </c>
      <c r="G40" s="4" t="s">
        <v>3546</v>
      </c>
      <c r="H40" s="4" t="s">
        <v>3547</v>
      </c>
      <c r="I40" s="4" t="s">
        <v>984</v>
      </c>
      <c r="J40" s="4" t="s">
        <v>88</v>
      </c>
      <c r="K40" s="4" t="s">
        <v>908</v>
      </c>
      <c r="L40" s="7" t="s">
        <v>42</v>
      </c>
      <c r="M40" s="7"/>
      <c r="N40" s="4" t="s">
        <v>3450</v>
      </c>
    </row>
    <row r="41" spans="1:14" ht="40" customHeight="1">
      <c r="A41" s="8" t="s">
        <v>81</v>
      </c>
      <c r="B41" s="8" t="s">
        <v>82</v>
      </c>
      <c r="C41" s="8" t="s">
        <v>3548</v>
      </c>
      <c r="D41" s="8" t="s">
        <v>183</v>
      </c>
      <c r="E41" s="8" t="s">
        <v>41</v>
      </c>
      <c r="F41" s="8" t="s">
        <v>3452</v>
      </c>
      <c r="G41" s="8" t="s">
        <v>3549</v>
      </c>
      <c r="H41" s="8" t="s">
        <v>3550</v>
      </c>
      <c r="I41" s="8" t="s">
        <v>984</v>
      </c>
      <c r="J41" s="8" t="s">
        <v>88</v>
      </c>
      <c r="K41" s="8" t="s">
        <v>908</v>
      </c>
      <c r="L41" s="7" t="s">
        <v>42</v>
      </c>
      <c r="M41" s="7"/>
      <c r="N41" s="8" t="s">
        <v>3450</v>
      </c>
    </row>
    <row r="42" spans="1:14" ht="40" customHeight="1">
      <c r="A42" s="4" t="s">
        <v>81</v>
      </c>
      <c r="B42" s="4" t="s">
        <v>82</v>
      </c>
      <c r="C42" s="4" t="s">
        <v>3551</v>
      </c>
      <c r="D42" s="4" t="s">
        <v>183</v>
      </c>
      <c r="E42" s="4" t="s">
        <v>3552</v>
      </c>
      <c r="F42" s="4" t="s">
        <v>3448</v>
      </c>
      <c r="G42" s="4" t="s">
        <v>3552</v>
      </c>
      <c r="H42" s="4" t="s">
        <v>3553</v>
      </c>
      <c r="I42" s="4" t="s">
        <v>984</v>
      </c>
      <c r="J42" s="4" t="s">
        <v>88</v>
      </c>
      <c r="K42" s="4" t="s">
        <v>908</v>
      </c>
      <c r="L42" s="7" t="s">
        <v>42</v>
      </c>
      <c r="M42" s="7"/>
      <c r="N42" s="4" t="s">
        <v>3450</v>
      </c>
    </row>
    <row r="43" spans="1:14" ht="40" customHeight="1">
      <c r="A43" s="8" t="s">
        <v>81</v>
      </c>
      <c r="B43" s="8" t="s">
        <v>82</v>
      </c>
      <c r="C43" s="8" t="s">
        <v>3554</v>
      </c>
      <c r="D43" s="8" t="s">
        <v>183</v>
      </c>
      <c r="E43" s="8" t="s">
        <v>3552</v>
      </c>
      <c r="F43" s="8" t="s">
        <v>3452</v>
      </c>
      <c r="G43" s="8" t="s">
        <v>3555</v>
      </c>
      <c r="H43" s="8" t="s">
        <v>3556</v>
      </c>
      <c r="I43" s="8" t="s">
        <v>984</v>
      </c>
      <c r="J43" s="8" t="s">
        <v>88</v>
      </c>
      <c r="K43" s="8" t="s">
        <v>908</v>
      </c>
      <c r="L43" s="7" t="s">
        <v>42</v>
      </c>
      <c r="M43" s="7"/>
      <c r="N43" s="8" t="s">
        <v>3450</v>
      </c>
    </row>
    <row r="44" spans="1:14" ht="40" customHeight="1">
      <c r="A44" s="4" t="s">
        <v>81</v>
      </c>
      <c r="B44" s="4" t="s">
        <v>82</v>
      </c>
      <c r="C44" s="4" t="s">
        <v>3557</v>
      </c>
      <c r="D44" s="4" t="s">
        <v>183</v>
      </c>
      <c r="E44" s="4" t="s">
        <v>3552</v>
      </c>
      <c r="F44" s="4" t="s">
        <v>3452</v>
      </c>
      <c r="G44" s="4" t="s">
        <v>3558</v>
      </c>
      <c r="H44" s="4" t="s">
        <v>3559</v>
      </c>
      <c r="I44" s="4" t="s">
        <v>984</v>
      </c>
      <c r="J44" s="4" t="s">
        <v>88</v>
      </c>
      <c r="K44" s="4" t="s">
        <v>908</v>
      </c>
      <c r="L44" s="7" t="s">
        <v>42</v>
      </c>
      <c r="M44" s="7"/>
      <c r="N44" s="4" t="s">
        <v>3450</v>
      </c>
    </row>
    <row r="45" spans="1:14" ht="40" customHeight="1">
      <c r="A45" s="8" t="s">
        <v>81</v>
      </c>
      <c r="B45" s="8" t="s">
        <v>82</v>
      </c>
      <c r="C45" s="8" t="s">
        <v>3560</v>
      </c>
      <c r="D45" s="8" t="s">
        <v>183</v>
      </c>
      <c r="E45" s="8" t="s">
        <v>3552</v>
      </c>
      <c r="F45" s="8" t="s">
        <v>3452</v>
      </c>
      <c r="G45" s="8" t="s">
        <v>3561</v>
      </c>
      <c r="H45" s="8" t="s">
        <v>3562</v>
      </c>
      <c r="I45" s="8" t="s">
        <v>984</v>
      </c>
      <c r="J45" s="8" t="s">
        <v>88</v>
      </c>
      <c r="K45" s="8" t="s">
        <v>908</v>
      </c>
      <c r="L45" s="7" t="s">
        <v>42</v>
      </c>
      <c r="M45" s="7"/>
      <c r="N45" s="8" t="s">
        <v>3450</v>
      </c>
    </row>
    <row r="46" spans="1:14" ht="40" customHeight="1">
      <c r="A46" s="4" t="s">
        <v>81</v>
      </c>
      <c r="B46" s="4" t="s">
        <v>82</v>
      </c>
      <c r="C46" s="4" t="s">
        <v>3563</v>
      </c>
      <c r="D46" s="4" t="s">
        <v>183</v>
      </c>
      <c r="E46" s="4" t="s">
        <v>3552</v>
      </c>
      <c r="F46" s="4" t="s">
        <v>3452</v>
      </c>
      <c r="G46" s="4" t="s">
        <v>3564</v>
      </c>
      <c r="H46" s="4" t="s">
        <v>3565</v>
      </c>
      <c r="I46" s="4" t="s">
        <v>984</v>
      </c>
      <c r="J46" s="4" t="s">
        <v>88</v>
      </c>
      <c r="K46" s="4" t="s">
        <v>908</v>
      </c>
      <c r="L46" s="7" t="s">
        <v>42</v>
      </c>
      <c r="M46" s="7"/>
      <c r="N46" s="4" t="s">
        <v>3450</v>
      </c>
    </row>
    <row r="47" spans="1:14" ht="40" customHeight="1">
      <c r="A47" s="8" t="s">
        <v>81</v>
      </c>
      <c r="B47" s="8" t="s">
        <v>82</v>
      </c>
      <c r="C47" s="8" t="s">
        <v>3566</v>
      </c>
      <c r="D47" s="8" t="s">
        <v>183</v>
      </c>
      <c r="E47" s="8" t="s">
        <v>3552</v>
      </c>
      <c r="F47" s="8" t="s">
        <v>3452</v>
      </c>
      <c r="G47" s="8" t="s">
        <v>3567</v>
      </c>
      <c r="H47" s="8" t="s">
        <v>3568</v>
      </c>
      <c r="I47" s="8" t="s">
        <v>984</v>
      </c>
      <c r="J47" s="8" t="s">
        <v>88</v>
      </c>
      <c r="K47" s="8" t="s">
        <v>908</v>
      </c>
      <c r="L47" s="7" t="s">
        <v>42</v>
      </c>
      <c r="M47" s="7"/>
      <c r="N47" s="8" t="s">
        <v>3450</v>
      </c>
    </row>
    <row r="48" spans="1:14" ht="40" customHeight="1">
      <c r="A48" s="4" t="s">
        <v>81</v>
      </c>
      <c r="B48" s="4" t="s">
        <v>82</v>
      </c>
      <c r="C48" s="4" t="s">
        <v>3569</v>
      </c>
      <c r="D48" s="4" t="s">
        <v>183</v>
      </c>
      <c r="E48" s="4" t="s">
        <v>3552</v>
      </c>
      <c r="F48" s="4" t="s">
        <v>3452</v>
      </c>
      <c r="G48" s="4" t="s">
        <v>3570</v>
      </c>
      <c r="H48" s="4" t="s">
        <v>3571</v>
      </c>
      <c r="I48" s="4" t="s">
        <v>984</v>
      </c>
      <c r="J48" s="4" t="s">
        <v>88</v>
      </c>
      <c r="K48" s="4" t="s">
        <v>908</v>
      </c>
      <c r="L48" s="7" t="s">
        <v>42</v>
      </c>
      <c r="M48" s="7"/>
      <c r="N48" s="4" t="s">
        <v>3450</v>
      </c>
    </row>
    <row r="49" spans="1:14" ht="40" customHeight="1">
      <c r="A49" s="8" t="s">
        <v>81</v>
      </c>
      <c r="B49" s="8" t="s">
        <v>82</v>
      </c>
      <c r="C49" s="8" t="s">
        <v>3572</v>
      </c>
      <c r="D49" s="8" t="s">
        <v>183</v>
      </c>
      <c r="E49" s="8" t="s">
        <v>3552</v>
      </c>
      <c r="F49" s="8" t="s">
        <v>3452</v>
      </c>
      <c r="G49" s="8" t="s">
        <v>3573</v>
      </c>
      <c r="H49" s="8" t="s">
        <v>3574</v>
      </c>
      <c r="I49" s="8" t="s">
        <v>984</v>
      </c>
      <c r="J49" s="8" t="s">
        <v>88</v>
      </c>
      <c r="K49" s="8" t="s">
        <v>908</v>
      </c>
      <c r="L49" s="7" t="s">
        <v>42</v>
      </c>
      <c r="M49" s="7"/>
      <c r="N49" s="8" t="s">
        <v>3450</v>
      </c>
    </row>
    <row r="50" spans="1:14" ht="40" customHeight="1">
      <c r="A50" s="4" t="s">
        <v>81</v>
      </c>
      <c r="B50" s="4" t="s">
        <v>82</v>
      </c>
      <c r="C50" s="4" t="s">
        <v>3575</v>
      </c>
      <c r="D50" s="4" t="s">
        <v>183</v>
      </c>
      <c r="E50" s="4" t="s">
        <v>3552</v>
      </c>
      <c r="F50" s="4" t="s">
        <v>3452</v>
      </c>
      <c r="G50" s="4" t="s">
        <v>3529</v>
      </c>
      <c r="H50" s="4" t="s">
        <v>3576</v>
      </c>
      <c r="I50" s="4" t="s">
        <v>984</v>
      </c>
      <c r="J50" s="4" t="s">
        <v>88</v>
      </c>
      <c r="K50" s="4" t="s">
        <v>908</v>
      </c>
      <c r="L50" s="7" t="s">
        <v>42</v>
      </c>
      <c r="M50" s="7"/>
      <c r="N50" s="4" t="s">
        <v>3450</v>
      </c>
    </row>
    <row r="51" spans="1:14" ht="40" customHeight="1">
      <c r="A51" s="8" t="s">
        <v>81</v>
      </c>
      <c r="B51" s="8" t="s">
        <v>82</v>
      </c>
      <c r="C51" s="8" t="s">
        <v>3577</v>
      </c>
      <c r="D51" s="8" t="s">
        <v>183</v>
      </c>
      <c r="E51" s="8" t="s">
        <v>3552</v>
      </c>
      <c r="F51" s="8" t="s">
        <v>3452</v>
      </c>
      <c r="G51" s="8" t="s">
        <v>3578</v>
      </c>
      <c r="H51" s="8" t="s">
        <v>3579</v>
      </c>
      <c r="I51" s="8" t="s">
        <v>984</v>
      </c>
      <c r="J51" s="8" t="s">
        <v>88</v>
      </c>
      <c r="K51" s="8" t="s">
        <v>908</v>
      </c>
      <c r="L51" s="7" t="s">
        <v>42</v>
      </c>
      <c r="M51" s="7"/>
      <c r="N51" s="8" t="s">
        <v>3450</v>
      </c>
    </row>
    <row r="52" spans="1:14" ht="40" customHeight="1">
      <c r="A52" s="4" t="s">
        <v>81</v>
      </c>
      <c r="B52" s="4" t="s">
        <v>82</v>
      </c>
      <c r="C52" s="4" t="s">
        <v>3580</v>
      </c>
      <c r="D52" s="4" t="s">
        <v>183</v>
      </c>
      <c r="E52" s="4" t="s">
        <v>3552</v>
      </c>
      <c r="F52" s="4" t="s">
        <v>3452</v>
      </c>
      <c r="G52" s="4" t="s">
        <v>3581</v>
      </c>
      <c r="H52" s="4" t="s">
        <v>3582</v>
      </c>
      <c r="I52" s="4" t="s">
        <v>984</v>
      </c>
      <c r="J52" s="4" t="s">
        <v>88</v>
      </c>
      <c r="K52" s="4" t="s">
        <v>908</v>
      </c>
      <c r="L52" s="7" t="s">
        <v>42</v>
      </c>
      <c r="M52" s="7"/>
      <c r="N52" s="4" t="s">
        <v>3450</v>
      </c>
    </row>
    <row r="53" spans="1:14" ht="40" customHeight="1">
      <c r="A53" s="8" t="s">
        <v>81</v>
      </c>
      <c r="B53" s="8" t="s">
        <v>82</v>
      </c>
      <c r="C53" s="8" t="s">
        <v>3583</v>
      </c>
      <c r="D53" s="8" t="s">
        <v>183</v>
      </c>
      <c r="E53" s="8" t="s">
        <v>3552</v>
      </c>
      <c r="F53" s="8" t="s">
        <v>3452</v>
      </c>
      <c r="G53" s="8" t="s">
        <v>3584</v>
      </c>
      <c r="H53" s="8" t="s">
        <v>3585</v>
      </c>
      <c r="I53" s="8" t="s">
        <v>984</v>
      </c>
      <c r="J53" s="8" t="s">
        <v>88</v>
      </c>
      <c r="K53" s="8" t="s">
        <v>908</v>
      </c>
      <c r="L53" s="7" t="s">
        <v>42</v>
      </c>
      <c r="M53" s="7"/>
      <c r="N53" s="8" t="s">
        <v>3450</v>
      </c>
    </row>
    <row r="54" spans="1:14" ht="40" customHeight="1">
      <c r="A54" s="4" t="s">
        <v>81</v>
      </c>
      <c r="B54" s="4" t="s">
        <v>82</v>
      </c>
      <c r="C54" s="4" t="s">
        <v>3586</v>
      </c>
      <c r="D54" s="4" t="s">
        <v>208</v>
      </c>
      <c r="E54" s="4" t="s">
        <v>41</v>
      </c>
      <c r="F54" s="4" t="s">
        <v>3452</v>
      </c>
      <c r="G54" s="4" t="s">
        <v>3587</v>
      </c>
      <c r="H54" s="4" t="s">
        <v>3588</v>
      </c>
      <c r="I54" s="4" t="s">
        <v>984</v>
      </c>
      <c r="J54" s="4" t="s">
        <v>88</v>
      </c>
      <c r="K54" s="4" t="s">
        <v>908</v>
      </c>
      <c r="L54" s="7" t="s">
        <v>42</v>
      </c>
      <c r="M54" s="7"/>
      <c r="N54" s="4" t="s">
        <v>3450</v>
      </c>
    </row>
    <row r="55" spans="1:14" ht="40" customHeight="1">
      <c r="A55" s="8" t="s">
        <v>92</v>
      </c>
      <c r="B55" s="8" t="s">
        <v>105</v>
      </c>
      <c r="C55" s="8" t="s">
        <v>3589</v>
      </c>
      <c r="D55" s="8" t="s">
        <v>78</v>
      </c>
      <c r="E55" s="8" t="s">
        <v>41</v>
      </c>
      <c r="F55" s="8" t="s">
        <v>3452</v>
      </c>
      <c r="G55" s="8" t="s">
        <v>3590</v>
      </c>
      <c r="H55" s="8" t="s">
        <v>3463</v>
      </c>
      <c r="I55" s="8" t="s">
        <v>1008</v>
      </c>
      <c r="J55" s="8" t="s">
        <v>102</v>
      </c>
      <c r="K55" s="8" t="s">
        <v>908</v>
      </c>
      <c r="L55" s="7" t="s">
        <v>42</v>
      </c>
      <c r="M55" s="7"/>
      <c r="N55" s="8" t="s">
        <v>3450</v>
      </c>
    </row>
    <row r="56" spans="1:14" ht="40" customHeight="1">
      <c r="A56" s="4" t="s">
        <v>92</v>
      </c>
      <c r="B56" s="4" t="s">
        <v>105</v>
      </c>
      <c r="C56" s="4" t="s">
        <v>3591</v>
      </c>
      <c r="D56" s="4" t="s">
        <v>78</v>
      </c>
      <c r="E56" s="4" t="s">
        <v>41</v>
      </c>
      <c r="F56" s="4" t="s">
        <v>3452</v>
      </c>
      <c r="G56" s="4" t="s">
        <v>3592</v>
      </c>
      <c r="H56" s="4" t="s">
        <v>3466</v>
      </c>
      <c r="I56" s="4" t="s">
        <v>1008</v>
      </c>
      <c r="J56" s="4" t="s">
        <v>102</v>
      </c>
      <c r="K56" s="4" t="s">
        <v>908</v>
      </c>
      <c r="L56" s="7" t="s">
        <v>42</v>
      </c>
      <c r="M56" s="7"/>
      <c r="N56" s="4" t="s">
        <v>3450</v>
      </c>
    </row>
    <row r="57" spans="1:14" ht="68" customHeight="1">
      <c r="A57" s="8" t="s">
        <v>92</v>
      </c>
      <c r="B57" s="8" t="s">
        <v>105</v>
      </c>
      <c r="C57" s="8" t="s">
        <v>3593</v>
      </c>
      <c r="D57" s="8" t="s">
        <v>78</v>
      </c>
      <c r="E57" s="8" t="s">
        <v>41</v>
      </c>
      <c r="F57" s="8" t="s">
        <v>3452</v>
      </c>
      <c r="G57" s="8" t="s">
        <v>3594</v>
      </c>
      <c r="H57" s="8" t="s">
        <v>3469</v>
      </c>
      <c r="I57" s="8" t="s">
        <v>1008</v>
      </c>
      <c r="J57" s="8" t="s">
        <v>102</v>
      </c>
      <c r="K57" s="8" t="s">
        <v>908</v>
      </c>
      <c r="L57" s="7" t="s">
        <v>42</v>
      </c>
      <c r="M57" s="7"/>
      <c r="N57" s="8" t="s">
        <v>3450</v>
      </c>
    </row>
    <row r="58" spans="1:14" ht="68" customHeight="1">
      <c r="A58" s="4" t="s">
        <v>92</v>
      </c>
      <c r="B58" s="4" t="s">
        <v>105</v>
      </c>
      <c r="C58" s="4" t="s">
        <v>3595</v>
      </c>
      <c r="D58" s="4" t="s">
        <v>78</v>
      </c>
      <c r="E58" s="4" t="s">
        <v>41</v>
      </c>
      <c r="F58" s="4" t="s">
        <v>3452</v>
      </c>
      <c r="G58" s="4" t="s">
        <v>3596</v>
      </c>
      <c r="H58" s="4" t="s">
        <v>3472</v>
      </c>
      <c r="I58" s="4" t="s">
        <v>1008</v>
      </c>
      <c r="J58" s="4" t="s">
        <v>102</v>
      </c>
      <c r="K58" s="4" t="s">
        <v>908</v>
      </c>
      <c r="L58" s="7" t="s">
        <v>42</v>
      </c>
      <c r="M58" s="7"/>
      <c r="N58" s="4" t="s">
        <v>3450</v>
      </c>
    </row>
    <row r="59" spans="1:14" ht="68" customHeight="1">
      <c r="A59" s="8" t="s">
        <v>92</v>
      </c>
      <c r="B59" s="8" t="s">
        <v>105</v>
      </c>
      <c r="C59" s="8" t="s">
        <v>3597</v>
      </c>
      <c r="D59" s="8" t="s">
        <v>78</v>
      </c>
      <c r="E59" s="8" t="s">
        <v>41</v>
      </c>
      <c r="F59" s="8" t="s">
        <v>3452</v>
      </c>
      <c r="G59" s="8" t="s">
        <v>3598</v>
      </c>
      <c r="H59" s="8" t="s">
        <v>3475</v>
      </c>
      <c r="I59" s="8" t="s">
        <v>1008</v>
      </c>
      <c r="J59" s="8" t="s">
        <v>102</v>
      </c>
      <c r="K59" s="8" t="s">
        <v>908</v>
      </c>
      <c r="L59" s="7" t="s">
        <v>42</v>
      </c>
      <c r="M59" s="7"/>
      <c r="N59" s="8" t="s">
        <v>3450</v>
      </c>
    </row>
    <row r="60" spans="1:14" ht="54" customHeight="1">
      <c r="A60" s="4" t="s">
        <v>92</v>
      </c>
      <c r="B60" s="4" t="s">
        <v>105</v>
      </c>
      <c r="C60" s="4" t="s">
        <v>3599</v>
      </c>
      <c r="D60" s="4" t="s">
        <v>78</v>
      </c>
      <c r="E60" s="4" t="s">
        <v>41</v>
      </c>
      <c r="F60" s="4" t="s">
        <v>3452</v>
      </c>
      <c r="G60" s="4" t="s">
        <v>3600</v>
      </c>
      <c r="H60" s="4" t="s">
        <v>3478</v>
      </c>
      <c r="I60" s="4" t="s">
        <v>1008</v>
      </c>
      <c r="J60" s="4" t="s">
        <v>102</v>
      </c>
      <c r="K60" s="4" t="s">
        <v>908</v>
      </c>
      <c r="L60" s="7" t="s">
        <v>42</v>
      </c>
      <c r="M60" s="7"/>
      <c r="N60" s="4" t="s">
        <v>3450</v>
      </c>
    </row>
    <row r="61" spans="1:14" ht="68" customHeight="1">
      <c r="A61" s="8" t="s">
        <v>92</v>
      </c>
      <c r="B61" s="8" t="s">
        <v>105</v>
      </c>
      <c r="C61" s="8" t="s">
        <v>3601</v>
      </c>
      <c r="D61" s="8" t="s">
        <v>78</v>
      </c>
      <c r="E61" s="8" t="s">
        <v>41</v>
      </c>
      <c r="F61" s="8" t="s">
        <v>3452</v>
      </c>
      <c r="G61" s="8" t="s">
        <v>3602</v>
      </c>
      <c r="H61" s="8" t="s">
        <v>3603</v>
      </c>
      <c r="I61" s="8" t="s">
        <v>1008</v>
      </c>
      <c r="J61" s="8" t="s">
        <v>102</v>
      </c>
      <c r="K61" s="8" t="s">
        <v>908</v>
      </c>
      <c r="L61" s="7" t="s">
        <v>42</v>
      </c>
      <c r="M61" s="7"/>
      <c r="N61" s="8" t="s">
        <v>3450</v>
      </c>
    </row>
    <row r="62" spans="1:14" ht="40" customHeight="1">
      <c r="A62" s="4" t="s">
        <v>92</v>
      </c>
      <c r="B62" s="4" t="s">
        <v>105</v>
      </c>
      <c r="C62" s="4" t="s">
        <v>3604</v>
      </c>
      <c r="D62" s="4" t="s">
        <v>78</v>
      </c>
      <c r="E62" s="4" t="s">
        <v>41</v>
      </c>
      <c r="F62" s="4" t="s">
        <v>3452</v>
      </c>
      <c r="G62" s="4" t="s">
        <v>3605</v>
      </c>
      <c r="H62" s="4" t="s">
        <v>3576</v>
      </c>
      <c r="I62" s="4" t="s">
        <v>1008</v>
      </c>
      <c r="J62" s="4" t="s">
        <v>102</v>
      </c>
      <c r="K62" s="4" t="s">
        <v>908</v>
      </c>
      <c r="L62" s="7" t="s">
        <v>42</v>
      </c>
      <c r="M62" s="7"/>
      <c r="N62" s="4" t="s">
        <v>3450</v>
      </c>
    </row>
    <row r="63" spans="1:14" ht="68" customHeight="1">
      <c r="A63" s="8" t="s">
        <v>92</v>
      </c>
      <c r="B63" s="8" t="s">
        <v>105</v>
      </c>
      <c r="C63" s="8" t="s">
        <v>3606</v>
      </c>
      <c r="D63" s="8" t="s">
        <v>78</v>
      </c>
      <c r="E63" s="8" t="s">
        <v>41</v>
      </c>
      <c r="F63" s="8" t="s">
        <v>3452</v>
      </c>
      <c r="G63" s="8" t="s">
        <v>3607</v>
      </c>
      <c r="H63" s="8" t="s">
        <v>3608</v>
      </c>
      <c r="I63" s="8" t="s">
        <v>1008</v>
      </c>
      <c r="J63" s="8" t="s">
        <v>102</v>
      </c>
      <c r="K63" s="8" t="s">
        <v>908</v>
      </c>
      <c r="L63" s="7" t="s">
        <v>42</v>
      </c>
      <c r="M63" s="7"/>
      <c r="N63" s="8" t="s">
        <v>3450</v>
      </c>
    </row>
    <row r="64" spans="1:14" ht="82" customHeight="1">
      <c r="A64" s="4" t="s">
        <v>92</v>
      </c>
      <c r="B64" s="4" t="s">
        <v>105</v>
      </c>
      <c r="C64" s="4" t="s">
        <v>3609</v>
      </c>
      <c r="D64" s="4" t="s">
        <v>78</v>
      </c>
      <c r="E64" s="4" t="s">
        <v>41</v>
      </c>
      <c r="F64" s="4" t="s">
        <v>3452</v>
      </c>
      <c r="G64" s="4" t="s">
        <v>3610</v>
      </c>
      <c r="H64" s="4" t="s">
        <v>3611</v>
      </c>
      <c r="I64" s="4" t="s">
        <v>1008</v>
      </c>
      <c r="J64" s="4" t="s">
        <v>102</v>
      </c>
      <c r="K64" s="4" t="s">
        <v>908</v>
      </c>
      <c r="L64" s="7" t="s">
        <v>42</v>
      </c>
      <c r="M64" s="7"/>
      <c r="N64" s="4" t="s">
        <v>3450</v>
      </c>
    </row>
    <row r="65" spans="1:14" ht="40" customHeight="1">
      <c r="A65" s="8" t="s">
        <v>92</v>
      </c>
      <c r="B65" s="8" t="s">
        <v>105</v>
      </c>
      <c r="C65" s="8" t="s">
        <v>3612</v>
      </c>
      <c r="D65" s="8" t="s">
        <v>78</v>
      </c>
      <c r="E65" s="8" t="s">
        <v>41</v>
      </c>
      <c r="F65" s="8" t="s">
        <v>3452</v>
      </c>
      <c r="G65" s="8" t="s">
        <v>3613</v>
      </c>
      <c r="H65" s="8" t="s">
        <v>3614</v>
      </c>
      <c r="I65" s="8" t="s">
        <v>1008</v>
      </c>
      <c r="J65" s="8" t="s">
        <v>102</v>
      </c>
      <c r="K65" s="8" t="s">
        <v>908</v>
      </c>
      <c r="L65" s="7" t="s">
        <v>42</v>
      </c>
      <c r="M65" s="7"/>
      <c r="N65" s="8" t="s">
        <v>3450</v>
      </c>
    </row>
    <row r="66" spans="1:14" ht="68" customHeight="1">
      <c r="A66" s="4" t="s">
        <v>92</v>
      </c>
      <c r="B66" s="4" t="s">
        <v>105</v>
      </c>
      <c r="C66" s="4" t="s">
        <v>3615</v>
      </c>
      <c r="D66" s="4" t="s">
        <v>78</v>
      </c>
      <c r="E66" s="4" t="s">
        <v>41</v>
      </c>
      <c r="F66" s="4" t="s">
        <v>3452</v>
      </c>
      <c r="G66" s="4" t="s">
        <v>3616</v>
      </c>
      <c r="H66" s="4" t="s">
        <v>3617</v>
      </c>
      <c r="I66" s="4" t="s">
        <v>1008</v>
      </c>
      <c r="J66" s="4" t="s">
        <v>102</v>
      </c>
      <c r="K66" s="4" t="s">
        <v>908</v>
      </c>
      <c r="L66" s="7" t="s">
        <v>42</v>
      </c>
      <c r="M66" s="7"/>
      <c r="N66" s="4" t="s">
        <v>3450</v>
      </c>
    </row>
    <row r="67" spans="1:14" ht="40" customHeight="1">
      <c r="A67" s="8" t="s">
        <v>92</v>
      </c>
      <c r="B67" s="8" t="s">
        <v>105</v>
      </c>
      <c r="C67" s="8" t="s">
        <v>3618</v>
      </c>
      <c r="D67" s="8" t="s">
        <v>78</v>
      </c>
      <c r="E67" s="8" t="s">
        <v>41</v>
      </c>
      <c r="F67" s="8" t="s">
        <v>3452</v>
      </c>
      <c r="G67" s="8" t="s">
        <v>3619</v>
      </c>
      <c r="H67" s="8" t="s">
        <v>3620</v>
      </c>
      <c r="I67" s="8" t="s">
        <v>1008</v>
      </c>
      <c r="J67" s="8" t="s">
        <v>102</v>
      </c>
      <c r="K67" s="8" t="s">
        <v>908</v>
      </c>
      <c r="L67" s="7" t="s">
        <v>42</v>
      </c>
      <c r="M67" s="7"/>
      <c r="N67" s="8" t="s">
        <v>3450</v>
      </c>
    </row>
    <row r="68" spans="1:14" ht="40" customHeight="1">
      <c r="A68" s="4" t="s">
        <v>92</v>
      </c>
      <c r="B68" s="4" t="s">
        <v>105</v>
      </c>
      <c r="C68" s="4" t="s">
        <v>3621</v>
      </c>
      <c r="D68" s="4" t="s">
        <v>183</v>
      </c>
      <c r="E68" s="4" t="s">
        <v>3622</v>
      </c>
      <c r="F68" s="4" t="s">
        <v>3448</v>
      </c>
      <c r="G68" s="4" t="s">
        <v>3622</v>
      </c>
      <c r="H68" s="4" t="s">
        <v>3460</v>
      </c>
      <c r="I68" s="4" t="s">
        <v>1008</v>
      </c>
      <c r="J68" s="4" t="s">
        <v>102</v>
      </c>
      <c r="K68" s="4" t="s">
        <v>908</v>
      </c>
      <c r="L68" s="7" t="s">
        <v>42</v>
      </c>
      <c r="M68" s="7"/>
      <c r="N68" s="4" t="s">
        <v>3450</v>
      </c>
    </row>
    <row r="69" spans="1:14" ht="40" customHeight="1">
      <c r="A69" s="8" t="s">
        <v>92</v>
      </c>
      <c r="B69" s="8" t="s">
        <v>105</v>
      </c>
      <c r="C69" s="8" t="s">
        <v>3623</v>
      </c>
      <c r="D69" s="8" t="s">
        <v>183</v>
      </c>
      <c r="E69" s="8" t="s">
        <v>3622</v>
      </c>
      <c r="F69" s="8" t="s">
        <v>3452</v>
      </c>
      <c r="G69" s="8" t="s">
        <v>3624</v>
      </c>
      <c r="H69" s="8" t="s">
        <v>3625</v>
      </c>
      <c r="I69" s="8" t="s">
        <v>1008</v>
      </c>
      <c r="J69" s="8" t="s">
        <v>102</v>
      </c>
      <c r="K69" s="8" t="s">
        <v>908</v>
      </c>
      <c r="L69" s="7" t="s">
        <v>42</v>
      </c>
      <c r="M69" s="7"/>
      <c r="N69" s="8" t="s">
        <v>3450</v>
      </c>
    </row>
    <row r="70" spans="1:14" ht="40" customHeight="1">
      <c r="A70" s="4" t="s">
        <v>92</v>
      </c>
      <c r="B70" s="4" t="s">
        <v>105</v>
      </c>
      <c r="C70" s="4" t="s">
        <v>3626</v>
      </c>
      <c r="D70" s="4" t="s">
        <v>183</v>
      </c>
      <c r="E70" s="4" t="s">
        <v>3622</v>
      </c>
      <c r="F70" s="4" t="s">
        <v>3452</v>
      </c>
      <c r="G70" s="4" t="s">
        <v>3627</v>
      </c>
      <c r="H70" s="4" t="s">
        <v>3628</v>
      </c>
      <c r="I70" s="4" t="s">
        <v>1008</v>
      </c>
      <c r="J70" s="4" t="s">
        <v>102</v>
      </c>
      <c r="K70" s="4" t="s">
        <v>908</v>
      </c>
      <c r="L70" s="7" t="s">
        <v>42</v>
      </c>
      <c r="M70" s="7"/>
      <c r="N70" s="4" t="s">
        <v>3450</v>
      </c>
    </row>
    <row r="71" spans="1:14" ht="40" customHeight="1">
      <c r="A71" s="8" t="s">
        <v>92</v>
      </c>
      <c r="B71" s="8" t="s">
        <v>105</v>
      </c>
      <c r="C71" s="8" t="s">
        <v>3629</v>
      </c>
      <c r="D71" s="8" t="s">
        <v>183</v>
      </c>
      <c r="E71" s="8" t="s">
        <v>3622</v>
      </c>
      <c r="F71" s="8" t="s">
        <v>3452</v>
      </c>
      <c r="G71" s="8" t="s">
        <v>3630</v>
      </c>
      <c r="H71" s="8" t="s">
        <v>3631</v>
      </c>
      <c r="I71" s="8" t="s">
        <v>1008</v>
      </c>
      <c r="J71" s="8" t="s">
        <v>102</v>
      </c>
      <c r="K71" s="8" t="s">
        <v>908</v>
      </c>
      <c r="L71" s="7" t="s">
        <v>42</v>
      </c>
      <c r="M71" s="7"/>
      <c r="N71" s="8" t="s">
        <v>3450</v>
      </c>
    </row>
    <row r="72" spans="1:14" ht="40" customHeight="1">
      <c r="A72" s="4" t="s">
        <v>92</v>
      </c>
      <c r="B72" s="4" t="s">
        <v>105</v>
      </c>
      <c r="C72" s="4" t="s">
        <v>3632</v>
      </c>
      <c r="D72" s="4" t="s">
        <v>183</v>
      </c>
      <c r="E72" s="4" t="s">
        <v>3622</v>
      </c>
      <c r="F72" s="4" t="s">
        <v>3452</v>
      </c>
      <c r="G72" s="4" t="s">
        <v>3633</v>
      </c>
      <c r="H72" s="4" t="s">
        <v>3634</v>
      </c>
      <c r="I72" s="4" t="s">
        <v>1008</v>
      </c>
      <c r="J72" s="4" t="s">
        <v>102</v>
      </c>
      <c r="K72" s="4" t="s">
        <v>908</v>
      </c>
      <c r="L72" s="7" t="s">
        <v>42</v>
      </c>
      <c r="M72" s="7"/>
      <c r="N72" s="4" t="s">
        <v>3450</v>
      </c>
    </row>
    <row r="73" spans="1:14" ht="40" customHeight="1">
      <c r="A73" s="8" t="s">
        <v>92</v>
      </c>
      <c r="B73" s="8" t="s">
        <v>105</v>
      </c>
      <c r="C73" s="8" t="s">
        <v>3635</v>
      </c>
      <c r="D73" s="8" t="s">
        <v>183</v>
      </c>
      <c r="E73" s="8" t="s">
        <v>3622</v>
      </c>
      <c r="F73" s="8" t="s">
        <v>3452</v>
      </c>
      <c r="G73" s="8" t="s">
        <v>3636</v>
      </c>
      <c r="H73" s="8" t="s">
        <v>3637</v>
      </c>
      <c r="I73" s="8" t="s">
        <v>1008</v>
      </c>
      <c r="J73" s="8" t="s">
        <v>102</v>
      </c>
      <c r="K73" s="8" t="s">
        <v>908</v>
      </c>
      <c r="L73" s="7" t="s">
        <v>42</v>
      </c>
      <c r="M73" s="7"/>
      <c r="N73" s="8" t="s">
        <v>3450</v>
      </c>
    </row>
    <row r="74" spans="1:14" ht="40" customHeight="1">
      <c r="A74" s="4" t="s">
        <v>92</v>
      </c>
      <c r="B74" s="4" t="s">
        <v>105</v>
      </c>
      <c r="C74" s="4" t="s">
        <v>3638</v>
      </c>
      <c r="D74" s="4" t="s">
        <v>183</v>
      </c>
      <c r="E74" s="4" t="s">
        <v>3622</v>
      </c>
      <c r="F74" s="4" t="s">
        <v>3452</v>
      </c>
      <c r="G74" s="4" t="s">
        <v>3639</v>
      </c>
      <c r="H74" s="4" t="s">
        <v>3640</v>
      </c>
      <c r="I74" s="4" t="s">
        <v>1008</v>
      </c>
      <c r="J74" s="4" t="s">
        <v>102</v>
      </c>
      <c r="K74" s="4" t="s">
        <v>908</v>
      </c>
      <c r="L74" s="7" t="s">
        <v>42</v>
      </c>
      <c r="M74" s="7"/>
      <c r="N74" s="4" t="s">
        <v>3450</v>
      </c>
    </row>
    <row r="75" spans="1:14" ht="40" customHeight="1">
      <c r="A75" s="8" t="s">
        <v>92</v>
      </c>
      <c r="B75" s="8" t="s">
        <v>105</v>
      </c>
      <c r="C75" s="8" t="s">
        <v>3641</v>
      </c>
      <c r="D75" s="8" t="s">
        <v>183</v>
      </c>
      <c r="E75" s="8" t="s">
        <v>3622</v>
      </c>
      <c r="F75" s="8" t="s">
        <v>3452</v>
      </c>
      <c r="G75" s="8" t="s">
        <v>3642</v>
      </c>
      <c r="H75" s="8" t="s">
        <v>3643</v>
      </c>
      <c r="I75" s="8" t="s">
        <v>1008</v>
      </c>
      <c r="J75" s="8" t="s">
        <v>102</v>
      </c>
      <c r="K75" s="8" t="s">
        <v>908</v>
      </c>
      <c r="L75" s="7" t="s">
        <v>42</v>
      </c>
      <c r="M75" s="7"/>
      <c r="N75" s="8" t="s">
        <v>3450</v>
      </c>
    </row>
    <row r="76" spans="1:14" ht="40" customHeight="1">
      <c r="A76" s="4" t="s">
        <v>92</v>
      </c>
      <c r="B76" s="4" t="s">
        <v>105</v>
      </c>
      <c r="C76" s="4" t="s">
        <v>3644</v>
      </c>
      <c r="D76" s="4" t="s">
        <v>183</v>
      </c>
      <c r="E76" s="4" t="s">
        <v>3622</v>
      </c>
      <c r="F76" s="4" t="s">
        <v>3452</v>
      </c>
      <c r="G76" s="4" t="s">
        <v>3645</v>
      </c>
      <c r="H76" s="4" t="s">
        <v>3646</v>
      </c>
      <c r="I76" s="4" t="s">
        <v>1008</v>
      </c>
      <c r="J76" s="4" t="s">
        <v>102</v>
      </c>
      <c r="K76" s="4" t="s">
        <v>908</v>
      </c>
      <c r="L76" s="7" t="s">
        <v>42</v>
      </c>
      <c r="M76" s="7"/>
      <c r="N76" s="4" t="s">
        <v>3450</v>
      </c>
    </row>
    <row r="77" spans="1:14" ht="40" customHeight="1">
      <c r="A77" s="8" t="s">
        <v>92</v>
      </c>
      <c r="B77" s="8" t="s">
        <v>105</v>
      </c>
      <c r="C77" s="8" t="s">
        <v>3647</v>
      </c>
      <c r="D77" s="8" t="s">
        <v>183</v>
      </c>
      <c r="E77" s="8" t="s">
        <v>3622</v>
      </c>
      <c r="F77" s="8" t="s">
        <v>3452</v>
      </c>
      <c r="G77" s="8" t="s">
        <v>2740</v>
      </c>
      <c r="H77" s="8" t="s">
        <v>3648</v>
      </c>
      <c r="I77" s="8" t="s">
        <v>1008</v>
      </c>
      <c r="J77" s="8" t="s">
        <v>102</v>
      </c>
      <c r="K77" s="8" t="s">
        <v>908</v>
      </c>
      <c r="L77" s="7" t="s">
        <v>42</v>
      </c>
      <c r="M77" s="7"/>
      <c r="N77" s="8" t="s">
        <v>3450</v>
      </c>
    </row>
    <row r="78" spans="1:14" ht="40" customHeight="1">
      <c r="A78" s="4" t="s">
        <v>107</v>
      </c>
      <c r="B78" s="4" t="s">
        <v>108</v>
      </c>
      <c r="C78" s="4" t="s">
        <v>3649</v>
      </c>
      <c r="D78" s="4" t="s">
        <v>183</v>
      </c>
      <c r="E78" s="4" t="s">
        <v>41</v>
      </c>
      <c r="F78" s="4" t="s">
        <v>3452</v>
      </c>
      <c r="G78" s="4" t="s">
        <v>3650</v>
      </c>
      <c r="H78" s="4" t="s">
        <v>3463</v>
      </c>
      <c r="I78" s="4" t="s">
        <v>1051</v>
      </c>
      <c r="J78" s="4" t="s">
        <v>118</v>
      </c>
      <c r="K78" s="4" t="s">
        <v>908</v>
      </c>
      <c r="L78" s="7" t="s">
        <v>42</v>
      </c>
      <c r="M78" s="7"/>
      <c r="N78" s="4" t="s">
        <v>3450</v>
      </c>
    </row>
    <row r="79" spans="1:14" ht="40" customHeight="1">
      <c r="A79" s="8" t="s">
        <v>107</v>
      </c>
      <c r="B79" s="8" t="s">
        <v>108</v>
      </c>
      <c r="C79" s="8" t="s">
        <v>3651</v>
      </c>
      <c r="D79" s="8" t="s">
        <v>183</v>
      </c>
      <c r="E79" s="8" t="s">
        <v>41</v>
      </c>
      <c r="F79" s="8" t="s">
        <v>3452</v>
      </c>
      <c r="G79" s="8" t="s">
        <v>3652</v>
      </c>
      <c r="H79" s="8" t="s">
        <v>3485</v>
      </c>
      <c r="I79" s="8" t="s">
        <v>1051</v>
      </c>
      <c r="J79" s="8" t="s">
        <v>118</v>
      </c>
      <c r="K79" s="8" t="s">
        <v>908</v>
      </c>
      <c r="L79" s="7" t="s">
        <v>42</v>
      </c>
      <c r="M79" s="7"/>
      <c r="N79" s="8" t="s">
        <v>3450</v>
      </c>
    </row>
    <row r="80" spans="1:14" ht="40" customHeight="1">
      <c r="A80" s="4" t="s">
        <v>107</v>
      </c>
      <c r="B80" s="4" t="s">
        <v>108</v>
      </c>
      <c r="C80" s="4" t="s">
        <v>3653</v>
      </c>
      <c r="D80" s="4" t="s">
        <v>183</v>
      </c>
      <c r="E80" s="4" t="s">
        <v>41</v>
      </c>
      <c r="F80" s="4" t="s">
        <v>3452</v>
      </c>
      <c r="G80" s="4" t="s">
        <v>3654</v>
      </c>
      <c r="H80" s="4" t="s">
        <v>3655</v>
      </c>
      <c r="I80" s="4" t="s">
        <v>1051</v>
      </c>
      <c r="J80" s="4" t="s">
        <v>118</v>
      </c>
      <c r="K80" s="4" t="s">
        <v>908</v>
      </c>
      <c r="L80" s="7" t="s">
        <v>42</v>
      </c>
      <c r="M80" s="7"/>
      <c r="N80" s="4" t="s">
        <v>3450</v>
      </c>
    </row>
    <row r="81" spans="1:14" ht="40" customHeight="1">
      <c r="A81" s="8" t="s">
        <v>107</v>
      </c>
      <c r="B81" s="8" t="s">
        <v>108</v>
      </c>
      <c r="C81" s="8" t="s">
        <v>3656</v>
      </c>
      <c r="D81" s="8" t="s">
        <v>183</v>
      </c>
      <c r="E81" s="8" t="s">
        <v>41</v>
      </c>
      <c r="F81" s="8" t="s">
        <v>3452</v>
      </c>
      <c r="G81" s="8" t="s">
        <v>3657</v>
      </c>
      <c r="H81" s="8" t="s">
        <v>3494</v>
      </c>
      <c r="I81" s="8" t="s">
        <v>1051</v>
      </c>
      <c r="J81" s="8" t="s">
        <v>118</v>
      </c>
      <c r="K81" s="8" t="s">
        <v>908</v>
      </c>
      <c r="L81" s="7" t="s">
        <v>42</v>
      </c>
      <c r="M81" s="7"/>
      <c r="N81" s="8" t="s">
        <v>3450</v>
      </c>
    </row>
    <row r="82" spans="1:14" ht="40" customHeight="1">
      <c r="A82" s="4" t="s">
        <v>107</v>
      </c>
      <c r="B82" s="4" t="s">
        <v>108</v>
      </c>
      <c r="C82" s="4" t="s">
        <v>3658</v>
      </c>
      <c r="D82" s="4" t="s">
        <v>183</v>
      </c>
      <c r="E82" s="4" t="s">
        <v>41</v>
      </c>
      <c r="F82" s="4" t="s">
        <v>3452</v>
      </c>
      <c r="G82" s="4" t="s">
        <v>3659</v>
      </c>
      <c r="H82" s="4" t="s">
        <v>3497</v>
      </c>
      <c r="I82" s="4" t="s">
        <v>1051</v>
      </c>
      <c r="J82" s="4" t="s">
        <v>118</v>
      </c>
      <c r="K82" s="4" t="s">
        <v>908</v>
      </c>
      <c r="L82" s="7" t="s">
        <v>42</v>
      </c>
      <c r="M82" s="7"/>
      <c r="N82" s="4" t="s">
        <v>3450</v>
      </c>
    </row>
    <row r="83" spans="1:14" ht="54" customHeight="1">
      <c r="A83" s="8" t="s">
        <v>107</v>
      </c>
      <c r="B83" s="8" t="s">
        <v>108</v>
      </c>
      <c r="C83" s="8" t="s">
        <v>3660</v>
      </c>
      <c r="D83" s="8" t="s">
        <v>208</v>
      </c>
      <c r="E83" s="8" t="s">
        <v>41</v>
      </c>
      <c r="F83" s="8" t="s">
        <v>3452</v>
      </c>
      <c r="G83" s="8" t="s">
        <v>3661</v>
      </c>
      <c r="H83" s="8" t="s">
        <v>3588</v>
      </c>
      <c r="I83" s="8" t="s">
        <v>1051</v>
      </c>
      <c r="J83" s="8" t="s">
        <v>118</v>
      </c>
      <c r="K83" s="8" t="s">
        <v>908</v>
      </c>
      <c r="L83" s="7" t="s">
        <v>42</v>
      </c>
      <c r="M83" s="7"/>
      <c r="N83" s="8" t="s">
        <v>3450</v>
      </c>
    </row>
    <row r="84" spans="1:14" ht="40" customHeight="1">
      <c r="A84" s="4" t="s">
        <v>107</v>
      </c>
      <c r="B84" s="4" t="s">
        <v>108</v>
      </c>
      <c r="C84" s="4" t="s">
        <v>3662</v>
      </c>
      <c r="D84" s="4" t="s">
        <v>208</v>
      </c>
      <c r="E84" s="4" t="s">
        <v>41</v>
      </c>
      <c r="F84" s="4" t="s">
        <v>3452</v>
      </c>
      <c r="G84" s="4" t="s">
        <v>3663</v>
      </c>
      <c r="H84" s="4" t="s">
        <v>3664</v>
      </c>
      <c r="I84" s="4" t="s">
        <v>1051</v>
      </c>
      <c r="J84" s="4" t="s">
        <v>118</v>
      </c>
      <c r="K84" s="4" t="s">
        <v>908</v>
      </c>
      <c r="L84" s="7" t="s">
        <v>42</v>
      </c>
      <c r="M84" s="7"/>
      <c r="N84" s="4" t="s">
        <v>3450</v>
      </c>
    </row>
    <row r="85" spans="1:14" ht="40" customHeight="1">
      <c r="A85" s="8" t="s">
        <v>107</v>
      </c>
      <c r="B85" s="8" t="s">
        <v>108</v>
      </c>
      <c r="C85" s="8" t="s">
        <v>3665</v>
      </c>
      <c r="D85" s="8" t="s">
        <v>208</v>
      </c>
      <c r="E85" s="8" t="s">
        <v>41</v>
      </c>
      <c r="F85" s="8" t="s">
        <v>3452</v>
      </c>
      <c r="G85" s="8" t="s">
        <v>3666</v>
      </c>
      <c r="H85" s="8" t="s">
        <v>3667</v>
      </c>
      <c r="I85" s="8" t="s">
        <v>1051</v>
      </c>
      <c r="J85" s="8" t="s">
        <v>118</v>
      </c>
      <c r="K85" s="8" t="s">
        <v>908</v>
      </c>
      <c r="L85" s="7" t="s">
        <v>42</v>
      </c>
      <c r="M85" s="7"/>
      <c r="N85" s="8" t="s">
        <v>3450</v>
      </c>
    </row>
    <row r="86" spans="1:14" ht="54" customHeight="1">
      <c r="A86" s="4" t="s">
        <v>107</v>
      </c>
      <c r="B86" s="4" t="s">
        <v>108</v>
      </c>
      <c r="C86" s="4" t="s">
        <v>3668</v>
      </c>
      <c r="D86" s="4" t="s">
        <v>208</v>
      </c>
      <c r="E86" s="4" t="s">
        <v>41</v>
      </c>
      <c r="F86" s="4" t="s">
        <v>3452</v>
      </c>
      <c r="G86" s="4" t="s">
        <v>3669</v>
      </c>
      <c r="H86" s="4" t="s">
        <v>3670</v>
      </c>
      <c r="I86" s="4" t="s">
        <v>1051</v>
      </c>
      <c r="J86" s="4" t="s">
        <v>118</v>
      </c>
      <c r="K86" s="4" t="s">
        <v>908</v>
      </c>
      <c r="L86" s="7" t="s">
        <v>42</v>
      </c>
      <c r="M86" s="7"/>
      <c r="N86" s="4" t="s">
        <v>3450</v>
      </c>
    </row>
    <row r="87" spans="1:14" ht="54" customHeight="1">
      <c r="A87" s="8" t="s">
        <v>107</v>
      </c>
      <c r="B87" s="8" t="s">
        <v>108</v>
      </c>
      <c r="C87" s="8" t="s">
        <v>3671</v>
      </c>
      <c r="D87" s="8" t="s">
        <v>208</v>
      </c>
      <c r="E87" s="8" t="s">
        <v>41</v>
      </c>
      <c r="F87" s="8" t="s">
        <v>3452</v>
      </c>
      <c r="G87" s="8" t="s">
        <v>3672</v>
      </c>
      <c r="H87" s="8" t="s">
        <v>3673</v>
      </c>
      <c r="I87" s="8" t="s">
        <v>1051</v>
      </c>
      <c r="J87" s="8" t="s">
        <v>118</v>
      </c>
      <c r="K87" s="8" t="s">
        <v>908</v>
      </c>
      <c r="L87" s="7" t="s">
        <v>42</v>
      </c>
      <c r="M87" s="7"/>
      <c r="N87" s="8" t="s">
        <v>3450</v>
      </c>
    </row>
    <row r="88" spans="1:14" ht="68" customHeight="1">
      <c r="A88" s="4" t="s">
        <v>107</v>
      </c>
      <c r="B88" s="4" t="s">
        <v>108</v>
      </c>
      <c r="C88" s="4" t="s">
        <v>3674</v>
      </c>
      <c r="D88" s="4" t="s">
        <v>208</v>
      </c>
      <c r="E88" s="4" t="s">
        <v>41</v>
      </c>
      <c r="F88" s="4" t="s">
        <v>3452</v>
      </c>
      <c r="G88" s="4" t="s">
        <v>3675</v>
      </c>
      <c r="H88" s="4" t="s">
        <v>3676</v>
      </c>
      <c r="I88" s="4" t="s">
        <v>1051</v>
      </c>
      <c r="J88" s="4" t="s">
        <v>118</v>
      </c>
      <c r="K88" s="4" t="s">
        <v>908</v>
      </c>
      <c r="L88" s="7" t="s">
        <v>42</v>
      </c>
      <c r="M88" s="7"/>
      <c r="N88" s="4" t="s">
        <v>3450</v>
      </c>
    </row>
    <row r="89" spans="1:14" ht="40" customHeight="1">
      <c r="A89" s="8" t="s">
        <v>107</v>
      </c>
      <c r="B89" s="8" t="s">
        <v>108</v>
      </c>
      <c r="C89" s="8" t="s">
        <v>3677</v>
      </c>
      <c r="D89" s="8" t="s">
        <v>208</v>
      </c>
      <c r="E89" s="8" t="s">
        <v>41</v>
      </c>
      <c r="F89" s="8" t="s">
        <v>3452</v>
      </c>
      <c r="G89" s="8" t="s">
        <v>3678</v>
      </c>
      <c r="H89" s="8" t="s">
        <v>3679</v>
      </c>
      <c r="I89" s="8" t="s">
        <v>1051</v>
      </c>
      <c r="J89" s="8" t="s">
        <v>118</v>
      </c>
      <c r="K89" s="8" t="s">
        <v>908</v>
      </c>
      <c r="L89" s="7" t="s">
        <v>42</v>
      </c>
      <c r="M89" s="7"/>
      <c r="N89" s="8" t="s">
        <v>3450</v>
      </c>
    </row>
    <row r="90" spans="1:14" ht="54" customHeight="1">
      <c r="A90" s="4" t="s">
        <v>107</v>
      </c>
      <c r="B90" s="4" t="s">
        <v>108</v>
      </c>
      <c r="C90" s="4" t="s">
        <v>3680</v>
      </c>
      <c r="D90" s="4" t="s">
        <v>208</v>
      </c>
      <c r="E90" s="4" t="s">
        <v>41</v>
      </c>
      <c r="F90" s="4" t="s">
        <v>3452</v>
      </c>
      <c r="G90" s="4" t="s">
        <v>3681</v>
      </c>
      <c r="H90" s="4" t="s">
        <v>3682</v>
      </c>
      <c r="I90" s="4" t="s">
        <v>1051</v>
      </c>
      <c r="J90" s="4" t="s">
        <v>118</v>
      </c>
      <c r="K90" s="4" t="s">
        <v>908</v>
      </c>
      <c r="L90" s="7" t="s">
        <v>42</v>
      </c>
      <c r="M90" s="7"/>
      <c r="N90" s="4" t="s">
        <v>3450</v>
      </c>
    </row>
    <row r="91" spans="1:14" ht="40" customHeight="1">
      <c r="A91" s="8" t="s">
        <v>107</v>
      </c>
      <c r="B91" s="8" t="s">
        <v>108</v>
      </c>
      <c r="C91" s="8" t="s">
        <v>3683</v>
      </c>
      <c r="D91" s="8" t="s">
        <v>208</v>
      </c>
      <c r="E91" s="8" t="s">
        <v>41</v>
      </c>
      <c r="F91" s="8" t="s">
        <v>3452</v>
      </c>
      <c r="G91" s="8" t="s">
        <v>3684</v>
      </c>
      <c r="H91" s="8" t="s">
        <v>3685</v>
      </c>
      <c r="I91" s="8" t="s">
        <v>1051</v>
      </c>
      <c r="J91" s="8" t="s">
        <v>118</v>
      </c>
      <c r="K91" s="8" t="s">
        <v>908</v>
      </c>
      <c r="L91" s="7" t="s">
        <v>42</v>
      </c>
      <c r="M91" s="7"/>
      <c r="N91" s="8" t="s">
        <v>3450</v>
      </c>
    </row>
    <row r="92" spans="1:14" ht="40" customHeight="1">
      <c r="A92" s="4" t="s">
        <v>107</v>
      </c>
      <c r="B92" s="4" t="s">
        <v>108</v>
      </c>
      <c r="C92" s="4" t="s">
        <v>3686</v>
      </c>
      <c r="D92" s="4" t="s">
        <v>208</v>
      </c>
      <c r="E92" s="4" t="s">
        <v>41</v>
      </c>
      <c r="F92" s="4" t="s">
        <v>3452</v>
      </c>
      <c r="G92" s="4" t="s">
        <v>3687</v>
      </c>
      <c r="H92" s="4" t="s">
        <v>3688</v>
      </c>
      <c r="I92" s="4" t="s">
        <v>1051</v>
      </c>
      <c r="J92" s="4" t="s">
        <v>118</v>
      </c>
      <c r="K92" s="4" t="s">
        <v>908</v>
      </c>
      <c r="L92" s="7" t="s">
        <v>42</v>
      </c>
      <c r="M92" s="7"/>
      <c r="N92" s="4" t="s">
        <v>3450</v>
      </c>
    </row>
    <row r="93" spans="1:14" ht="54" customHeight="1">
      <c r="A93" s="8" t="s">
        <v>121</v>
      </c>
      <c r="B93" s="8" t="s">
        <v>134</v>
      </c>
      <c r="C93" s="8" t="s">
        <v>3689</v>
      </c>
      <c r="D93" s="8" t="s">
        <v>208</v>
      </c>
      <c r="E93" s="8" t="s">
        <v>41</v>
      </c>
      <c r="F93" s="8" t="s">
        <v>3452</v>
      </c>
      <c r="G93" s="8" t="s">
        <v>3690</v>
      </c>
      <c r="H93" s="8" t="s">
        <v>3449</v>
      </c>
      <c r="I93" s="8" t="s">
        <v>1074</v>
      </c>
      <c r="J93" s="8" t="s">
        <v>132</v>
      </c>
      <c r="K93" s="8" t="s">
        <v>908</v>
      </c>
      <c r="L93" s="7" t="s">
        <v>42</v>
      </c>
      <c r="M93" s="7"/>
      <c r="N93" s="8" t="s">
        <v>3450</v>
      </c>
    </row>
    <row r="94" spans="1:14" ht="54" customHeight="1">
      <c r="A94" s="4" t="s">
        <v>121</v>
      </c>
      <c r="B94" s="4" t="s">
        <v>134</v>
      </c>
      <c r="C94" s="4" t="s">
        <v>3691</v>
      </c>
      <c r="D94" s="4" t="s">
        <v>208</v>
      </c>
      <c r="E94" s="4" t="s">
        <v>41</v>
      </c>
      <c r="F94" s="4" t="s">
        <v>3452</v>
      </c>
      <c r="G94" s="4" t="s">
        <v>3692</v>
      </c>
      <c r="H94" s="4" t="s">
        <v>3466</v>
      </c>
      <c r="I94" s="4" t="s">
        <v>1074</v>
      </c>
      <c r="J94" s="4" t="s">
        <v>132</v>
      </c>
      <c r="K94" s="4" t="s">
        <v>908</v>
      </c>
      <c r="L94" s="7" t="s">
        <v>42</v>
      </c>
      <c r="M94" s="7"/>
      <c r="N94" s="4" t="s">
        <v>3450</v>
      </c>
    </row>
    <row r="95" spans="1:14" ht="40" customHeight="1">
      <c r="A95" s="8" t="s">
        <v>121</v>
      </c>
      <c r="B95" s="8" t="s">
        <v>134</v>
      </c>
      <c r="C95" s="8" t="s">
        <v>3693</v>
      </c>
      <c r="D95" s="8" t="s">
        <v>208</v>
      </c>
      <c r="E95" s="8" t="s">
        <v>41</v>
      </c>
      <c r="F95" s="8" t="s">
        <v>3452</v>
      </c>
      <c r="G95" s="8" t="s">
        <v>3694</v>
      </c>
      <c r="H95" s="8" t="s">
        <v>3469</v>
      </c>
      <c r="I95" s="8" t="s">
        <v>1074</v>
      </c>
      <c r="J95" s="8" t="s">
        <v>132</v>
      </c>
      <c r="K95" s="8" t="s">
        <v>908</v>
      </c>
      <c r="L95" s="7" t="s">
        <v>42</v>
      </c>
      <c r="M95" s="7"/>
      <c r="N95" s="8" t="s">
        <v>3450</v>
      </c>
    </row>
    <row r="96" spans="1:14" ht="40" customHeight="1">
      <c r="A96" s="4" t="s">
        <v>121</v>
      </c>
      <c r="B96" s="4" t="s">
        <v>134</v>
      </c>
      <c r="C96" s="4" t="s">
        <v>3695</v>
      </c>
      <c r="D96" s="4" t="s">
        <v>208</v>
      </c>
      <c r="E96" s="4" t="s">
        <v>41</v>
      </c>
      <c r="F96" s="4" t="s">
        <v>3452</v>
      </c>
      <c r="G96" s="4" t="s">
        <v>3696</v>
      </c>
      <c r="H96" s="4" t="s">
        <v>3472</v>
      </c>
      <c r="I96" s="4" t="s">
        <v>1074</v>
      </c>
      <c r="J96" s="4" t="s">
        <v>132</v>
      </c>
      <c r="K96" s="4" t="s">
        <v>908</v>
      </c>
      <c r="L96" s="7" t="s">
        <v>42</v>
      </c>
      <c r="M96" s="7"/>
      <c r="N96" s="4" t="s">
        <v>3450</v>
      </c>
    </row>
    <row r="97" spans="1:14" ht="40" customHeight="1">
      <c r="A97" s="8" t="s">
        <v>121</v>
      </c>
      <c r="B97" s="8" t="s">
        <v>134</v>
      </c>
      <c r="C97" s="8" t="s">
        <v>3697</v>
      </c>
      <c r="D97" s="8" t="s">
        <v>183</v>
      </c>
      <c r="E97" s="8" t="s">
        <v>41</v>
      </c>
      <c r="F97" s="8" t="s">
        <v>3452</v>
      </c>
      <c r="G97" s="8" t="s">
        <v>2792</v>
      </c>
      <c r="H97" s="8" t="s">
        <v>3698</v>
      </c>
      <c r="I97" s="8" t="s">
        <v>1074</v>
      </c>
      <c r="J97" s="8" t="s">
        <v>132</v>
      </c>
      <c r="K97" s="8" t="s">
        <v>908</v>
      </c>
      <c r="L97" s="7" t="s">
        <v>42</v>
      </c>
      <c r="M97" s="7"/>
      <c r="N97" s="8" t="s">
        <v>3450</v>
      </c>
    </row>
    <row r="98" spans="1:14" ht="40" customHeight="1">
      <c r="A98" s="4" t="s">
        <v>121</v>
      </c>
      <c r="B98" s="4" t="s">
        <v>134</v>
      </c>
      <c r="C98" s="4" t="s">
        <v>3699</v>
      </c>
      <c r="D98" s="4" t="s">
        <v>183</v>
      </c>
      <c r="E98" s="4" t="s">
        <v>41</v>
      </c>
      <c r="F98" s="4" t="s">
        <v>3452</v>
      </c>
      <c r="G98" s="4" t="s">
        <v>3700</v>
      </c>
      <c r="H98" s="4" t="s">
        <v>3701</v>
      </c>
      <c r="I98" s="4" t="s">
        <v>1074</v>
      </c>
      <c r="J98" s="4" t="s">
        <v>132</v>
      </c>
      <c r="K98" s="4" t="s">
        <v>908</v>
      </c>
      <c r="L98" s="7" t="s">
        <v>42</v>
      </c>
      <c r="M98" s="7"/>
      <c r="N98" s="4" t="s">
        <v>3450</v>
      </c>
    </row>
    <row r="99" spans="1:14" ht="54" customHeight="1">
      <c r="A99" s="8" t="s">
        <v>121</v>
      </c>
      <c r="B99" s="8" t="s">
        <v>134</v>
      </c>
      <c r="C99" s="8" t="s">
        <v>3702</v>
      </c>
      <c r="D99" s="8" t="s">
        <v>183</v>
      </c>
      <c r="E99" s="8" t="s">
        <v>41</v>
      </c>
      <c r="F99" s="8" t="s">
        <v>3452</v>
      </c>
      <c r="G99" s="8" t="s">
        <v>3703</v>
      </c>
      <c r="H99" s="8" t="s">
        <v>3704</v>
      </c>
      <c r="I99" s="8" t="s">
        <v>1074</v>
      </c>
      <c r="J99" s="8" t="s">
        <v>132</v>
      </c>
      <c r="K99" s="8" t="s">
        <v>908</v>
      </c>
      <c r="L99" s="7" t="s">
        <v>42</v>
      </c>
      <c r="M99" s="7"/>
      <c r="N99" s="8" t="s">
        <v>3450</v>
      </c>
    </row>
    <row r="100" spans="1:14" ht="54" customHeight="1">
      <c r="A100" s="4" t="s">
        <v>121</v>
      </c>
      <c r="B100" s="4" t="s">
        <v>134</v>
      </c>
      <c r="C100" s="4" t="s">
        <v>3705</v>
      </c>
      <c r="D100" s="4" t="s">
        <v>183</v>
      </c>
      <c r="E100" s="4" t="s">
        <v>41</v>
      </c>
      <c r="F100" s="4" t="s">
        <v>3452</v>
      </c>
      <c r="G100" s="4" t="s">
        <v>3706</v>
      </c>
      <c r="H100" s="4" t="s">
        <v>3707</v>
      </c>
      <c r="I100" s="4" t="s">
        <v>1074</v>
      </c>
      <c r="J100" s="4" t="s">
        <v>132</v>
      </c>
      <c r="K100" s="4" t="s">
        <v>908</v>
      </c>
      <c r="L100" s="7" t="s">
        <v>42</v>
      </c>
      <c r="M100" s="7"/>
      <c r="N100" s="4" t="s">
        <v>3450</v>
      </c>
    </row>
    <row r="101" spans="1:14" ht="68" customHeight="1">
      <c r="A101" s="8" t="s">
        <v>121</v>
      </c>
      <c r="B101" s="8" t="s">
        <v>134</v>
      </c>
      <c r="C101" s="8" t="s">
        <v>3708</v>
      </c>
      <c r="D101" s="8" t="s">
        <v>183</v>
      </c>
      <c r="E101" s="8" t="s">
        <v>41</v>
      </c>
      <c r="F101" s="8" t="s">
        <v>3452</v>
      </c>
      <c r="G101" s="8" t="s">
        <v>3709</v>
      </c>
      <c r="H101" s="8" t="s">
        <v>3710</v>
      </c>
      <c r="I101" s="8" t="s">
        <v>1074</v>
      </c>
      <c r="J101" s="8" t="s">
        <v>132</v>
      </c>
      <c r="K101" s="8" t="s">
        <v>908</v>
      </c>
      <c r="L101" s="7" t="s">
        <v>42</v>
      </c>
      <c r="M101" s="7"/>
      <c r="N101" s="8" t="s">
        <v>3450</v>
      </c>
    </row>
    <row r="102" spans="1:14" ht="54" customHeight="1">
      <c r="A102" s="4" t="s">
        <v>121</v>
      </c>
      <c r="B102" s="4" t="s">
        <v>134</v>
      </c>
      <c r="C102" s="4" t="s">
        <v>3711</v>
      </c>
      <c r="D102" s="4" t="s">
        <v>183</v>
      </c>
      <c r="E102" s="4" t="s">
        <v>41</v>
      </c>
      <c r="F102" s="4" t="s">
        <v>3452</v>
      </c>
      <c r="G102" s="4" t="s">
        <v>3712</v>
      </c>
      <c r="H102" s="4" t="s">
        <v>3713</v>
      </c>
      <c r="I102" s="4" t="s">
        <v>1074</v>
      </c>
      <c r="J102" s="4" t="s">
        <v>132</v>
      </c>
      <c r="K102" s="4" t="s">
        <v>908</v>
      </c>
      <c r="L102" s="7" t="s">
        <v>42</v>
      </c>
      <c r="M102" s="7"/>
      <c r="N102" s="4" t="s">
        <v>3450</v>
      </c>
    </row>
    <row r="103" spans="1:14" ht="40" customHeight="1">
      <c r="A103" s="8" t="s">
        <v>121</v>
      </c>
      <c r="B103" s="8" t="s">
        <v>134</v>
      </c>
      <c r="C103" s="8" t="s">
        <v>3714</v>
      </c>
      <c r="D103" s="8" t="s">
        <v>183</v>
      </c>
      <c r="E103" s="8" t="s">
        <v>41</v>
      </c>
      <c r="F103" s="8" t="s">
        <v>3452</v>
      </c>
      <c r="G103" s="8" t="s">
        <v>3715</v>
      </c>
      <c r="H103" s="8" t="s">
        <v>3716</v>
      </c>
      <c r="I103" s="8" t="s">
        <v>1074</v>
      </c>
      <c r="J103" s="8" t="s">
        <v>132</v>
      </c>
      <c r="K103" s="8" t="s">
        <v>908</v>
      </c>
      <c r="L103" s="7" t="s">
        <v>42</v>
      </c>
      <c r="M103" s="7"/>
      <c r="N103" s="8" t="s">
        <v>3450</v>
      </c>
    </row>
    <row r="104" spans="1:14" ht="40" customHeight="1">
      <c r="A104" s="4" t="s">
        <v>121</v>
      </c>
      <c r="B104" s="4" t="s">
        <v>134</v>
      </c>
      <c r="C104" s="4" t="s">
        <v>3717</v>
      </c>
      <c r="D104" s="4" t="s">
        <v>183</v>
      </c>
      <c r="E104" s="4" t="s">
        <v>41</v>
      </c>
      <c r="F104" s="4" t="s">
        <v>3452</v>
      </c>
      <c r="G104" s="4" t="s">
        <v>3718</v>
      </c>
      <c r="H104" s="4" t="s">
        <v>3719</v>
      </c>
      <c r="I104" s="4" t="s">
        <v>1074</v>
      </c>
      <c r="J104" s="4" t="s">
        <v>132</v>
      </c>
      <c r="K104" s="4" t="s">
        <v>908</v>
      </c>
      <c r="L104" s="7" t="s">
        <v>42</v>
      </c>
      <c r="M104" s="7"/>
      <c r="N104" s="4" t="s">
        <v>3450</v>
      </c>
    </row>
    <row r="105" spans="1:14" ht="40" customHeight="1">
      <c r="A105" s="8" t="s">
        <v>121</v>
      </c>
      <c r="B105" s="8" t="s">
        <v>134</v>
      </c>
      <c r="C105" s="8" t="s">
        <v>3720</v>
      </c>
      <c r="D105" s="8" t="s">
        <v>183</v>
      </c>
      <c r="E105" s="8" t="s">
        <v>41</v>
      </c>
      <c r="F105" s="8" t="s">
        <v>3452</v>
      </c>
      <c r="G105" s="8" t="s">
        <v>3721</v>
      </c>
      <c r="H105" s="8" t="s">
        <v>3722</v>
      </c>
      <c r="I105" s="8" t="s">
        <v>1074</v>
      </c>
      <c r="J105" s="8" t="s">
        <v>132</v>
      </c>
      <c r="K105" s="8" t="s">
        <v>908</v>
      </c>
      <c r="L105" s="7" t="s">
        <v>42</v>
      </c>
      <c r="M105" s="7"/>
      <c r="N105" s="8" t="s">
        <v>3450</v>
      </c>
    </row>
    <row r="106" spans="1:14" ht="40" customHeight="1">
      <c r="A106" s="4" t="s">
        <v>121</v>
      </c>
      <c r="B106" s="4" t="s">
        <v>134</v>
      </c>
      <c r="C106" s="4" t="s">
        <v>3723</v>
      </c>
      <c r="D106" s="4" t="s">
        <v>183</v>
      </c>
      <c r="E106" s="4" t="s">
        <v>41</v>
      </c>
      <c r="F106" s="4" t="s">
        <v>3452</v>
      </c>
      <c r="G106" s="4" t="s">
        <v>3724</v>
      </c>
      <c r="H106" s="4" t="s">
        <v>3725</v>
      </c>
      <c r="I106" s="4" t="s">
        <v>1074</v>
      </c>
      <c r="J106" s="4" t="s">
        <v>132</v>
      </c>
      <c r="K106" s="4" t="s">
        <v>908</v>
      </c>
      <c r="L106" s="7" t="s">
        <v>42</v>
      </c>
      <c r="M106" s="7"/>
      <c r="N106" s="4" t="s">
        <v>3450</v>
      </c>
    </row>
    <row r="107" spans="1:14" ht="40" customHeight="1">
      <c r="A107" s="8" t="s">
        <v>121</v>
      </c>
      <c r="B107" s="8" t="s">
        <v>134</v>
      </c>
      <c r="C107" s="8" t="s">
        <v>3726</v>
      </c>
      <c r="D107" s="8" t="s">
        <v>183</v>
      </c>
      <c r="E107" s="8" t="s">
        <v>41</v>
      </c>
      <c r="F107" s="8" t="s">
        <v>3452</v>
      </c>
      <c r="G107" s="8" t="s">
        <v>3727</v>
      </c>
      <c r="H107" s="8" t="s">
        <v>3728</v>
      </c>
      <c r="I107" s="8" t="s">
        <v>1074</v>
      </c>
      <c r="J107" s="8" t="s">
        <v>132</v>
      </c>
      <c r="K107" s="8" t="s">
        <v>908</v>
      </c>
      <c r="L107" s="7" t="s">
        <v>42</v>
      </c>
      <c r="M107" s="7"/>
      <c r="N107" s="8" t="s">
        <v>3450</v>
      </c>
    </row>
    <row r="108" spans="1:14" ht="54" customHeight="1">
      <c r="A108" s="4" t="s">
        <v>121</v>
      </c>
      <c r="B108" s="4" t="s">
        <v>134</v>
      </c>
      <c r="C108" s="4" t="s">
        <v>3729</v>
      </c>
      <c r="D108" s="4" t="s">
        <v>183</v>
      </c>
      <c r="E108" s="4" t="s">
        <v>41</v>
      </c>
      <c r="F108" s="4" t="s">
        <v>3452</v>
      </c>
      <c r="G108" s="4" t="s">
        <v>3730</v>
      </c>
      <c r="H108" s="4" t="s">
        <v>3731</v>
      </c>
      <c r="I108" s="4" t="s">
        <v>1074</v>
      </c>
      <c r="J108" s="4" t="s">
        <v>132</v>
      </c>
      <c r="K108" s="4" t="s">
        <v>908</v>
      </c>
      <c r="L108" s="7" t="s">
        <v>42</v>
      </c>
      <c r="M108" s="7"/>
      <c r="N108" s="4" t="s">
        <v>3450</v>
      </c>
    </row>
    <row r="109" spans="1:14" ht="40" customHeight="1">
      <c r="A109" s="8" t="s">
        <v>121</v>
      </c>
      <c r="B109" s="8" t="s">
        <v>134</v>
      </c>
      <c r="C109" s="8" t="s">
        <v>3732</v>
      </c>
      <c r="D109" s="8" t="s">
        <v>183</v>
      </c>
      <c r="E109" s="8" t="s">
        <v>41</v>
      </c>
      <c r="F109" s="8" t="s">
        <v>3452</v>
      </c>
      <c r="G109" s="8" t="s">
        <v>3733</v>
      </c>
      <c r="H109" s="8" t="s">
        <v>3734</v>
      </c>
      <c r="I109" s="8" t="s">
        <v>1074</v>
      </c>
      <c r="J109" s="8" t="s">
        <v>132</v>
      </c>
      <c r="K109" s="8" t="s">
        <v>908</v>
      </c>
      <c r="L109" s="7" t="s">
        <v>42</v>
      </c>
      <c r="M109" s="7"/>
      <c r="N109" s="8" t="s">
        <v>3450</v>
      </c>
    </row>
    <row r="110" spans="1:14" ht="68" customHeight="1">
      <c r="A110" s="4" t="s">
        <v>121</v>
      </c>
      <c r="B110" s="4" t="s">
        <v>134</v>
      </c>
      <c r="C110" s="4" t="s">
        <v>3735</v>
      </c>
      <c r="D110" s="4" t="s">
        <v>183</v>
      </c>
      <c r="E110" s="4" t="s">
        <v>41</v>
      </c>
      <c r="F110" s="4" t="s">
        <v>3452</v>
      </c>
      <c r="G110" s="4" t="s">
        <v>3736</v>
      </c>
      <c r="H110" s="4" t="s">
        <v>3737</v>
      </c>
      <c r="I110" s="4" t="s">
        <v>1074</v>
      </c>
      <c r="J110" s="4" t="s">
        <v>132</v>
      </c>
      <c r="K110" s="4" t="s">
        <v>908</v>
      </c>
      <c r="L110" s="7" t="s">
        <v>42</v>
      </c>
      <c r="M110" s="7"/>
      <c r="N110" s="4" t="s">
        <v>3450</v>
      </c>
    </row>
    <row r="111" spans="1:14" ht="40" customHeight="1">
      <c r="A111" s="8" t="s">
        <v>121</v>
      </c>
      <c r="B111" s="8" t="s">
        <v>134</v>
      </c>
      <c r="C111" s="8" t="s">
        <v>3738</v>
      </c>
      <c r="D111" s="8" t="s">
        <v>183</v>
      </c>
      <c r="E111" s="8" t="s">
        <v>41</v>
      </c>
      <c r="F111" s="8" t="s">
        <v>3452</v>
      </c>
      <c r="G111" s="8" t="s">
        <v>3739</v>
      </c>
      <c r="H111" s="8" t="s">
        <v>3740</v>
      </c>
      <c r="I111" s="8" t="s">
        <v>1074</v>
      </c>
      <c r="J111" s="8" t="s">
        <v>132</v>
      </c>
      <c r="K111" s="8" t="s">
        <v>908</v>
      </c>
      <c r="L111" s="7" t="s">
        <v>42</v>
      </c>
      <c r="M111" s="7"/>
      <c r="N111" s="8" t="s">
        <v>3450</v>
      </c>
    </row>
    <row r="112" spans="1:14" ht="54" customHeight="1">
      <c r="A112" s="4" t="s">
        <v>121</v>
      </c>
      <c r="B112" s="4" t="s">
        <v>134</v>
      </c>
      <c r="C112" s="4" t="s">
        <v>3741</v>
      </c>
      <c r="D112" s="4" t="s">
        <v>183</v>
      </c>
      <c r="E112" s="4" t="s">
        <v>41</v>
      </c>
      <c r="F112" s="4" t="s">
        <v>3452</v>
      </c>
      <c r="G112" s="4" t="s">
        <v>3742</v>
      </c>
      <c r="H112" s="4" t="s">
        <v>3743</v>
      </c>
      <c r="I112" s="4" t="s">
        <v>1074</v>
      </c>
      <c r="J112" s="4" t="s">
        <v>132</v>
      </c>
      <c r="K112" s="4" t="s">
        <v>908</v>
      </c>
      <c r="L112" s="7" t="s">
        <v>42</v>
      </c>
      <c r="M112" s="7"/>
      <c r="N112" s="4" t="s">
        <v>3450</v>
      </c>
    </row>
    <row r="113" spans="1:14" ht="40" customHeight="1">
      <c r="A113" s="8" t="s">
        <v>121</v>
      </c>
      <c r="B113" s="8" t="s">
        <v>134</v>
      </c>
      <c r="C113" s="8" t="s">
        <v>3744</v>
      </c>
      <c r="D113" s="8" t="s">
        <v>183</v>
      </c>
      <c r="E113" s="8" t="s">
        <v>41</v>
      </c>
      <c r="F113" s="8" t="s">
        <v>3452</v>
      </c>
      <c r="G113" s="8" t="s">
        <v>3745</v>
      </c>
      <c r="H113" s="8" t="s">
        <v>3746</v>
      </c>
      <c r="I113" s="8" t="s">
        <v>1074</v>
      </c>
      <c r="J113" s="8" t="s">
        <v>132</v>
      </c>
      <c r="K113" s="8" t="s">
        <v>908</v>
      </c>
      <c r="L113" s="7" t="s">
        <v>42</v>
      </c>
      <c r="M113" s="7"/>
      <c r="N113" s="8" t="s">
        <v>3450</v>
      </c>
    </row>
    <row r="114" spans="1:14" ht="40" customHeight="1">
      <c r="A114" s="4" t="s">
        <v>121</v>
      </c>
      <c r="B114" s="4" t="s">
        <v>134</v>
      </c>
      <c r="C114" s="4" t="s">
        <v>3747</v>
      </c>
      <c r="D114" s="4" t="s">
        <v>183</v>
      </c>
      <c r="E114" s="4" t="s">
        <v>41</v>
      </c>
      <c r="F114" s="4" t="s">
        <v>3452</v>
      </c>
      <c r="G114" s="4" t="s">
        <v>3748</v>
      </c>
      <c r="H114" s="4" t="s">
        <v>3749</v>
      </c>
      <c r="I114" s="4" t="s">
        <v>1074</v>
      </c>
      <c r="J114" s="4" t="s">
        <v>132</v>
      </c>
      <c r="K114" s="4" t="s">
        <v>908</v>
      </c>
      <c r="L114" s="7" t="s">
        <v>42</v>
      </c>
      <c r="M114" s="7"/>
      <c r="N114" s="4" t="s">
        <v>3450</v>
      </c>
    </row>
    <row r="115" spans="1:14" ht="54" customHeight="1">
      <c r="A115" s="8" t="s">
        <v>121</v>
      </c>
      <c r="B115" s="8" t="s">
        <v>134</v>
      </c>
      <c r="C115" s="8" t="s">
        <v>3750</v>
      </c>
      <c r="D115" s="8" t="s">
        <v>183</v>
      </c>
      <c r="E115" s="8" t="s">
        <v>41</v>
      </c>
      <c r="F115" s="8" t="s">
        <v>3452</v>
      </c>
      <c r="G115" s="8" t="s">
        <v>3751</v>
      </c>
      <c r="H115" s="8" t="s">
        <v>3752</v>
      </c>
      <c r="I115" s="8" t="s">
        <v>1074</v>
      </c>
      <c r="J115" s="8" t="s">
        <v>132</v>
      </c>
      <c r="K115" s="8" t="s">
        <v>908</v>
      </c>
      <c r="L115" s="7" t="s">
        <v>42</v>
      </c>
      <c r="M115" s="7"/>
      <c r="N115" s="8" t="s">
        <v>3450</v>
      </c>
    </row>
    <row r="116" spans="1:14" ht="54" customHeight="1">
      <c r="A116" s="4" t="s">
        <v>121</v>
      </c>
      <c r="B116" s="4" t="s">
        <v>134</v>
      </c>
      <c r="C116" s="4" t="s">
        <v>3753</v>
      </c>
      <c r="D116" s="4" t="s">
        <v>183</v>
      </c>
      <c r="E116" s="4" t="s">
        <v>41</v>
      </c>
      <c r="F116" s="4" t="s">
        <v>3452</v>
      </c>
      <c r="G116" s="4" t="s">
        <v>3754</v>
      </c>
      <c r="H116" s="4" t="s">
        <v>3755</v>
      </c>
      <c r="I116" s="4" t="s">
        <v>1074</v>
      </c>
      <c r="J116" s="4" t="s">
        <v>132</v>
      </c>
      <c r="K116" s="4" t="s">
        <v>908</v>
      </c>
      <c r="L116" s="7" t="s">
        <v>42</v>
      </c>
      <c r="M116" s="7"/>
      <c r="N116" s="4" t="s">
        <v>3450</v>
      </c>
    </row>
    <row r="117" spans="1:14" ht="54" customHeight="1">
      <c r="A117" s="8" t="s">
        <v>121</v>
      </c>
      <c r="B117" s="8" t="s">
        <v>134</v>
      </c>
      <c r="C117" s="8" t="s">
        <v>3756</v>
      </c>
      <c r="D117" s="8" t="s">
        <v>183</v>
      </c>
      <c r="E117" s="8" t="s">
        <v>41</v>
      </c>
      <c r="F117" s="8" t="s">
        <v>3452</v>
      </c>
      <c r="G117" s="8" t="s">
        <v>3757</v>
      </c>
      <c r="H117" s="8" t="s">
        <v>3758</v>
      </c>
      <c r="I117" s="8" t="s">
        <v>1074</v>
      </c>
      <c r="J117" s="8" t="s">
        <v>132</v>
      </c>
      <c r="K117" s="8" t="s">
        <v>908</v>
      </c>
      <c r="L117" s="7" t="s">
        <v>42</v>
      </c>
      <c r="M117" s="7"/>
      <c r="N117" s="8" t="s">
        <v>3450</v>
      </c>
    </row>
    <row r="118" spans="1:14" ht="40" customHeight="1">
      <c r="A118" s="4" t="s">
        <v>121</v>
      </c>
      <c r="B118" s="4" t="s">
        <v>134</v>
      </c>
      <c r="C118" s="4" t="s">
        <v>3759</v>
      </c>
      <c r="D118" s="4" t="s">
        <v>183</v>
      </c>
      <c r="E118" s="4" t="s">
        <v>41</v>
      </c>
      <c r="F118" s="4" t="s">
        <v>3452</v>
      </c>
      <c r="G118" s="4" t="s">
        <v>3760</v>
      </c>
      <c r="H118" s="4" t="s">
        <v>3761</v>
      </c>
      <c r="I118" s="4" t="s">
        <v>1074</v>
      </c>
      <c r="J118" s="4" t="s">
        <v>132</v>
      </c>
      <c r="K118" s="4" t="s">
        <v>908</v>
      </c>
      <c r="L118" s="7" t="s">
        <v>42</v>
      </c>
      <c r="M118" s="7"/>
      <c r="N118" s="4" t="s">
        <v>3450</v>
      </c>
    </row>
    <row r="119" spans="1:14" ht="54" customHeight="1">
      <c r="A119" s="8" t="s">
        <v>121</v>
      </c>
      <c r="B119" s="8" t="s">
        <v>134</v>
      </c>
      <c r="C119" s="8" t="s">
        <v>3762</v>
      </c>
      <c r="D119" s="8" t="s">
        <v>183</v>
      </c>
      <c r="E119" s="8" t="s">
        <v>41</v>
      </c>
      <c r="F119" s="8" t="s">
        <v>3452</v>
      </c>
      <c r="G119" s="8" t="s">
        <v>3763</v>
      </c>
      <c r="H119" s="8" t="s">
        <v>3764</v>
      </c>
      <c r="I119" s="8" t="s">
        <v>1074</v>
      </c>
      <c r="J119" s="8" t="s">
        <v>132</v>
      </c>
      <c r="K119" s="8" t="s">
        <v>908</v>
      </c>
      <c r="L119" s="7" t="s">
        <v>42</v>
      </c>
      <c r="M119" s="7"/>
      <c r="N119" s="8" t="s">
        <v>3450</v>
      </c>
    </row>
    <row r="120" spans="1:14" ht="40" customHeight="1">
      <c r="A120" s="4" t="s">
        <v>121</v>
      </c>
      <c r="B120" s="4" t="s">
        <v>134</v>
      </c>
      <c r="C120" s="4" t="s">
        <v>3765</v>
      </c>
      <c r="D120" s="4" t="s">
        <v>183</v>
      </c>
      <c r="E120" s="4" t="s">
        <v>41</v>
      </c>
      <c r="F120" s="4" t="s">
        <v>3452</v>
      </c>
      <c r="G120" s="4" t="s">
        <v>3766</v>
      </c>
      <c r="H120" s="4" t="s">
        <v>3767</v>
      </c>
      <c r="I120" s="4" t="s">
        <v>1074</v>
      </c>
      <c r="J120" s="4" t="s">
        <v>132</v>
      </c>
      <c r="K120" s="4" t="s">
        <v>908</v>
      </c>
      <c r="L120" s="7" t="s">
        <v>42</v>
      </c>
      <c r="M120" s="7"/>
      <c r="N120" s="4" t="s">
        <v>3450</v>
      </c>
    </row>
    <row r="121" spans="1:14" ht="40" customHeight="1">
      <c r="A121" s="8" t="s">
        <v>136</v>
      </c>
      <c r="B121" s="8" t="s">
        <v>145</v>
      </c>
      <c r="C121" s="8" t="s">
        <v>3768</v>
      </c>
      <c r="D121" s="8" t="s">
        <v>183</v>
      </c>
      <c r="E121" s="8" t="s">
        <v>41</v>
      </c>
      <c r="F121" s="8" t="s">
        <v>3452</v>
      </c>
      <c r="G121" s="8" t="s">
        <v>2792</v>
      </c>
      <c r="H121" s="8" t="s">
        <v>3769</v>
      </c>
      <c r="I121" s="8" t="s">
        <v>1135</v>
      </c>
      <c r="J121" s="8" t="s">
        <v>144</v>
      </c>
      <c r="K121" s="8" t="s">
        <v>908</v>
      </c>
      <c r="L121" s="7" t="s">
        <v>42</v>
      </c>
      <c r="M121" s="7"/>
      <c r="N121" s="8" t="s">
        <v>3450</v>
      </c>
    </row>
    <row r="122" spans="1:14" ht="40" customHeight="1">
      <c r="A122" s="4" t="s">
        <v>136</v>
      </c>
      <c r="B122" s="4" t="s">
        <v>145</v>
      </c>
      <c r="C122" s="4" t="s">
        <v>3770</v>
      </c>
      <c r="D122" s="4" t="s">
        <v>183</v>
      </c>
      <c r="E122" s="4" t="s">
        <v>41</v>
      </c>
      <c r="F122" s="4" t="s">
        <v>3452</v>
      </c>
      <c r="G122" s="4" t="s">
        <v>3700</v>
      </c>
      <c r="H122" s="4" t="s">
        <v>3469</v>
      </c>
      <c r="I122" s="4" t="s">
        <v>1135</v>
      </c>
      <c r="J122" s="4" t="s">
        <v>144</v>
      </c>
      <c r="K122" s="4" t="s">
        <v>908</v>
      </c>
      <c r="L122" s="7" t="s">
        <v>42</v>
      </c>
      <c r="M122" s="7"/>
      <c r="N122" s="4" t="s">
        <v>3450</v>
      </c>
    </row>
    <row r="123" spans="1:14" ht="54" customHeight="1">
      <c r="A123" s="8" t="s">
        <v>136</v>
      </c>
      <c r="B123" s="8" t="s">
        <v>145</v>
      </c>
      <c r="C123" s="8" t="s">
        <v>3771</v>
      </c>
      <c r="D123" s="8" t="s">
        <v>183</v>
      </c>
      <c r="E123" s="8" t="s">
        <v>41</v>
      </c>
      <c r="F123" s="8" t="s">
        <v>3452</v>
      </c>
      <c r="G123" s="8" t="s">
        <v>3703</v>
      </c>
      <c r="H123" s="8" t="s">
        <v>3475</v>
      </c>
      <c r="I123" s="8" t="s">
        <v>1135</v>
      </c>
      <c r="J123" s="8" t="s">
        <v>144</v>
      </c>
      <c r="K123" s="8" t="s">
        <v>908</v>
      </c>
      <c r="L123" s="7" t="s">
        <v>42</v>
      </c>
      <c r="M123" s="7"/>
      <c r="N123" s="8" t="s">
        <v>3450</v>
      </c>
    </row>
    <row r="124" spans="1:14" ht="54" customHeight="1">
      <c r="A124" s="4" t="s">
        <v>136</v>
      </c>
      <c r="B124" s="4" t="s">
        <v>145</v>
      </c>
      <c r="C124" s="4" t="s">
        <v>3772</v>
      </c>
      <c r="D124" s="4" t="s">
        <v>183</v>
      </c>
      <c r="E124" s="4" t="s">
        <v>41</v>
      </c>
      <c r="F124" s="4" t="s">
        <v>3452</v>
      </c>
      <c r="G124" s="4" t="s">
        <v>3706</v>
      </c>
      <c r="H124" s="4" t="s">
        <v>3603</v>
      </c>
      <c r="I124" s="4" t="s">
        <v>1135</v>
      </c>
      <c r="J124" s="4" t="s">
        <v>144</v>
      </c>
      <c r="K124" s="4" t="s">
        <v>908</v>
      </c>
      <c r="L124" s="7" t="s">
        <v>42</v>
      </c>
      <c r="M124" s="7"/>
      <c r="N124" s="4" t="s">
        <v>3450</v>
      </c>
    </row>
    <row r="125" spans="1:14" ht="68" customHeight="1">
      <c r="A125" s="8" t="s">
        <v>136</v>
      </c>
      <c r="B125" s="8" t="s">
        <v>145</v>
      </c>
      <c r="C125" s="8" t="s">
        <v>3773</v>
      </c>
      <c r="D125" s="8" t="s">
        <v>183</v>
      </c>
      <c r="E125" s="8" t="s">
        <v>41</v>
      </c>
      <c r="F125" s="8" t="s">
        <v>3452</v>
      </c>
      <c r="G125" s="8" t="s">
        <v>3709</v>
      </c>
      <c r="H125" s="8" t="s">
        <v>3608</v>
      </c>
      <c r="I125" s="8" t="s">
        <v>1135</v>
      </c>
      <c r="J125" s="8" t="s">
        <v>144</v>
      </c>
      <c r="K125" s="8" t="s">
        <v>908</v>
      </c>
      <c r="L125" s="7" t="s">
        <v>42</v>
      </c>
      <c r="M125" s="7"/>
      <c r="N125" s="8" t="s">
        <v>3450</v>
      </c>
    </row>
    <row r="126" spans="1:14" ht="54" customHeight="1">
      <c r="A126" s="4" t="s">
        <v>136</v>
      </c>
      <c r="B126" s="4" t="s">
        <v>145</v>
      </c>
      <c r="C126" s="4" t="s">
        <v>3774</v>
      </c>
      <c r="D126" s="4" t="s">
        <v>183</v>
      </c>
      <c r="E126" s="4" t="s">
        <v>41</v>
      </c>
      <c r="F126" s="4" t="s">
        <v>3452</v>
      </c>
      <c r="G126" s="4" t="s">
        <v>3712</v>
      </c>
      <c r="H126" s="4" t="s">
        <v>3775</v>
      </c>
      <c r="I126" s="4" t="s">
        <v>1135</v>
      </c>
      <c r="J126" s="4" t="s">
        <v>144</v>
      </c>
      <c r="K126" s="4" t="s">
        <v>908</v>
      </c>
      <c r="L126" s="7" t="s">
        <v>42</v>
      </c>
      <c r="M126" s="7"/>
      <c r="N126" s="4" t="s">
        <v>3450</v>
      </c>
    </row>
    <row r="127" spans="1:14" ht="40" customHeight="1">
      <c r="A127" s="8" t="s">
        <v>136</v>
      </c>
      <c r="B127" s="8" t="s">
        <v>145</v>
      </c>
      <c r="C127" s="8" t="s">
        <v>3776</v>
      </c>
      <c r="D127" s="8" t="s">
        <v>183</v>
      </c>
      <c r="E127" s="8" t="s">
        <v>41</v>
      </c>
      <c r="F127" s="8" t="s">
        <v>3452</v>
      </c>
      <c r="G127" s="8" t="s">
        <v>3715</v>
      </c>
      <c r="H127" s="8" t="s">
        <v>3777</v>
      </c>
      <c r="I127" s="8" t="s">
        <v>1135</v>
      </c>
      <c r="J127" s="8" t="s">
        <v>144</v>
      </c>
      <c r="K127" s="8" t="s">
        <v>908</v>
      </c>
      <c r="L127" s="7" t="s">
        <v>42</v>
      </c>
      <c r="M127" s="7"/>
      <c r="N127" s="8" t="s">
        <v>3450</v>
      </c>
    </row>
    <row r="128" spans="1:14" ht="40" customHeight="1">
      <c r="A128" s="4" t="s">
        <v>136</v>
      </c>
      <c r="B128" s="4" t="s">
        <v>145</v>
      </c>
      <c r="C128" s="4" t="s">
        <v>3778</v>
      </c>
      <c r="D128" s="4" t="s">
        <v>183</v>
      </c>
      <c r="E128" s="4" t="s">
        <v>41</v>
      </c>
      <c r="F128" s="4" t="s">
        <v>3452</v>
      </c>
      <c r="G128" s="4" t="s">
        <v>3718</v>
      </c>
      <c r="H128" s="4" t="s">
        <v>3779</v>
      </c>
      <c r="I128" s="4" t="s">
        <v>1135</v>
      </c>
      <c r="J128" s="4" t="s">
        <v>144</v>
      </c>
      <c r="K128" s="4" t="s">
        <v>908</v>
      </c>
      <c r="L128" s="7" t="s">
        <v>42</v>
      </c>
      <c r="M128" s="7"/>
      <c r="N128" s="4" t="s">
        <v>3450</v>
      </c>
    </row>
    <row r="129" spans="1:14" ht="40" customHeight="1">
      <c r="A129" s="8" t="s">
        <v>136</v>
      </c>
      <c r="B129" s="8" t="s">
        <v>145</v>
      </c>
      <c r="C129" s="8" t="s">
        <v>3780</v>
      </c>
      <c r="D129" s="8" t="s">
        <v>183</v>
      </c>
      <c r="E129" s="8" t="s">
        <v>41</v>
      </c>
      <c r="F129" s="8" t="s">
        <v>3452</v>
      </c>
      <c r="G129" s="8" t="s">
        <v>3721</v>
      </c>
      <c r="H129" s="8" t="s">
        <v>3781</v>
      </c>
      <c r="I129" s="8" t="s">
        <v>1135</v>
      </c>
      <c r="J129" s="8" t="s">
        <v>144</v>
      </c>
      <c r="K129" s="8" t="s">
        <v>908</v>
      </c>
      <c r="L129" s="7" t="s">
        <v>42</v>
      </c>
      <c r="M129" s="7"/>
      <c r="N129" s="8" t="s">
        <v>3450</v>
      </c>
    </row>
    <row r="130" spans="1:14" ht="40" customHeight="1">
      <c r="A130" s="4" t="s">
        <v>136</v>
      </c>
      <c r="B130" s="4" t="s">
        <v>145</v>
      </c>
      <c r="C130" s="4" t="s">
        <v>3782</v>
      </c>
      <c r="D130" s="4" t="s">
        <v>183</v>
      </c>
      <c r="E130" s="4" t="s">
        <v>41</v>
      </c>
      <c r="F130" s="4" t="s">
        <v>3452</v>
      </c>
      <c r="G130" s="4" t="s">
        <v>3724</v>
      </c>
      <c r="H130" s="4" t="s">
        <v>3783</v>
      </c>
      <c r="I130" s="4" t="s">
        <v>1135</v>
      </c>
      <c r="J130" s="4" t="s">
        <v>144</v>
      </c>
      <c r="K130" s="4" t="s">
        <v>908</v>
      </c>
      <c r="L130" s="7" t="s">
        <v>42</v>
      </c>
      <c r="M130" s="7"/>
      <c r="N130" s="4" t="s">
        <v>3450</v>
      </c>
    </row>
    <row r="131" spans="1:14" ht="40" customHeight="1">
      <c r="A131" s="8" t="s">
        <v>136</v>
      </c>
      <c r="B131" s="8" t="s">
        <v>145</v>
      </c>
      <c r="C131" s="8" t="s">
        <v>3784</v>
      </c>
      <c r="D131" s="8" t="s">
        <v>183</v>
      </c>
      <c r="E131" s="8" t="s">
        <v>41</v>
      </c>
      <c r="F131" s="8" t="s">
        <v>3452</v>
      </c>
      <c r="G131" s="8" t="s">
        <v>3727</v>
      </c>
      <c r="H131" s="8" t="s">
        <v>3785</v>
      </c>
      <c r="I131" s="8" t="s">
        <v>1135</v>
      </c>
      <c r="J131" s="8" t="s">
        <v>144</v>
      </c>
      <c r="K131" s="8" t="s">
        <v>908</v>
      </c>
      <c r="L131" s="7" t="s">
        <v>42</v>
      </c>
      <c r="M131" s="7"/>
      <c r="N131" s="8" t="s">
        <v>3450</v>
      </c>
    </row>
    <row r="132" spans="1:14" ht="54" customHeight="1">
      <c r="A132" s="4" t="s">
        <v>136</v>
      </c>
      <c r="B132" s="4" t="s">
        <v>145</v>
      </c>
      <c r="C132" s="4" t="s">
        <v>3786</v>
      </c>
      <c r="D132" s="4" t="s">
        <v>183</v>
      </c>
      <c r="E132" s="4" t="s">
        <v>41</v>
      </c>
      <c r="F132" s="4" t="s">
        <v>3452</v>
      </c>
      <c r="G132" s="4" t="s">
        <v>3730</v>
      </c>
      <c r="H132" s="4" t="s">
        <v>3787</v>
      </c>
      <c r="I132" s="4" t="s">
        <v>1135</v>
      </c>
      <c r="J132" s="4" t="s">
        <v>144</v>
      </c>
      <c r="K132" s="4" t="s">
        <v>908</v>
      </c>
      <c r="L132" s="7" t="s">
        <v>42</v>
      </c>
      <c r="M132" s="7"/>
      <c r="N132" s="4" t="s">
        <v>3450</v>
      </c>
    </row>
    <row r="133" spans="1:14" ht="40" customHeight="1">
      <c r="A133" s="8" t="s">
        <v>136</v>
      </c>
      <c r="B133" s="8" t="s">
        <v>145</v>
      </c>
      <c r="C133" s="8" t="s">
        <v>3788</v>
      </c>
      <c r="D133" s="8" t="s">
        <v>183</v>
      </c>
      <c r="E133" s="8" t="s">
        <v>41</v>
      </c>
      <c r="F133" s="8" t="s">
        <v>3452</v>
      </c>
      <c r="G133" s="8" t="s">
        <v>3733</v>
      </c>
      <c r="H133" s="8" t="s">
        <v>3789</v>
      </c>
      <c r="I133" s="8" t="s">
        <v>1135</v>
      </c>
      <c r="J133" s="8" t="s">
        <v>144</v>
      </c>
      <c r="K133" s="8" t="s">
        <v>908</v>
      </c>
      <c r="L133" s="7" t="s">
        <v>42</v>
      </c>
      <c r="M133" s="7"/>
      <c r="N133" s="8" t="s">
        <v>3450</v>
      </c>
    </row>
    <row r="134" spans="1:14" ht="68" customHeight="1">
      <c r="A134" s="4" t="s">
        <v>136</v>
      </c>
      <c r="B134" s="4" t="s">
        <v>145</v>
      </c>
      <c r="C134" s="4" t="s">
        <v>3790</v>
      </c>
      <c r="D134" s="4" t="s">
        <v>183</v>
      </c>
      <c r="E134" s="4" t="s">
        <v>41</v>
      </c>
      <c r="F134" s="4" t="s">
        <v>3452</v>
      </c>
      <c r="G134" s="4" t="s">
        <v>3736</v>
      </c>
      <c r="H134" s="4" t="s">
        <v>3791</v>
      </c>
      <c r="I134" s="4" t="s">
        <v>1135</v>
      </c>
      <c r="J134" s="4" t="s">
        <v>144</v>
      </c>
      <c r="K134" s="4" t="s">
        <v>908</v>
      </c>
      <c r="L134" s="7" t="s">
        <v>42</v>
      </c>
      <c r="M134" s="7"/>
      <c r="N134" s="4" t="s">
        <v>3450</v>
      </c>
    </row>
    <row r="135" spans="1:14" ht="40" customHeight="1">
      <c r="A135" s="8" t="s">
        <v>136</v>
      </c>
      <c r="B135" s="8" t="s">
        <v>145</v>
      </c>
      <c r="C135" s="8" t="s">
        <v>3792</v>
      </c>
      <c r="D135" s="8" t="s">
        <v>183</v>
      </c>
      <c r="E135" s="8" t="s">
        <v>41</v>
      </c>
      <c r="F135" s="8" t="s">
        <v>3452</v>
      </c>
      <c r="G135" s="8" t="s">
        <v>3739</v>
      </c>
      <c r="H135" s="8" t="s">
        <v>3793</v>
      </c>
      <c r="I135" s="8" t="s">
        <v>1135</v>
      </c>
      <c r="J135" s="8" t="s">
        <v>144</v>
      </c>
      <c r="K135" s="8" t="s">
        <v>908</v>
      </c>
      <c r="L135" s="7" t="s">
        <v>42</v>
      </c>
      <c r="M135" s="7"/>
      <c r="N135" s="8" t="s">
        <v>3450</v>
      </c>
    </row>
    <row r="136" spans="1:14" ht="54" customHeight="1">
      <c r="A136" s="4" t="s">
        <v>136</v>
      </c>
      <c r="B136" s="4" t="s">
        <v>145</v>
      </c>
      <c r="C136" s="4" t="s">
        <v>3794</v>
      </c>
      <c r="D136" s="4" t="s">
        <v>183</v>
      </c>
      <c r="E136" s="4" t="s">
        <v>41</v>
      </c>
      <c r="F136" s="4" t="s">
        <v>3452</v>
      </c>
      <c r="G136" s="4" t="s">
        <v>3742</v>
      </c>
      <c r="H136" s="4" t="s">
        <v>3795</v>
      </c>
      <c r="I136" s="4" t="s">
        <v>1135</v>
      </c>
      <c r="J136" s="4" t="s">
        <v>144</v>
      </c>
      <c r="K136" s="4" t="s">
        <v>908</v>
      </c>
      <c r="L136" s="7" t="s">
        <v>42</v>
      </c>
      <c r="M136" s="7"/>
      <c r="N136" s="4" t="s">
        <v>3450</v>
      </c>
    </row>
    <row r="137" spans="1:14" ht="40" customHeight="1">
      <c r="A137" s="8" t="s">
        <v>136</v>
      </c>
      <c r="B137" s="8" t="s">
        <v>145</v>
      </c>
      <c r="C137" s="8" t="s">
        <v>3796</v>
      </c>
      <c r="D137" s="8" t="s">
        <v>183</v>
      </c>
      <c r="E137" s="8" t="s">
        <v>41</v>
      </c>
      <c r="F137" s="8" t="s">
        <v>3452</v>
      </c>
      <c r="G137" s="8" t="s">
        <v>3745</v>
      </c>
      <c r="H137" s="8" t="s">
        <v>3797</v>
      </c>
      <c r="I137" s="8" t="s">
        <v>1135</v>
      </c>
      <c r="J137" s="8" t="s">
        <v>144</v>
      </c>
      <c r="K137" s="8" t="s">
        <v>908</v>
      </c>
      <c r="L137" s="7" t="s">
        <v>42</v>
      </c>
      <c r="M137" s="7"/>
      <c r="N137" s="8" t="s">
        <v>3450</v>
      </c>
    </row>
    <row r="138" spans="1:14" ht="40" customHeight="1">
      <c r="A138" s="4" t="s">
        <v>136</v>
      </c>
      <c r="B138" s="4" t="s">
        <v>145</v>
      </c>
      <c r="C138" s="4" t="s">
        <v>3798</v>
      </c>
      <c r="D138" s="4" t="s">
        <v>183</v>
      </c>
      <c r="E138" s="4" t="s">
        <v>41</v>
      </c>
      <c r="F138" s="4" t="s">
        <v>3452</v>
      </c>
      <c r="G138" s="4" t="s">
        <v>3748</v>
      </c>
      <c r="H138" s="4" t="s">
        <v>3799</v>
      </c>
      <c r="I138" s="4" t="s">
        <v>1135</v>
      </c>
      <c r="J138" s="4" t="s">
        <v>144</v>
      </c>
      <c r="K138" s="4" t="s">
        <v>908</v>
      </c>
      <c r="L138" s="7" t="s">
        <v>42</v>
      </c>
      <c r="M138" s="7"/>
      <c r="N138" s="4" t="s">
        <v>3450</v>
      </c>
    </row>
    <row r="139" spans="1:14" ht="54" customHeight="1">
      <c r="A139" s="8" t="s">
        <v>136</v>
      </c>
      <c r="B139" s="8" t="s">
        <v>145</v>
      </c>
      <c r="C139" s="8" t="s">
        <v>3800</v>
      </c>
      <c r="D139" s="8" t="s">
        <v>183</v>
      </c>
      <c r="E139" s="8" t="s">
        <v>41</v>
      </c>
      <c r="F139" s="8" t="s">
        <v>3452</v>
      </c>
      <c r="G139" s="8" t="s">
        <v>3751</v>
      </c>
      <c r="H139" s="8" t="s">
        <v>3801</v>
      </c>
      <c r="I139" s="8" t="s">
        <v>1135</v>
      </c>
      <c r="J139" s="8" t="s">
        <v>144</v>
      </c>
      <c r="K139" s="8" t="s">
        <v>908</v>
      </c>
      <c r="L139" s="7" t="s">
        <v>42</v>
      </c>
      <c r="M139" s="7"/>
      <c r="N139" s="8" t="s">
        <v>3450</v>
      </c>
    </row>
    <row r="140" spans="1:14" ht="54" customHeight="1">
      <c r="A140" s="4" t="s">
        <v>136</v>
      </c>
      <c r="B140" s="4" t="s">
        <v>145</v>
      </c>
      <c r="C140" s="4" t="s">
        <v>3802</v>
      </c>
      <c r="D140" s="4" t="s">
        <v>183</v>
      </c>
      <c r="E140" s="4" t="s">
        <v>41</v>
      </c>
      <c r="F140" s="4" t="s">
        <v>3452</v>
      </c>
      <c r="G140" s="4" t="s">
        <v>3754</v>
      </c>
      <c r="H140" s="4" t="s">
        <v>3803</v>
      </c>
      <c r="I140" s="4" t="s">
        <v>1135</v>
      </c>
      <c r="J140" s="4" t="s">
        <v>144</v>
      </c>
      <c r="K140" s="4" t="s">
        <v>908</v>
      </c>
      <c r="L140" s="7" t="s">
        <v>42</v>
      </c>
      <c r="M140" s="7"/>
      <c r="N140" s="4" t="s">
        <v>3450</v>
      </c>
    </row>
    <row r="141" spans="1:14" ht="54" customHeight="1">
      <c r="A141" s="8" t="s">
        <v>136</v>
      </c>
      <c r="B141" s="8" t="s">
        <v>145</v>
      </c>
      <c r="C141" s="8" t="s">
        <v>3804</v>
      </c>
      <c r="D141" s="8" t="s">
        <v>183</v>
      </c>
      <c r="E141" s="8" t="s">
        <v>41</v>
      </c>
      <c r="F141" s="8" t="s">
        <v>3452</v>
      </c>
      <c r="G141" s="8" t="s">
        <v>3757</v>
      </c>
      <c r="H141" s="8" t="s">
        <v>3805</v>
      </c>
      <c r="I141" s="8" t="s">
        <v>1135</v>
      </c>
      <c r="J141" s="8" t="s">
        <v>144</v>
      </c>
      <c r="K141" s="8" t="s">
        <v>908</v>
      </c>
      <c r="L141" s="7" t="s">
        <v>42</v>
      </c>
      <c r="M141" s="7"/>
      <c r="N141" s="8" t="s">
        <v>3450</v>
      </c>
    </row>
    <row r="142" spans="1:14" ht="40" customHeight="1">
      <c r="A142" s="4" t="s">
        <v>136</v>
      </c>
      <c r="B142" s="4" t="s">
        <v>145</v>
      </c>
      <c r="C142" s="4" t="s">
        <v>3806</v>
      </c>
      <c r="D142" s="4" t="s">
        <v>183</v>
      </c>
      <c r="E142" s="4" t="s">
        <v>41</v>
      </c>
      <c r="F142" s="4" t="s">
        <v>3452</v>
      </c>
      <c r="G142" s="4" t="s">
        <v>3760</v>
      </c>
      <c r="H142" s="4" t="s">
        <v>3807</v>
      </c>
      <c r="I142" s="4" t="s">
        <v>1135</v>
      </c>
      <c r="J142" s="4" t="s">
        <v>144</v>
      </c>
      <c r="K142" s="4" t="s">
        <v>908</v>
      </c>
      <c r="L142" s="7" t="s">
        <v>42</v>
      </c>
      <c r="M142" s="7"/>
      <c r="N142" s="4" t="s">
        <v>3450</v>
      </c>
    </row>
    <row r="143" spans="1:14" ht="54" customHeight="1">
      <c r="A143" s="8" t="s">
        <v>136</v>
      </c>
      <c r="B143" s="8" t="s">
        <v>145</v>
      </c>
      <c r="C143" s="8" t="s">
        <v>3808</v>
      </c>
      <c r="D143" s="8" t="s">
        <v>183</v>
      </c>
      <c r="E143" s="8" t="s">
        <v>41</v>
      </c>
      <c r="F143" s="8" t="s">
        <v>3452</v>
      </c>
      <c r="G143" s="8" t="s">
        <v>3763</v>
      </c>
      <c r="H143" s="8" t="s">
        <v>3809</v>
      </c>
      <c r="I143" s="8" t="s">
        <v>1135</v>
      </c>
      <c r="J143" s="8" t="s">
        <v>144</v>
      </c>
      <c r="K143" s="8" t="s">
        <v>908</v>
      </c>
      <c r="L143" s="7" t="s">
        <v>42</v>
      </c>
      <c r="M143" s="7"/>
      <c r="N143" s="8" t="s">
        <v>3450</v>
      </c>
    </row>
    <row r="144" spans="1:14" ht="40" customHeight="1">
      <c r="A144" s="4" t="s">
        <v>136</v>
      </c>
      <c r="B144" s="4" t="s">
        <v>145</v>
      </c>
      <c r="C144" s="4" t="s">
        <v>3810</v>
      </c>
      <c r="D144" s="4" t="s">
        <v>183</v>
      </c>
      <c r="E144" s="4" t="s">
        <v>41</v>
      </c>
      <c r="F144" s="4" t="s">
        <v>3452</v>
      </c>
      <c r="G144" s="4" t="s">
        <v>3766</v>
      </c>
      <c r="H144" s="4" t="s">
        <v>3811</v>
      </c>
      <c r="I144" s="4" t="s">
        <v>1135</v>
      </c>
      <c r="J144" s="4" t="s">
        <v>144</v>
      </c>
      <c r="K144" s="4" t="s">
        <v>908</v>
      </c>
      <c r="L144" s="7" t="s">
        <v>42</v>
      </c>
      <c r="M144" s="7"/>
      <c r="N144" s="4" t="s">
        <v>3450</v>
      </c>
    </row>
    <row r="145" spans="1:14" ht="40" customHeight="1">
      <c r="A145" s="8" t="s">
        <v>136</v>
      </c>
      <c r="B145" s="8" t="s">
        <v>145</v>
      </c>
      <c r="C145" s="8" t="s">
        <v>3812</v>
      </c>
      <c r="D145" s="8" t="s">
        <v>208</v>
      </c>
      <c r="E145" s="8" t="s">
        <v>41</v>
      </c>
      <c r="F145" s="8" t="s">
        <v>3452</v>
      </c>
      <c r="G145" s="8" t="s">
        <v>3813</v>
      </c>
      <c r="H145" s="8" t="s">
        <v>3460</v>
      </c>
      <c r="I145" s="8" t="s">
        <v>1135</v>
      </c>
      <c r="J145" s="8" t="s">
        <v>144</v>
      </c>
      <c r="K145" s="8" t="s">
        <v>908</v>
      </c>
      <c r="L145" s="7" t="s">
        <v>42</v>
      </c>
      <c r="M145" s="7"/>
      <c r="N145" s="8" t="s">
        <v>3450</v>
      </c>
    </row>
    <row r="146" spans="1:14" ht="54" customHeight="1">
      <c r="A146" s="4" t="s">
        <v>136</v>
      </c>
      <c r="B146" s="4" t="s">
        <v>145</v>
      </c>
      <c r="C146" s="4" t="s">
        <v>3814</v>
      </c>
      <c r="D146" s="4" t="s">
        <v>208</v>
      </c>
      <c r="E146" s="4" t="s">
        <v>41</v>
      </c>
      <c r="F146" s="4" t="s">
        <v>3452</v>
      </c>
      <c r="G146" s="4" t="s">
        <v>3692</v>
      </c>
      <c r="H146" s="4" t="s">
        <v>3815</v>
      </c>
      <c r="I146" s="4" t="s">
        <v>1135</v>
      </c>
      <c r="J146" s="4" t="s">
        <v>144</v>
      </c>
      <c r="K146" s="4" t="s">
        <v>908</v>
      </c>
      <c r="L146" s="7" t="s">
        <v>42</v>
      </c>
      <c r="M146" s="7"/>
      <c r="N146" s="4" t="s">
        <v>3450</v>
      </c>
    </row>
    <row r="147" spans="1:14" ht="40" customHeight="1">
      <c r="A147" s="8" t="s">
        <v>136</v>
      </c>
      <c r="B147" s="8" t="s">
        <v>145</v>
      </c>
      <c r="C147" s="8" t="s">
        <v>3816</v>
      </c>
      <c r="D147" s="8" t="s">
        <v>208</v>
      </c>
      <c r="E147" s="8" t="s">
        <v>41</v>
      </c>
      <c r="F147" s="8" t="s">
        <v>3452</v>
      </c>
      <c r="G147" s="8" t="s">
        <v>3817</v>
      </c>
      <c r="H147" s="8" t="s">
        <v>3701</v>
      </c>
      <c r="I147" s="8" t="s">
        <v>1135</v>
      </c>
      <c r="J147" s="8" t="s">
        <v>144</v>
      </c>
      <c r="K147" s="8" t="s">
        <v>908</v>
      </c>
      <c r="L147" s="7" t="s">
        <v>42</v>
      </c>
      <c r="M147" s="7"/>
      <c r="N147" s="8" t="s">
        <v>3450</v>
      </c>
    </row>
    <row r="148" spans="1:14" ht="40" customHeight="1">
      <c r="A148" s="4" t="s">
        <v>136</v>
      </c>
      <c r="B148" s="4" t="s">
        <v>145</v>
      </c>
      <c r="C148" s="4" t="s">
        <v>3818</v>
      </c>
      <c r="D148" s="4" t="s">
        <v>208</v>
      </c>
      <c r="E148" s="4" t="s">
        <v>41</v>
      </c>
      <c r="F148" s="4" t="s">
        <v>3452</v>
      </c>
      <c r="G148" s="4" t="s">
        <v>3696</v>
      </c>
      <c r="H148" s="4" t="s">
        <v>3819</v>
      </c>
      <c r="I148" s="4" t="s">
        <v>1135</v>
      </c>
      <c r="J148" s="4" t="s">
        <v>144</v>
      </c>
      <c r="K148" s="4" t="s">
        <v>908</v>
      </c>
      <c r="L148" s="7" t="s">
        <v>42</v>
      </c>
      <c r="M148" s="7"/>
      <c r="N148" s="4" t="s">
        <v>3450</v>
      </c>
    </row>
    <row r="149" spans="1:14" ht="40" customHeight="1">
      <c r="A149" s="8" t="s">
        <v>147</v>
      </c>
      <c r="B149" s="8" t="s">
        <v>148</v>
      </c>
      <c r="C149" s="8" t="s">
        <v>3820</v>
      </c>
      <c r="D149" s="8" t="s">
        <v>160</v>
      </c>
      <c r="E149" s="8" t="s">
        <v>41</v>
      </c>
      <c r="F149" s="8" t="s">
        <v>3452</v>
      </c>
      <c r="G149" s="8" t="s">
        <v>151</v>
      </c>
      <c r="H149" s="8" t="s">
        <v>3821</v>
      </c>
      <c r="I149" s="8" t="s">
        <v>1152</v>
      </c>
      <c r="J149" s="8" t="s">
        <v>157</v>
      </c>
      <c r="K149" s="8" t="s">
        <v>908</v>
      </c>
      <c r="L149" s="7" t="s">
        <v>42</v>
      </c>
      <c r="M149" s="7"/>
      <c r="N149" s="8" t="s">
        <v>3450</v>
      </c>
    </row>
    <row r="150" spans="1:14" ht="40" customHeight="1">
      <c r="A150" s="4" t="s">
        <v>163</v>
      </c>
      <c r="B150" s="4" t="s">
        <v>164</v>
      </c>
      <c r="C150" s="4" t="s">
        <v>3822</v>
      </c>
      <c r="D150" s="4" t="s">
        <v>160</v>
      </c>
      <c r="E150" s="4" t="s">
        <v>41</v>
      </c>
      <c r="F150" s="4" t="s">
        <v>3452</v>
      </c>
      <c r="G150" s="4" t="s">
        <v>167</v>
      </c>
      <c r="H150" s="4" t="s">
        <v>3821</v>
      </c>
      <c r="I150" s="4" t="s">
        <v>1180</v>
      </c>
      <c r="J150" s="4" t="s">
        <v>170</v>
      </c>
      <c r="K150" s="4" t="s">
        <v>908</v>
      </c>
      <c r="L150" s="7" t="s">
        <v>42</v>
      </c>
      <c r="M150" s="7"/>
      <c r="N150" s="4" t="s">
        <v>3450</v>
      </c>
    </row>
    <row r="151" spans="1:14" ht="40" customHeight="1">
      <c r="A151" s="8" t="s">
        <v>173</v>
      </c>
      <c r="B151" s="8" t="s">
        <v>174</v>
      </c>
      <c r="C151" s="8" t="s">
        <v>3823</v>
      </c>
      <c r="D151" s="8" t="s">
        <v>183</v>
      </c>
      <c r="E151" s="8" t="s">
        <v>2792</v>
      </c>
      <c r="F151" s="8" t="s">
        <v>3448</v>
      </c>
      <c r="G151" s="8" t="s">
        <v>2792</v>
      </c>
      <c r="H151" s="8" t="s">
        <v>3449</v>
      </c>
      <c r="I151" s="8" t="s">
        <v>1194</v>
      </c>
      <c r="J151" s="8" t="s">
        <v>182</v>
      </c>
      <c r="K151" s="8" t="s">
        <v>908</v>
      </c>
      <c r="L151" s="7" t="s">
        <v>42</v>
      </c>
      <c r="M151" s="7"/>
      <c r="N151" s="8" t="s">
        <v>3450</v>
      </c>
    </row>
    <row r="152" spans="1:14" ht="40" customHeight="1">
      <c r="A152" s="4" t="s">
        <v>173</v>
      </c>
      <c r="B152" s="4" t="s">
        <v>174</v>
      </c>
      <c r="C152" s="4" t="s">
        <v>3824</v>
      </c>
      <c r="D152" s="4" t="s">
        <v>183</v>
      </c>
      <c r="E152" s="4" t="s">
        <v>2792</v>
      </c>
      <c r="F152" s="4" t="s">
        <v>3452</v>
      </c>
      <c r="G152" s="4" t="s">
        <v>3825</v>
      </c>
      <c r="H152" s="4" t="s">
        <v>3466</v>
      </c>
      <c r="I152" s="4" t="s">
        <v>1194</v>
      </c>
      <c r="J152" s="4" t="s">
        <v>182</v>
      </c>
      <c r="K152" s="4" t="s">
        <v>908</v>
      </c>
      <c r="L152" s="7" t="s">
        <v>42</v>
      </c>
      <c r="M152" s="7"/>
      <c r="N152" s="4" t="s">
        <v>3450</v>
      </c>
    </row>
    <row r="153" spans="1:14" ht="40" customHeight="1">
      <c r="A153" s="8" t="s">
        <v>173</v>
      </c>
      <c r="B153" s="8" t="s">
        <v>174</v>
      </c>
      <c r="C153" s="8" t="s">
        <v>3826</v>
      </c>
      <c r="D153" s="8" t="s">
        <v>183</v>
      </c>
      <c r="E153" s="8" t="s">
        <v>2792</v>
      </c>
      <c r="F153" s="8" t="s">
        <v>3452</v>
      </c>
      <c r="G153" s="8" t="s">
        <v>3827</v>
      </c>
      <c r="H153" s="8" t="s">
        <v>3469</v>
      </c>
      <c r="I153" s="8" t="s">
        <v>1194</v>
      </c>
      <c r="J153" s="8" t="s">
        <v>182</v>
      </c>
      <c r="K153" s="8" t="s">
        <v>908</v>
      </c>
      <c r="L153" s="7" t="s">
        <v>42</v>
      </c>
      <c r="M153" s="7"/>
      <c r="N153" s="8" t="s">
        <v>3450</v>
      </c>
    </row>
    <row r="154" spans="1:14" ht="40" customHeight="1">
      <c r="A154" s="4" t="s">
        <v>173</v>
      </c>
      <c r="B154" s="4" t="s">
        <v>174</v>
      </c>
      <c r="C154" s="4" t="s">
        <v>3828</v>
      </c>
      <c r="D154" s="4" t="s">
        <v>183</v>
      </c>
      <c r="E154" s="4" t="s">
        <v>2792</v>
      </c>
      <c r="F154" s="4" t="s">
        <v>3452</v>
      </c>
      <c r="G154" s="4" t="s">
        <v>3829</v>
      </c>
      <c r="H154" s="4" t="s">
        <v>3472</v>
      </c>
      <c r="I154" s="4" t="s">
        <v>1194</v>
      </c>
      <c r="J154" s="4" t="s">
        <v>182</v>
      </c>
      <c r="K154" s="4" t="s">
        <v>908</v>
      </c>
      <c r="L154" s="7" t="s">
        <v>42</v>
      </c>
      <c r="M154" s="7"/>
      <c r="N154" s="4" t="s">
        <v>3450</v>
      </c>
    </row>
    <row r="155" spans="1:14" ht="40" customHeight="1">
      <c r="A155" s="8" t="s">
        <v>173</v>
      </c>
      <c r="B155" s="8" t="s">
        <v>174</v>
      </c>
      <c r="C155" s="8" t="s">
        <v>3830</v>
      </c>
      <c r="D155" s="8" t="s">
        <v>183</v>
      </c>
      <c r="E155" s="8" t="s">
        <v>2792</v>
      </c>
      <c r="F155" s="8" t="s">
        <v>3452</v>
      </c>
      <c r="G155" s="8" t="s">
        <v>3831</v>
      </c>
      <c r="H155" s="8" t="s">
        <v>3475</v>
      </c>
      <c r="I155" s="8" t="s">
        <v>1194</v>
      </c>
      <c r="J155" s="8" t="s">
        <v>182</v>
      </c>
      <c r="K155" s="8" t="s">
        <v>908</v>
      </c>
      <c r="L155" s="7" t="s">
        <v>42</v>
      </c>
      <c r="M155" s="7"/>
      <c r="N155" s="8" t="s">
        <v>3450</v>
      </c>
    </row>
    <row r="156" spans="1:14" ht="40" customHeight="1">
      <c r="A156" s="4" t="s">
        <v>173</v>
      </c>
      <c r="B156" s="4" t="s">
        <v>174</v>
      </c>
      <c r="C156" s="4" t="s">
        <v>3832</v>
      </c>
      <c r="D156" s="4" t="s">
        <v>183</v>
      </c>
      <c r="E156" s="4" t="s">
        <v>2792</v>
      </c>
      <c r="F156" s="4" t="s">
        <v>3452</v>
      </c>
      <c r="G156" s="4" t="s">
        <v>3833</v>
      </c>
      <c r="H156" s="4" t="s">
        <v>3478</v>
      </c>
      <c r="I156" s="4" t="s">
        <v>1194</v>
      </c>
      <c r="J156" s="4" t="s">
        <v>182</v>
      </c>
      <c r="K156" s="4" t="s">
        <v>908</v>
      </c>
      <c r="L156" s="7" t="s">
        <v>42</v>
      </c>
      <c r="M156" s="7"/>
      <c r="N156" s="4" t="s">
        <v>3450</v>
      </c>
    </row>
    <row r="157" spans="1:14" ht="40" customHeight="1">
      <c r="A157" s="8" t="s">
        <v>173</v>
      </c>
      <c r="B157" s="8" t="s">
        <v>174</v>
      </c>
      <c r="C157" s="8" t="s">
        <v>3834</v>
      </c>
      <c r="D157" s="8" t="s">
        <v>183</v>
      </c>
      <c r="E157" s="8" t="s">
        <v>2792</v>
      </c>
      <c r="F157" s="8" t="s">
        <v>3452</v>
      </c>
      <c r="G157" s="8" t="s">
        <v>3835</v>
      </c>
      <c r="H157" s="8" t="s">
        <v>3603</v>
      </c>
      <c r="I157" s="8" t="s">
        <v>1194</v>
      </c>
      <c r="J157" s="8" t="s">
        <v>182</v>
      </c>
      <c r="K157" s="8" t="s">
        <v>908</v>
      </c>
      <c r="L157" s="7" t="s">
        <v>42</v>
      </c>
      <c r="M157" s="7"/>
      <c r="N157" s="8" t="s">
        <v>3450</v>
      </c>
    </row>
    <row r="158" spans="1:14" ht="40" customHeight="1">
      <c r="A158" s="4" t="s">
        <v>173</v>
      </c>
      <c r="B158" s="4" t="s">
        <v>174</v>
      </c>
      <c r="C158" s="4" t="s">
        <v>3836</v>
      </c>
      <c r="D158" s="4" t="s">
        <v>183</v>
      </c>
      <c r="E158" s="4" t="s">
        <v>3837</v>
      </c>
      <c r="F158" s="4" t="s">
        <v>3448</v>
      </c>
      <c r="G158" s="4" t="s">
        <v>3837</v>
      </c>
      <c r="H158" s="4" t="s">
        <v>3838</v>
      </c>
      <c r="I158" s="4" t="s">
        <v>1194</v>
      </c>
      <c r="J158" s="4" t="s">
        <v>182</v>
      </c>
      <c r="K158" s="4" t="s">
        <v>908</v>
      </c>
      <c r="L158" s="7" t="s">
        <v>42</v>
      </c>
      <c r="M158" s="7"/>
      <c r="N158" s="4" t="s">
        <v>3450</v>
      </c>
    </row>
    <row r="159" spans="1:14" ht="40" customHeight="1">
      <c r="A159" s="8" t="s">
        <v>173</v>
      </c>
      <c r="B159" s="8" t="s">
        <v>174</v>
      </c>
      <c r="C159" s="8" t="s">
        <v>3839</v>
      </c>
      <c r="D159" s="8" t="s">
        <v>183</v>
      </c>
      <c r="E159" s="8" t="s">
        <v>3837</v>
      </c>
      <c r="F159" s="8" t="s">
        <v>3452</v>
      </c>
      <c r="G159" s="8" t="s">
        <v>3840</v>
      </c>
      <c r="H159" s="8" t="s">
        <v>3608</v>
      </c>
      <c r="I159" s="8" t="s">
        <v>1194</v>
      </c>
      <c r="J159" s="8" t="s">
        <v>182</v>
      </c>
      <c r="K159" s="8" t="s">
        <v>908</v>
      </c>
      <c r="L159" s="7" t="s">
        <v>42</v>
      </c>
      <c r="M159" s="7"/>
      <c r="N159" s="8" t="s">
        <v>3450</v>
      </c>
    </row>
    <row r="160" spans="1:14" ht="40" customHeight="1">
      <c r="A160" s="4" t="s">
        <v>173</v>
      </c>
      <c r="B160" s="4" t="s">
        <v>174</v>
      </c>
      <c r="C160" s="4" t="s">
        <v>3841</v>
      </c>
      <c r="D160" s="4" t="s">
        <v>183</v>
      </c>
      <c r="E160" s="4" t="s">
        <v>3837</v>
      </c>
      <c r="F160" s="4" t="s">
        <v>3452</v>
      </c>
      <c r="G160" s="4" t="s">
        <v>3842</v>
      </c>
      <c r="H160" s="4" t="s">
        <v>3611</v>
      </c>
      <c r="I160" s="4" t="s">
        <v>1194</v>
      </c>
      <c r="J160" s="4" t="s">
        <v>182</v>
      </c>
      <c r="K160" s="4" t="s">
        <v>908</v>
      </c>
      <c r="L160" s="7" t="s">
        <v>42</v>
      </c>
      <c r="M160" s="7"/>
      <c r="N160" s="4" t="s">
        <v>3450</v>
      </c>
    </row>
    <row r="161" spans="1:14" ht="40" customHeight="1">
      <c r="A161" s="8" t="s">
        <v>173</v>
      </c>
      <c r="B161" s="8" t="s">
        <v>174</v>
      </c>
      <c r="C161" s="8" t="s">
        <v>3843</v>
      </c>
      <c r="D161" s="8" t="s">
        <v>183</v>
      </c>
      <c r="E161" s="8" t="s">
        <v>3837</v>
      </c>
      <c r="F161" s="8" t="s">
        <v>3452</v>
      </c>
      <c r="G161" s="8" t="s">
        <v>3844</v>
      </c>
      <c r="H161" s="8" t="s">
        <v>3775</v>
      </c>
      <c r="I161" s="8" t="s">
        <v>1194</v>
      </c>
      <c r="J161" s="8" t="s">
        <v>182</v>
      </c>
      <c r="K161" s="8" t="s">
        <v>908</v>
      </c>
      <c r="L161" s="7" t="s">
        <v>42</v>
      </c>
      <c r="M161" s="7"/>
      <c r="N161" s="8" t="s">
        <v>3450</v>
      </c>
    </row>
    <row r="162" spans="1:14" ht="40" customHeight="1">
      <c r="A162" s="4" t="s">
        <v>173</v>
      </c>
      <c r="B162" s="4" t="s">
        <v>174</v>
      </c>
      <c r="C162" s="4" t="s">
        <v>3845</v>
      </c>
      <c r="D162" s="4" t="s">
        <v>183</v>
      </c>
      <c r="E162" s="4" t="s">
        <v>3837</v>
      </c>
      <c r="F162" s="4" t="s">
        <v>3452</v>
      </c>
      <c r="G162" s="4" t="s">
        <v>3846</v>
      </c>
      <c r="H162" s="4" t="s">
        <v>3847</v>
      </c>
      <c r="I162" s="4" t="s">
        <v>1194</v>
      </c>
      <c r="J162" s="4" t="s">
        <v>182</v>
      </c>
      <c r="K162" s="4" t="s">
        <v>908</v>
      </c>
      <c r="L162" s="7" t="s">
        <v>42</v>
      </c>
      <c r="M162" s="7"/>
      <c r="N162" s="4" t="s">
        <v>3450</v>
      </c>
    </row>
    <row r="163" spans="1:14" ht="40" customHeight="1">
      <c r="A163" s="8" t="s">
        <v>186</v>
      </c>
      <c r="B163" s="8" t="s">
        <v>187</v>
      </c>
      <c r="C163" s="8" t="s">
        <v>3848</v>
      </c>
      <c r="D163" s="8" t="s">
        <v>183</v>
      </c>
      <c r="E163" s="8" t="s">
        <v>41</v>
      </c>
      <c r="F163" s="8" t="s">
        <v>3452</v>
      </c>
      <c r="G163" s="8" t="s">
        <v>3849</v>
      </c>
      <c r="H163" s="8" t="s">
        <v>3463</v>
      </c>
      <c r="I163" s="8" t="s">
        <v>1238</v>
      </c>
      <c r="J163" s="8" t="s">
        <v>195</v>
      </c>
      <c r="K163" s="8" t="s">
        <v>908</v>
      </c>
      <c r="L163" s="7" t="s">
        <v>42</v>
      </c>
      <c r="M163" s="7"/>
      <c r="N163" s="8" t="s">
        <v>3450</v>
      </c>
    </row>
    <row r="164" spans="1:14" ht="40" customHeight="1">
      <c r="A164" s="4" t="s">
        <v>186</v>
      </c>
      <c r="B164" s="4" t="s">
        <v>187</v>
      </c>
      <c r="C164" s="4" t="s">
        <v>3850</v>
      </c>
      <c r="D164" s="4" t="s">
        <v>183</v>
      </c>
      <c r="E164" s="4" t="s">
        <v>3851</v>
      </c>
      <c r="F164" s="4" t="s">
        <v>3448</v>
      </c>
      <c r="G164" s="4" t="s">
        <v>3851</v>
      </c>
      <c r="H164" s="4" t="s">
        <v>3466</v>
      </c>
      <c r="I164" s="4" t="s">
        <v>1238</v>
      </c>
      <c r="J164" s="4" t="s">
        <v>195</v>
      </c>
      <c r="K164" s="4" t="s">
        <v>908</v>
      </c>
      <c r="L164" s="7" t="s">
        <v>42</v>
      </c>
      <c r="M164" s="7"/>
      <c r="N164" s="4" t="s">
        <v>3450</v>
      </c>
    </row>
    <row r="165" spans="1:14" ht="54" customHeight="1">
      <c r="A165" s="8" t="s">
        <v>186</v>
      </c>
      <c r="B165" s="8" t="s">
        <v>187</v>
      </c>
      <c r="C165" s="8" t="s">
        <v>3852</v>
      </c>
      <c r="D165" s="8" t="s">
        <v>183</v>
      </c>
      <c r="E165" s="8" t="s">
        <v>3851</v>
      </c>
      <c r="F165" s="8" t="s">
        <v>3452</v>
      </c>
      <c r="G165" s="8" t="s">
        <v>3853</v>
      </c>
      <c r="H165" s="8" t="s">
        <v>3469</v>
      </c>
      <c r="I165" s="8" t="s">
        <v>1238</v>
      </c>
      <c r="J165" s="8" t="s">
        <v>195</v>
      </c>
      <c r="K165" s="8" t="s">
        <v>908</v>
      </c>
      <c r="L165" s="7" t="s">
        <v>42</v>
      </c>
      <c r="M165" s="7"/>
      <c r="N165" s="8" t="s">
        <v>3450</v>
      </c>
    </row>
    <row r="166" spans="1:14" ht="40" customHeight="1">
      <c r="A166" s="4" t="s">
        <v>186</v>
      </c>
      <c r="B166" s="4" t="s">
        <v>187</v>
      </c>
      <c r="C166" s="4" t="s">
        <v>3854</v>
      </c>
      <c r="D166" s="4" t="s">
        <v>183</v>
      </c>
      <c r="E166" s="4" t="s">
        <v>3855</v>
      </c>
      <c r="F166" s="4" t="s">
        <v>3448</v>
      </c>
      <c r="G166" s="4" t="s">
        <v>3855</v>
      </c>
      <c r="H166" s="4" t="s">
        <v>3472</v>
      </c>
      <c r="I166" s="4" t="s">
        <v>1238</v>
      </c>
      <c r="J166" s="4" t="s">
        <v>195</v>
      </c>
      <c r="K166" s="4" t="s">
        <v>908</v>
      </c>
      <c r="L166" s="7" t="s">
        <v>42</v>
      </c>
      <c r="M166" s="7"/>
      <c r="N166" s="4" t="s">
        <v>3450</v>
      </c>
    </row>
    <row r="167" spans="1:14" ht="40" customHeight="1">
      <c r="A167" s="8" t="s">
        <v>186</v>
      </c>
      <c r="B167" s="8" t="s">
        <v>187</v>
      </c>
      <c r="C167" s="8" t="s">
        <v>3856</v>
      </c>
      <c r="D167" s="8" t="s">
        <v>183</v>
      </c>
      <c r="E167" s="8" t="s">
        <v>3855</v>
      </c>
      <c r="F167" s="8" t="s">
        <v>3452</v>
      </c>
      <c r="G167" s="8" t="s">
        <v>3857</v>
      </c>
      <c r="H167" s="8" t="s">
        <v>3475</v>
      </c>
      <c r="I167" s="8" t="s">
        <v>1238</v>
      </c>
      <c r="J167" s="8" t="s">
        <v>195</v>
      </c>
      <c r="K167" s="8" t="s">
        <v>908</v>
      </c>
      <c r="L167" s="7" t="s">
        <v>42</v>
      </c>
      <c r="M167" s="7"/>
      <c r="N167" s="8" t="s">
        <v>3450</v>
      </c>
    </row>
    <row r="168" spans="1:14" ht="40" customHeight="1">
      <c r="A168" s="4" t="s">
        <v>186</v>
      </c>
      <c r="B168" s="4" t="s">
        <v>187</v>
      </c>
      <c r="C168" s="4" t="s">
        <v>3858</v>
      </c>
      <c r="D168" s="4" t="s">
        <v>183</v>
      </c>
      <c r="E168" s="4" t="s">
        <v>3855</v>
      </c>
      <c r="F168" s="4" t="s">
        <v>3452</v>
      </c>
      <c r="G168" s="4" t="s">
        <v>3859</v>
      </c>
      <c r="H168" s="4" t="s">
        <v>3541</v>
      </c>
      <c r="I168" s="4" t="s">
        <v>1238</v>
      </c>
      <c r="J168" s="4" t="s">
        <v>195</v>
      </c>
      <c r="K168" s="4" t="s">
        <v>908</v>
      </c>
      <c r="L168" s="7" t="s">
        <v>42</v>
      </c>
      <c r="M168" s="7"/>
      <c r="N168" s="4" t="s">
        <v>3450</v>
      </c>
    </row>
    <row r="169" spans="1:14" ht="40" customHeight="1">
      <c r="A169" s="8" t="s">
        <v>186</v>
      </c>
      <c r="B169" s="8" t="s">
        <v>187</v>
      </c>
      <c r="C169" s="8" t="s">
        <v>3860</v>
      </c>
      <c r="D169" s="8" t="s">
        <v>183</v>
      </c>
      <c r="E169" s="8" t="s">
        <v>3861</v>
      </c>
      <c r="F169" s="8" t="s">
        <v>3448</v>
      </c>
      <c r="G169" s="8" t="s">
        <v>3861</v>
      </c>
      <c r="H169" s="8" t="s">
        <v>3603</v>
      </c>
      <c r="I169" s="8" t="s">
        <v>1238</v>
      </c>
      <c r="J169" s="8" t="s">
        <v>195</v>
      </c>
      <c r="K169" s="8" t="s">
        <v>908</v>
      </c>
      <c r="L169" s="7" t="s">
        <v>42</v>
      </c>
      <c r="M169" s="7"/>
      <c r="N169" s="8" t="s">
        <v>3450</v>
      </c>
    </row>
    <row r="170" spans="1:14" ht="40" customHeight="1">
      <c r="A170" s="4" t="s">
        <v>186</v>
      </c>
      <c r="B170" s="4" t="s">
        <v>187</v>
      </c>
      <c r="C170" s="4" t="s">
        <v>3862</v>
      </c>
      <c r="D170" s="4" t="s">
        <v>183</v>
      </c>
      <c r="E170" s="4" t="s">
        <v>3861</v>
      </c>
      <c r="F170" s="4" t="s">
        <v>3452</v>
      </c>
      <c r="G170" s="4" t="s">
        <v>3863</v>
      </c>
      <c r="H170" s="4" t="s">
        <v>3838</v>
      </c>
      <c r="I170" s="4" t="s">
        <v>1238</v>
      </c>
      <c r="J170" s="4" t="s">
        <v>195</v>
      </c>
      <c r="K170" s="4" t="s">
        <v>908</v>
      </c>
      <c r="L170" s="7" t="s">
        <v>42</v>
      </c>
      <c r="M170" s="7"/>
      <c r="N170" s="4" t="s">
        <v>3450</v>
      </c>
    </row>
    <row r="171" spans="1:14" ht="40" customHeight="1">
      <c r="A171" s="8" t="s">
        <v>186</v>
      </c>
      <c r="B171" s="8" t="s">
        <v>187</v>
      </c>
      <c r="C171" s="8" t="s">
        <v>3864</v>
      </c>
      <c r="D171" s="8" t="s">
        <v>183</v>
      </c>
      <c r="E171" s="8" t="s">
        <v>3865</v>
      </c>
      <c r="F171" s="8" t="s">
        <v>3448</v>
      </c>
      <c r="G171" s="8" t="s">
        <v>3865</v>
      </c>
      <c r="H171" s="8" t="s">
        <v>3608</v>
      </c>
      <c r="I171" s="8" t="s">
        <v>1238</v>
      </c>
      <c r="J171" s="8" t="s">
        <v>195</v>
      </c>
      <c r="K171" s="8" t="s">
        <v>908</v>
      </c>
      <c r="L171" s="7" t="s">
        <v>42</v>
      </c>
      <c r="M171" s="7"/>
      <c r="N171" s="8" t="s">
        <v>3450</v>
      </c>
    </row>
    <row r="172" spans="1:14" ht="54" customHeight="1">
      <c r="A172" s="4" t="s">
        <v>186</v>
      </c>
      <c r="B172" s="4" t="s">
        <v>187</v>
      </c>
      <c r="C172" s="4" t="s">
        <v>3866</v>
      </c>
      <c r="D172" s="4" t="s">
        <v>183</v>
      </c>
      <c r="E172" s="4" t="s">
        <v>3865</v>
      </c>
      <c r="F172" s="4" t="s">
        <v>3452</v>
      </c>
      <c r="G172" s="4" t="s">
        <v>3867</v>
      </c>
      <c r="H172" s="4" t="s">
        <v>3611</v>
      </c>
      <c r="I172" s="4" t="s">
        <v>1238</v>
      </c>
      <c r="J172" s="4" t="s">
        <v>195</v>
      </c>
      <c r="K172" s="4" t="s">
        <v>908</v>
      </c>
      <c r="L172" s="7" t="s">
        <v>42</v>
      </c>
      <c r="M172" s="7"/>
      <c r="N172" s="4" t="s">
        <v>3450</v>
      </c>
    </row>
    <row r="173" spans="1:14" ht="40" customHeight="1">
      <c r="A173" s="8" t="s">
        <v>186</v>
      </c>
      <c r="B173" s="8" t="s">
        <v>187</v>
      </c>
      <c r="C173" s="8" t="s">
        <v>3868</v>
      </c>
      <c r="D173" s="8" t="s">
        <v>183</v>
      </c>
      <c r="E173" s="8" t="s">
        <v>3869</v>
      </c>
      <c r="F173" s="8" t="s">
        <v>3448</v>
      </c>
      <c r="G173" s="8" t="s">
        <v>3869</v>
      </c>
      <c r="H173" s="8" t="s">
        <v>3775</v>
      </c>
      <c r="I173" s="8" t="s">
        <v>1238</v>
      </c>
      <c r="J173" s="8" t="s">
        <v>195</v>
      </c>
      <c r="K173" s="8" t="s">
        <v>908</v>
      </c>
      <c r="L173" s="7" t="s">
        <v>42</v>
      </c>
      <c r="M173" s="7"/>
      <c r="N173" s="8" t="s">
        <v>3450</v>
      </c>
    </row>
    <row r="174" spans="1:14" ht="54" customHeight="1">
      <c r="A174" s="4" t="s">
        <v>186</v>
      </c>
      <c r="B174" s="4" t="s">
        <v>187</v>
      </c>
      <c r="C174" s="4" t="s">
        <v>3870</v>
      </c>
      <c r="D174" s="4" t="s">
        <v>183</v>
      </c>
      <c r="E174" s="4" t="s">
        <v>3869</v>
      </c>
      <c r="F174" s="4" t="s">
        <v>3452</v>
      </c>
      <c r="G174" s="4" t="s">
        <v>3871</v>
      </c>
      <c r="H174" s="4" t="s">
        <v>3847</v>
      </c>
      <c r="I174" s="4" t="s">
        <v>1238</v>
      </c>
      <c r="J174" s="4" t="s">
        <v>195</v>
      </c>
      <c r="K174" s="4" t="s">
        <v>908</v>
      </c>
      <c r="L174" s="7" t="s">
        <v>42</v>
      </c>
      <c r="M174" s="7"/>
      <c r="N174" s="4" t="s">
        <v>3450</v>
      </c>
    </row>
    <row r="175" spans="1:14" ht="40" customHeight="1">
      <c r="A175" s="8" t="s">
        <v>186</v>
      </c>
      <c r="B175" s="8" t="s">
        <v>187</v>
      </c>
      <c r="C175" s="8" t="s">
        <v>3872</v>
      </c>
      <c r="D175" s="8" t="s">
        <v>183</v>
      </c>
      <c r="E175" s="8" t="s">
        <v>3873</v>
      </c>
      <c r="F175" s="8" t="s">
        <v>3448</v>
      </c>
      <c r="G175" s="8" t="s">
        <v>3873</v>
      </c>
      <c r="H175" s="8" t="s">
        <v>3777</v>
      </c>
      <c r="I175" s="8" t="s">
        <v>1238</v>
      </c>
      <c r="J175" s="8" t="s">
        <v>195</v>
      </c>
      <c r="K175" s="8" t="s">
        <v>908</v>
      </c>
      <c r="L175" s="7" t="s">
        <v>42</v>
      </c>
      <c r="M175" s="7"/>
      <c r="N175" s="8" t="s">
        <v>3450</v>
      </c>
    </row>
    <row r="176" spans="1:14" ht="54" customHeight="1">
      <c r="A176" s="4" t="s">
        <v>186</v>
      </c>
      <c r="B176" s="4" t="s">
        <v>187</v>
      </c>
      <c r="C176" s="4" t="s">
        <v>3874</v>
      </c>
      <c r="D176" s="4" t="s">
        <v>183</v>
      </c>
      <c r="E176" s="4" t="s">
        <v>3873</v>
      </c>
      <c r="F176" s="4" t="s">
        <v>3452</v>
      </c>
      <c r="G176" s="4" t="s">
        <v>3875</v>
      </c>
      <c r="H176" s="4" t="s">
        <v>3779</v>
      </c>
      <c r="I176" s="4" t="s">
        <v>1238</v>
      </c>
      <c r="J176" s="4" t="s">
        <v>195</v>
      </c>
      <c r="K176" s="4" t="s">
        <v>908</v>
      </c>
      <c r="L176" s="7" t="s">
        <v>42</v>
      </c>
      <c r="M176" s="7"/>
      <c r="N176" s="4" t="s">
        <v>3450</v>
      </c>
    </row>
    <row r="177" spans="1:14" ht="40" customHeight="1">
      <c r="A177" s="8" t="s">
        <v>186</v>
      </c>
      <c r="B177" s="8" t="s">
        <v>187</v>
      </c>
      <c r="C177" s="8" t="s">
        <v>3876</v>
      </c>
      <c r="D177" s="8" t="s">
        <v>183</v>
      </c>
      <c r="E177" s="8" t="s">
        <v>3873</v>
      </c>
      <c r="F177" s="8" t="s">
        <v>3452</v>
      </c>
      <c r="G177" s="8" t="s">
        <v>3877</v>
      </c>
      <c r="H177" s="8" t="s">
        <v>3878</v>
      </c>
      <c r="I177" s="8" t="s">
        <v>1238</v>
      </c>
      <c r="J177" s="8" t="s">
        <v>195</v>
      </c>
      <c r="K177" s="8" t="s">
        <v>908</v>
      </c>
      <c r="L177" s="7" t="s">
        <v>42</v>
      </c>
      <c r="M177" s="7"/>
      <c r="N177" s="8" t="s">
        <v>3450</v>
      </c>
    </row>
    <row r="178" spans="1:14" ht="40" customHeight="1">
      <c r="A178" s="4" t="s">
        <v>186</v>
      </c>
      <c r="B178" s="4" t="s">
        <v>187</v>
      </c>
      <c r="C178" s="4" t="s">
        <v>3879</v>
      </c>
      <c r="D178" s="4" t="s">
        <v>183</v>
      </c>
      <c r="E178" s="4" t="s">
        <v>3880</v>
      </c>
      <c r="F178" s="4" t="s">
        <v>3448</v>
      </c>
      <c r="G178" s="4" t="s">
        <v>3880</v>
      </c>
      <c r="H178" s="4" t="s">
        <v>3783</v>
      </c>
      <c r="I178" s="4" t="s">
        <v>1238</v>
      </c>
      <c r="J178" s="4" t="s">
        <v>195</v>
      </c>
      <c r="K178" s="4" t="s">
        <v>908</v>
      </c>
      <c r="L178" s="7" t="s">
        <v>42</v>
      </c>
      <c r="M178" s="7"/>
      <c r="N178" s="4" t="s">
        <v>3450</v>
      </c>
    </row>
    <row r="179" spans="1:14" ht="54" customHeight="1">
      <c r="A179" s="8" t="s">
        <v>186</v>
      </c>
      <c r="B179" s="8" t="s">
        <v>187</v>
      </c>
      <c r="C179" s="8" t="s">
        <v>3881</v>
      </c>
      <c r="D179" s="8" t="s">
        <v>183</v>
      </c>
      <c r="E179" s="8" t="s">
        <v>3880</v>
      </c>
      <c r="F179" s="8" t="s">
        <v>3452</v>
      </c>
      <c r="G179" s="8" t="s">
        <v>3882</v>
      </c>
      <c r="H179" s="8" t="s">
        <v>3785</v>
      </c>
      <c r="I179" s="8" t="s">
        <v>1238</v>
      </c>
      <c r="J179" s="8" t="s">
        <v>195</v>
      </c>
      <c r="K179" s="8" t="s">
        <v>908</v>
      </c>
      <c r="L179" s="7" t="s">
        <v>42</v>
      </c>
      <c r="M179" s="7"/>
      <c r="N179" s="8" t="s">
        <v>3450</v>
      </c>
    </row>
    <row r="180" spans="1:14" ht="40" customHeight="1">
      <c r="A180" s="4" t="s">
        <v>186</v>
      </c>
      <c r="B180" s="4" t="s">
        <v>187</v>
      </c>
      <c r="C180" s="4" t="s">
        <v>3883</v>
      </c>
      <c r="D180" s="4" t="s">
        <v>183</v>
      </c>
      <c r="E180" s="4" t="s">
        <v>3884</v>
      </c>
      <c r="F180" s="4" t="s">
        <v>3448</v>
      </c>
      <c r="G180" s="4" t="s">
        <v>3884</v>
      </c>
      <c r="H180" s="4" t="s">
        <v>3885</v>
      </c>
      <c r="I180" s="4" t="s">
        <v>1238</v>
      </c>
      <c r="J180" s="4" t="s">
        <v>195</v>
      </c>
      <c r="K180" s="4" t="s">
        <v>908</v>
      </c>
      <c r="L180" s="7" t="s">
        <v>42</v>
      </c>
      <c r="M180" s="7"/>
      <c r="N180" s="4" t="s">
        <v>3450</v>
      </c>
    </row>
    <row r="181" spans="1:14" ht="54" customHeight="1">
      <c r="A181" s="8" t="s">
        <v>186</v>
      </c>
      <c r="B181" s="8" t="s">
        <v>187</v>
      </c>
      <c r="C181" s="8" t="s">
        <v>3886</v>
      </c>
      <c r="D181" s="8" t="s">
        <v>183</v>
      </c>
      <c r="E181" s="8" t="s">
        <v>3884</v>
      </c>
      <c r="F181" s="8" t="s">
        <v>3452</v>
      </c>
      <c r="G181" s="8" t="s">
        <v>3887</v>
      </c>
      <c r="H181" s="8" t="s">
        <v>3787</v>
      </c>
      <c r="I181" s="8" t="s">
        <v>1238</v>
      </c>
      <c r="J181" s="8" t="s">
        <v>195</v>
      </c>
      <c r="K181" s="8" t="s">
        <v>908</v>
      </c>
      <c r="L181" s="7" t="s">
        <v>42</v>
      </c>
      <c r="M181" s="7"/>
      <c r="N181" s="8" t="s">
        <v>3450</v>
      </c>
    </row>
    <row r="182" spans="1:14" ht="40" customHeight="1">
      <c r="A182" s="4" t="s">
        <v>186</v>
      </c>
      <c r="B182" s="4" t="s">
        <v>187</v>
      </c>
      <c r="C182" s="4" t="s">
        <v>3888</v>
      </c>
      <c r="D182" s="4" t="s">
        <v>183</v>
      </c>
      <c r="E182" s="4" t="s">
        <v>3889</v>
      </c>
      <c r="F182" s="4" t="s">
        <v>3448</v>
      </c>
      <c r="G182" s="4" t="s">
        <v>3889</v>
      </c>
      <c r="H182" s="4" t="s">
        <v>3789</v>
      </c>
      <c r="I182" s="4" t="s">
        <v>1238</v>
      </c>
      <c r="J182" s="4" t="s">
        <v>195</v>
      </c>
      <c r="K182" s="4" t="s">
        <v>908</v>
      </c>
      <c r="L182" s="7" t="s">
        <v>42</v>
      </c>
      <c r="M182" s="7"/>
      <c r="N182" s="4" t="s">
        <v>3450</v>
      </c>
    </row>
    <row r="183" spans="1:14" ht="54" customHeight="1">
      <c r="A183" s="8" t="s">
        <v>186</v>
      </c>
      <c r="B183" s="8" t="s">
        <v>187</v>
      </c>
      <c r="C183" s="8" t="s">
        <v>3890</v>
      </c>
      <c r="D183" s="8" t="s">
        <v>183</v>
      </c>
      <c r="E183" s="8" t="s">
        <v>3889</v>
      </c>
      <c r="F183" s="8" t="s">
        <v>3452</v>
      </c>
      <c r="G183" s="8" t="s">
        <v>3891</v>
      </c>
      <c r="H183" s="8" t="s">
        <v>3892</v>
      </c>
      <c r="I183" s="8" t="s">
        <v>1238</v>
      </c>
      <c r="J183" s="8" t="s">
        <v>195</v>
      </c>
      <c r="K183" s="8" t="s">
        <v>908</v>
      </c>
      <c r="L183" s="7" t="s">
        <v>42</v>
      </c>
      <c r="M183" s="7"/>
      <c r="N183" s="8" t="s">
        <v>3450</v>
      </c>
    </row>
    <row r="184" spans="1:14" ht="82" customHeight="1">
      <c r="A184" s="4" t="s">
        <v>198</v>
      </c>
      <c r="B184" s="4" t="s">
        <v>199</v>
      </c>
      <c r="C184" s="4" t="s">
        <v>3893</v>
      </c>
      <c r="D184" s="4" t="s">
        <v>208</v>
      </c>
      <c r="E184" s="4" t="s">
        <v>3894</v>
      </c>
      <c r="F184" s="4" t="s">
        <v>3448</v>
      </c>
      <c r="G184" s="4" t="s">
        <v>3894</v>
      </c>
      <c r="H184" s="4" t="s">
        <v>3449</v>
      </c>
      <c r="I184" s="4" t="s">
        <v>1292</v>
      </c>
      <c r="J184" s="4" t="s">
        <v>207</v>
      </c>
      <c r="K184" s="4" t="s">
        <v>908</v>
      </c>
      <c r="L184" s="7" t="s">
        <v>42</v>
      </c>
      <c r="M184" s="7"/>
      <c r="N184" s="4" t="s">
        <v>3450</v>
      </c>
    </row>
    <row r="185" spans="1:14" ht="82" customHeight="1">
      <c r="A185" s="8" t="s">
        <v>198</v>
      </c>
      <c r="B185" s="8" t="s">
        <v>199</v>
      </c>
      <c r="C185" s="8" t="s">
        <v>3895</v>
      </c>
      <c r="D185" s="8" t="s">
        <v>208</v>
      </c>
      <c r="E185" s="8" t="s">
        <v>3894</v>
      </c>
      <c r="F185" s="8" t="s">
        <v>3452</v>
      </c>
      <c r="G185" s="8" t="s">
        <v>3896</v>
      </c>
      <c r="H185" s="8" t="s">
        <v>3454</v>
      </c>
      <c r="I185" s="8" t="s">
        <v>1292</v>
      </c>
      <c r="J185" s="8" t="s">
        <v>207</v>
      </c>
      <c r="K185" s="8" t="s">
        <v>908</v>
      </c>
      <c r="L185" s="7" t="s">
        <v>42</v>
      </c>
      <c r="M185" s="7"/>
      <c r="N185" s="8" t="s">
        <v>3450</v>
      </c>
    </row>
    <row r="186" spans="1:14" ht="82" customHeight="1">
      <c r="A186" s="4" t="s">
        <v>198</v>
      </c>
      <c r="B186" s="4" t="s">
        <v>199</v>
      </c>
      <c r="C186" s="4" t="s">
        <v>3897</v>
      </c>
      <c r="D186" s="4" t="s">
        <v>208</v>
      </c>
      <c r="E186" s="4" t="s">
        <v>3894</v>
      </c>
      <c r="F186" s="4" t="s">
        <v>3452</v>
      </c>
      <c r="G186" s="4" t="s">
        <v>3898</v>
      </c>
      <c r="H186" s="4" t="s">
        <v>3519</v>
      </c>
      <c r="I186" s="4" t="s">
        <v>1292</v>
      </c>
      <c r="J186" s="4" t="s">
        <v>207</v>
      </c>
      <c r="K186" s="4" t="s">
        <v>908</v>
      </c>
      <c r="L186" s="7" t="s">
        <v>42</v>
      </c>
      <c r="M186" s="7"/>
      <c r="N186" s="4" t="s">
        <v>3450</v>
      </c>
    </row>
    <row r="187" spans="1:14" ht="82" customHeight="1">
      <c r="A187" s="8" t="s">
        <v>198</v>
      </c>
      <c r="B187" s="8" t="s">
        <v>199</v>
      </c>
      <c r="C187" s="8" t="s">
        <v>3899</v>
      </c>
      <c r="D187" s="8" t="s">
        <v>208</v>
      </c>
      <c r="E187" s="8" t="s">
        <v>3894</v>
      </c>
      <c r="F187" s="8" t="s">
        <v>3452</v>
      </c>
      <c r="G187" s="8" t="s">
        <v>3900</v>
      </c>
      <c r="H187" s="8" t="s">
        <v>3530</v>
      </c>
      <c r="I187" s="8" t="s">
        <v>1292</v>
      </c>
      <c r="J187" s="8" t="s">
        <v>207</v>
      </c>
      <c r="K187" s="8" t="s">
        <v>908</v>
      </c>
      <c r="L187" s="7" t="s">
        <v>42</v>
      </c>
      <c r="M187" s="7"/>
      <c r="N187" s="8" t="s">
        <v>3450</v>
      </c>
    </row>
    <row r="188" spans="1:14" ht="82" customHeight="1">
      <c r="A188" s="4" t="s">
        <v>198</v>
      </c>
      <c r="B188" s="4" t="s">
        <v>199</v>
      </c>
      <c r="C188" s="4" t="s">
        <v>3901</v>
      </c>
      <c r="D188" s="4" t="s">
        <v>208</v>
      </c>
      <c r="E188" s="4" t="s">
        <v>3894</v>
      </c>
      <c r="F188" s="4" t="s">
        <v>3452</v>
      </c>
      <c r="G188" s="4" t="s">
        <v>3902</v>
      </c>
      <c r="H188" s="4" t="s">
        <v>3535</v>
      </c>
      <c r="I188" s="4" t="s">
        <v>1292</v>
      </c>
      <c r="J188" s="4" t="s">
        <v>207</v>
      </c>
      <c r="K188" s="4" t="s">
        <v>908</v>
      </c>
      <c r="L188" s="7" t="s">
        <v>42</v>
      </c>
      <c r="M188" s="7"/>
      <c r="N188" s="4" t="s">
        <v>3450</v>
      </c>
    </row>
    <row r="189" spans="1:14" ht="82" customHeight="1">
      <c r="A189" s="8" t="s">
        <v>198</v>
      </c>
      <c r="B189" s="8" t="s">
        <v>199</v>
      </c>
      <c r="C189" s="8" t="s">
        <v>3903</v>
      </c>
      <c r="D189" s="8" t="s">
        <v>208</v>
      </c>
      <c r="E189" s="8" t="s">
        <v>3894</v>
      </c>
      <c r="F189" s="8" t="s">
        <v>3452</v>
      </c>
      <c r="G189" s="8" t="s">
        <v>3904</v>
      </c>
      <c r="H189" s="8" t="s">
        <v>3538</v>
      </c>
      <c r="I189" s="8" t="s">
        <v>1292</v>
      </c>
      <c r="J189" s="8" t="s">
        <v>207</v>
      </c>
      <c r="K189" s="8" t="s">
        <v>908</v>
      </c>
      <c r="L189" s="7" t="s">
        <v>42</v>
      </c>
      <c r="M189" s="7"/>
      <c r="N189" s="8" t="s">
        <v>3450</v>
      </c>
    </row>
    <row r="190" spans="1:14" ht="82" customHeight="1">
      <c r="A190" s="4" t="s">
        <v>198</v>
      </c>
      <c r="B190" s="4" t="s">
        <v>199</v>
      </c>
      <c r="C190" s="4" t="s">
        <v>3905</v>
      </c>
      <c r="D190" s="4" t="s">
        <v>208</v>
      </c>
      <c r="E190" s="4" t="s">
        <v>3894</v>
      </c>
      <c r="F190" s="4" t="s">
        <v>3452</v>
      </c>
      <c r="G190" s="4" t="s">
        <v>3906</v>
      </c>
      <c r="H190" s="4" t="s">
        <v>3907</v>
      </c>
      <c r="I190" s="4" t="s">
        <v>1292</v>
      </c>
      <c r="J190" s="4" t="s">
        <v>207</v>
      </c>
      <c r="K190" s="4" t="s">
        <v>908</v>
      </c>
      <c r="L190" s="7" t="s">
        <v>42</v>
      </c>
      <c r="M190" s="7"/>
      <c r="N190" s="4" t="s">
        <v>3450</v>
      </c>
    </row>
    <row r="191" spans="1:14" ht="82" customHeight="1">
      <c r="A191" s="8" t="s">
        <v>198</v>
      </c>
      <c r="B191" s="8" t="s">
        <v>199</v>
      </c>
      <c r="C191" s="8" t="s">
        <v>3908</v>
      </c>
      <c r="D191" s="8" t="s">
        <v>208</v>
      </c>
      <c r="E191" s="8" t="s">
        <v>3894</v>
      </c>
      <c r="F191" s="8" t="s">
        <v>3452</v>
      </c>
      <c r="G191" s="8" t="s">
        <v>3909</v>
      </c>
      <c r="H191" s="8" t="s">
        <v>3541</v>
      </c>
      <c r="I191" s="8" t="s">
        <v>1292</v>
      </c>
      <c r="J191" s="8" t="s">
        <v>207</v>
      </c>
      <c r="K191" s="8" t="s">
        <v>908</v>
      </c>
      <c r="L191" s="7" t="s">
        <v>42</v>
      </c>
      <c r="M191" s="7"/>
      <c r="N191" s="8" t="s">
        <v>3450</v>
      </c>
    </row>
    <row r="192" spans="1:14" ht="82" customHeight="1">
      <c r="A192" s="4" t="s">
        <v>198</v>
      </c>
      <c r="B192" s="4" t="s">
        <v>199</v>
      </c>
      <c r="C192" s="4" t="s">
        <v>3910</v>
      </c>
      <c r="D192" s="4" t="s">
        <v>208</v>
      </c>
      <c r="E192" s="4" t="s">
        <v>3894</v>
      </c>
      <c r="F192" s="4" t="s">
        <v>3452</v>
      </c>
      <c r="G192" s="4" t="s">
        <v>3911</v>
      </c>
      <c r="H192" s="4" t="s">
        <v>3912</v>
      </c>
      <c r="I192" s="4" t="s">
        <v>1292</v>
      </c>
      <c r="J192" s="4" t="s">
        <v>207</v>
      </c>
      <c r="K192" s="4" t="s">
        <v>908</v>
      </c>
      <c r="L192" s="7" t="s">
        <v>42</v>
      </c>
      <c r="M192" s="7"/>
      <c r="N192" s="4" t="s">
        <v>3450</v>
      </c>
    </row>
    <row r="193" spans="1:14" ht="82" customHeight="1">
      <c r="A193" s="8" t="s">
        <v>198</v>
      </c>
      <c r="B193" s="8" t="s">
        <v>199</v>
      </c>
      <c r="C193" s="8" t="s">
        <v>3913</v>
      </c>
      <c r="D193" s="8" t="s">
        <v>208</v>
      </c>
      <c r="E193" s="8" t="s">
        <v>3894</v>
      </c>
      <c r="F193" s="8" t="s">
        <v>3452</v>
      </c>
      <c r="G193" s="8" t="s">
        <v>3914</v>
      </c>
      <c r="H193" s="8" t="s">
        <v>3915</v>
      </c>
      <c r="I193" s="8" t="s">
        <v>1292</v>
      </c>
      <c r="J193" s="8" t="s">
        <v>207</v>
      </c>
      <c r="K193" s="8" t="s">
        <v>908</v>
      </c>
      <c r="L193" s="7" t="s">
        <v>42</v>
      </c>
      <c r="M193" s="7"/>
      <c r="N193" s="8" t="s">
        <v>3450</v>
      </c>
    </row>
    <row r="194" spans="1:14" ht="82" customHeight="1">
      <c r="A194" s="4" t="s">
        <v>198</v>
      </c>
      <c r="B194" s="4" t="s">
        <v>199</v>
      </c>
      <c r="C194" s="4" t="s">
        <v>3916</v>
      </c>
      <c r="D194" s="4" t="s">
        <v>208</v>
      </c>
      <c r="E194" s="4" t="s">
        <v>3894</v>
      </c>
      <c r="F194" s="4" t="s">
        <v>3452</v>
      </c>
      <c r="G194" s="4" t="s">
        <v>3917</v>
      </c>
      <c r="H194" s="4" t="s">
        <v>3553</v>
      </c>
      <c r="I194" s="4" t="s">
        <v>1292</v>
      </c>
      <c r="J194" s="4" t="s">
        <v>207</v>
      </c>
      <c r="K194" s="4" t="s">
        <v>908</v>
      </c>
      <c r="L194" s="7" t="s">
        <v>42</v>
      </c>
      <c r="M194" s="7"/>
      <c r="N194" s="4" t="s">
        <v>3450</v>
      </c>
    </row>
    <row r="195" spans="1:14" ht="82" customHeight="1">
      <c r="A195" s="8" t="s">
        <v>198</v>
      </c>
      <c r="B195" s="8" t="s">
        <v>199</v>
      </c>
      <c r="C195" s="8" t="s">
        <v>3918</v>
      </c>
      <c r="D195" s="8" t="s">
        <v>208</v>
      </c>
      <c r="E195" s="8" t="s">
        <v>3894</v>
      </c>
      <c r="F195" s="8" t="s">
        <v>3452</v>
      </c>
      <c r="G195" s="8" t="s">
        <v>3877</v>
      </c>
      <c r="H195" s="8" t="s">
        <v>3585</v>
      </c>
      <c r="I195" s="8" t="s">
        <v>1292</v>
      </c>
      <c r="J195" s="8" t="s">
        <v>207</v>
      </c>
      <c r="K195" s="8" t="s">
        <v>908</v>
      </c>
      <c r="L195" s="7" t="s">
        <v>42</v>
      </c>
      <c r="M195" s="7"/>
      <c r="N195" s="8" t="s">
        <v>3450</v>
      </c>
    </row>
    <row r="196" spans="1:14" ht="82" customHeight="1">
      <c r="A196" s="4" t="s">
        <v>198</v>
      </c>
      <c r="B196" s="4" t="s">
        <v>199</v>
      </c>
      <c r="C196" s="4" t="s">
        <v>3919</v>
      </c>
      <c r="D196" s="4" t="s">
        <v>208</v>
      </c>
      <c r="E196" s="4" t="s">
        <v>3894</v>
      </c>
      <c r="F196" s="4" t="s">
        <v>3452</v>
      </c>
      <c r="G196" s="4" t="s">
        <v>3900</v>
      </c>
      <c r="H196" s="4" t="s">
        <v>3920</v>
      </c>
      <c r="I196" s="4" t="s">
        <v>1292</v>
      </c>
      <c r="J196" s="4" t="s">
        <v>207</v>
      </c>
      <c r="K196" s="4" t="s">
        <v>908</v>
      </c>
      <c r="L196" s="7" t="s">
        <v>42</v>
      </c>
      <c r="M196" s="7"/>
      <c r="N196" s="4" t="s">
        <v>3450</v>
      </c>
    </row>
    <row r="197" spans="1:14" ht="82" customHeight="1">
      <c r="A197" s="8" t="s">
        <v>198</v>
      </c>
      <c r="B197" s="8" t="s">
        <v>199</v>
      </c>
      <c r="C197" s="8" t="s">
        <v>3921</v>
      </c>
      <c r="D197" s="8" t="s">
        <v>208</v>
      </c>
      <c r="E197" s="8" t="s">
        <v>3894</v>
      </c>
      <c r="F197" s="8" t="s">
        <v>3452</v>
      </c>
      <c r="G197" s="8" t="s">
        <v>3922</v>
      </c>
      <c r="H197" s="8" t="s">
        <v>3923</v>
      </c>
      <c r="I197" s="8" t="s">
        <v>1292</v>
      </c>
      <c r="J197" s="8" t="s">
        <v>207</v>
      </c>
      <c r="K197" s="8" t="s">
        <v>908</v>
      </c>
      <c r="L197" s="7" t="s">
        <v>42</v>
      </c>
      <c r="M197" s="7"/>
      <c r="N197" s="8" t="s">
        <v>3450</v>
      </c>
    </row>
    <row r="198" spans="1:14" ht="82" customHeight="1">
      <c r="A198" s="4" t="s">
        <v>198</v>
      </c>
      <c r="B198" s="4" t="s">
        <v>199</v>
      </c>
      <c r="C198" s="4" t="s">
        <v>3924</v>
      </c>
      <c r="D198" s="4" t="s">
        <v>208</v>
      </c>
      <c r="E198" s="4" t="s">
        <v>3894</v>
      </c>
      <c r="F198" s="4" t="s">
        <v>3452</v>
      </c>
      <c r="G198" s="4" t="s">
        <v>3925</v>
      </c>
      <c r="H198" s="4" t="s">
        <v>3775</v>
      </c>
      <c r="I198" s="4" t="s">
        <v>1292</v>
      </c>
      <c r="J198" s="4" t="s">
        <v>207</v>
      </c>
      <c r="K198" s="4" t="s">
        <v>908</v>
      </c>
      <c r="L198" s="7" t="s">
        <v>42</v>
      </c>
      <c r="M198" s="7"/>
      <c r="N198" s="4" t="s">
        <v>3450</v>
      </c>
    </row>
    <row r="199" spans="1:14" ht="82" customHeight="1">
      <c r="A199" s="8" t="s">
        <v>198</v>
      </c>
      <c r="B199" s="8" t="s">
        <v>199</v>
      </c>
      <c r="C199" s="8" t="s">
        <v>3926</v>
      </c>
      <c r="D199" s="8" t="s">
        <v>208</v>
      </c>
      <c r="E199" s="8" t="s">
        <v>3894</v>
      </c>
      <c r="F199" s="8" t="s">
        <v>3452</v>
      </c>
      <c r="G199" s="8" t="s">
        <v>3909</v>
      </c>
      <c r="H199" s="8" t="s">
        <v>3617</v>
      </c>
      <c r="I199" s="8" t="s">
        <v>1292</v>
      </c>
      <c r="J199" s="8" t="s">
        <v>207</v>
      </c>
      <c r="K199" s="8" t="s">
        <v>908</v>
      </c>
      <c r="L199" s="7" t="s">
        <v>42</v>
      </c>
      <c r="M199" s="7"/>
      <c r="N199" s="8" t="s">
        <v>3450</v>
      </c>
    </row>
    <row r="200" spans="1:14" ht="82" customHeight="1">
      <c r="A200" s="4" t="s">
        <v>198</v>
      </c>
      <c r="B200" s="4" t="s">
        <v>199</v>
      </c>
      <c r="C200" s="4" t="s">
        <v>3927</v>
      </c>
      <c r="D200" s="4" t="s">
        <v>208</v>
      </c>
      <c r="E200" s="4" t="s">
        <v>3894</v>
      </c>
      <c r="F200" s="4" t="s">
        <v>3452</v>
      </c>
      <c r="G200" s="4" t="s">
        <v>3928</v>
      </c>
      <c r="H200" s="4" t="s">
        <v>3929</v>
      </c>
      <c r="I200" s="4" t="s">
        <v>1292</v>
      </c>
      <c r="J200" s="4" t="s">
        <v>207</v>
      </c>
      <c r="K200" s="4" t="s">
        <v>908</v>
      </c>
      <c r="L200" s="7" t="s">
        <v>42</v>
      </c>
      <c r="M200" s="7"/>
      <c r="N200" s="4" t="s">
        <v>3450</v>
      </c>
    </row>
    <row r="201" spans="1:14" ht="82" customHeight="1">
      <c r="A201" s="8" t="s">
        <v>198</v>
      </c>
      <c r="B201" s="8" t="s">
        <v>199</v>
      </c>
      <c r="C201" s="8" t="s">
        <v>3930</v>
      </c>
      <c r="D201" s="8" t="s">
        <v>208</v>
      </c>
      <c r="E201" s="8" t="s">
        <v>3894</v>
      </c>
      <c r="F201" s="8" t="s">
        <v>3452</v>
      </c>
      <c r="G201" s="8" t="s">
        <v>3931</v>
      </c>
      <c r="H201" s="8" t="s">
        <v>3777</v>
      </c>
      <c r="I201" s="8" t="s">
        <v>1292</v>
      </c>
      <c r="J201" s="8" t="s">
        <v>207</v>
      </c>
      <c r="K201" s="8" t="s">
        <v>908</v>
      </c>
      <c r="L201" s="7" t="s">
        <v>42</v>
      </c>
      <c r="M201" s="7"/>
      <c r="N201" s="8" t="s">
        <v>3450</v>
      </c>
    </row>
    <row r="202" spans="1:14" ht="82" customHeight="1">
      <c r="A202" s="4" t="s">
        <v>198</v>
      </c>
      <c r="B202" s="4" t="s">
        <v>199</v>
      </c>
      <c r="C202" s="4" t="s">
        <v>3932</v>
      </c>
      <c r="D202" s="4" t="s">
        <v>208</v>
      </c>
      <c r="E202" s="4" t="s">
        <v>3894</v>
      </c>
      <c r="F202" s="4" t="s">
        <v>3452</v>
      </c>
      <c r="G202" s="4" t="s">
        <v>3933</v>
      </c>
      <c r="H202" s="4" t="s">
        <v>3934</v>
      </c>
      <c r="I202" s="4" t="s">
        <v>1292</v>
      </c>
      <c r="J202" s="4" t="s">
        <v>207</v>
      </c>
      <c r="K202" s="4" t="s">
        <v>908</v>
      </c>
      <c r="L202" s="7" t="s">
        <v>42</v>
      </c>
      <c r="M202" s="7"/>
      <c r="N202" s="4" t="s">
        <v>3450</v>
      </c>
    </row>
    <row r="203" spans="1:14" ht="82" customHeight="1">
      <c r="A203" s="8" t="s">
        <v>198</v>
      </c>
      <c r="B203" s="8" t="s">
        <v>199</v>
      </c>
      <c r="C203" s="8" t="s">
        <v>3935</v>
      </c>
      <c r="D203" s="8" t="s">
        <v>208</v>
      </c>
      <c r="E203" s="8" t="s">
        <v>3894</v>
      </c>
      <c r="F203" s="8" t="s">
        <v>3452</v>
      </c>
      <c r="G203" s="8" t="s">
        <v>3936</v>
      </c>
      <c r="H203" s="8" t="s">
        <v>3937</v>
      </c>
      <c r="I203" s="8" t="s">
        <v>1292</v>
      </c>
      <c r="J203" s="8" t="s">
        <v>207</v>
      </c>
      <c r="K203" s="8" t="s">
        <v>908</v>
      </c>
      <c r="L203" s="7" t="s">
        <v>42</v>
      </c>
      <c r="M203" s="7"/>
      <c r="N203" s="8" t="s">
        <v>3450</v>
      </c>
    </row>
    <row r="204" spans="1:14" ht="82" customHeight="1">
      <c r="A204" s="4" t="s">
        <v>198</v>
      </c>
      <c r="B204" s="4" t="s">
        <v>199</v>
      </c>
      <c r="C204" s="4" t="s">
        <v>3938</v>
      </c>
      <c r="D204" s="4" t="s">
        <v>208</v>
      </c>
      <c r="E204" s="4" t="s">
        <v>3894</v>
      </c>
      <c r="F204" s="4" t="s">
        <v>3452</v>
      </c>
      <c r="G204" s="4" t="s">
        <v>3939</v>
      </c>
      <c r="H204" s="4" t="s">
        <v>3781</v>
      </c>
      <c r="I204" s="4" t="s">
        <v>1292</v>
      </c>
      <c r="J204" s="4" t="s">
        <v>207</v>
      </c>
      <c r="K204" s="4" t="s">
        <v>908</v>
      </c>
      <c r="L204" s="7" t="s">
        <v>42</v>
      </c>
      <c r="M204" s="7"/>
      <c r="N204" s="4" t="s">
        <v>3450</v>
      </c>
    </row>
    <row r="205" spans="1:14" ht="82" customHeight="1">
      <c r="A205" s="8" t="s">
        <v>198</v>
      </c>
      <c r="B205" s="8" t="s">
        <v>199</v>
      </c>
      <c r="C205" s="8" t="s">
        <v>3940</v>
      </c>
      <c r="D205" s="8" t="s">
        <v>208</v>
      </c>
      <c r="E205" s="8" t="s">
        <v>3894</v>
      </c>
      <c r="F205" s="8" t="s">
        <v>3452</v>
      </c>
      <c r="G205" s="8" t="s">
        <v>3941</v>
      </c>
      <c r="H205" s="8" t="s">
        <v>3942</v>
      </c>
      <c r="I205" s="8" t="s">
        <v>1292</v>
      </c>
      <c r="J205" s="8" t="s">
        <v>207</v>
      </c>
      <c r="K205" s="8" t="s">
        <v>908</v>
      </c>
      <c r="L205" s="7" t="s">
        <v>42</v>
      </c>
      <c r="M205" s="7"/>
      <c r="N205" s="8" t="s">
        <v>3450</v>
      </c>
    </row>
    <row r="206" spans="1:14" ht="82" customHeight="1">
      <c r="A206" s="4" t="s">
        <v>198</v>
      </c>
      <c r="B206" s="4" t="s">
        <v>199</v>
      </c>
      <c r="C206" s="4" t="s">
        <v>3943</v>
      </c>
      <c r="D206" s="4" t="s">
        <v>208</v>
      </c>
      <c r="E206" s="4" t="s">
        <v>3894</v>
      </c>
      <c r="F206" s="4" t="s">
        <v>3452</v>
      </c>
      <c r="G206" s="4" t="s">
        <v>3944</v>
      </c>
      <c r="H206" s="4" t="s">
        <v>3945</v>
      </c>
      <c r="I206" s="4" t="s">
        <v>1292</v>
      </c>
      <c r="J206" s="4" t="s">
        <v>207</v>
      </c>
      <c r="K206" s="4" t="s">
        <v>908</v>
      </c>
      <c r="L206" s="7" t="s">
        <v>42</v>
      </c>
      <c r="M206" s="7"/>
      <c r="N206" s="4" t="s">
        <v>3450</v>
      </c>
    </row>
    <row r="207" spans="1:14" ht="82" customHeight="1">
      <c r="A207" s="8" t="s">
        <v>198</v>
      </c>
      <c r="B207" s="8" t="s">
        <v>199</v>
      </c>
      <c r="C207" s="8" t="s">
        <v>3946</v>
      </c>
      <c r="D207" s="8" t="s">
        <v>208</v>
      </c>
      <c r="E207" s="8" t="s">
        <v>3894</v>
      </c>
      <c r="F207" s="8" t="s">
        <v>3452</v>
      </c>
      <c r="G207" s="8" t="s">
        <v>3947</v>
      </c>
      <c r="H207" s="8" t="s">
        <v>3785</v>
      </c>
      <c r="I207" s="8" t="s">
        <v>1292</v>
      </c>
      <c r="J207" s="8" t="s">
        <v>207</v>
      </c>
      <c r="K207" s="8" t="s">
        <v>908</v>
      </c>
      <c r="L207" s="7" t="s">
        <v>42</v>
      </c>
      <c r="M207" s="7"/>
      <c r="N207" s="8" t="s">
        <v>3450</v>
      </c>
    </row>
    <row r="208" spans="1:14" ht="82" customHeight="1">
      <c r="A208" s="4" t="s">
        <v>198</v>
      </c>
      <c r="B208" s="4" t="s">
        <v>199</v>
      </c>
      <c r="C208" s="4" t="s">
        <v>3948</v>
      </c>
      <c r="D208" s="4" t="s">
        <v>208</v>
      </c>
      <c r="E208" s="4" t="s">
        <v>3894</v>
      </c>
      <c r="F208" s="4" t="s">
        <v>3452</v>
      </c>
      <c r="G208" s="4" t="s">
        <v>3949</v>
      </c>
      <c r="H208" s="4" t="s">
        <v>3950</v>
      </c>
      <c r="I208" s="4" t="s">
        <v>1292</v>
      </c>
      <c r="J208" s="4" t="s">
        <v>207</v>
      </c>
      <c r="K208" s="4" t="s">
        <v>908</v>
      </c>
      <c r="L208" s="7" t="s">
        <v>42</v>
      </c>
      <c r="M208" s="7"/>
      <c r="N208" s="4" t="s">
        <v>3450</v>
      </c>
    </row>
    <row r="209" spans="1:14" ht="82" customHeight="1">
      <c r="A209" s="8" t="s">
        <v>198</v>
      </c>
      <c r="B209" s="8" t="s">
        <v>199</v>
      </c>
      <c r="C209" s="8" t="s">
        <v>3951</v>
      </c>
      <c r="D209" s="8" t="s">
        <v>208</v>
      </c>
      <c r="E209" s="8" t="s">
        <v>3894</v>
      </c>
      <c r="F209" s="8" t="s">
        <v>3452</v>
      </c>
      <c r="G209" s="8" t="s">
        <v>3952</v>
      </c>
      <c r="H209" s="8" t="s">
        <v>3953</v>
      </c>
      <c r="I209" s="8" t="s">
        <v>1292</v>
      </c>
      <c r="J209" s="8" t="s">
        <v>207</v>
      </c>
      <c r="K209" s="8" t="s">
        <v>908</v>
      </c>
      <c r="L209" s="7" t="s">
        <v>42</v>
      </c>
      <c r="M209" s="7"/>
      <c r="N209" s="8" t="s">
        <v>3450</v>
      </c>
    </row>
    <row r="210" spans="1:14" ht="82" customHeight="1">
      <c r="A210" s="4" t="s">
        <v>198</v>
      </c>
      <c r="B210" s="4" t="s">
        <v>199</v>
      </c>
      <c r="C210" s="4" t="s">
        <v>3954</v>
      </c>
      <c r="D210" s="4" t="s">
        <v>208</v>
      </c>
      <c r="E210" s="4" t="s">
        <v>3894</v>
      </c>
      <c r="F210" s="4" t="s">
        <v>3452</v>
      </c>
      <c r="G210" s="4" t="s">
        <v>3955</v>
      </c>
      <c r="H210" s="4" t="s">
        <v>3787</v>
      </c>
      <c r="I210" s="4" t="s">
        <v>1292</v>
      </c>
      <c r="J210" s="4" t="s">
        <v>207</v>
      </c>
      <c r="K210" s="4" t="s">
        <v>908</v>
      </c>
      <c r="L210" s="7" t="s">
        <v>42</v>
      </c>
      <c r="M210" s="7"/>
      <c r="N210" s="4" t="s">
        <v>3450</v>
      </c>
    </row>
    <row r="211" spans="1:14" ht="82" customHeight="1">
      <c r="A211" s="8" t="s">
        <v>198</v>
      </c>
      <c r="B211" s="8" t="s">
        <v>199</v>
      </c>
      <c r="C211" s="8" t="s">
        <v>3956</v>
      </c>
      <c r="D211" s="8" t="s">
        <v>208</v>
      </c>
      <c r="E211" s="8" t="s">
        <v>3894</v>
      </c>
      <c r="F211" s="8" t="s">
        <v>3452</v>
      </c>
      <c r="G211" s="8" t="s">
        <v>3957</v>
      </c>
      <c r="H211" s="8" t="s">
        <v>3958</v>
      </c>
      <c r="I211" s="8" t="s">
        <v>1292</v>
      </c>
      <c r="J211" s="8" t="s">
        <v>207</v>
      </c>
      <c r="K211" s="8" t="s">
        <v>908</v>
      </c>
      <c r="L211" s="7" t="s">
        <v>42</v>
      </c>
      <c r="M211" s="7"/>
      <c r="N211" s="8" t="s">
        <v>3450</v>
      </c>
    </row>
    <row r="212" spans="1:14" ht="82" customHeight="1">
      <c r="A212" s="4" t="s">
        <v>198</v>
      </c>
      <c r="B212" s="4" t="s">
        <v>199</v>
      </c>
      <c r="C212" s="4" t="s">
        <v>3959</v>
      </c>
      <c r="D212" s="4" t="s">
        <v>208</v>
      </c>
      <c r="E212" s="4" t="s">
        <v>3894</v>
      </c>
      <c r="F212" s="4" t="s">
        <v>3452</v>
      </c>
      <c r="G212" s="4" t="s">
        <v>3960</v>
      </c>
      <c r="H212" s="4" t="s">
        <v>3961</v>
      </c>
      <c r="I212" s="4" t="s">
        <v>1292</v>
      </c>
      <c r="J212" s="4" t="s">
        <v>207</v>
      </c>
      <c r="K212" s="4" t="s">
        <v>908</v>
      </c>
      <c r="L212" s="7" t="s">
        <v>42</v>
      </c>
      <c r="M212" s="7"/>
      <c r="N212" s="4" t="s">
        <v>3450</v>
      </c>
    </row>
    <row r="213" spans="1:14" ht="82" customHeight="1">
      <c r="A213" s="8" t="s">
        <v>198</v>
      </c>
      <c r="B213" s="8" t="s">
        <v>199</v>
      </c>
      <c r="C213" s="8" t="s">
        <v>3962</v>
      </c>
      <c r="D213" s="8" t="s">
        <v>208</v>
      </c>
      <c r="E213" s="8" t="s">
        <v>3894</v>
      </c>
      <c r="F213" s="8" t="s">
        <v>3452</v>
      </c>
      <c r="G213" s="8" t="s">
        <v>3963</v>
      </c>
      <c r="H213" s="8" t="s">
        <v>3892</v>
      </c>
      <c r="I213" s="8" t="s">
        <v>1292</v>
      </c>
      <c r="J213" s="8" t="s">
        <v>207</v>
      </c>
      <c r="K213" s="8" t="s">
        <v>908</v>
      </c>
      <c r="L213" s="7" t="s">
        <v>42</v>
      </c>
      <c r="M213" s="7"/>
      <c r="N213" s="8" t="s">
        <v>3450</v>
      </c>
    </row>
    <row r="214" spans="1:14" ht="82" customHeight="1">
      <c r="A214" s="4" t="s">
        <v>198</v>
      </c>
      <c r="B214" s="4" t="s">
        <v>199</v>
      </c>
      <c r="C214" s="4" t="s">
        <v>3964</v>
      </c>
      <c r="D214" s="4" t="s">
        <v>208</v>
      </c>
      <c r="E214" s="4" t="s">
        <v>3894</v>
      </c>
      <c r="F214" s="4" t="s">
        <v>3452</v>
      </c>
      <c r="G214" s="4" t="s">
        <v>3965</v>
      </c>
      <c r="H214" s="4" t="s">
        <v>3966</v>
      </c>
      <c r="I214" s="4" t="s">
        <v>1292</v>
      </c>
      <c r="J214" s="4" t="s">
        <v>207</v>
      </c>
      <c r="K214" s="4" t="s">
        <v>908</v>
      </c>
      <c r="L214" s="7" t="s">
        <v>42</v>
      </c>
      <c r="M214" s="7"/>
      <c r="N214" s="4" t="s">
        <v>3450</v>
      </c>
    </row>
    <row r="215" spans="1:14" ht="82" customHeight="1">
      <c r="A215" s="8" t="s">
        <v>198</v>
      </c>
      <c r="B215" s="8" t="s">
        <v>199</v>
      </c>
      <c r="C215" s="8" t="s">
        <v>3967</v>
      </c>
      <c r="D215" s="8" t="s">
        <v>208</v>
      </c>
      <c r="E215" s="8" t="s">
        <v>3894</v>
      </c>
      <c r="F215" s="8" t="s">
        <v>3452</v>
      </c>
      <c r="G215" s="8" t="s">
        <v>3900</v>
      </c>
      <c r="H215" s="8" t="s">
        <v>3968</v>
      </c>
      <c r="I215" s="8" t="s">
        <v>1292</v>
      </c>
      <c r="J215" s="8" t="s">
        <v>207</v>
      </c>
      <c r="K215" s="8" t="s">
        <v>908</v>
      </c>
      <c r="L215" s="7" t="s">
        <v>42</v>
      </c>
      <c r="M215" s="7"/>
      <c r="N215" s="8" t="s">
        <v>3450</v>
      </c>
    </row>
    <row r="216" spans="1:14" ht="82" customHeight="1">
      <c r="A216" s="4" t="s">
        <v>198</v>
      </c>
      <c r="B216" s="4" t="s">
        <v>199</v>
      </c>
      <c r="C216" s="4" t="s">
        <v>3969</v>
      </c>
      <c r="D216" s="4" t="s">
        <v>208</v>
      </c>
      <c r="E216" s="4" t="s">
        <v>3894</v>
      </c>
      <c r="F216" s="4" t="s">
        <v>3452</v>
      </c>
      <c r="G216" s="4" t="s">
        <v>3970</v>
      </c>
      <c r="H216" s="4" t="s">
        <v>3971</v>
      </c>
      <c r="I216" s="4" t="s">
        <v>1292</v>
      </c>
      <c r="J216" s="4" t="s">
        <v>207</v>
      </c>
      <c r="K216" s="4" t="s">
        <v>908</v>
      </c>
      <c r="L216" s="7" t="s">
        <v>42</v>
      </c>
      <c r="M216" s="7"/>
      <c r="N216" s="4" t="s">
        <v>3450</v>
      </c>
    </row>
    <row r="217" spans="1:14" ht="82" customHeight="1">
      <c r="A217" s="8" t="s">
        <v>198</v>
      </c>
      <c r="B217" s="8" t="s">
        <v>199</v>
      </c>
      <c r="C217" s="8" t="s">
        <v>3972</v>
      </c>
      <c r="D217" s="8" t="s">
        <v>208</v>
      </c>
      <c r="E217" s="8" t="s">
        <v>3894</v>
      </c>
      <c r="F217" s="8" t="s">
        <v>3452</v>
      </c>
      <c r="G217" s="8" t="s">
        <v>3973</v>
      </c>
      <c r="H217" s="8" t="s">
        <v>3795</v>
      </c>
      <c r="I217" s="8" t="s">
        <v>1292</v>
      </c>
      <c r="J217" s="8" t="s">
        <v>207</v>
      </c>
      <c r="K217" s="8" t="s">
        <v>908</v>
      </c>
      <c r="L217" s="7" t="s">
        <v>42</v>
      </c>
      <c r="M217" s="7"/>
      <c r="N217" s="8" t="s">
        <v>3450</v>
      </c>
    </row>
    <row r="218" spans="1:14" ht="82" customHeight="1">
      <c r="A218" s="4" t="s">
        <v>198</v>
      </c>
      <c r="B218" s="4" t="s">
        <v>199</v>
      </c>
      <c r="C218" s="4" t="s">
        <v>3974</v>
      </c>
      <c r="D218" s="4" t="s">
        <v>208</v>
      </c>
      <c r="E218" s="4" t="s">
        <v>3894</v>
      </c>
      <c r="F218" s="4" t="s">
        <v>3452</v>
      </c>
      <c r="G218" s="4" t="s">
        <v>3909</v>
      </c>
      <c r="H218" s="4" t="s">
        <v>3975</v>
      </c>
      <c r="I218" s="4" t="s">
        <v>1292</v>
      </c>
      <c r="J218" s="4" t="s">
        <v>207</v>
      </c>
      <c r="K218" s="4" t="s">
        <v>908</v>
      </c>
      <c r="L218" s="7" t="s">
        <v>42</v>
      </c>
      <c r="M218" s="7"/>
      <c r="N218" s="4" t="s">
        <v>3450</v>
      </c>
    </row>
    <row r="219" spans="1:14" ht="82" customHeight="1">
      <c r="A219" s="8" t="s">
        <v>198</v>
      </c>
      <c r="B219" s="8" t="s">
        <v>199</v>
      </c>
      <c r="C219" s="8" t="s">
        <v>3976</v>
      </c>
      <c r="D219" s="8" t="s">
        <v>208</v>
      </c>
      <c r="E219" s="8" t="s">
        <v>3894</v>
      </c>
      <c r="F219" s="8" t="s">
        <v>3452</v>
      </c>
      <c r="G219" s="8" t="s">
        <v>3977</v>
      </c>
      <c r="H219" s="8" t="s">
        <v>3978</v>
      </c>
      <c r="I219" s="8" t="s">
        <v>1292</v>
      </c>
      <c r="J219" s="8" t="s">
        <v>207</v>
      </c>
      <c r="K219" s="8" t="s">
        <v>908</v>
      </c>
      <c r="L219" s="7" t="s">
        <v>42</v>
      </c>
      <c r="M219" s="7"/>
      <c r="N219" s="8" t="s">
        <v>3450</v>
      </c>
    </row>
    <row r="220" spans="1:14" ht="82" customHeight="1">
      <c r="A220" s="4" t="s">
        <v>198</v>
      </c>
      <c r="B220" s="4" t="s">
        <v>199</v>
      </c>
      <c r="C220" s="4" t="s">
        <v>3979</v>
      </c>
      <c r="D220" s="4" t="s">
        <v>208</v>
      </c>
      <c r="E220" s="4" t="s">
        <v>3894</v>
      </c>
      <c r="F220" s="4" t="s">
        <v>3452</v>
      </c>
      <c r="G220" s="4" t="s">
        <v>3980</v>
      </c>
      <c r="H220" s="4" t="s">
        <v>3797</v>
      </c>
      <c r="I220" s="4" t="s">
        <v>1292</v>
      </c>
      <c r="J220" s="4" t="s">
        <v>207</v>
      </c>
      <c r="K220" s="4" t="s">
        <v>908</v>
      </c>
      <c r="L220" s="7" t="s">
        <v>42</v>
      </c>
      <c r="M220" s="7"/>
      <c r="N220" s="4" t="s">
        <v>3450</v>
      </c>
    </row>
    <row r="221" spans="1:14" ht="82" customHeight="1">
      <c r="A221" s="8" t="s">
        <v>198</v>
      </c>
      <c r="B221" s="8" t="s">
        <v>199</v>
      </c>
      <c r="C221" s="8" t="s">
        <v>3981</v>
      </c>
      <c r="D221" s="8" t="s">
        <v>208</v>
      </c>
      <c r="E221" s="8" t="s">
        <v>3894</v>
      </c>
      <c r="F221" s="8" t="s">
        <v>3452</v>
      </c>
      <c r="G221" s="8" t="s">
        <v>3933</v>
      </c>
      <c r="H221" s="8" t="s">
        <v>3982</v>
      </c>
      <c r="I221" s="8" t="s">
        <v>1292</v>
      </c>
      <c r="J221" s="8" t="s">
        <v>207</v>
      </c>
      <c r="K221" s="8" t="s">
        <v>908</v>
      </c>
      <c r="L221" s="7" t="s">
        <v>42</v>
      </c>
      <c r="M221" s="7"/>
      <c r="N221" s="8" t="s">
        <v>3450</v>
      </c>
    </row>
    <row r="222" spans="1:14" ht="82" customHeight="1">
      <c r="A222" s="4" t="s">
        <v>198</v>
      </c>
      <c r="B222" s="4" t="s">
        <v>199</v>
      </c>
      <c r="C222" s="4" t="s">
        <v>3983</v>
      </c>
      <c r="D222" s="4" t="s">
        <v>208</v>
      </c>
      <c r="E222" s="4" t="s">
        <v>3894</v>
      </c>
      <c r="F222" s="4" t="s">
        <v>3452</v>
      </c>
      <c r="G222" s="4" t="s">
        <v>3984</v>
      </c>
      <c r="H222" s="4" t="s">
        <v>3985</v>
      </c>
      <c r="I222" s="4" t="s">
        <v>1292</v>
      </c>
      <c r="J222" s="4" t="s">
        <v>207</v>
      </c>
      <c r="K222" s="4" t="s">
        <v>908</v>
      </c>
      <c r="L222" s="7" t="s">
        <v>42</v>
      </c>
      <c r="M222" s="7"/>
      <c r="N222" s="4" t="s">
        <v>3450</v>
      </c>
    </row>
    <row r="223" spans="1:14" ht="82" customHeight="1">
      <c r="A223" s="8" t="s">
        <v>198</v>
      </c>
      <c r="B223" s="8" t="s">
        <v>199</v>
      </c>
      <c r="C223" s="8" t="s">
        <v>3986</v>
      </c>
      <c r="D223" s="8" t="s">
        <v>208</v>
      </c>
      <c r="E223" s="8" t="s">
        <v>3894</v>
      </c>
      <c r="F223" s="8" t="s">
        <v>3452</v>
      </c>
      <c r="G223" s="8" t="s">
        <v>3987</v>
      </c>
      <c r="H223" s="8" t="s">
        <v>3988</v>
      </c>
      <c r="I223" s="8" t="s">
        <v>1292</v>
      </c>
      <c r="J223" s="8" t="s">
        <v>207</v>
      </c>
      <c r="K223" s="8" t="s">
        <v>908</v>
      </c>
      <c r="L223" s="7" t="s">
        <v>42</v>
      </c>
      <c r="M223" s="7"/>
      <c r="N223" s="8" t="s">
        <v>3450</v>
      </c>
    </row>
    <row r="224" spans="1:14" ht="40" customHeight="1">
      <c r="A224" s="4" t="s">
        <v>211</v>
      </c>
      <c r="B224" s="4" t="s">
        <v>212</v>
      </c>
      <c r="C224" s="4" t="s">
        <v>3989</v>
      </c>
      <c r="D224" s="4" t="s">
        <v>183</v>
      </c>
      <c r="E224" s="4" t="s">
        <v>41</v>
      </c>
      <c r="F224" s="4" t="s">
        <v>3452</v>
      </c>
      <c r="G224" s="4" t="s">
        <v>3990</v>
      </c>
      <c r="H224" s="4" t="s">
        <v>3463</v>
      </c>
      <c r="I224" s="4" t="s">
        <v>1350</v>
      </c>
      <c r="J224" s="4" t="s">
        <v>218</v>
      </c>
      <c r="K224" s="4" t="s">
        <v>908</v>
      </c>
      <c r="L224" s="7" t="s">
        <v>42</v>
      </c>
      <c r="M224" s="7"/>
      <c r="N224" s="4" t="s">
        <v>3450</v>
      </c>
    </row>
    <row r="225" spans="1:14" ht="40" customHeight="1">
      <c r="A225" s="8" t="s">
        <v>211</v>
      </c>
      <c r="B225" s="8" t="s">
        <v>212</v>
      </c>
      <c r="C225" s="8" t="s">
        <v>3991</v>
      </c>
      <c r="D225" s="8" t="s">
        <v>183</v>
      </c>
      <c r="E225" s="8" t="s">
        <v>41</v>
      </c>
      <c r="F225" s="8" t="s">
        <v>3452</v>
      </c>
      <c r="G225" s="8" t="s">
        <v>3992</v>
      </c>
      <c r="H225" s="8" t="s">
        <v>3485</v>
      </c>
      <c r="I225" s="8" t="s">
        <v>1350</v>
      </c>
      <c r="J225" s="8" t="s">
        <v>218</v>
      </c>
      <c r="K225" s="8" t="s">
        <v>908</v>
      </c>
      <c r="L225" s="7" t="s">
        <v>42</v>
      </c>
      <c r="M225" s="7"/>
      <c r="N225" s="8" t="s">
        <v>3450</v>
      </c>
    </row>
    <row r="226" spans="1:14" ht="54" customHeight="1">
      <c r="A226" s="4" t="s">
        <v>211</v>
      </c>
      <c r="B226" s="4" t="s">
        <v>212</v>
      </c>
      <c r="C226" s="4" t="s">
        <v>3993</v>
      </c>
      <c r="D226" s="4" t="s">
        <v>183</v>
      </c>
      <c r="E226" s="4" t="s">
        <v>41</v>
      </c>
      <c r="F226" s="4" t="s">
        <v>3452</v>
      </c>
      <c r="G226" s="4" t="s">
        <v>3994</v>
      </c>
      <c r="H226" s="4" t="s">
        <v>3655</v>
      </c>
      <c r="I226" s="4" t="s">
        <v>1350</v>
      </c>
      <c r="J226" s="4" t="s">
        <v>218</v>
      </c>
      <c r="K226" s="4" t="s">
        <v>908</v>
      </c>
      <c r="L226" s="7" t="s">
        <v>42</v>
      </c>
      <c r="M226" s="7"/>
      <c r="N226" s="4" t="s">
        <v>3450</v>
      </c>
    </row>
    <row r="227" spans="1:14" ht="40" customHeight="1">
      <c r="A227" s="8" t="s">
        <v>211</v>
      </c>
      <c r="B227" s="8" t="s">
        <v>212</v>
      </c>
      <c r="C227" s="8" t="s">
        <v>3995</v>
      </c>
      <c r="D227" s="8" t="s">
        <v>183</v>
      </c>
      <c r="E227" s="8" t="s">
        <v>41</v>
      </c>
      <c r="F227" s="8" t="s">
        <v>3452</v>
      </c>
      <c r="G227" s="8" t="s">
        <v>3996</v>
      </c>
      <c r="H227" s="8" t="s">
        <v>3494</v>
      </c>
      <c r="I227" s="8" t="s">
        <v>1350</v>
      </c>
      <c r="J227" s="8" t="s">
        <v>218</v>
      </c>
      <c r="K227" s="8" t="s">
        <v>908</v>
      </c>
      <c r="L227" s="7" t="s">
        <v>42</v>
      </c>
      <c r="M227" s="7"/>
      <c r="N227" s="8" t="s">
        <v>3450</v>
      </c>
    </row>
    <row r="228" spans="1:14" ht="40" customHeight="1">
      <c r="A228" s="4" t="s">
        <v>211</v>
      </c>
      <c r="B228" s="4" t="s">
        <v>212</v>
      </c>
      <c r="C228" s="4" t="s">
        <v>3997</v>
      </c>
      <c r="D228" s="4" t="s">
        <v>183</v>
      </c>
      <c r="E228" s="4" t="s">
        <v>41</v>
      </c>
      <c r="F228" s="4" t="s">
        <v>3452</v>
      </c>
      <c r="G228" s="4" t="s">
        <v>3998</v>
      </c>
      <c r="H228" s="4" t="s">
        <v>3497</v>
      </c>
      <c r="I228" s="4" t="s">
        <v>1350</v>
      </c>
      <c r="J228" s="4" t="s">
        <v>218</v>
      </c>
      <c r="K228" s="4" t="s">
        <v>908</v>
      </c>
      <c r="L228" s="7" t="s">
        <v>42</v>
      </c>
      <c r="M228" s="7"/>
      <c r="N228" s="4" t="s">
        <v>3450</v>
      </c>
    </row>
    <row r="229" spans="1:14" ht="40" customHeight="1">
      <c r="A229" s="8" t="s">
        <v>211</v>
      </c>
      <c r="B229" s="8" t="s">
        <v>212</v>
      </c>
      <c r="C229" s="8" t="s">
        <v>3999</v>
      </c>
      <c r="D229" s="8" t="s">
        <v>183</v>
      </c>
      <c r="E229" s="8" t="s">
        <v>41</v>
      </c>
      <c r="F229" s="8" t="s">
        <v>3452</v>
      </c>
      <c r="G229" s="8" t="s">
        <v>4000</v>
      </c>
      <c r="H229" s="8" t="s">
        <v>3500</v>
      </c>
      <c r="I229" s="8" t="s">
        <v>1350</v>
      </c>
      <c r="J229" s="8" t="s">
        <v>218</v>
      </c>
      <c r="K229" s="8" t="s">
        <v>908</v>
      </c>
      <c r="L229" s="7" t="s">
        <v>42</v>
      </c>
      <c r="M229" s="7"/>
      <c r="N229" s="8" t="s">
        <v>3450</v>
      </c>
    </row>
    <row r="230" spans="1:14" ht="68" customHeight="1">
      <c r="A230" s="4" t="s">
        <v>221</v>
      </c>
      <c r="B230" s="4" t="s">
        <v>222</v>
      </c>
      <c r="C230" s="4" t="s">
        <v>4001</v>
      </c>
      <c r="D230" s="4" t="s">
        <v>183</v>
      </c>
      <c r="E230" s="4" t="s">
        <v>41</v>
      </c>
      <c r="F230" s="4" t="s">
        <v>3452</v>
      </c>
      <c r="G230" s="4" t="s">
        <v>4002</v>
      </c>
      <c r="H230" s="4" t="s">
        <v>3449</v>
      </c>
      <c r="I230" s="4" t="s">
        <v>1373</v>
      </c>
      <c r="J230" s="4" t="s">
        <v>228</v>
      </c>
      <c r="K230" s="4" t="s">
        <v>908</v>
      </c>
      <c r="L230" s="7" t="s">
        <v>42</v>
      </c>
      <c r="M230" s="7"/>
      <c r="N230" s="4" t="s">
        <v>3450</v>
      </c>
    </row>
    <row r="231" spans="1:14" ht="40" customHeight="1">
      <c r="A231" s="8" t="s">
        <v>221</v>
      </c>
      <c r="B231" s="8" t="s">
        <v>222</v>
      </c>
      <c r="C231" s="8" t="s">
        <v>4003</v>
      </c>
      <c r="D231" s="8" t="s">
        <v>183</v>
      </c>
      <c r="E231" s="8" t="s">
        <v>41</v>
      </c>
      <c r="F231" s="8" t="s">
        <v>3452</v>
      </c>
      <c r="G231" s="8" t="s">
        <v>4004</v>
      </c>
      <c r="H231" s="8" t="s">
        <v>3466</v>
      </c>
      <c r="I231" s="8" t="s">
        <v>1373</v>
      </c>
      <c r="J231" s="8" t="s">
        <v>228</v>
      </c>
      <c r="K231" s="8" t="s">
        <v>908</v>
      </c>
      <c r="L231" s="7" t="s">
        <v>42</v>
      </c>
      <c r="M231" s="7"/>
      <c r="N231" s="8" t="s">
        <v>3450</v>
      </c>
    </row>
    <row r="232" spans="1:14" ht="40" customHeight="1">
      <c r="A232" s="4" t="s">
        <v>221</v>
      </c>
      <c r="B232" s="4" t="s">
        <v>222</v>
      </c>
      <c r="C232" s="4" t="s">
        <v>4005</v>
      </c>
      <c r="D232" s="4" t="s">
        <v>183</v>
      </c>
      <c r="E232" s="4" t="s">
        <v>4006</v>
      </c>
      <c r="F232" s="4" t="s">
        <v>3448</v>
      </c>
      <c r="G232" s="4" t="s">
        <v>4006</v>
      </c>
      <c r="H232" s="4" t="s">
        <v>3469</v>
      </c>
      <c r="I232" s="4" t="s">
        <v>1373</v>
      </c>
      <c r="J232" s="4" t="s">
        <v>228</v>
      </c>
      <c r="K232" s="4" t="s">
        <v>908</v>
      </c>
      <c r="L232" s="7" t="s">
        <v>42</v>
      </c>
      <c r="M232" s="7"/>
      <c r="N232" s="4" t="s">
        <v>3450</v>
      </c>
    </row>
    <row r="233" spans="1:14" ht="40" customHeight="1">
      <c r="A233" s="8" t="s">
        <v>221</v>
      </c>
      <c r="B233" s="8" t="s">
        <v>222</v>
      </c>
      <c r="C233" s="8" t="s">
        <v>4007</v>
      </c>
      <c r="D233" s="8" t="s">
        <v>183</v>
      </c>
      <c r="E233" s="8" t="s">
        <v>4006</v>
      </c>
      <c r="F233" s="8" t="s">
        <v>3452</v>
      </c>
      <c r="G233" s="8" t="s">
        <v>4008</v>
      </c>
      <c r="H233" s="8" t="s">
        <v>3530</v>
      </c>
      <c r="I233" s="8" t="s">
        <v>1373</v>
      </c>
      <c r="J233" s="8" t="s">
        <v>228</v>
      </c>
      <c r="K233" s="8" t="s">
        <v>908</v>
      </c>
      <c r="L233" s="7" t="s">
        <v>42</v>
      </c>
      <c r="M233" s="7"/>
      <c r="N233" s="8" t="s">
        <v>3450</v>
      </c>
    </row>
    <row r="234" spans="1:14" ht="40" customHeight="1">
      <c r="A234" s="4" t="s">
        <v>221</v>
      </c>
      <c r="B234" s="4" t="s">
        <v>222</v>
      </c>
      <c r="C234" s="4" t="s">
        <v>4009</v>
      </c>
      <c r="D234" s="4" t="s">
        <v>183</v>
      </c>
      <c r="E234" s="4" t="s">
        <v>4006</v>
      </c>
      <c r="F234" s="4" t="s">
        <v>3452</v>
      </c>
      <c r="G234" s="4" t="s">
        <v>4010</v>
      </c>
      <c r="H234" s="4" t="s">
        <v>4011</v>
      </c>
      <c r="I234" s="4" t="s">
        <v>1373</v>
      </c>
      <c r="J234" s="4" t="s">
        <v>228</v>
      </c>
      <c r="K234" s="4" t="s">
        <v>908</v>
      </c>
      <c r="L234" s="7" t="s">
        <v>42</v>
      </c>
      <c r="M234" s="7"/>
      <c r="N234" s="4" t="s">
        <v>3450</v>
      </c>
    </row>
    <row r="235" spans="1:14" ht="40" customHeight="1">
      <c r="A235" s="8" t="s">
        <v>221</v>
      </c>
      <c r="B235" s="8" t="s">
        <v>222</v>
      </c>
      <c r="C235" s="8" t="s">
        <v>4012</v>
      </c>
      <c r="D235" s="8" t="s">
        <v>183</v>
      </c>
      <c r="E235" s="8" t="s">
        <v>4006</v>
      </c>
      <c r="F235" s="8" t="s">
        <v>3452</v>
      </c>
      <c r="G235" s="8" t="s">
        <v>4013</v>
      </c>
      <c r="H235" s="8" t="s">
        <v>3535</v>
      </c>
      <c r="I235" s="8" t="s">
        <v>1373</v>
      </c>
      <c r="J235" s="8" t="s">
        <v>228</v>
      </c>
      <c r="K235" s="8" t="s">
        <v>908</v>
      </c>
      <c r="L235" s="7" t="s">
        <v>42</v>
      </c>
      <c r="M235" s="7"/>
      <c r="N235" s="8" t="s">
        <v>3450</v>
      </c>
    </row>
    <row r="236" spans="1:14" ht="40" customHeight="1">
      <c r="A236" s="4" t="s">
        <v>221</v>
      </c>
      <c r="B236" s="4" t="s">
        <v>222</v>
      </c>
      <c r="C236" s="4" t="s">
        <v>4014</v>
      </c>
      <c r="D236" s="4" t="s">
        <v>183</v>
      </c>
      <c r="E236" s="4" t="s">
        <v>4006</v>
      </c>
      <c r="F236" s="4" t="s">
        <v>3452</v>
      </c>
      <c r="G236" s="4" t="s">
        <v>4015</v>
      </c>
      <c r="H236" s="4" t="s">
        <v>4016</v>
      </c>
      <c r="I236" s="4" t="s">
        <v>1373</v>
      </c>
      <c r="J236" s="4" t="s">
        <v>228</v>
      </c>
      <c r="K236" s="4" t="s">
        <v>908</v>
      </c>
      <c r="L236" s="7" t="s">
        <v>42</v>
      </c>
      <c r="M236" s="7"/>
      <c r="N236" s="4" t="s">
        <v>3450</v>
      </c>
    </row>
    <row r="237" spans="1:14" ht="40" customHeight="1">
      <c r="A237" s="8" t="s">
        <v>221</v>
      </c>
      <c r="B237" s="8" t="s">
        <v>222</v>
      </c>
      <c r="C237" s="8" t="s">
        <v>4017</v>
      </c>
      <c r="D237" s="8" t="s">
        <v>183</v>
      </c>
      <c r="E237" s="8" t="s">
        <v>4006</v>
      </c>
      <c r="F237" s="8" t="s">
        <v>3452</v>
      </c>
      <c r="G237" s="8" t="s">
        <v>4018</v>
      </c>
      <c r="H237" s="8" t="s">
        <v>4019</v>
      </c>
      <c r="I237" s="8" t="s">
        <v>1373</v>
      </c>
      <c r="J237" s="8" t="s">
        <v>228</v>
      </c>
      <c r="K237" s="8" t="s">
        <v>908</v>
      </c>
      <c r="L237" s="7" t="s">
        <v>42</v>
      </c>
      <c r="M237" s="7"/>
      <c r="N237" s="8" t="s">
        <v>3450</v>
      </c>
    </row>
    <row r="238" spans="1:14" ht="40" customHeight="1">
      <c r="A238" s="4" t="s">
        <v>221</v>
      </c>
      <c r="B238" s="4" t="s">
        <v>222</v>
      </c>
      <c r="C238" s="4" t="s">
        <v>4020</v>
      </c>
      <c r="D238" s="4" t="s">
        <v>183</v>
      </c>
      <c r="E238" s="4" t="s">
        <v>4006</v>
      </c>
      <c r="F238" s="4" t="s">
        <v>3452</v>
      </c>
      <c r="G238" s="4" t="s">
        <v>4021</v>
      </c>
      <c r="H238" s="4" t="s">
        <v>4022</v>
      </c>
      <c r="I238" s="4" t="s">
        <v>1373</v>
      </c>
      <c r="J238" s="4" t="s">
        <v>228</v>
      </c>
      <c r="K238" s="4" t="s">
        <v>908</v>
      </c>
      <c r="L238" s="7" t="s">
        <v>42</v>
      </c>
      <c r="M238" s="7"/>
      <c r="N238" s="4" t="s">
        <v>3450</v>
      </c>
    </row>
    <row r="239" spans="1:14" ht="40" customHeight="1">
      <c r="A239" s="8" t="s">
        <v>221</v>
      </c>
      <c r="B239" s="8" t="s">
        <v>222</v>
      </c>
      <c r="C239" s="8" t="s">
        <v>4023</v>
      </c>
      <c r="D239" s="8" t="s">
        <v>183</v>
      </c>
      <c r="E239" s="8" t="s">
        <v>4006</v>
      </c>
      <c r="F239" s="8" t="s">
        <v>3452</v>
      </c>
      <c r="G239" s="8" t="s">
        <v>4024</v>
      </c>
      <c r="H239" s="8" t="s">
        <v>4025</v>
      </c>
      <c r="I239" s="8" t="s">
        <v>1373</v>
      </c>
      <c r="J239" s="8" t="s">
        <v>228</v>
      </c>
      <c r="K239" s="8" t="s">
        <v>908</v>
      </c>
      <c r="L239" s="7" t="s">
        <v>42</v>
      </c>
      <c r="M239" s="7"/>
      <c r="N239" s="8" t="s">
        <v>3450</v>
      </c>
    </row>
    <row r="240" spans="1:14" ht="40" customHeight="1">
      <c r="A240" s="4" t="s">
        <v>221</v>
      </c>
      <c r="B240" s="4" t="s">
        <v>222</v>
      </c>
      <c r="C240" s="4" t="s">
        <v>4026</v>
      </c>
      <c r="D240" s="4" t="s">
        <v>183</v>
      </c>
      <c r="E240" s="4" t="s">
        <v>4006</v>
      </c>
      <c r="F240" s="4" t="s">
        <v>3452</v>
      </c>
      <c r="G240" s="4" t="s">
        <v>4027</v>
      </c>
      <c r="H240" s="4" t="s">
        <v>4028</v>
      </c>
      <c r="I240" s="4" t="s">
        <v>1373</v>
      </c>
      <c r="J240" s="4" t="s">
        <v>228</v>
      </c>
      <c r="K240" s="4" t="s">
        <v>908</v>
      </c>
      <c r="L240" s="7" t="s">
        <v>42</v>
      </c>
      <c r="M240" s="7"/>
      <c r="N240" s="4" t="s">
        <v>3450</v>
      </c>
    </row>
    <row r="241" spans="1:14" ht="54" customHeight="1">
      <c r="A241" s="8" t="s">
        <v>221</v>
      </c>
      <c r="B241" s="8" t="s">
        <v>222</v>
      </c>
      <c r="C241" s="8" t="s">
        <v>4029</v>
      </c>
      <c r="D241" s="8" t="s">
        <v>183</v>
      </c>
      <c r="E241" s="8" t="s">
        <v>4006</v>
      </c>
      <c r="F241" s="8" t="s">
        <v>3452</v>
      </c>
      <c r="G241" s="8" t="s">
        <v>4030</v>
      </c>
      <c r="H241" s="8" t="s">
        <v>3475</v>
      </c>
      <c r="I241" s="8" t="s">
        <v>1373</v>
      </c>
      <c r="J241" s="8" t="s">
        <v>228</v>
      </c>
      <c r="K241" s="8" t="s">
        <v>908</v>
      </c>
      <c r="L241" s="7" t="s">
        <v>42</v>
      </c>
      <c r="M241" s="7"/>
      <c r="N241" s="8" t="s">
        <v>3450</v>
      </c>
    </row>
    <row r="242" spans="1:14" ht="54" customHeight="1">
      <c r="A242" s="4" t="s">
        <v>231</v>
      </c>
      <c r="B242" s="4" t="s">
        <v>232</v>
      </c>
      <c r="C242" s="4" t="s">
        <v>4031</v>
      </c>
      <c r="D242" s="4" t="s">
        <v>208</v>
      </c>
      <c r="E242" s="4" t="s">
        <v>41</v>
      </c>
      <c r="F242" s="4" t="s">
        <v>3452</v>
      </c>
      <c r="G242" s="4" t="s">
        <v>4032</v>
      </c>
      <c r="H242" s="4" t="s">
        <v>3463</v>
      </c>
      <c r="I242" s="4" t="s">
        <v>1390</v>
      </c>
      <c r="J242" s="4" t="s">
        <v>237</v>
      </c>
      <c r="K242" s="4" t="s">
        <v>908</v>
      </c>
      <c r="L242" s="7" t="s">
        <v>42</v>
      </c>
      <c r="M242" s="7"/>
      <c r="N242" s="4" t="s">
        <v>3450</v>
      </c>
    </row>
    <row r="243" spans="1:14" ht="54" customHeight="1">
      <c r="A243" s="8" t="s">
        <v>231</v>
      </c>
      <c r="B243" s="8" t="s">
        <v>232</v>
      </c>
      <c r="C243" s="8" t="s">
        <v>4033</v>
      </c>
      <c r="D243" s="8" t="s">
        <v>208</v>
      </c>
      <c r="E243" s="8" t="s">
        <v>4034</v>
      </c>
      <c r="F243" s="8" t="s">
        <v>3448</v>
      </c>
      <c r="G243" s="8" t="s">
        <v>4034</v>
      </c>
      <c r="H243" s="8" t="s">
        <v>3466</v>
      </c>
      <c r="I243" s="8" t="s">
        <v>1390</v>
      </c>
      <c r="J243" s="8" t="s">
        <v>237</v>
      </c>
      <c r="K243" s="8" t="s">
        <v>908</v>
      </c>
      <c r="L243" s="7" t="s">
        <v>42</v>
      </c>
      <c r="M243" s="7"/>
      <c r="N243" s="8" t="s">
        <v>3450</v>
      </c>
    </row>
    <row r="244" spans="1:14" ht="54" customHeight="1">
      <c r="A244" s="4" t="s">
        <v>231</v>
      </c>
      <c r="B244" s="4" t="s">
        <v>232</v>
      </c>
      <c r="C244" s="4" t="s">
        <v>4035</v>
      </c>
      <c r="D244" s="4" t="s">
        <v>208</v>
      </c>
      <c r="E244" s="4" t="s">
        <v>4034</v>
      </c>
      <c r="F244" s="4" t="s">
        <v>3452</v>
      </c>
      <c r="G244" s="4" t="s">
        <v>4036</v>
      </c>
      <c r="H244" s="4" t="s">
        <v>3469</v>
      </c>
      <c r="I244" s="4" t="s">
        <v>1390</v>
      </c>
      <c r="J244" s="4" t="s">
        <v>237</v>
      </c>
      <c r="K244" s="4" t="s">
        <v>908</v>
      </c>
      <c r="L244" s="7" t="s">
        <v>42</v>
      </c>
      <c r="M244" s="7"/>
      <c r="N244" s="4" t="s">
        <v>3450</v>
      </c>
    </row>
    <row r="245" spans="1:14" ht="54" customHeight="1">
      <c r="A245" s="8" t="s">
        <v>231</v>
      </c>
      <c r="B245" s="8" t="s">
        <v>232</v>
      </c>
      <c r="C245" s="8" t="s">
        <v>4037</v>
      </c>
      <c r="D245" s="8" t="s">
        <v>208</v>
      </c>
      <c r="E245" s="8" t="s">
        <v>4038</v>
      </c>
      <c r="F245" s="8" t="s">
        <v>3448</v>
      </c>
      <c r="G245" s="8" t="s">
        <v>4038</v>
      </c>
      <c r="H245" s="8" t="s">
        <v>3472</v>
      </c>
      <c r="I245" s="8" t="s">
        <v>1390</v>
      </c>
      <c r="J245" s="8" t="s">
        <v>237</v>
      </c>
      <c r="K245" s="8" t="s">
        <v>908</v>
      </c>
      <c r="L245" s="7" t="s">
        <v>42</v>
      </c>
      <c r="M245" s="7"/>
      <c r="N245" s="8" t="s">
        <v>3450</v>
      </c>
    </row>
    <row r="246" spans="1:14" ht="54" customHeight="1">
      <c r="A246" s="4" t="s">
        <v>231</v>
      </c>
      <c r="B246" s="4" t="s">
        <v>232</v>
      </c>
      <c r="C246" s="4" t="s">
        <v>4039</v>
      </c>
      <c r="D246" s="4" t="s">
        <v>208</v>
      </c>
      <c r="E246" s="4" t="s">
        <v>4038</v>
      </c>
      <c r="F246" s="4" t="s">
        <v>3452</v>
      </c>
      <c r="G246" s="4" t="s">
        <v>4040</v>
      </c>
      <c r="H246" s="4" t="s">
        <v>3475</v>
      </c>
      <c r="I246" s="4" t="s">
        <v>1390</v>
      </c>
      <c r="J246" s="4" t="s">
        <v>237</v>
      </c>
      <c r="K246" s="4" t="s">
        <v>908</v>
      </c>
      <c r="L246" s="7" t="s">
        <v>42</v>
      </c>
      <c r="M246" s="7"/>
      <c r="N246" s="4" t="s">
        <v>3450</v>
      </c>
    </row>
    <row r="247" spans="1:14" ht="54" customHeight="1">
      <c r="A247" s="8" t="s">
        <v>231</v>
      </c>
      <c r="B247" s="8" t="s">
        <v>232</v>
      </c>
      <c r="C247" s="8" t="s">
        <v>4041</v>
      </c>
      <c r="D247" s="8" t="s">
        <v>208</v>
      </c>
      <c r="E247" s="8" t="s">
        <v>4042</v>
      </c>
      <c r="F247" s="8" t="s">
        <v>3448</v>
      </c>
      <c r="G247" s="8" t="s">
        <v>4042</v>
      </c>
      <c r="H247" s="8" t="s">
        <v>3478</v>
      </c>
      <c r="I247" s="8" t="s">
        <v>1390</v>
      </c>
      <c r="J247" s="8" t="s">
        <v>237</v>
      </c>
      <c r="K247" s="8" t="s">
        <v>908</v>
      </c>
      <c r="L247" s="7" t="s">
        <v>42</v>
      </c>
      <c r="M247" s="7"/>
      <c r="N247" s="8" t="s">
        <v>3450</v>
      </c>
    </row>
    <row r="248" spans="1:14" ht="54" customHeight="1">
      <c r="A248" s="4" t="s">
        <v>231</v>
      </c>
      <c r="B248" s="4" t="s">
        <v>232</v>
      </c>
      <c r="C248" s="4" t="s">
        <v>4043</v>
      </c>
      <c r="D248" s="4" t="s">
        <v>208</v>
      </c>
      <c r="E248" s="4" t="s">
        <v>4042</v>
      </c>
      <c r="F248" s="4" t="s">
        <v>3452</v>
      </c>
      <c r="G248" s="4" t="s">
        <v>4044</v>
      </c>
      <c r="H248" s="4" t="s">
        <v>3603</v>
      </c>
      <c r="I248" s="4" t="s">
        <v>1390</v>
      </c>
      <c r="J248" s="4" t="s">
        <v>237</v>
      </c>
      <c r="K248" s="4" t="s">
        <v>908</v>
      </c>
      <c r="L248" s="7" t="s">
        <v>42</v>
      </c>
      <c r="M248" s="7"/>
      <c r="N248" s="4" t="s">
        <v>3450</v>
      </c>
    </row>
    <row r="249" spans="1:14" ht="54" customHeight="1">
      <c r="A249" s="8" t="s">
        <v>231</v>
      </c>
      <c r="B249" s="8" t="s">
        <v>232</v>
      </c>
      <c r="C249" s="8" t="s">
        <v>4045</v>
      </c>
      <c r="D249" s="8" t="s">
        <v>208</v>
      </c>
      <c r="E249" s="8" t="s">
        <v>4046</v>
      </c>
      <c r="F249" s="8" t="s">
        <v>3448</v>
      </c>
      <c r="G249" s="8" t="s">
        <v>4046</v>
      </c>
      <c r="H249" s="8" t="s">
        <v>3838</v>
      </c>
      <c r="I249" s="8" t="s">
        <v>1390</v>
      </c>
      <c r="J249" s="8" t="s">
        <v>237</v>
      </c>
      <c r="K249" s="8" t="s">
        <v>908</v>
      </c>
      <c r="L249" s="7" t="s">
        <v>42</v>
      </c>
      <c r="M249" s="7"/>
      <c r="N249" s="8" t="s">
        <v>3450</v>
      </c>
    </row>
    <row r="250" spans="1:14" ht="54" customHeight="1">
      <c r="A250" s="4" t="s">
        <v>231</v>
      </c>
      <c r="B250" s="4" t="s">
        <v>232</v>
      </c>
      <c r="C250" s="4" t="s">
        <v>4047</v>
      </c>
      <c r="D250" s="4" t="s">
        <v>208</v>
      </c>
      <c r="E250" s="4" t="s">
        <v>4046</v>
      </c>
      <c r="F250" s="4" t="s">
        <v>3452</v>
      </c>
      <c r="G250" s="4" t="s">
        <v>4048</v>
      </c>
      <c r="H250" s="4" t="s">
        <v>3608</v>
      </c>
      <c r="I250" s="4" t="s">
        <v>1390</v>
      </c>
      <c r="J250" s="4" t="s">
        <v>237</v>
      </c>
      <c r="K250" s="4" t="s">
        <v>908</v>
      </c>
      <c r="L250" s="7" t="s">
        <v>42</v>
      </c>
      <c r="M250" s="7"/>
      <c r="N250" s="4" t="s">
        <v>3450</v>
      </c>
    </row>
    <row r="251" spans="1:14" ht="54" customHeight="1">
      <c r="A251" s="8" t="s">
        <v>231</v>
      </c>
      <c r="B251" s="8" t="s">
        <v>232</v>
      </c>
      <c r="C251" s="8" t="s">
        <v>4049</v>
      </c>
      <c r="D251" s="8" t="s">
        <v>208</v>
      </c>
      <c r="E251" s="8" t="s">
        <v>4050</v>
      </c>
      <c r="F251" s="8" t="s">
        <v>3448</v>
      </c>
      <c r="G251" s="8" t="s">
        <v>4050</v>
      </c>
      <c r="H251" s="8" t="s">
        <v>3611</v>
      </c>
      <c r="I251" s="8" t="s">
        <v>1390</v>
      </c>
      <c r="J251" s="8" t="s">
        <v>237</v>
      </c>
      <c r="K251" s="8" t="s">
        <v>908</v>
      </c>
      <c r="L251" s="7" t="s">
        <v>42</v>
      </c>
      <c r="M251" s="7"/>
      <c r="N251" s="8" t="s">
        <v>3450</v>
      </c>
    </row>
    <row r="252" spans="1:14" ht="54" customHeight="1">
      <c r="A252" s="4" t="s">
        <v>231</v>
      </c>
      <c r="B252" s="4" t="s">
        <v>232</v>
      </c>
      <c r="C252" s="4" t="s">
        <v>4051</v>
      </c>
      <c r="D252" s="4" t="s">
        <v>208</v>
      </c>
      <c r="E252" s="4" t="s">
        <v>4050</v>
      </c>
      <c r="F252" s="4" t="s">
        <v>3452</v>
      </c>
      <c r="G252" s="4" t="s">
        <v>4052</v>
      </c>
      <c r="H252" s="4" t="s">
        <v>3775</v>
      </c>
      <c r="I252" s="4" t="s">
        <v>1390</v>
      </c>
      <c r="J252" s="4" t="s">
        <v>237</v>
      </c>
      <c r="K252" s="4" t="s">
        <v>908</v>
      </c>
      <c r="L252" s="7" t="s">
        <v>42</v>
      </c>
      <c r="M252" s="7"/>
      <c r="N252" s="4" t="s">
        <v>3450</v>
      </c>
    </row>
    <row r="253" spans="1:14" ht="54" customHeight="1">
      <c r="A253" s="8" t="s">
        <v>231</v>
      </c>
      <c r="B253" s="8" t="s">
        <v>232</v>
      </c>
      <c r="C253" s="8" t="s">
        <v>4053</v>
      </c>
      <c r="D253" s="8" t="s">
        <v>208</v>
      </c>
      <c r="E253" s="8" t="s">
        <v>4054</v>
      </c>
      <c r="F253" s="8" t="s">
        <v>3448</v>
      </c>
      <c r="G253" s="8" t="s">
        <v>4054</v>
      </c>
      <c r="H253" s="8" t="s">
        <v>3847</v>
      </c>
      <c r="I253" s="8" t="s">
        <v>1390</v>
      </c>
      <c r="J253" s="8" t="s">
        <v>237</v>
      </c>
      <c r="K253" s="8" t="s">
        <v>908</v>
      </c>
      <c r="L253" s="7" t="s">
        <v>42</v>
      </c>
      <c r="M253" s="7"/>
      <c r="N253" s="8" t="s">
        <v>3450</v>
      </c>
    </row>
    <row r="254" spans="1:14" ht="54" customHeight="1">
      <c r="A254" s="4" t="s">
        <v>231</v>
      </c>
      <c r="B254" s="4" t="s">
        <v>232</v>
      </c>
      <c r="C254" s="4" t="s">
        <v>4055</v>
      </c>
      <c r="D254" s="4" t="s">
        <v>208</v>
      </c>
      <c r="E254" s="4" t="s">
        <v>4054</v>
      </c>
      <c r="F254" s="4" t="s">
        <v>3452</v>
      </c>
      <c r="G254" s="4" t="s">
        <v>4056</v>
      </c>
      <c r="H254" s="4" t="s">
        <v>3777</v>
      </c>
      <c r="I254" s="4" t="s">
        <v>1390</v>
      </c>
      <c r="J254" s="4" t="s">
        <v>237</v>
      </c>
      <c r="K254" s="4" t="s">
        <v>908</v>
      </c>
      <c r="L254" s="7" t="s">
        <v>42</v>
      </c>
      <c r="M254" s="7"/>
      <c r="N254" s="4" t="s">
        <v>3450</v>
      </c>
    </row>
    <row r="255" spans="1:14" ht="54" customHeight="1">
      <c r="A255" s="8" t="s">
        <v>231</v>
      </c>
      <c r="B255" s="8" t="s">
        <v>232</v>
      </c>
      <c r="C255" s="8" t="s">
        <v>4057</v>
      </c>
      <c r="D255" s="8" t="s">
        <v>208</v>
      </c>
      <c r="E255" s="8" t="s">
        <v>4058</v>
      </c>
      <c r="F255" s="8" t="s">
        <v>3448</v>
      </c>
      <c r="G255" s="8" t="s">
        <v>4058</v>
      </c>
      <c r="H255" s="8" t="s">
        <v>3779</v>
      </c>
      <c r="I255" s="8" t="s">
        <v>1390</v>
      </c>
      <c r="J255" s="8" t="s">
        <v>237</v>
      </c>
      <c r="K255" s="8" t="s">
        <v>908</v>
      </c>
      <c r="L255" s="7" t="s">
        <v>42</v>
      </c>
      <c r="M255" s="7"/>
      <c r="N255" s="8" t="s">
        <v>3450</v>
      </c>
    </row>
    <row r="256" spans="1:14" ht="54" customHeight="1">
      <c r="A256" s="4" t="s">
        <v>231</v>
      </c>
      <c r="B256" s="4" t="s">
        <v>232</v>
      </c>
      <c r="C256" s="4" t="s">
        <v>4059</v>
      </c>
      <c r="D256" s="4" t="s">
        <v>208</v>
      </c>
      <c r="E256" s="4" t="s">
        <v>4058</v>
      </c>
      <c r="F256" s="4" t="s">
        <v>3452</v>
      </c>
      <c r="G256" s="4" t="s">
        <v>4060</v>
      </c>
      <c r="H256" s="4" t="s">
        <v>3781</v>
      </c>
      <c r="I256" s="4" t="s">
        <v>1390</v>
      </c>
      <c r="J256" s="4" t="s">
        <v>237</v>
      </c>
      <c r="K256" s="4" t="s">
        <v>908</v>
      </c>
      <c r="L256" s="7" t="s">
        <v>42</v>
      </c>
      <c r="M256" s="7"/>
      <c r="N256" s="4" t="s">
        <v>3450</v>
      </c>
    </row>
    <row r="257" spans="1:14" ht="54" customHeight="1">
      <c r="A257" s="8" t="s">
        <v>231</v>
      </c>
      <c r="B257" s="8" t="s">
        <v>232</v>
      </c>
      <c r="C257" s="8" t="s">
        <v>4061</v>
      </c>
      <c r="D257" s="8" t="s">
        <v>208</v>
      </c>
      <c r="E257" s="8" t="s">
        <v>4058</v>
      </c>
      <c r="F257" s="8" t="s">
        <v>3452</v>
      </c>
      <c r="G257" s="8" t="s">
        <v>4062</v>
      </c>
      <c r="H257" s="8" t="s">
        <v>3783</v>
      </c>
      <c r="I257" s="8" t="s">
        <v>1390</v>
      </c>
      <c r="J257" s="8" t="s">
        <v>237</v>
      </c>
      <c r="K257" s="8" t="s">
        <v>908</v>
      </c>
      <c r="L257" s="7" t="s">
        <v>42</v>
      </c>
      <c r="M257" s="7"/>
      <c r="N257" s="8" t="s">
        <v>3450</v>
      </c>
    </row>
    <row r="258" spans="1:14" ht="54" customHeight="1">
      <c r="A258" s="4" t="s">
        <v>231</v>
      </c>
      <c r="B258" s="4" t="s">
        <v>232</v>
      </c>
      <c r="C258" s="4" t="s">
        <v>4063</v>
      </c>
      <c r="D258" s="4" t="s">
        <v>208</v>
      </c>
      <c r="E258" s="4" t="s">
        <v>4058</v>
      </c>
      <c r="F258" s="4" t="s">
        <v>3452</v>
      </c>
      <c r="G258" s="4" t="s">
        <v>4064</v>
      </c>
      <c r="H258" s="4" t="s">
        <v>3785</v>
      </c>
      <c r="I258" s="4" t="s">
        <v>1390</v>
      </c>
      <c r="J258" s="4" t="s">
        <v>237</v>
      </c>
      <c r="K258" s="4" t="s">
        <v>908</v>
      </c>
      <c r="L258" s="7" t="s">
        <v>42</v>
      </c>
      <c r="M258" s="7"/>
      <c r="N258" s="4" t="s">
        <v>3450</v>
      </c>
    </row>
    <row r="259" spans="1:14" ht="54" customHeight="1">
      <c r="A259" s="8" t="s">
        <v>231</v>
      </c>
      <c r="B259" s="8" t="s">
        <v>232</v>
      </c>
      <c r="C259" s="8" t="s">
        <v>4065</v>
      </c>
      <c r="D259" s="8" t="s">
        <v>208</v>
      </c>
      <c r="E259" s="8" t="s">
        <v>4066</v>
      </c>
      <c r="F259" s="8" t="s">
        <v>3448</v>
      </c>
      <c r="G259" s="8" t="s">
        <v>4066</v>
      </c>
      <c r="H259" s="8" t="s">
        <v>3885</v>
      </c>
      <c r="I259" s="8" t="s">
        <v>1390</v>
      </c>
      <c r="J259" s="8" t="s">
        <v>237</v>
      </c>
      <c r="K259" s="8" t="s">
        <v>908</v>
      </c>
      <c r="L259" s="7" t="s">
        <v>42</v>
      </c>
      <c r="M259" s="7"/>
      <c r="N259" s="8" t="s">
        <v>3450</v>
      </c>
    </row>
    <row r="260" spans="1:14" ht="54" customHeight="1">
      <c r="A260" s="4" t="s">
        <v>231</v>
      </c>
      <c r="B260" s="4" t="s">
        <v>232</v>
      </c>
      <c r="C260" s="4" t="s">
        <v>4067</v>
      </c>
      <c r="D260" s="4" t="s">
        <v>208</v>
      </c>
      <c r="E260" s="4" t="s">
        <v>4066</v>
      </c>
      <c r="F260" s="4" t="s">
        <v>3452</v>
      </c>
      <c r="G260" s="4" t="s">
        <v>4068</v>
      </c>
      <c r="H260" s="4" t="s">
        <v>3787</v>
      </c>
      <c r="I260" s="4" t="s">
        <v>1390</v>
      </c>
      <c r="J260" s="4" t="s">
        <v>237</v>
      </c>
      <c r="K260" s="4" t="s">
        <v>908</v>
      </c>
      <c r="L260" s="7" t="s">
        <v>42</v>
      </c>
      <c r="M260" s="7"/>
      <c r="N260" s="4" t="s">
        <v>3450</v>
      </c>
    </row>
    <row r="261" spans="1:14" ht="54" customHeight="1">
      <c r="A261" s="8" t="s">
        <v>231</v>
      </c>
      <c r="B261" s="8" t="s">
        <v>232</v>
      </c>
      <c r="C261" s="8" t="s">
        <v>4069</v>
      </c>
      <c r="D261" s="8" t="s">
        <v>208</v>
      </c>
      <c r="E261" s="8" t="s">
        <v>4070</v>
      </c>
      <c r="F261" s="8" t="s">
        <v>3448</v>
      </c>
      <c r="G261" s="8" t="s">
        <v>4070</v>
      </c>
      <c r="H261" s="8" t="s">
        <v>3789</v>
      </c>
      <c r="I261" s="8" t="s">
        <v>1390</v>
      </c>
      <c r="J261" s="8" t="s">
        <v>237</v>
      </c>
      <c r="K261" s="8" t="s">
        <v>908</v>
      </c>
      <c r="L261" s="7" t="s">
        <v>42</v>
      </c>
      <c r="M261" s="7"/>
      <c r="N261" s="8" t="s">
        <v>3450</v>
      </c>
    </row>
    <row r="262" spans="1:14" ht="54" customHeight="1">
      <c r="A262" s="4" t="s">
        <v>231</v>
      </c>
      <c r="B262" s="4" t="s">
        <v>232</v>
      </c>
      <c r="C262" s="4" t="s">
        <v>4071</v>
      </c>
      <c r="D262" s="4" t="s">
        <v>208</v>
      </c>
      <c r="E262" s="4" t="s">
        <v>4070</v>
      </c>
      <c r="F262" s="4" t="s">
        <v>3452</v>
      </c>
      <c r="G262" s="4" t="s">
        <v>4072</v>
      </c>
      <c r="H262" s="4" t="s">
        <v>3892</v>
      </c>
      <c r="I262" s="4" t="s">
        <v>1390</v>
      </c>
      <c r="J262" s="4" t="s">
        <v>237</v>
      </c>
      <c r="K262" s="4" t="s">
        <v>908</v>
      </c>
      <c r="L262" s="7" t="s">
        <v>42</v>
      </c>
      <c r="M262" s="7"/>
      <c r="N262" s="4" t="s">
        <v>3450</v>
      </c>
    </row>
    <row r="263" spans="1:14" ht="54" customHeight="1">
      <c r="A263" s="8" t="s">
        <v>231</v>
      </c>
      <c r="B263" s="8" t="s">
        <v>232</v>
      </c>
      <c r="C263" s="8" t="s">
        <v>4073</v>
      </c>
      <c r="D263" s="8" t="s">
        <v>208</v>
      </c>
      <c r="E263" s="8" t="s">
        <v>4070</v>
      </c>
      <c r="F263" s="8" t="s">
        <v>3452</v>
      </c>
      <c r="G263" s="8" t="s">
        <v>4074</v>
      </c>
      <c r="H263" s="8" t="s">
        <v>3966</v>
      </c>
      <c r="I263" s="8" t="s">
        <v>1390</v>
      </c>
      <c r="J263" s="8" t="s">
        <v>237</v>
      </c>
      <c r="K263" s="8" t="s">
        <v>908</v>
      </c>
      <c r="L263" s="7" t="s">
        <v>42</v>
      </c>
      <c r="M263" s="7"/>
      <c r="N263" s="8" t="s">
        <v>3450</v>
      </c>
    </row>
    <row r="264" spans="1:14" ht="54" customHeight="1">
      <c r="A264" s="4" t="s">
        <v>231</v>
      </c>
      <c r="B264" s="4" t="s">
        <v>232</v>
      </c>
      <c r="C264" s="4" t="s">
        <v>4075</v>
      </c>
      <c r="D264" s="4" t="s">
        <v>208</v>
      </c>
      <c r="E264" s="4" t="s">
        <v>4076</v>
      </c>
      <c r="F264" s="4" t="s">
        <v>3448</v>
      </c>
      <c r="G264" s="4" t="s">
        <v>4076</v>
      </c>
      <c r="H264" s="4" t="s">
        <v>3793</v>
      </c>
      <c r="I264" s="4" t="s">
        <v>1390</v>
      </c>
      <c r="J264" s="4" t="s">
        <v>237</v>
      </c>
      <c r="K264" s="4" t="s">
        <v>908</v>
      </c>
      <c r="L264" s="7" t="s">
        <v>42</v>
      </c>
      <c r="M264" s="7"/>
      <c r="N264" s="4" t="s">
        <v>3450</v>
      </c>
    </row>
    <row r="265" spans="1:14" ht="54" customHeight="1">
      <c r="A265" s="8" t="s">
        <v>231</v>
      </c>
      <c r="B265" s="8" t="s">
        <v>232</v>
      </c>
      <c r="C265" s="8" t="s">
        <v>4077</v>
      </c>
      <c r="D265" s="8" t="s">
        <v>208</v>
      </c>
      <c r="E265" s="8" t="s">
        <v>4076</v>
      </c>
      <c r="F265" s="8" t="s">
        <v>3452</v>
      </c>
      <c r="G265" s="8" t="s">
        <v>4078</v>
      </c>
      <c r="H265" s="8" t="s">
        <v>3795</v>
      </c>
      <c r="I265" s="8" t="s">
        <v>1390</v>
      </c>
      <c r="J265" s="8" t="s">
        <v>237</v>
      </c>
      <c r="K265" s="8" t="s">
        <v>908</v>
      </c>
      <c r="L265" s="7" t="s">
        <v>42</v>
      </c>
      <c r="M265" s="7"/>
      <c r="N265" s="8" t="s">
        <v>3450</v>
      </c>
    </row>
    <row r="266" spans="1:14" ht="54" customHeight="1">
      <c r="A266" s="4" t="s">
        <v>231</v>
      </c>
      <c r="B266" s="4" t="s">
        <v>232</v>
      </c>
      <c r="C266" s="4" t="s">
        <v>4079</v>
      </c>
      <c r="D266" s="4" t="s">
        <v>208</v>
      </c>
      <c r="E266" s="4" t="s">
        <v>4080</v>
      </c>
      <c r="F266" s="4" t="s">
        <v>3448</v>
      </c>
      <c r="G266" s="4" t="s">
        <v>4080</v>
      </c>
      <c r="H266" s="4" t="s">
        <v>4081</v>
      </c>
      <c r="I266" s="4" t="s">
        <v>1390</v>
      </c>
      <c r="J266" s="4" t="s">
        <v>237</v>
      </c>
      <c r="K266" s="4" t="s">
        <v>908</v>
      </c>
      <c r="L266" s="7" t="s">
        <v>42</v>
      </c>
      <c r="M266" s="7"/>
      <c r="N266" s="4" t="s">
        <v>3450</v>
      </c>
    </row>
    <row r="267" spans="1:14" ht="54" customHeight="1">
      <c r="A267" s="8" t="s">
        <v>231</v>
      </c>
      <c r="B267" s="8" t="s">
        <v>232</v>
      </c>
      <c r="C267" s="8" t="s">
        <v>4082</v>
      </c>
      <c r="D267" s="8" t="s">
        <v>208</v>
      </c>
      <c r="E267" s="8" t="s">
        <v>4080</v>
      </c>
      <c r="F267" s="8" t="s">
        <v>3452</v>
      </c>
      <c r="G267" s="8" t="s">
        <v>4083</v>
      </c>
      <c r="H267" s="8" t="s">
        <v>3797</v>
      </c>
      <c r="I267" s="8" t="s">
        <v>1390</v>
      </c>
      <c r="J267" s="8" t="s">
        <v>237</v>
      </c>
      <c r="K267" s="8" t="s">
        <v>908</v>
      </c>
      <c r="L267" s="7" t="s">
        <v>42</v>
      </c>
      <c r="M267" s="7"/>
      <c r="N267" s="8" t="s">
        <v>3450</v>
      </c>
    </row>
    <row r="268" spans="1:14" ht="54" customHeight="1">
      <c r="A268" s="4" t="s">
        <v>231</v>
      </c>
      <c r="B268" s="4" t="s">
        <v>232</v>
      </c>
      <c r="C268" s="4" t="s">
        <v>4084</v>
      </c>
      <c r="D268" s="4" t="s">
        <v>208</v>
      </c>
      <c r="E268" s="4" t="s">
        <v>4085</v>
      </c>
      <c r="F268" s="4" t="s">
        <v>3448</v>
      </c>
      <c r="G268" s="4" t="s">
        <v>4085</v>
      </c>
      <c r="H268" s="4" t="s">
        <v>4086</v>
      </c>
      <c r="I268" s="4" t="s">
        <v>1390</v>
      </c>
      <c r="J268" s="4" t="s">
        <v>237</v>
      </c>
      <c r="K268" s="4" t="s">
        <v>908</v>
      </c>
      <c r="L268" s="7" t="s">
        <v>42</v>
      </c>
      <c r="M268" s="7"/>
      <c r="N268" s="4" t="s">
        <v>3450</v>
      </c>
    </row>
    <row r="269" spans="1:14" ht="54" customHeight="1">
      <c r="A269" s="8" t="s">
        <v>231</v>
      </c>
      <c r="B269" s="8" t="s">
        <v>232</v>
      </c>
      <c r="C269" s="8" t="s">
        <v>4087</v>
      </c>
      <c r="D269" s="8" t="s">
        <v>208</v>
      </c>
      <c r="E269" s="8" t="s">
        <v>4085</v>
      </c>
      <c r="F269" s="8" t="s">
        <v>3452</v>
      </c>
      <c r="G269" s="8" t="s">
        <v>4088</v>
      </c>
      <c r="H269" s="8" t="s">
        <v>3988</v>
      </c>
      <c r="I269" s="8" t="s">
        <v>1390</v>
      </c>
      <c r="J269" s="8" t="s">
        <v>237</v>
      </c>
      <c r="K269" s="8" t="s">
        <v>908</v>
      </c>
      <c r="L269" s="7" t="s">
        <v>42</v>
      </c>
      <c r="M269" s="7"/>
      <c r="N269" s="8" t="s">
        <v>3450</v>
      </c>
    </row>
    <row r="270" spans="1:14" ht="54" customHeight="1">
      <c r="A270" s="4" t="s">
        <v>231</v>
      </c>
      <c r="B270" s="4" t="s">
        <v>232</v>
      </c>
      <c r="C270" s="4" t="s">
        <v>4089</v>
      </c>
      <c r="D270" s="4" t="s">
        <v>208</v>
      </c>
      <c r="E270" s="4" t="s">
        <v>4090</v>
      </c>
      <c r="F270" s="4" t="s">
        <v>3448</v>
      </c>
      <c r="G270" s="4" t="s">
        <v>4090</v>
      </c>
      <c r="H270" s="4" t="s">
        <v>4091</v>
      </c>
      <c r="I270" s="4" t="s">
        <v>1390</v>
      </c>
      <c r="J270" s="4" t="s">
        <v>237</v>
      </c>
      <c r="K270" s="4" t="s">
        <v>908</v>
      </c>
      <c r="L270" s="7" t="s">
        <v>42</v>
      </c>
      <c r="M270" s="7"/>
      <c r="N270" s="4" t="s">
        <v>3450</v>
      </c>
    </row>
    <row r="271" spans="1:14" ht="54" customHeight="1">
      <c r="A271" s="8" t="s">
        <v>231</v>
      </c>
      <c r="B271" s="8" t="s">
        <v>232</v>
      </c>
      <c r="C271" s="8" t="s">
        <v>4092</v>
      </c>
      <c r="D271" s="8" t="s">
        <v>208</v>
      </c>
      <c r="E271" s="8" t="s">
        <v>4090</v>
      </c>
      <c r="F271" s="8" t="s">
        <v>3452</v>
      </c>
      <c r="G271" s="8" t="s">
        <v>4093</v>
      </c>
      <c r="H271" s="8" t="s">
        <v>3801</v>
      </c>
      <c r="I271" s="8" t="s">
        <v>1390</v>
      </c>
      <c r="J271" s="8" t="s">
        <v>237</v>
      </c>
      <c r="K271" s="8" t="s">
        <v>908</v>
      </c>
      <c r="L271" s="7" t="s">
        <v>42</v>
      </c>
      <c r="M271" s="7"/>
      <c r="N271" s="8" t="s">
        <v>3450</v>
      </c>
    </row>
    <row r="272" spans="1:14" ht="40" customHeight="1">
      <c r="A272" s="4" t="s">
        <v>240</v>
      </c>
      <c r="B272" s="4" t="s">
        <v>241</v>
      </c>
      <c r="C272" s="4" t="s">
        <v>4094</v>
      </c>
      <c r="D272" s="4" t="s">
        <v>183</v>
      </c>
      <c r="E272" s="4" t="s">
        <v>41</v>
      </c>
      <c r="F272" s="4" t="s">
        <v>3452</v>
      </c>
      <c r="G272" s="4" t="s">
        <v>4095</v>
      </c>
      <c r="H272" s="4" t="s">
        <v>3463</v>
      </c>
      <c r="I272" s="4" t="s">
        <v>1422</v>
      </c>
      <c r="J272" s="4" t="s">
        <v>246</v>
      </c>
      <c r="K272" s="4" t="s">
        <v>908</v>
      </c>
      <c r="L272" s="7" t="s">
        <v>42</v>
      </c>
      <c r="M272" s="7"/>
      <c r="N272" s="4" t="s">
        <v>3450</v>
      </c>
    </row>
    <row r="273" spans="1:14" ht="40" customHeight="1">
      <c r="A273" s="8" t="s">
        <v>240</v>
      </c>
      <c r="B273" s="8" t="s">
        <v>241</v>
      </c>
      <c r="C273" s="8" t="s">
        <v>4096</v>
      </c>
      <c r="D273" s="8" t="s">
        <v>183</v>
      </c>
      <c r="E273" s="8" t="s">
        <v>41</v>
      </c>
      <c r="F273" s="8" t="s">
        <v>3452</v>
      </c>
      <c r="G273" s="8" t="s">
        <v>4097</v>
      </c>
      <c r="H273" s="8" t="s">
        <v>3485</v>
      </c>
      <c r="I273" s="8" t="s">
        <v>1422</v>
      </c>
      <c r="J273" s="8" t="s">
        <v>246</v>
      </c>
      <c r="K273" s="8" t="s">
        <v>908</v>
      </c>
      <c r="L273" s="7" t="s">
        <v>42</v>
      </c>
      <c r="M273" s="7"/>
      <c r="N273" s="8" t="s">
        <v>3450</v>
      </c>
    </row>
    <row r="274" spans="1:14" ht="40" customHeight="1">
      <c r="A274" s="4" t="s">
        <v>240</v>
      </c>
      <c r="B274" s="4" t="s">
        <v>241</v>
      </c>
      <c r="C274" s="4" t="s">
        <v>4098</v>
      </c>
      <c r="D274" s="4" t="s">
        <v>183</v>
      </c>
      <c r="E274" s="4" t="s">
        <v>41</v>
      </c>
      <c r="F274" s="4" t="s">
        <v>3452</v>
      </c>
      <c r="G274" s="4" t="s">
        <v>4099</v>
      </c>
      <c r="H274" s="4" t="s">
        <v>3655</v>
      </c>
      <c r="I274" s="4" t="s">
        <v>1422</v>
      </c>
      <c r="J274" s="4" t="s">
        <v>246</v>
      </c>
      <c r="K274" s="4" t="s">
        <v>908</v>
      </c>
      <c r="L274" s="7" t="s">
        <v>42</v>
      </c>
      <c r="M274" s="7"/>
      <c r="N274" s="4" t="s">
        <v>3450</v>
      </c>
    </row>
    <row r="275" spans="1:14" ht="40" customHeight="1">
      <c r="A275" s="8" t="s">
        <v>240</v>
      </c>
      <c r="B275" s="8" t="s">
        <v>241</v>
      </c>
      <c r="C275" s="8" t="s">
        <v>4100</v>
      </c>
      <c r="D275" s="8" t="s">
        <v>183</v>
      </c>
      <c r="E275" s="8" t="s">
        <v>41</v>
      </c>
      <c r="F275" s="8" t="s">
        <v>3452</v>
      </c>
      <c r="G275" s="8" t="s">
        <v>4101</v>
      </c>
      <c r="H275" s="8" t="s">
        <v>3494</v>
      </c>
      <c r="I275" s="8" t="s">
        <v>1422</v>
      </c>
      <c r="J275" s="8" t="s">
        <v>246</v>
      </c>
      <c r="K275" s="8" t="s">
        <v>908</v>
      </c>
      <c r="L275" s="7" t="s">
        <v>42</v>
      </c>
      <c r="M275" s="7"/>
      <c r="N275" s="8" t="s">
        <v>3450</v>
      </c>
    </row>
    <row r="276" spans="1:14" ht="40" customHeight="1">
      <c r="A276" s="4" t="s">
        <v>240</v>
      </c>
      <c r="B276" s="4" t="s">
        <v>241</v>
      </c>
      <c r="C276" s="4" t="s">
        <v>4102</v>
      </c>
      <c r="D276" s="4" t="s">
        <v>183</v>
      </c>
      <c r="E276" s="4" t="s">
        <v>41</v>
      </c>
      <c r="F276" s="4" t="s">
        <v>3452</v>
      </c>
      <c r="G276" s="4" t="s">
        <v>4103</v>
      </c>
      <c r="H276" s="4" t="s">
        <v>3497</v>
      </c>
      <c r="I276" s="4" t="s">
        <v>1422</v>
      </c>
      <c r="J276" s="4" t="s">
        <v>246</v>
      </c>
      <c r="K276" s="4" t="s">
        <v>908</v>
      </c>
      <c r="L276" s="7" t="s">
        <v>42</v>
      </c>
      <c r="M276" s="7"/>
      <c r="N276" s="4" t="s">
        <v>3450</v>
      </c>
    </row>
    <row r="277" spans="1:14" ht="40" customHeight="1">
      <c r="A277" s="8" t="s">
        <v>240</v>
      </c>
      <c r="B277" s="8" t="s">
        <v>241</v>
      </c>
      <c r="C277" s="8" t="s">
        <v>4104</v>
      </c>
      <c r="D277" s="8" t="s">
        <v>208</v>
      </c>
      <c r="E277" s="8" t="s">
        <v>41</v>
      </c>
      <c r="F277" s="8" t="s">
        <v>3452</v>
      </c>
      <c r="G277" s="8" t="s">
        <v>4105</v>
      </c>
      <c r="H277" s="8" t="s">
        <v>3588</v>
      </c>
      <c r="I277" s="8" t="s">
        <v>1422</v>
      </c>
      <c r="J277" s="8" t="s">
        <v>246</v>
      </c>
      <c r="K277" s="8" t="s">
        <v>908</v>
      </c>
      <c r="L277" s="7" t="s">
        <v>42</v>
      </c>
      <c r="M277" s="7"/>
      <c r="N277" s="8" t="s">
        <v>3450</v>
      </c>
    </row>
    <row r="278" spans="1:14" ht="40" customHeight="1">
      <c r="A278" s="4" t="s">
        <v>240</v>
      </c>
      <c r="B278" s="4" t="s">
        <v>241</v>
      </c>
      <c r="C278" s="4" t="s">
        <v>4106</v>
      </c>
      <c r="D278" s="4" t="s">
        <v>208</v>
      </c>
      <c r="E278" s="4" t="s">
        <v>41</v>
      </c>
      <c r="F278" s="4" t="s">
        <v>3452</v>
      </c>
      <c r="G278" s="4" t="s">
        <v>4107</v>
      </c>
      <c r="H278" s="4" t="s">
        <v>3664</v>
      </c>
      <c r="I278" s="4" t="s">
        <v>1422</v>
      </c>
      <c r="J278" s="4" t="s">
        <v>246</v>
      </c>
      <c r="K278" s="4" t="s">
        <v>908</v>
      </c>
      <c r="L278" s="7" t="s">
        <v>42</v>
      </c>
      <c r="M278" s="7"/>
      <c r="N278" s="4" t="s">
        <v>3450</v>
      </c>
    </row>
    <row r="279" spans="1:14" ht="40" customHeight="1">
      <c r="A279" s="8" t="s">
        <v>249</v>
      </c>
      <c r="B279" s="8" t="s">
        <v>250</v>
      </c>
      <c r="C279" s="8" t="s">
        <v>4108</v>
      </c>
      <c r="D279" s="8" t="s">
        <v>183</v>
      </c>
      <c r="E279" s="8" t="s">
        <v>41</v>
      </c>
      <c r="F279" s="8" t="s">
        <v>3452</v>
      </c>
      <c r="G279" s="8" t="s">
        <v>4109</v>
      </c>
      <c r="H279" s="8" t="s">
        <v>3449</v>
      </c>
      <c r="I279" s="8" t="s">
        <v>1436</v>
      </c>
      <c r="J279" s="8" t="s">
        <v>256</v>
      </c>
      <c r="K279" s="8" t="s">
        <v>908</v>
      </c>
      <c r="L279" s="7" t="s">
        <v>42</v>
      </c>
      <c r="M279" s="7"/>
      <c r="N279" s="8" t="s">
        <v>3450</v>
      </c>
    </row>
    <row r="280" spans="1:14" ht="40" customHeight="1">
      <c r="A280" s="4" t="s">
        <v>249</v>
      </c>
      <c r="B280" s="4" t="s">
        <v>250</v>
      </c>
      <c r="C280" s="4" t="s">
        <v>4110</v>
      </c>
      <c r="D280" s="4" t="s">
        <v>183</v>
      </c>
      <c r="E280" s="4" t="s">
        <v>41</v>
      </c>
      <c r="F280" s="4" t="s">
        <v>3452</v>
      </c>
      <c r="G280" s="4" t="s">
        <v>4111</v>
      </c>
      <c r="H280" s="4" t="s">
        <v>3466</v>
      </c>
      <c r="I280" s="4" t="s">
        <v>1436</v>
      </c>
      <c r="J280" s="4" t="s">
        <v>256</v>
      </c>
      <c r="K280" s="4" t="s">
        <v>908</v>
      </c>
      <c r="L280" s="7" t="s">
        <v>42</v>
      </c>
      <c r="M280" s="7"/>
      <c r="N280" s="4" t="s">
        <v>3450</v>
      </c>
    </row>
    <row r="281" spans="1:14" ht="40" customHeight="1">
      <c r="A281" s="8" t="s">
        <v>249</v>
      </c>
      <c r="B281" s="8" t="s">
        <v>250</v>
      </c>
      <c r="C281" s="8" t="s">
        <v>4112</v>
      </c>
      <c r="D281" s="8" t="s">
        <v>183</v>
      </c>
      <c r="E281" s="8" t="s">
        <v>41</v>
      </c>
      <c r="F281" s="8" t="s">
        <v>3452</v>
      </c>
      <c r="G281" s="8" t="s">
        <v>4113</v>
      </c>
      <c r="H281" s="8" t="s">
        <v>3469</v>
      </c>
      <c r="I281" s="8" t="s">
        <v>1436</v>
      </c>
      <c r="J281" s="8" t="s">
        <v>256</v>
      </c>
      <c r="K281" s="8" t="s">
        <v>908</v>
      </c>
      <c r="L281" s="7" t="s">
        <v>42</v>
      </c>
      <c r="M281" s="7"/>
      <c r="N281" s="8" t="s">
        <v>3450</v>
      </c>
    </row>
    <row r="282" spans="1:14" ht="40" customHeight="1">
      <c r="A282" s="4" t="s">
        <v>249</v>
      </c>
      <c r="B282" s="4" t="s">
        <v>250</v>
      </c>
      <c r="C282" s="4" t="s">
        <v>4114</v>
      </c>
      <c r="D282" s="4" t="s">
        <v>183</v>
      </c>
      <c r="E282" s="4" t="s">
        <v>41</v>
      </c>
      <c r="F282" s="4" t="s">
        <v>3452</v>
      </c>
      <c r="G282" s="4" t="s">
        <v>4115</v>
      </c>
      <c r="H282" s="4" t="s">
        <v>3472</v>
      </c>
      <c r="I282" s="4" t="s">
        <v>1436</v>
      </c>
      <c r="J282" s="4" t="s">
        <v>256</v>
      </c>
      <c r="K282" s="4" t="s">
        <v>908</v>
      </c>
      <c r="L282" s="7" t="s">
        <v>42</v>
      </c>
      <c r="M282" s="7"/>
      <c r="N282" s="4" t="s">
        <v>3450</v>
      </c>
    </row>
    <row r="283" spans="1:14" ht="40" customHeight="1">
      <c r="A283" s="8" t="s">
        <v>249</v>
      </c>
      <c r="B283" s="8" t="s">
        <v>250</v>
      </c>
      <c r="C283" s="8" t="s">
        <v>4116</v>
      </c>
      <c r="D283" s="8" t="s">
        <v>183</v>
      </c>
      <c r="E283" s="8" t="s">
        <v>41</v>
      </c>
      <c r="F283" s="8" t="s">
        <v>3452</v>
      </c>
      <c r="G283" s="8" t="s">
        <v>4117</v>
      </c>
      <c r="H283" s="8" t="s">
        <v>3475</v>
      </c>
      <c r="I283" s="8" t="s">
        <v>1436</v>
      </c>
      <c r="J283" s="8" t="s">
        <v>256</v>
      </c>
      <c r="K283" s="8" t="s">
        <v>908</v>
      </c>
      <c r="L283" s="7" t="s">
        <v>42</v>
      </c>
      <c r="M283" s="7"/>
      <c r="N283" s="8" t="s">
        <v>3450</v>
      </c>
    </row>
    <row r="284" spans="1:14" ht="40" customHeight="1">
      <c r="A284" s="4" t="s">
        <v>249</v>
      </c>
      <c r="B284" s="4" t="s">
        <v>250</v>
      </c>
      <c r="C284" s="4" t="s">
        <v>4118</v>
      </c>
      <c r="D284" s="4" t="s">
        <v>183</v>
      </c>
      <c r="E284" s="4" t="s">
        <v>41</v>
      </c>
      <c r="F284" s="4" t="s">
        <v>3452</v>
      </c>
      <c r="G284" s="4" t="s">
        <v>4119</v>
      </c>
      <c r="H284" s="4" t="s">
        <v>3478</v>
      </c>
      <c r="I284" s="4" t="s">
        <v>1436</v>
      </c>
      <c r="J284" s="4" t="s">
        <v>256</v>
      </c>
      <c r="K284" s="4" t="s">
        <v>908</v>
      </c>
      <c r="L284" s="7" t="s">
        <v>42</v>
      </c>
      <c r="M284" s="7"/>
      <c r="N284" s="4" t="s">
        <v>3450</v>
      </c>
    </row>
    <row r="285" spans="1:14" ht="40" customHeight="1">
      <c r="A285" s="8" t="s">
        <v>249</v>
      </c>
      <c r="B285" s="8" t="s">
        <v>250</v>
      </c>
      <c r="C285" s="8" t="s">
        <v>4120</v>
      </c>
      <c r="D285" s="8" t="s">
        <v>183</v>
      </c>
      <c r="E285" s="8" t="s">
        <v>41</v>
      </c>
      <c r="F285" s="8" t="s">
        <v>3452</v>
      </c>
      <c r="G285" s="8" t="s">
        <v>4121</v>
      </c>
      <c r="H285" s="8" t="s">
        <v>3603</v>
      </c>
      <c r="I285" s="8" t="s">
        <v>1436</v>
      </c>
      <c r="J285" s="8" t="s">
        <v>256</v>
      </c>
      <c r="K285" s="8" t="s">
        <v>908</v>
      </c>
      <c r="L285" s="7" t="s">
        <v>42</v>
      </c>
      <c r="M285" s="7"/>
      <c r="N285" s="8" t="s">
        <v>3450</v>
      </c>
    </row>
    <row r="286" spans="1:14" ht="40" customHeight="1">
      <c r="A286" s="4" t="s">
        <v>249</v>
      </c>
      <c r="B286" s="4" t="s">
        <v>250</v>
      </c>
      <c r="C286" s="4" t="s">
        <v>4122</v>
      </c>
      <c r="D286" s="4" t="s">
        <v>183</v>
      </c>
      <c r="E286" s="4" t="s">
        <v>41</v>
      </c>
      <c r="F286" s="4" t="s">
        <v>3452</v>
      </c>
      <c r="G286" s="4" t="s">
        <v>4123</v>
      </c>
      <c r="H286" s="4" t="s">
        <v>3838</v>
      </c>
      <c r="I286" s="4" t="s">
        <v>1436</v>
      </c>
      <c r="J286" s="4" t="s">
        <v>256</v>
      </c>
      <c r="K286" s="4" t="s">
        <v>908</v>
      </c>
      <c r="L286" s="7" t="s">
        <v>42</v>
      </c>
      <c r="M286" s="7"/>
      <c r="N286" s="4" t="s">
        <v>3450</v>
      </c>
    </row>
    <row r="287" spans="1:14" ht="40" customHeight="1">
      <c r="A287" s="8" t="s">
        <v>249</v>
      </c>
      <c r="B287" s="8" t="s">
        <v>250</v>
      </c>
      <c r="C287" s="8" t="s">
        <v>4124</v>
      </c>
      <c r="D287" s="8" t="s">
        <v>183</v>
      </c>
      <c r="E287" s="8" t="s">
        <v>41</v>
      </c>
      <c r="F287" s="8" t="s">
        <v>3452</v>
      </c>
      <c r="G287" s="8" t="s">
        <v>4125</v>
      </c>
      <c r="H287" s="8" t="s">
        <v>3608</v>
      </c>
      <c r="I287" s="8" t="s">
        <v>1436</v>
      </c>
      <c r="J287" s="8" t="s">
        <v>256</v>
      </c>
      <c r="K287" s="8" t="s">
        <v>908</v>
      </c>
      <c r="L287" s="7" t="s">
        <v>42</v>
      </c>
      <c r="M287" s="7"/>
      <c r="N287" s="8" t="s">
        <v>3450</v>
      </c>
    </row>
    <row r="288" spans="1:14" ht="40" customHeight="1">
      <c r="A288" s="4" t="s">
        <v>249</v>
      </c>
      <c r="B288" s="4" t="s">
        <v>250</v>
      </c>
      <c r="C288" s="4" t="s">
        <v>4126</v>
      </c>
      <c r="D288" s="4" t="s">
        <v>183</v>
      </c>
      <c r="E288" s="4" t="s">
        <v>41</v>
      </c>
      <c r="F288" s="4" t="s">
        <v>3452</v>
      </c>
      <c r="G288" s="4" t="s">
        <v>4127</v>
      </c>
      <c r="H288" s="4" t="s">
        <v>3611</v>
      </c>
      <c r="I288" s="4" t="s">
        <v>1436</v>
      </c>
      <c r="J288" s="4" t="s">
        <v>256</v>
      </c>
      <c r="K288" s="4" t="s">
        <v>908</v>
      </c>
      <c r="L288" s="7" t="s">
        <v>42</v>
      </c>
      <c r="M288" s="7"/>
      <c r="N288" s="4" t="s">
        <v>3450</v>
      </c>
    </row>
    <row r="289" spans="1:14" ht="40" customHeight="1">
      <c r="A289" s="8" t="s">
        <v>249</v>
      </c>
      <c r="B289" s="8" t="s">
        <v>250</v>
      </c>
      <c r="C289" s="8" t="s">
        <v>4128</v>
      </c>
      <c r="D289" s="8" t="s">
        <v>183</v>
      </c>
      <c r="E289" s="8" t="s">
        <v>41</v>
      </c>
      <c r="F289" s="8" t="s">
        <v>3452</v>
      </c>
      <c r="G289" s="8" t="s">
        <v>4129</v>
      </c>
      <c r="H289" s="8" t="s">
        <v>3775</v>
      </c>
      <c r="I289" s="8" t="s">
        <v>1436</v>
      </c>
      <c r="J289" s="8" t="s">
        <v>256</v>
      </c>
      <c r="K289" s="8" t="s">
        <v>908</v>
      </c>
      <c r="L289" s="7" t="s">
        <v>42</v>
      </c>
      <c r="M289" s="7"/>
      <c r="N289" s="8" t="s">
        <v>3450</v>
      </c>
    </row>
    <row r="290" spans="1:14" ht="40" customHeight="1">
      <c r="A290" s="4" t="s">
        <v>249</v>
      </c>
      <c r="B290" s="4" t="s">
        <v>250</v>
      </c>
      <c r="C290" s="4" t="s">
        <v>4130</v>
      </c>
      <c r="D290" s="4" t="s">
        <v>183</v>
      </c>
      <c r="E290" s="4" t="s">
        <v>41</v>
      </c>
      <c r="F290" s="4" t="s">
        <v>3452</v>
      </c>
      <c r="G290" s="4" t="s">
        <v>4131</v>
      </c>
      <c r="H290" s="4" t="s">
        <v>3847</v>
      </c>
      <c r="I290" s="4" t="s">
        <v>1436</v>
      </c>
      <c r="J290" s="4" t="s">
        <v>256</v>
      </c>
      <c r="K290" s="4" t="s">
        <v>908</v>
      </c>
      <c r="L290" s="7" t="s">
        <v>42</v>
      </c>
      <c r="M290" s="7"/>
      <c r="N290" s="4" t="s">
        <v>3450</v>
      </c>
    </row>
    <row r="291" spans="1:14" ht="40" customHeight="1">
      <c r="A291" s="8" t="s">
        <v>249</v>
      </c>
      <c r="B291" s="8" t="s">
        <v>250</v>
      </c>
      <c r="C291" s="8" t="s">
        <v>4132</v>
      </c>
      <c r="D291" s="8" t="s">
        <v>183</v>
      </c>
      <c r="E291" s="8" t="s">
        <v>41</v>
      </c>
      <c r="F291" s="8" t="s">
        <v>3452</v>
      </c>
      <c r="G291" s="8" t="s">
        <v>4133</v>
      </c>
      <c r="H291" s="8" t="s">
        <v>3777</v>
      </c>
      <c r="I291" s="8" t="s">
        <v>1436</v>
      </c>
      <c r="J291" s="8" t="s">
        <v>256</v>
      </c>
      <c r="K291" s="8" t="s">
        <v>908</v>
      </c>
      <c r="L291" s="7" t="s">
        <v>42</v>
      </c>
      <c r="M291" s="7"/>
      <c r="N291" s="8" t="s">
        <v>3450</v>
      </c>
    </row>
    <row r="292" spans="1:14" ht="54" customHeight="1">
      <c r="A292" s="4" t="s">
        <v>249</v>
      </c>
      <c r="B292" s="4" t="s">
        <v>250</v>
      </c>
      <c r="C292" s="4" t="s">
        <v>4134</v>
      </c>
      <c r="D292" s="4" t="s">
        <v>183</v>
      </c>
      <c r="E292" s="4" t="s">
        <v>41</v>
      </c>
      <c r="F292" s="4" t="s">
        <v>3452</v>
      </c>
      <c r="G292" s="4" t="s">
        <v>4135</v>
      </c>
      <c r="H292" s="4" t="s">
        <v>3779</v>
      </c>
      <c r="I292" s="4" t="s">
        <v>1436</v>
      </c>
      <c r="J292" s="4" t="s">
        <v>256</v>
      </c>
      <c r="K292" s="4" t="s">
        <v>908</v>
      </c>
      <c r="L292" s="7" t="s">
        <v>42</v>
      </c>
      <c r="M292" s="7"/>
      <c r="N292" s="4" t="s">
        <v>3450</v>
      </c>
    </row>
    <row r="293" spans="1:14" ht="40" customHeight="1">
      <c r="A293" s="8" t="s">
        <v>249</v>
      </c>
      <c r="B293" s="8" t="s">
        <v>250</v>
      </c>
      <c r="C293" s="8" t="s">
        <v>4136</v>
      </c>
      <c r="D293" s="8" t="s">
        <v>183</v>
      </c>
      <c r="E293" s="8" t="s">
        <v>41</v>
      </c>
      <c r="F293" s="8" t="s">
        <v>3452</v>
      </c>
      <c r="G293" s="8" t="s">
        <v>4137</v>
      </c>
      <c r="H293" s="8" t="s">
        <v>3781</v>
      </c>
      <c r="I293" s="8" t="s">
        <v>1436</v>
      </c>
      <c r="J293" s="8" t="s">
        <v>256</v>
      </c>
      <c r="K293" s="8" t="s">
        <v>908</v>
      </c>
      <c r="L293" s="7" t="s">
        <v>42</v>
      </c>
      <c r="M293" s="7"/>
      <c r="N293" s="8" t="s">
        <v>3450</v>
      </c>
    </row>
    <row r="294" spans="1:14" ht="54" customHeight="1">
      <c r="A294" s="4" t="s">
        <v>249</v>
      </c>
      <c r="B294" s="4" t="s">
        <v>250</v>
      </c>
      <c r="C294" s="4" t="s">
        <v>4138</v>
      </c>
      <c r="D294" s="4" t="s">
        <v>183</v>
      </c>
      <c r="E294" s="4" t="s">
        <v>41</v>
      </c>
      <c r="F294" s="4" t="s">
        <v>3452</v>
      </c>
      <c r="G294" s="4" t="s">
        <v>4139</v>
      </c>
      <c r="H294" s="4" t="s">
        <v>3783</v>
      </c>
      <c r="I294" s="4" t="s">
        <v>1436</v>
      </c>
      <c r="J294" s="4" t="s">
        <v>256</v>
      </c>
      <c r="K294" s="4" t="s">
        <v>908</v>
      </c>
      <c r="L294" s="7" t="s">
        <v>42</v>
      </c>
      <c r="M294" s="7"/>
      <c r="N294" s="4" t="s">
        <v>3450</v>
      </c>
    </row>
    <row r="295" spans="1:14" ht="54" customHeight="1">
      <c r="A295" s="8" t="s">
        <v>249</v>
      </c>
      <c r="B295" s="8" t="s">
        <v>250</v>
      </c>
      <c r="C295" s="8" t="s">
        <v>4140</v>
      </c>
      <c r="D295" s="8" t="s">
        <v>183</v>
      </c>
      <c r="E295" s="8" t="s">
        <v>41</v>
      </c>
      <c r="F295" s="8" t="s">
        <v>3452</v>
      </c>
      <c r="G295" s="8" t="s">
        <v>4141</v>
      </c>
      <c r="H295" s="8" t="s">
        <v>3785</v>
      </c>
      <c r="I295" s="8" t="s">
        <v>1436</v>
      </c>
      <c r="J295" s="8" t="s">
        <v>256</v>
      </c>
      <c r="K295" s="8" t="s">
        <v>908</v>
      </c>
      <c r="L295" s="7" t="s">
        <v>42</v>
      </c>
      <c r="M295" s="7"/>
      <c r="N295" s="8" t="s">
        <v>3450</v>
      </c>
    </row>
    <row r="296" spans="1:14" ht="40" customHeight="1">
      <c r="A296" s="4" t="s">
        <v>249</v>
      </c>
      <c r="B296" s="4" t="s">
        <v>250</v>
      </c>
      <c r="C296" s="4" t="s">
        <v>4142</v>
      </c>
      <c r="D296" s="4" t="s">
        <v>183</v>
      </c>
      <c r="E296" s="4" t="s">
        <v>41</v>
      </c>
      <c r="F296" s="4" t="s">
        <v>3452</v>
      </c>
      <c r="G296" s="4" t="s">
        <v>4143</v>
      </c>
      <c r="H296" s="4" t="s">
        <v>3885</v>
      </c>
      <c r="I296" s="4" t="s">
        <v>1436</v>
      </c>
      <c r="J296" s="4" t="s">
        <v>256</v>
      </c>
      <c r="K296" s="4" t="s">
        <v>908</v>
      </c>
      <c r="L296" s="7" t="s">
        <v>42</v>
      </c>
      <c r="M296" s="7"/>
      <c r="N296" s="4" t="s">
        <v>3450</v>
      </c>
    </row>
    <row r="297" spans="1:14" ht="40" customHeight="1">
      <c r="A297" s="8" t="s">
        <v>249</v>
      </c>
      <c r="B297" s="8" t="s">
        <v>250</v>
      </c>
      <c r="C297" s="8" t="s">
        <v>4144</v>
      </c>
      <c r="D297" s="8" t="s">
        <v>183</v>
      </c>
      <c r="E297" s="8" t="s">
        <v>41</v>
      </c>
      <c r="F297" s="8" t="s">
        <v>3452</v>
      </c>
      <c r="G297" s="8" t="s">
        <v>4145</v>
      </c>
      <c r="H297" s="8" t="s">
        <v>4146</v>
      </c>
      <c r="I297" s="8" t="s">
        <v>1436</v>
      </c>
      <c r="J297" s="8" t="s">
        <v>256</v>
      </c>
      <c r="K297" s="8" t="s">
        <v>908</v>
      </c>
      <c r="L297" s="7" t="s">
        <v>42</v>
      </c>
      <c r="M297" s="7"/>
      <c r="N297" s="8" t="s">
        <v>3450</v>
      </c>
    </row>
    <row r="298" spans="1:14" ht="40" customHeight="1">
      <c r="A298" s="4" t="s">
        <v>249</v>
      </c>
      <c r="B298" s="4" t="s">
        <v>250</v>
      </c>
      <c r="C298" s="4" t="s">
        <v>4147</v>
      </c>
      <c r="D298" s="4" t="s">
        <v>183</v>
      </c>
      <c r="E298" s="4" t="s">
        <v>41</v>
      </c>
      <c r="F298" s="4" t="s">
        <v>3452</v>
      </c>
      <c r="G298" s="4" t="s">
        <v>4148</v>
      </c>
      <c r="H298" s="4" t="s">
        <v>3789</v>
      </c>
      <c r="I298" s="4" t="s">
        <v>1436</v>
      </c>
      <c r="J298" s="4" t="s">
        <v>256</v>
      </c>
      <c r="K298" s="4" t="s">
        <v>908</v>
      </c>
      <c r="L298" s="7" t="s">
        <v>42</v>
      </c>
      <c r="M298" s="7"/>
      <c r="N298" s="4" t="s">
        <v>3450</v>
      </c>
    </row>
    <row r="299" spans="1:14" ht="40" customHeight="1">
      <c r="A299" s="8" t="s">
        <v>249</v>
      </c>
      <c r="B299" s="8" t="s">
        <v>250</v>
      </c>
      <c r="C299" s="8" t="s">
        <v>4149</v>
      </c>
      <c r="D299" s="8" t="s">
        <v>208</v>
      </c>
      <c r="E299" s="8" t="s">
        <v>41</v>
      </c>
      <c r="F299" s="8" t="s">
        <v>3452</v>
      </c>
      <c r="G299" s="8" t="s">
        <v>4150</v>
      </c>
      <c r="H299" s="8" t="s">
        <v>3460</v>
      </c>
      <c r="I299" s="8" t="s">
        <v>1436</v>
      </c>
      <c r="J299" s="8" t="s">
        <v>256</v>
      </c>
      <c r="K299" s="8" t="s">
        <v>908</v>
      </c>
      <c r="L299" s="7" t="s">
        <v>42</v>
      </c>
      <c r="M299" s="7"/>
      <c r="N299" s="8" t="s">
        <v>3450</v>
      </c>
    </row>
    <row r="300" spans="1:14" ht="54" customHeight="1">
      <c r="A300" s="4" t="s">
        <v>249</v>
      </c>
      <c r="B300" s="4" t="s">
        <v>250</v>
      </c>
      <c r="C300" s="4" t="s">
        <v>4151</v>
      </c>
      <c r="D300" s="4" t="s">
        <v>208</v>
      </c>
      <c r="E300" s="4" t="s">
        <v>41</v>
      </c>
      <c r="F300" s="4" t="s">
        <v>3452</v>
      </c>
      <c r="G300" s="4" t="s">
        <v>4152</v>
      </c>
      <c r="H300" s="4" t="s">
        <v>3815</v>
      </c>
      <c r="I300" s="4" t="s">
        <v>1436</v>
      </c>
      <c r="J300" s="4" t="s">
        <v>256</v>
      </c>
      <c r="K300" s="4" t="s">
        <v>908</v>
      </c>
      <c r="L300" s="7" t="s">
        <v>42</v>
      </c>
      <c r="M300" s="7"/>
      <c r="N300" s="4" t="s">
        <v>3450</v>
      </c>
    </row>
    <row r="301" spans="1:14" ht="40" customHeight="1">
      <c r="A301" s="8" t="s">
        <v>249</v>
      </c>
      <c r="B301" s="8" t="s">
        <v>250</v>
      </c>
      <c r="C301" s="8" t="s">
        <v>4153</v>
      </c>
      <c r="D301" s="8" t="s">
        <v>208</v>
      </c>
      <c r="E301" s="8" t="s">
        <v>41</v>
      </c>
      <c r="F301" s="8" t="s">
        <v>3452</v>
      </c>
      <c r="G301" s="8" t="s">
        <v>4154</v>
      </c>
      <c r="H301" s="8" t="s">
        <v>3701</v>
      </c>
      <c r="I301" s="8" t="s">
        <v>1436</v>
      </c>
      <c r="J301" s="8" t="s">
        <v>256</v>
      </c>
      <c r="K301" s="8" t="s">
        <v>908</v>
      </c>
      <c r="L301" s="7" t="s">
        <v>42</v>
      </c>
      <c r="M301" s="7"/>
      <c r="N301" s="8" t="s">
        <v>3450</v>
      </c>
    </row>
    <row r="302" spans="1:14" ht="40" customHeight="1">
      <c r="A302" s="4" t="s">
        <v>249</v>
      </c>
      <c r="B302" s="4" t="s">
        <v>250</v>
      </c>
      <c r="C302" s="4" t="s">
        <v>4155</v>
      </c>
      <c r="D302" s="4" t="s">
        <v>208</v>
      </c>
      <c r="E302" s="4" t="s">
        <v>41</v>
      </c>
      <c r="F302" s="4" t="s">
        <v>3452</v>
      </c>
      <c r="G302" s="4" t="s">
        <v>4156</v>
      </c>
      <c r="H302" s="4" t="s">
        <v>3819</v>
      </c>
      <c r="I302" s="4" t="s">
        <v>1436</v>
      </c>
      <c r="J302" s="4" t="s">
        <v>256</v>
      </c>
      <c r="K302" s="4" t="s">
        <v>908</v>
      </c>
      <c r="L302" s="7" t="s">
        <v>42</v>
      </c>
      <c r="M302" s="7"/>
      <c r="N302" s="4" t="s">
        <v>3450</v>
      </c>
    </row>
    <row r="303" spans="1:14" ht="40" customHeight="1">
      <c r="A303" s="8" t="s">
        <v>249</v>
      </c>
      <c r="B303" s="8" t="s">
        <v>250</v>
      </c>
      <c r="C303" s="8" t="s">
        <v>4157</v>
      </c>
      <c r="D303" s="8" t="s">
        <v>208</v>
      </c>
      <c r="E303" s="8" t="s">
        <v>41</v>
      </c>
      <c r="F303" s="8" t="s">
        <v>3452</v>
      </c>
      <c r="G303" s="8" t="s">
        <v>4145</v>
      </c>
      <c r="H303" s="8" t="s">
        <v>4158</v>
      </c>
      <c r="I303" s="8" t="s">
        <v>1436</v>
      </c>
      <c r="J303" s="8" t="s">
        <v>256</v>
      </c>
      <c r="K303" s="8" t="s">
        <v>908</v>
      </c>
      <c r="L303" s="7" t="s">
        <v>42</v>
      </c>
      <c r="M303" s="7"/>
      <c r="N303" s="8" t="s">
        <v>3450</v>
      </c>
    </row>
    <row r="304" spans="1:14" ht="40" customHeight="1">
      <c r="A304" s="4" t="s">
        <v>249</v>
      </c>
      <c r="B304" s="4" t="s">
        <v>250</v>
      </c>
      <c r="C304" s="4" t="s">
        <v>4159</v>
      </c>
      <c r="D304" s="4" t="s">
        <v>208</v>
      </c>
      <c r="E304" s="4" t="s">
        <v>41</v>
      </c>
      <c r="F304" s="4" t="s">
        <v>3452</v>
      </c>
      <c r="G304" s="4" t="s">
        <v>4148</v>
      </c>
      <c r="H304" s="4" t="s">
        <v>4160</v>
      </c>
      <c r="I304" s="4" t="s">
        <v>1436</v>
      </c>
      <c r="J304" s="4" t="s">
        <v>256</v>
      </c>
      <c r="K304" s="4" t="s">
        <v>908</v>
      </c>
      <c r="L304" s="7" t="s">
        <v>42</v>
      </c>
      <c r="M304" s="7"/>
      <c r="N304" s="4" t="s">
        <v>3450</v>
      </c>
    </row>
    <row r="305" spans="1:14" ht="40" customHeight="1">
      <c r="A305" s="8" t="s">
        <v>249</v>
      </c>
      <c r="B305" s="8" t="s">
        <v>250</v>
      </c>
      <c r="C305" s="8" t="s">
        <v>4161</v>
      </c>
      <c r="D305" s="8" t="s">
        <v>78</v>
      </c>
      <c r="E305" s="8" t="s">
        <v>41</v>
      </c>
      <c r="F305" s="8" t="s">
        <v>3452</v>
      </c>
      <c r="G305" s="8" t="s">
        <v>4162</v>
      </c>
      <c r="H305" s="8" t="s">
        <v>4163</v>
      </c>
      <c r="I305" s="8" t="s">
        <v>1436</v>
      </c>
      <c r="J305" s="8" t="s">
        <v>256</v>
      </c>
      <c r="K305" s="8" t="s">
        <v>908</v>
      </c>
      <c r="L305" s="7" t="s">
        <v>42</v>
      </c>
      <c r="M305" s="7"/>
      <c r="N305" s="8" t="s">
        <v>3450</v>
      </c>
    </row>
    <row r="306" spans="1:14" ht="54" customHeight="1">
      <c r="A306" s="4" t="s">
        <v>249</v>
      </c>
      <c r="B306" s="4" t="s">
        <v>250</v>
      </c>
      <c r="C306" s="4" t="s">
        <v>4164</v>
      </c>
      <c r="D306" s="4" t="s">
        <v>78</v>
      </c>
      <c r="E306" s="4" t="s">
        <v>41</v>
      </c>
      <c r="F306" s="4" t="s">
        <v>3452</v>
      </c>
      <c r="G306" s="4" t="s">
        <v>4165</v>
      </c>
      <c r="H306" s="4" t="s">
        <v>4166</v>
      </c>
      <c r="I306" s="4" t="s">
        <v>1436</v>
      </c>
      <c r="J306" s="4" t="s">
        <v>256</v>
      </c>
      <c r="K306" s="4" t="s">
        <v>908</v>
      </c>
      <c r="L306" s="7" t="s">
        <v>42</v>
      </c>
      <c r="M306" s="7"/>
      <c r="N306" s="4" t="s">
        <v>3450</v>
      </c>
    </row>
    <row r="307" spans="1:14" ht="40" customHeight="1">
      <c r="A307" s="8" t="s">
        <v>249</v>
      </c>
      <c r="B307" s="8" t="s">
        <v>250</v>
      </c>
      <c r="C307" s="8" t="s">
        <v>4167</v>
      </c>
      <c r="D307" s="8" t="s">
        <v>78</v>
      </c>
      <c r="E307" s="8" t="s">
        <v>41</v>
      </c>
      <c r="F307" s="8" t="s">
        <v>3452</v>
      </c>
      <c r="G307" s="8" t="s">
        <v>4168</v>
      </c>
      <c r="H307" s="8" t="s">
        <v>4169</v>
      </c>
      <c r="I307" s="8" t="s">
        <v>1436</v>
      </c>
      <c r="J307" s="8" t="s">
        <v>256</v>
      </c>
      <c r="K307" s="8" t="s">
        <v>908</v>
      </c>
      <c r="L307" s="7" t="s">
        <v>42</v>
      </c>
      <c r="M307" s="7"/>
      <c r="N307" s="8" t="s">
        <v>3450</v>
      </c>
    </row>
    <row r="308" spans="1:14" ht="54" customHeight="1">
      <c r="A308" s="4" t="s">
        <v>249</v>
      </c>
      <c r="B308" s="4" t="s">
        <v>250</v>
      </c>
      <c r="C308" s="4" t="s">
        <v>4170</v>
      </c>
      <c r="D308" s="4" t="s">
        <v>78</v>
      </c>
      <c r="E308" s="4" t="s">
        <v>41</v>
      </c>
      <c r="F308" s="4" t="s">
        <v>3452</v>
      </c>
      <c r="G308" s="4" t="s">
        <v>4171</v>
      </c>
      <c r="H308" s="4" t="s">
        <v>4172</v>
      </c>
      <c r="I308" s="4" t="s">
        <v>1436</v>
      </c>
      <c r="J308" s="4" t="s">
        <v>256</v>
      </c>
      <c r="K308" s="4" t="s">
        <v>908</v>
      </c>
      <c r="L308" s="7" t="s">
        <v>42</v>
      </c>
      <c r="M308" s="7"/>
      <c r="N308" s="4" t="s">
        <v>3450</v>
      </c>
    </row>
    <row r="309" spans="1:14" ht="40" customHeight="1">
      <c r="A309" s="8" t="s">
        <v>249</v>
      </c>
      <c r="B309" s="8" t="s">
        <v>250</v>
      </c>
      <c r="C309" s="8" t="s">
        <v>4173</v>
      </c>
      <c r="D309" s="8" t="s">
        <v>78</v>
      </c>
      <c r="E309" s="8" t="s">
        <v>41</v>
      </c>
      <c r="F309" s="8" t="s">
        <v>3452</v>
      </c>
      <c r="G309" s="8" t="s">
        <v>4174</v>
      </c>
      <c r="H309" s="8" t="s">
        <v>4175</v>
      </c>
      <c r="I309" s="8" t="s">
        <v>1436</v>
      </c>
      <c r="J309" s="8" t="s">
        <v>256</v>
      </c>
      <c r="K309" s="8" t="s">
        <v>908</v>
      </c>
      <c r="L309" s="7" t="s">
        <v>42</v>
      </c>
      <c r="M309" s="7"/>
      <c r="N309" s="8" t="s">
        <v>3450</v>
      </c>
    </row>
    <row r="310" spans="1:14" ht="40" customHeight="1">
      <c r="A310" s="4" t="s">
        <v>249</v>
      </c>
      <c r="B310" s="4" t="s">
        <v>250</v>
      </c>
      <c r="C310" s="4" t="s">
        <v>4176</v>
      </c>
      <c r="D310" s="4" t="s">
        <v>78</v>
      </c>
      <c r="E310" s="4" t="s">
        <v>41</v>
      </c>
      <c r="F310" s="4" t="s">
        <v>3452</v>
      </c>
      <c r="G310" s="4" t="s">
        <v>4145</v>
      </c>
      <c r="H310" s="4" t="s">
        <v>4177</v>
      </c>
      <c r="I310" s="4" t="s">
        <v>1436</v>
      </c>
      <c r="J310" s="4" t="s">
        <v>256</v>
      </c>
      <c r="K310" s="4" t="s">
        <v>908</v>
      </c>
      <c r="L310" s="7" t="s">
        <v>42</v>
      </c>
      <c r="M310" s="7"/>
      <c r="N310" s="4" t="s">
        <v>3450</v>
      </c>
    </row>
    <row r="311" spans="1:14" ht="40" customHeight="1">
      <c r="A311" s="8" t="s">
        <v>249</v>
      </c>
      <c r="B311" s="8" t="s">
        <v>250</v>
      </c>
      <c r="C311" s="8" t="s">
        <v>4178</v>
      </c>
      <c r="D311" s="8" t="s">
        <v>78</v>
      </c>
      <c r="E311" s="8" t="s">
        <v>41</v>
      </c>
      <c r="F311" s="8" t="s">
        <v>3452</v>
      </c>
      <c r="G311" s="8" t="s">
        <v>4148</v>
      </c>
      <c r="H311" s="8" t="s">
        <v>4179</v>
      </c>
      <c r="I311" s="8" t="s">
        <v>1436</v>
      </c>
      <c r="J311" s="8" t="s">
        <v>256</v>
      </c>
      <c r="K311" s="8" t="s">
        <v>908</v>
      </c>
      <c r="L311" s="7" t="s">
        <v>42</v>
      </c>
      <c r="M311" s="7"/>
      <c r="N311" s="8" t="s">
        <v>3450</v>
      </c>
    </row>
    <row r="312" spans="1:14" ht="40" customHeight="1">
      <c r="A312" s="4" t="s">
        <v>249</v>
      </c>
      <c r="B312" s="4" t="s">
        <v>250</v>
      </c>
      <c r="C312" s="4" t="s">
        <v>4180</v>
      </c>
      <c r="D312" s="4" t="s">
        <v>78</v>
      </c>
      <c r="E312" s="4" t="s">
        <v>41</v>
      </c>
      <c r="F312" s="4" t="s">
        <v>3452</v>
      </c>
      <c r="G312" s="4" t="s">
        <v>4181</v>
      </c>
      <c r="H312" s="4" t="s">
        <v>4182</v>
      </c>
      <c r="I312" s="4" t="s">
        <v>1436</v>
      </c>
      <c r="J312" s="4" t="s">
        <v>256</v>
      </c>
      <c r="K312" s="4" t="s">
        <v>908</v>
      </c>
      <c r="L312" s="7" t="s">
        <v>42</v>
      </c>
      <c r="M312" s="7"/>
      <c r="N312" s="4" t="s">
        <v>3450</v>
      </c>
    </row>
    <row r="313" spans="1:14" ht="40" customHeight="1">
      <c r="A313" s="8" t="s">
        <v>249</v>
      </c>
      <c r="B313" s="8" t="s">
        <v>250</v>
      </c>
      <c r="C313" s="8" t="s">
        <v>4183</v>
      </c>
      <c r="D313" s="8" t="s">
        <v>78</v>
      </c>
      <c r="E313" s="8" t="s">
        <v>41</v>
      </c>
      <c r="F313" s="8" t="s">
        <v>3452</v>
      </c>
      <c r="G313" s="8" t="s">
        <v>4184</v>
      </c>
      <c r="H313" s="8" t="s">
        <v>4185</v>
      </c>
      <c r="I313" s="8" t="s">
        <v>1436</v>
      </c>
      <c r="J313" s="8" t="s">
        <v>256</v>
      </c>
      <c r="K313" s="8" t="s">
        <v>908</v>
      </c>
      <c r="L313" s="7" t="s">
        <v>42</v>
      </c>
      <c r="M313" s="7"/>
      <c r="N313" s="8" t="s">
        <v>3450</v>
      </c>
    </row>
    <row r="314" spans="1:14" ht="40" customHeight="1">
      <c r="A314" s="4" t="s">
        <v>260</v>
      </c>
      <c r="B314" s="4" t="s">
        <v>261</v>
      </c>
      <c r="C314" s="4" t="s">
        <v>4186</v>
      </c>
      <c r="D314" s="4" t="s">
        <v>183</v>
      </c>
      <c r="E314" s="4" t="s">
        <v>41</v>
      </c>
      <c r="F314" s="4" t="s">
        <v>3452</v>
      </c>
      <c r="G314" s="4" t="s">
        <v>4187</v>
      </c>
      <c r="H314" s="4" t="s">
        <v>3463</v>
      </c>
      <c r="I314" s="4" t="s">
        <v>1493</v>
      </c>
      <c r="J314" s="4" t="s">
        <v>267</v>
      </c>
      <c r="K314" s="4" t="s">
        <v>908</v>
      </c>
      <c r="L314" s="7" t="s">
        <v>42</v>
      </c>
      <c r="M314" s="7"/>
      <c r="N314" s="4" t="s">
        <v>3450</v>
      </c>
    </row>
    <row r="315" spans="1:14" ht="54" customHeight="1">
      <c r="A315" s="8" t="s">
        <v>260</v>
      </c>
      <c r="B315" s="8" t="s">
        <v>261</v>
      </c>
      <c r="C315" s="8" t="s">
        <v>4188</v>
      </c>
      <c r="D315" s="8" t="s">
        <v>183</v>
      </c>
      <c r="E315" s="8" t="s">
        <v>41</v>
      </c>
      <c r="F315" s="8" t="s">
        <v>3452</v>
      </c>
      <c r="G315" s="8" t="s">
        <v>4189</v>
      </c>
      <c r="H315" s="8" t="s">
        <v>3466</v>
      </c>
      <c r="I315" s="8" t="s">
        <v>1493</v>
      </c>
      <c r="J315" s="8" t="s">
        <v>267</v>
      </c>
      <c r="K315" s="8" t="s">
        <v>908</v>
      </c>
      <c r="L315" s="7" t="s">
        <v>42</v>
      </c>
      <c r="M315" s="7"/>
      <c r="N315" s="8" t="s">
        <v>3450</v>
      </c>
    </row>
    <row r="316" spans="1:14" ht="40" customHeight="1">
      <c r="A316" s="4" t="s">
        <v>260</v>
      </c>
      <c r="B316" s="4" t="s">
        <v>261</v>
      </c>
      <c r="C316" s="4" t="s">
        <v>4190</v>
      </c>
      <c r="D316" s="4" t="s">
        <v>183</v>
      </c>
      <c r="E316" s="4" t="s">
        <v>41</v>
      </c>
      <c r="F316" s="4" t="s">
        <v>3452</v>
      </c>
      <c r="G316" s="4" t="s">
        <v>4191</v>
      </c>
      <c r="H316" s="4" t="s">
        <v>3469</v>
      </c>
      <c r="I316" s="4" t="s">
        <v>1493</v>
      </c>
      <c r="J316" s="4" t="s">
        <v>267</v>
      </c>
      <c r="K316" s="4" t="s">
        <v>908</v>
      </c>
      <c r="L316" s="7" t="s">
        <v>42</v>
      </c>
      <c r="M316" s="7"/>
      <c r="N316" s="4" t="s">
        <v>3450</v>
      </c>
    </row>
    <row r="317" spans="1:14" ht="40" customHeight="1">
      <c r="A317" s="8" t="s">
        <v>260</v>
      </c>
      <c r="B317" s="8" t="s">
        <v>261</v>
      </c>
      <c r="C317" s="8" t="s">
        <v>4192</v>
      </c>
      <c r="D317" s="8" t="s">
        <v>183</v>
      </c>
      <c r="E317" s="8" t="s">
        <v>41</v>
      </c>
      <c r="F317" s="8" t="s">
        <v>3452</v>
      </c>
      <c r="G317" s="8" t="s">
        <v>4193</v>
      </c>
      <c r="H317" s="8" t="s">
        <v>3472</v>
      </c>
      <c r="I317" s="8" t="s">
        <v>1493</v>
      </c>
      <c r="J317" s="8" t="s">
        <v>267</v>
      </c>
      <c r="K317" s="8" t="s">
        <v>908</v>
      </c>
      <c r="L317" s="7" t="s">
        <v>42</v>
      </c>
      <c r="M317" s="7"/>
      <c r="N317" s="8" t="s">
        <v>3450</v>
      </c>
    </row>
    <row r="318" spans="1:14" ht="54" customHeight="1">
      <c r="A318" s="4" t="s">
        <v>260</v>
      </c>
      <c r="B318" s="4" t="s">
        <v>261</v>
      </c>
      <c r="C318" s="4" t="s">
        <v>4194</v>
      </c>
      <c r="D318" s="4" t="s">
        <v>183</v>
      </c>
      <c r="E318" s="4" t="s">
        <v>41</v>
      </c>
      <c r="F318" s="4" t="s">
        <v>3452</v>
      </c>
      <c r="G318" s="4" t="s">
        <v>4195</v>
      </c>
      <c r="H318" s="4" t="s">
        <v>3475</v>
      </c>
      <c r="I318" s="4" t="s">
        <v>1493</v>
      </c>
      <c r="J318" s="4" t="s">
        <v>267</v>
      </c>
      <c r="K318" s="4" t="s">
        <v>908</v>
      </c>
      <c r="L318" s="7" t="s">
        <v>42</v>
      </c>
      <c r="M318" s="7"/>
      <c r="N318" s="4" t="s">
        <v>3450</v>
      </c>
    </row>
    <row r="319" spans="1:14" ht="40" customHeight="1">
      <c r="A319" s="8" t="s">
        <v>260</v>
      </c>
      <c r="B319" s="8" t="s">
        <v>261</v>
      </c>
      <c r="C319" s="8" t="s">
        <v>4196</v>
      </c>
      <c r="D319" s="8" t="s">
        <v>183</v>
      </c>
      <c r="E319" s="8" t="s">
        <v>41</v>
      </c>
      <c r="F319" s="8" t="s">
        <v>3452</v>
      </c>
      <c r="G319" s="8" t="s">
        <v>4197</v>
      </c>
      <c r="H319" s="8" t="s">
        <v>3915</v>
      </c>
      <c r="I319" s="8" t="s">
        <v>1493</v>
      </c>
      <c r="J319" s="8" t="s">
        <v>267</v>
      </c>
      <c r="K319" s="8" t="s">
        <v>908</v>
      </c>
      <c r="L319" s="7" t="s">
        <v>42</v>
      </c>
      <c r="M319" s="7"/>
      <c r="N319" s="8" t="s">
        <v>3450</v>
      </c>
    </row>
    <row r="320" spans="1:14" ht="54" customHeight="1">
      <c r="A320" s="4" t="s">
        <v>260</v>
      </c>
      <c r="B320" s="4" t="s">
        <v>261</v>
      </c>
      <c r="C320" s="4" t="s">
        <v>4198</v>
      </c>
      <c r="D320" s="4" t="s">
        <v>183</v>
      </c>
      <c r="E320" s="4" t="s">
        <v>41</v>
      </c>
      <c r="F320" s="4" t="s">
        <v>3452</v>
      </c>
      <c r="G320" s="4" t="s">
        <v>4199</v>
      </c>
      <c r="H320" s="4" t="s">
        <v>3838</v>
      </c>
      <c r="I320" s="4" t="s">
        <v>1493</v>
      </c>
      <c r="J320" s="4" t="s">
        <v>267</v>
      </c>
      <c r="K320" s="4" t="s">
        <v>908</v>
      </c>
      <c r="L320" s="7" t="s">
        <v>42</v>
      </c>
      <c r="M320" s="7"/>
      <c r="N320" s="4" t="s">
        <v>3450</v>
      </c>
    </row>
    <row r="321" spans="1:14" ht="40" customHeight="1">
      <c r="A321" s="8" t="s">
        <v>260</v>
      </c>
      <c r="B321" s="8" t="s">
        <v>261</v>
      </c>
      <c r="C321" s="8" t="s">
        <v>4200</v>
      </c>
      <c r="D321" s="8" t="s">
        <v>183</v>
      </c>
      <c r="E321" s="8" t="s">
        <v>41</v>
      </c>
      <c r="F321" s="8" t="s">
        <v>3452</v>
      </c>
      <c r="G321" s="8" t="s">
        <v>4201</v>
      </c>
      <c r="H321" s="8" t="s">
        <v>3608</v>
      </c>
      <c r="I321" s="8" t="s">
        <v>1493</v>
      </c>
      <c r="J321" s="8" t="s">
        <v>267</v>
      </c>
      <c r="K321" s="8" t="s">
        <v>908</v>
      </c>
      <c r="L321" s="7" t="s">
        <v>42</v>
      </c>
      <c r="M321" s="7"/>
      <c r="N321" s="8" t="s">
        <v>3450</v>
      </c>
    </row>
    <row r="322" spans="1:14" ht="40" customHeight="1">
      <c r="A322" s="4" t="s">
        <v>260</v>
      </c>
      <c r="B322" s="4" t="s">
        <v>261</v>
      </c>
      <c r="C322" s="4" t="s">
        <v>4202</v>
      </c>
      <c r="D322" s="4" t="s">
        <v>183</v>
      </c>
      <c r="E322" s="4" t="s">
        <v>41</v>
      </c>
      <c r="F322" s="4" t="s">
        <v>3452</v>
      </c>
      <c r="G322" s="4" t="s">
        <v>4203</v>
      </c>
      <c r="H322" s="4" t="s">
        <v>3611</v>
      </c>
      <c r="I322" s="4" t="s">
        <v>1493</v>
      </c>
      <c r="J322" s="4" t="s">
        <v>267</v>
      </c>
      <c r="K322" s="4" t="s">
        <v>908</v>
      </c>
      <c r="L322" s="7" t="s">
        <v>42</v>
      </c>
      <c r="M322" s="7"/>
      <c r="N322" s="4" t="s">
        <v>3450</v>
      </c>
    </row>
    <row r="323" spans="1:14" ht="40" customHeight="1">
      <c r="A323" s="8" t="s">
        <v>260</v>
      </c>
      <c r="B323" s="8" t="s">
        <v>261</v>
      </c>
      <c r="C323" s="8" t="s">
        <v>4204</v>
      </c>
      <c r="D323" s="8" t="s">
        <v>183</v>
      </c>
      <c r="E323" s="8" t="s">
        <v>41</v>
      </c>
      <c r="F323" s="8" t="s">
        <v>3452</v>
      </c>
      <c r="G323" s="8" t="s">
        <v>4205</v>
      </c>
      <c r="H323" s="8" t="s">
        <v>3775</v>
      </c>
      <c r="I323" s="8" t="s">
        <v>1493</v>
      </c>
      <c r="J323" s="8" t="s">
        <v>267</v>
      </c>
      <c r="K323" s="8" t="s">
        <v>908</v>
      </c>
      <c r="L323" s="7" t="s">
        <v>42</v>
      </c>
      <c r="M323" s="7"/>
      <c r="N323" s="8" t="s">
        <v>3450</v>
      </c>
    </row>
    <row r="324" spans="1:14" ht="82" customHeight="1">
      <c r="A324" s="4" t="s">
        <v>270</v>
      </c>
      <c r="B324" s="4" t="s">
        <v>271</v>
      </c>
      <c r="C324" s="4" t="s">
        <v>4206</v>
      </c>
      <c r="D324" s="4" t="s">
        <v>208</v>
      </c>
      <c r="E324" s="4" t="s">
        <v>41</v>
      </c>
      <c r="F324" s="4" t="s">
        <v>3452</v>
      </c>
      <c r="G324" s="4" t="s">
        <v>4207</v>
      </c>
      <c r="H324" s="4" t="s">
        <v>3449</v>
      </c>
      <c r="I324" s="4" t="s">
        <v>1528</v>
      </c>
      <c r="J324" s="4" t="s">
        <v>277</v>
      </c>
      <c r="K324" s="4" t="s">
        <v>908</v>
      </c>
      <c r="L324" s="7" t="s">
        <v>42</v>
      </c>
      <c r="M324" s="7"/>
      <c r="N324" s="4" t="s">
        <v>3450</v>
      </c>
    </row>
    <row r="325" spans="1:14" ht="82" customHeight="1">
      <c r="A325" s="8" t="s">
        <v>270</v>
      </c>
      <c r="B325" s="8" t="s">
        <v>271</v>
      </c>
      <c r="C325" s="8" t="s">
        <v>4208</v>
      </c>
      <c r="D325" s="8" t="s">
        <v>208</v>
      </c>
      <c r="E325" s="8" t="s">
        <v>41</v>
      </c>
      <c r="F325" s="8" t="s">
        <v>3452</v>
      </c>
      <c r="G325" s="8" t="s">
        <v>4209</v>
      </c>
      <c r="H325" s="8" t="s">
        <v>3466</v>
      </c>
      <c r="I325" s="8" t="s">
        <v>1528</v>
      </c>
      <c r="J325" s="8" t="s">
        <v>277</v>
      </c>
      <c r="K325" s="8" t="s">
        <v>908</v>
      </c>
      <c r="L325" s="7" t="s">
        <v>42</v>
      </c>
      <c r="M325" s="7"/>
      <c r="N325" s="8" t="s">
        <v>3450</v>
      </c>
    </row>
    <row r="326" spans="1:14" ht="82" customHeight="1">
      <c r="A326" s="4" t="s">
        <v>270</v>
      </c>
      <c r="B326" s="4" t="s">
        <v>271</v>
      </c>
      <c r="C326" s="4" t="s">
        <v>4210</v>
      </c>
      <c r="D326" s="4" t="s">
        <v>208</v>
      </c>
      <c r="E326" s="4" t="s">
        <v>41</v>
      </c>
      <c r="F326" s="4" t="s">
        <v>3452</v>
      </c>
      <c r="G326" s="4" t="s">
        <v>4211</v>
      </c>
      <c r="H326" s="4" t="s">
        <v>3469</v>
      </c>
      <c r="I326" s="4" t="s">
        <v>1528</v>
      </c>
      <c r="J326" s="4" t="s">
        <v>277</v>
      </c>
      <c r="K326" s="4" t="s">
        <v>908</v>
      </c>
      <c r="L326" s="7" t="s">
        <v>42</v>
      </c>
      <c r="M326" s="7"/>
      <c r="N326" s="4" t="s">
        <v>3450</v>
      </c>
    </row>
    <row r="327" spans="1:14" ht="40" customHeight="1">
      <c r="A327" s="8" t="s">
        <v>280</v>
      </c>
      <c r="B327" s="8" t="s">
        <v>281</v>
      </c>
      <c r="C327" s="8" t="s">
        <v>4212</v>
      </c>
      <c r="D327" s="8" t="s">
        <v>183</v>
      </c>
      <c r="E327" s="8" t="s">
        <v>41</v>
      </c>
      <c r="F327" s="8" t="s">
        <v>3452</v>
      </c>
      <c r="G327" s="8" t="s">
        <v>4213</v>
      </c>
      <c r="H327" s="8" t="s">
        <v>4214</v>
      </c>
      <c r="I327" s="8" t="s">
        <v>1548</v>
      </c>
      <c r="J327" s="8" t="s">
        <v>288</v>
      </c>
      <c r="K327" s="8" t="s">
        <v>908</v>
      </c>
      <c r="L327" s="7" t="s">
        <v>42</v>
      </c>
      <c r="M327" s="7"/>
      <c r="N327" s="8" t="s">
        <v>3450</v>
      </c>
    </row>
    <row r="328" spans="1:14" ht="40" customHeight="1">
      <c r="A328" s="4" t="s">
        <v>280</v>
      </c>
      <c r="B328" s="4" t="s">
        <v>281</v>
      </c>
      <c r="C328" s="4" t="s">
        <v>4215</v>
      </c>
      <c r="D328" s="4" t="s">
        <v>183</v>
      </c>
      <c r="E328" s="4" t="s">
        <v>41</v>
      </c>
      <c r="F328" s="4" t="s">
        <v>3452</v>
      </c>
      <c r="G328" s="4" t="s">
        <v>4216</v>
      </c>
      <c r="H328" s="4" t="s">
        <v>3769</v>
      </c>
      <c r="I328" s="4" t="s">
        <v>1548</v>
      </c>
      <c r="J328" s="4" t="s">
        <v>288</v>
      </c>
      <c r="K328" s="4" t="s">
        <v>908</v>
      </c>
      <c r="L328" s="7" t="s">
        <v>42</v>
      </c>
      <c r="M328" s="7"/>
      <c r="N328" s="4" t="s">
        <v>3450</v>
      </c>
    </row>
    <row r="329" spans="1:14" ht="40" customHeight="1">
      <c r="A329" s="8" t="s">
        <v>280</v>
      </c>
      <c r="B329" s="8" t="s">
        <v>281</v>
      </c>
      <c r="C329" s="8" t="s">
        <v>4217</v>
      </c>
      <c r="D329" s="8" t="s">
        <v>183</v>
      </c>
      <c r="E329" s="8" t="s">
        <v>41</v>
      </c>
      <c r="F329" s="8" t="s">
        <v>3452</v>
      </c>
      <c r="G329" s="8" t="s">
        <v>4218</v>
      </c>
      <c r="H329" s="8" t="s">
        <v>4219</v>
      </c>
      <c r="I329" s="8" t="s">
        <v>1548</v>
      </c>
      <c r="J329" s="8" t="s">
        <v>288</v>
      </c>
      <c r="K329" s="8" t="s">
        <v>908</v>
      </c>
      <c r="L329" s="7" t="s">
        <v>42</v>
      </c>
      <c r="M329" s="7"/>
      <c r="N329" s="8" t="s">
        <v>3450</v>
      </c>
    </row>
    <row r="330" spans="1:14" ht="40" customHeight="1">
      <c r="A330" s="4" t="s">
        <v>280</v>
      </c>
      <c r="B330" s="4" t="s">
        <v>281</v>
      </c>
      <c r="C330" s="4" t="s">
        <v>4220</v>
      </c>
      <c r="D330" s="4" t="s">
        <v>183</v>
      </c>
      <c r="E330" s="4" t="s">
        <v>41</v>
      </c>
      <c r="F330" s="4" t="s">
        <v>3452</v>
      </c>
      <c r="G330" s="4" t="s">
        <v>4221</v>
      </c>
      <c r="H330" s="4" t="s">
        <v>4222</v>
      </c>
      <c r="I330" s="4" t="s">
        <v>1548</v>
      </c>
      <c r="J330" s="4" t="s">
        <v>288</v>
      </c>
      <c r="K330" s="4" t="s">
        <v>908</v>
      </c>
      <c r="L330" s="7" t="s">
        <v>42</v>
      </c>
      <c r="M330" s="7"/>
      <c r="N330" s="4" t="s">
        <v>3450</v>
      </c>
    </row>
    <row r="331" spans="1:14" ht="40" customHeight="1">
      <c r="A331" s="8" t="s">
        <v>280</v>
      </c>
      <c r="B331" s="8" t="s">
        <v>281</v>
      </c>
      <c r="C331" s="8" t="s">
        <v>4223</v>
      </c>
      <c r="D331" s="8" t="s">
        <v>183</v>
      </c>
      <c r="E331" s="8" t="s">
        <v>41</v>
      </c>
      <c r="F331" s="8" t="s">
        <v>3452</v>
      </c>
      <c r="G331" s="8" t="s">
        <v>4224</v>
      </c>
      <c r="H331" s="8" t="s">
        <v>4225</v>
      </c>
      <c r="I331" s="8" t="s">
        <v>1548</v>
      </c>
      <c r="J331" s="8" t="s">
        <v>288</v>
      </c>
      <c r="K331" s="8" t="s">
        <v>908</v>
      </c>
      <c r="L331" s="7" t="s">
        <v>42</v>
      </c>
      <c r="M331" s="7"/>
      <c r="N331" s="8" t="s">
        <v>3450</v>
      </c>
    </row>
    <row r="332" spans="1:14" ht="40" customHeight="1">
      <c r="A332" s="4" t="s">
        <v>280</v>
      </c>
      <c r="B332" s="4" t="s">
        <v>281</v>
      </c>
      <c r="C332" s="4" t="s">
        <v>4226</v>
      </c>
      <c r="D332" s="4" t="s">
        <v>183</v>
      </c>
      <c r="E332" s="4" t="s">
        <v>41</v>
      </c>
      <c r="F332" s="4" t="s">
        <v>3452</v>
      </c>
      <c r="G332" s="4" t="s">
        <v>4227</v>
      </c>
      <c r="H332" s="4" t="s">
        <v>4228</v>
      </c>
      <c r="I332" s="4" t="s">
        <v>1548</v>
      </c>
      <c r="J332" s="4" t="s">
        <v>288</v>
      </c>
      <c r="K332" s="4" t="s">
        <v>908</v>
      </c>
      <c r="L332" s="7" t="s">
        <v>42</v>
      </c>
      <c r="M332" s="7"/>
      <c r="N332" s="4" t="s">
        <v>3450</v>
      </c>
    </row>
    <row r="333" spans="1:14" ht="40" customHeight="1">
      <c r="A333" s="8" t="s">
        <v>280</v>
      </c>
      <c r="B333" s="8" t="s">
        <v>281</v>
      </c>
      <c r="C333" s="8" t="s">
        <v>4229</v>
      </c>
      <c r="D333" s="8" t="s">
        <v>183</v>
      </c>
      <c r="E333" s="8" t="s">
        <v>41</v>
      </c>
      <c r="F333" s="8" t="s">
        <v>3452</v>
      </c>
      <c r="G333" s="8" t="s">
        <v>4230</v>
      </c>
      <c r="H333" s="8" t="s">
        <v>4231</v>
      </c>
      <c r="I333" s="8" t="s">
        <v>1548</v>
      </c>
      <c r="J333" s="8" t="s">
        <v>288</v>
      </c>
      <c r="K333" s="8" t="s">
        <v>908</v>
      </c>
      <c r="L333" s="7" t="s">
        <v>42</v>
      </c>
      <c r="M333" s="7"/>
      <c r="N333" s="8" t="s">
        <v>3450</v>
      </c>
    </row>
    <row r="334" spans="1:14" ht="40" customHeight="1">
      <c r="A334" s="4" t="s">
        <v>280</v>
      </c>
      <c r="B334" s="4" t="s">
        <v>281</v>
      </c>
      <c r="C334" s="4" t="s">
        <v>4232</v>
      </c>
      <c r="D334" s="4" t="s">
        <v>183</v>
      </c>
      <c r="E334" s="4" t="s">
        <v>41</v>
      </c>
      <c r="F334" s="4" t="s">
        <v>3452</v>
      </c>
      <c r="G334" s="4" t="s">
        <v>4233</v>
      </c>
      <c r="H334" s="4" t="s">
        <v>4234</v>
      </c>
      <c r="I334" s="4" t="s">
        <v>1548</v>
      </c>
      <c r="J334" s="4" t="s">
        <v>288</v>
      </c>
      <c r="K334" s="4" t="s">
        <v>908</v>
      </c>
      <c r="L334" s="7" t="s">
        <v>42</v>
      </c>
      <c r="M334" s="7"/>
      <c r="N334" s="4" t="s">
        <v>3450</v>
      </c>
    </row>
    <row r="335" spans="1:14" ht="40" customHeight="1">
      <c r="A335" s="8" t="s">
        <v>280</v>
      </c>
      <c r="B335" s="8" t="s">
        <v>281</v>
      </c>
      <c r="C335" s="8" t="s">
        <v>4235</v>
      </c>
      <c r="D335" s="8" t="s">
        <v>183</v>
      </c>
      <c r="E335" s="8" t="s">
        <v>41</v>
      </c>
      <c r="F335" s="8" t="s">
        <v>3452</v>
      </c>
      <c r="G335" s="8" t="s">
        <v>4236</v>
      </c>
      <c r="H335" s="8" t="s">
        <v>4237</v>
      </c>
      <c r="I335" s="8" t="s">
        <v>1548</v>
      </c>
      <c r="J335" s="8" t="s">
        <v>288</v>
      </c>
      <c r="K335" s="8" t="s">
        <v>908</v>
      </c>
      <c r="L335" s="7" t="s">
        <v>42</v>
      </c>
      <c r="M335" s="7"/>
      <c r="N335" s="8" t="s">
        <v>3450</v>
      </c>
    </row>
    <row r="336" spans="1:14" ht="40" customHeight="1">
      <c r="A336" s="4" t="s">
        <v>280</v>
      </c>
      <c r="B336" s="4" t="s">
        <v>281</v>
      </c>
      <c r="C336" s="4" t="s">
        <v>4238</v>
      </c>
      <c r="D336" s="4" t="s">
        <v>183</v>
      </c>
      <c r="E336" s="4" t="s">
        <v>41</v>
      </c>
      <c r="F336" s="4" t="s">
        <v>3452</v>
      </c>
      <c r="G336" s="4" t="s">
        <v>4239</v>
      </c>
      <c r="H336" s="4" t="s">
        <v>4240</v>
      </c>
      <c r="I336" s="4" t="s">
        <v>1548</v>
      </c>
      <c r="J336" s="4" t="s">
        <v>288</v>
      </c>
      <c r="K336" s="4" t="s">
        <v>908</v>
      </c>
      <c r="L336" s="7" t="s">
        <v>42</v>
      </c>
      <c r="M336" s="7"/>
      <c r="N336" s="4" t="s">
        <v>3450</v>
      </c>
    </row>
    <row r="337" spans="1:14" ht="40" customHeight="1">
      <c r="A337" s="8" t="s">
        <v>280</v>
      </c>
      <c r="B337" s="8" t="s">
        <v>281</v>
      </c>
      <c r="C337" s="8" t="s">
        <v>4241</v>
      </c>
      <c r="D337" s="8" t="s">
        <v>183</v>
      </c>
      <c r="E337" s="8" t="s">
        <v>41</v>
      </c>
      <c r="F337" s="8" t="s">
        <v>3452</v>
      </c>
      <c r="G337" s="8" t="s">
        <v>4242</v>
      </c>
      <c r="H337" s="8" t="s">
        <v>4243</v>
      </c>
      <c r="I337" s="8" t="s">
        <v>1548</v>
      </c>
      <c r="J337" s="8" t="s">
        <v>288</v>
      </c>
      <c r="K337" s="8" t="s">
        <v>908</v>
      </c>
      <c r="L337" s="7" t="s">
        <v>42</v>
      </c>
      <c r="M337" s="7"/>
      <c r="N337" s="8" t="s">
        <v>3450</v>
      </c>
    </row>
    <row r="338" spans="1:14" ht="40" customHeight="1">
      <c r="A338" s="4" t="s">
        <v>280</v>
      </c>
      <c r="B338" s="4" t="s">
        <v>281</v>
      </c>
      <c r="C338" s="4" t="s">
        <v>4244</v>
      </c>
      <c r="D338" s="4" t="s">
        <v>183</v>
      </c>
      <c r="E338" s="4" t="s">
        <v>41</v>
      </c>
      <c r="F338" s="4" t="s">
        <v>3452</v>
      </c>
      <c r="G338" s="4" t="s">
        <v>4245</v>
      </c>
      <c r="H338" s="4" t="s">
        <v>4246</v>
      </c>
      <c r="I338" s="4" t="s">
        <v>1548</v>
      </c>
      <c r="J338" s="4" t="s">
        <v>288</v>
      </c>
      <c r="K338" s="4" t="s">
        <v>908</v>
      </c>
      <c r="L338" s="7" t="s">
        <v>42</v>
      </c>
      <c r="M338" s="7"/>
      <c r="N338" s="4" t="s">
        <v>3450</v>
      </c>
    </row>
    <row r="339" spans="1:14" ht="40" customHeight="1">
      <c r="A339" s="8" t="s">
        <v>280</v>
      </c>
      <c r="B339" s="8" t="s">
        <v>281</v>
      </c>
      <c r="C339" s="8" t="s">
        <v>4247</v>
      </c>
      <c r="D339" s="8" t="s">
        <v>183</v>
      </c>
      <c r="E339" s="8" t="s">
        <v>41</v>
      </c>
      <c r="F339" s="8" t="s">
        <v>3452</v>
      </c>
      <c r="G339" s="8" t="s">
        <v>4248</v>
      </c>
      <c r="H339" s="8" t="s">
        <v>4249</v>
      </c>
      <c r="I339" s="8" t="s">
        <v>1548</v>
      </c>
      <c r="J339" s="8" t="s">
        <v>288</v>
      </c>
      <c r="K339" s="8" t="s">
        <v>908</v>
      </c>
      <c r="L339" s="7" t="s">
        <v>42</v>
      </c>
      <c r="M339" s="7"/>
      <c r="N339" s="8" t="s">
        <v>3450</v>
      </c>
    </row>
    <row r="340" spans="1:14" ht="40" customHeight="1">
      <c r="A340" s="4" t="s">
        <v>280</v>
      </c>
      <c r="B340" s="4" t="s">
        <v>281</v>
      </c>
      <c r="C340" s="4" t="s">
        <v>4250</v>
      </c>
      <c r="D340" s="4" t="s">
        <v>183</v>
      </c>
      <c r="E340" s="4" t="s">
        <v>41</v>
      </c>
      <c r="F340" s="4" t="s">
        <v>3452</v>
      </c>
      <c r="G340" s="4" t="s">
        <v>4251</v>
      </c>
      <c r="H340" s="4" t="s">
        <v>4252</v>
      </c>
      <c r="I340" s="4" t="s">
        <v>1548</v>
      </c>
      <c r="J340" s="4" t="s">
        <v>288</v>
      </c>
      <c r="K340" s="4" t="s">
        <v>908</v>
      </c>
      <c r="L340" s="7" t="s">
        <v>42</v>
      </c>
      <c r="M340" s="7"/>
      <c r="N340" s="4" t="s">
        <v>3450</v>
      </c>
    </row>
    <row r="341" spans="1:14" ht="40" customHeight="1">
      <c r="A341" s="8" t="s">
        <v>280</v>
      </c>
      <c r="B341" s="8" t="s">
        <v>281</v>
      </c>
      <c r="C341" s="8" t="s">
        <v>4253</v>
      </c>
      <c r="D341" s="8" t="s">
        <v>183</v>
      </c>
      <c r="E341" s="8" t="s">
        <v>41</v>
      </c>
      <c r="F341" s="8" t="s">
        <v>3452</v>
      </c>
      <c r="G341" s="8" t="s">
        <v>4254</v>
      </c>
      <c r="H341" s="8" t="s">
        <v>4255</v>
      </c>
      <c r="I341" s="8" t="s">
        <v>1548</v>
      </c>
      <c r="J341" s="8" t="s">
        <v>288</v>
      </c>
      <c r="K341" s="8" t="s">
        <v>908</v>
      </c>
      <c r="L341" s="7" t="s">
        <v>42</v>
      </c>
      <c r="M341" s="7"/>
      <c r="N341" s="8" t="s">
        <v>3450</v>
      </c>
    </row>
    <row r="342" spans="1:14" ht="40" customHeight="1">
      <c r="A342" s="4" t="s">
        <v>280</v>
      </c>
      <c r="B342" s="4" t="s">
        <v>281</v>
      </c>
      <c r="C342" s="4" t="s">
        <v>4256</v>
      </c>
      <c r="D342" s="4" t="s">
        <v>183</v>
      </c>
      <c r="E342" s="4" t="s">
        <v>41</v>
      </c>
      <c r="F342" s="4" t="s">
        <v>3452</v>
      </c>
      <c r="G342" s="4" t="s">
        <v>4257</v>
      </c>
      <c r="H342" s="4" t="s">
        <v>4258</v>
      </c>
      <c r="I342" s="4" t="s">
        <v>1548</v>
      </c>
      <c r="J342" s="4" t="s">
        <v>288</v>
      </c>
      <c r="K342" s="4" t="s">
        <v>908</v>
      </c>
      <c r="L342" s="7" t="s">
        <v>42</v>
      </c>
      <c r="M342" s="7"/>
      <c r="N342" s="4" t="s">
        <v>3450</v>
      </c>
    </row>
    <row r="343" spans="1:14" ht="40" customHeight="1">
      <c r="A343" s="8" t="s">
        <v>291</v>
      </c>
      <c r="B343" s="8" t="s">
        <v>292</v>
      </c>
      <c r="C343" s="8" t="s">
        <v>4259</v>
      </c>
      <c r="D343" s="8" t="s">
        <v>208</v>
      </c>
      <c r="E343" s="8" t="s">
        <v>4260</v>
      </c>
      <c r="F343" s="8" t="s">
        <v>3448</v>
      </c>
      <c r="G343" s="8" t="s">
        <v>4260</v>
      </c>
      <c r="H343" s="8" t="s">
        <v>3449</v>
      </c>
      <c r="I343" s="8" t="s">
        <v>1556</v>
      </c>
      <c r="J343" s="8" t="s">
        <v>296</v>
      </c>
      <c r="K343" s="8" t="s">
        <v>908</v>
      </c>
      <c r="L343" s="7" t="s">
        <v>42</v>
      </c>
      <c r="M343" s="7"/>
      <c r="N343" s="8" t="s">
        <v>3450</v>
      </c>
    </row>
    <row r="344" spans="1:14" ht="54" customHeight="1">
      <c r="A344" s="4" t="s">
        <v>291</v>
      </c>
      <c r="B344" s="4" t="s">
        <v>292</v>
      </c>
      <c r="C344" s="4" t="s">
        <v>4261</v>
      </c>
      <c r="D344" s="4" t="s">
        <v>208</v>
      </c>
      <c r="E344" s="4" t="s">
        <v>4260</v>
      </c>
      <c r="F344" s="4" t="s">
        <v>3452</v>
      </c>
      <c r="G344" s="4" t="s">
        <v>4262</v>
      </c>
      <c r="H344" s="4" t="s">
        <v>3466</v>
      </c>
      <c r="I344" s="4" t="s">
        <v>1556</v>
      </c>
      <c r="J344" s="4" t="s">
        <v>296</v>
      </c>
      <c r="K344" s="4" t="s">
        <v>908</v>
      </c>
      <c r="L344" s="7" t="s">
        <v>42</v>
      </c>
      <c r="M344" s="7"/>
      <c r="N344" s="4" t="s">
        <v>3450</v>
      </c>
    </row>
    <row r="345" spans="1:14" ht="40" customHeight="1">
      <c r="A345" s="8" t="s">
        <v>291</v>
      </c>
      <c r="B345" s="8" t="s">
        <v>292</v>
      </c>
      <c r="C345" s="8" t="s">
        <v>4263</v>
      </c>
      <c r="D345" s="8" t="s">
        <v>208</v>
      </c>
      <c r="E345" s="8" t="s">
        <v>4264</v>
      </c>
      <c r="F345" s="8" t="s">
        <v>3448</v>
      </c>
      <c r="G345" s="8" t="s">
        <v>4264</v>
      </c>
      <c r="H345" s="8" t="s">
        <v>3469</v>
      </c>
      <c r="I345" s="8" t="s">
        <v>1556</v>
      </c>
      <c r="J345" s="8" t="s">
        <v>296</v>
      </c>
      <c r="K345" s="8" t="s">
        <v>908</v>
      </c>
      <c r="L345" s="7" t="s">
        <v>42</v>
      </c>
      <c r="M345" s="7"/>
      <c r="N345" s="8" t="s">
        <v>3450</v>
      </c>
    </row>
    <row r="346" spans="1:14" ht="68" customHeight="1">
      <c r="A346" s="4" t="s">
        <v>291</v>
      </c>
      <c r="B346" s="4" t="s">
        <v>292</v>
      </c>
      <c r="C346" s="4" t="s">
        <v>4265</v>
      </c>
      <c r="D346" s="4" t="s">
        <v>208</v>
      </c>
      <c r="E346" s="4" t="s">
        <v>4264</v>
      </c>
      <c r="F346" s="4" t="s">
        <v>3452</v>
      </c>
      <c r="G346" s="4" t="s">
        <v>4266</v>
      </c>
      <c r="H346" s="4" t="s">
        <v>3472</v>
      </c>
      <c r="I346" s="4" t="s">
        <v>1556</v>
      </c>
      <c r="J346" s="4" t="s">
        <v>296</v>
      </c>
      <c r="K346" s="4" t="s">
        <v>908</v>
      </c>
      <c r="L346" s="7" t="s">
        <v>42</v>
      </c>
      <c r="M346" s="7"/>
      <c r="N346" s="4" t="s">
        <v>3450</v>
      </c>
    </row>
    <row r="347" spans="1:14" ht="40" customHeight="1">
      <c r="A347" s="8" t="s">
        <v>291</v>
      </c>
      <c r="B347" s="8" t="s">
        <v>292</v>
      </c>
      <c r="C347" s="8" t="s">
        <v>4267</v>
      </c>
      <c r="D347" s="8" t="s">
        <v>208</v>
      </c>
      <c r="E347" s="8" t="s">
        <v>4268</v>
      </c>
      <c r="F347" s="8" t="s">
        <v>3448</v>
      </c>
      <c r="G347" s="8" t="s">
        <v>4268</v>
      </c>
      <c r="H347" s="8" t="s">
        <v>3475</v>
      </c>
      <c r="I347" s="8" t="s">
        <v>1556</v>
      </c>
      <c r="J347" s="8" t="s">
        <v>296</v>
      </c>
      <c r="K347" s="8" t="s">
        <v>908</v>
      </c>
      <c r="L347" s="7" t="s">
        <v>42</v>
      </c>
      <c r="M347" s="7"/>
      <c r="N347" s="8" t="s">
        <v>3450</v>
      </c>
    </row>
    <row r="348" spans="1:14" ht="40" customHeight="1">
      <c r="A348" s="4" t="s">
        <v>291</v>
      </c>
      <c r="B348" s="4" t="s">
        <v>292</v>
      </c>
      <c r="C348" s="4" t="s">
        <v>4269</v>
      </c>
      <c r="D348" s="4" t="s">
        <v>208</v>
      </c>
      <c r="E348" s="4" t="s">
        <v>4268</v>
      </c>
      <c r="F348" s="4" t="s">
        <v>3452</v>
      </c>
      <c r="G348" s="4" t="s">
        <v>4270</v>
      </c>
      <c r="H348" s="4" t="s">
        <v>3478</v>
      </c>
      <c r="I348" s="4" t="s">
        <v>1556</v>
      </c>
      <c r="J348" s="4" t="s">
        <v>296</v>
      </c>
      <c r="K348" s="4" t="s">
        <v>908</v>
      </c>
      <c r="L348" s="7" t="s">
        <v>42</v>
      </c>
      <c r="M348" s="7"/>
      <c r="N348" s="4" t="s">
        <v>3450</v>
      </c>
    </row>
    <row r="349" spans="1:14" ht="40" customHeight="1">
      <c r="A349" s="8" t="s">
        <v>291</v>
      </c>
      <c r="B349" s="8" t="s">
        <v>292</v>
      </c>
      <c r="C349" s="8" t="s">
        <v>4271</v>
      </c>
      <c r="D349" s="8" t="s">
        <v>208</v>
      </c>
      <c r="E349" s="8" t="s">
        <v>4272</v>
      </c>
      <c r="F349" s="8" t="s">
        <v>3448</v>
      </c>
      <c r="G349" s="8" t="s">
        <v>4272</v>
      </c>
      <c r="H349" s="8" t="s">
        <v>3603</v>
      </c>
      <c r="I349" s="8" t="s">
        <v>1556</v>
      </c>
      <c r="J349" s="8" t="s">
        <v>296</v>
      </c>
      <c r="K349" s="8" t="s">
        <v>908</v>
      </c>
      <c r="L349" s="7" t="s">
        <v>42</v>
      </c>
      <c r="M349" s="7"/>
      <c r="N349" s="8" t="s">
        <v>3450</v>
      </c>
    </row>
    <row r="350" spans="1:14" ht="54" customHeight="1">
      <c r="A350" s="4" t="s">
        <v>291</v>
      </c>
      <c r="B350" s="4" t="s">
        <v>292</v>
      </c>
      <c r="C350" s="4" t="s">
        <v>4273</v>
      </c>
      <c r="D350" s="4" t="s">
        <v>208</v>
      </c>
      <c r="E350" s="4" t="s">
        <v>4272</v>
      </c>
      <c r="F350" s="4" t="s">
        <v>3452</v>
      </c>
      <c r="G350" s="4" t="s">
        <v>4274</v>
      </c>
      <c r="H350" s="4" t="s">
        <v>3838</v>
      </c>
      <c r="I350" s="4" t="s">
        <v>1556</v>
      </c>
      <c r="J350" s="4" t="s">
        <v>296</v>
      </c>
      <c r="K350" s="4" t="s">
        <v>908</v>
      </c>
      <c r="L350" s="7" t="s">
        <v>42</v>
      </c>
      <c r="M350" s="7"/>
      <c r="N350" s="4" t="s">
        <v>3450</v>
      </c>
    </row>
    <row r="351" spans="1:14" ht="40" customHeight="1">
      <c r="A351" s="8" t="s">
        <v>291</v>
      </c>
      <c r="B351" s="8" t="s">
        <v>292</v>
      </c>
      <c r="C351" s="8" t="s">
        <v>4275</v>
      </c>
      <c r="D351" s="8" t="s">
        <v>208</v>
      </c>
      <c r="E351" s="8" t="s">
        <v>4276</v>
      </c>
      <c r="F351" s="8" t="s">
        <v>3448</v>
      </c>
      <c r="G351" s="8" t="s">
        <v>4276</v>
      </c>
      <c r="H351" s="8" t="s">
        <v>3608</v>
      </c>
      <c r="I351" s="8" t="s">
        <v>1556</v>
      </c>
      <c r="J351" s="8" t="s">
        <v>296</v>
      </c>
      <c r="K351" s="8" t="s">
        <v>908</v>
      </c>
      <c r="L351" s="7" t="s">
        <v>42</v>
      </c>
      <c r="M351" s="7"/>
      <c r="N351" s="8" t="s">
        <v>3450</v>
      </c>
    </row>
    <row r="352" spans="1:14" ht="54" customHeight="1">
      <c r="A352" s="4" t="s">
        <v>291</v>
      </c>
      <c r="B352" s="4" t="s">
        <v>292</v>
      </c>
      <c r="C352" s="4" t="s">
        <v>4277</v>
      </c>
      <c r="D352" s="4" t="s">
        <v>208</v>
      </c>
      <c r="E352" s="4" t="s">
        <v>4276</v>
      </c>
      <c r="F352" s="4" t="s">
        <v>3452</v>
      </c>
      <c r="G352" s="4" t="s">
        <v>4278</v>
      </c>
      <c r="H352" s="4" t="s">
        <v>3611</v>
      </c>
      <c r="I352" s="4" t="s">
        <v>1556</v>
      </c>
      <c r="J352" s="4" t="s">
        <v>296</v>
      </c>
      <c r="K352" s="4" t="s">
        <v>908</v>
      </c>
      <c r="L352" s="7" t="s">
        <v>42</v>
      </c>
      <c r="M352" s="7"/>
      <c r="N352" s="4" t="s">
        <v>3450</v>
      </c>
    </row>
    <row r="353" spans="1:14" ht="40" customHeight="1">
      <c r="A353" s="8" t="s">
        <v>291</v>
      </c>
      <c r="B353" s="8" t="s">
        <v>292</v>
      </c>
      <c r="C353" s="8" t="s">
        <v>4279</v>
      </c>
      <c r="D353" s="8" t="s">
        <v>208</v>
      </c>
      <c r="E353" s="8" t="s">
        <v>4280</v>
      </c>
      <c r="F353" s="8" t="s">
        <v>3448</v>
      </c>
      <c r="G353" s="8" t="s">
        <v>4280</v>
      </c>
      <c r="H353" s="8" t="s">
        <v>3775</v>
      </c>
      <c r="I353" s="8" t="s">
        <v>1556</v>
      </c>
      <c r="J353" s="8" t="s">
        <v>296</v>
      </c>
      <c r="K353" s="8" t="s">
        <v>908</v>
      </c>
      <c r="L353" s="7" t="s">
        <v>42</v>
      </c>
      <c r="M353" s="7"/>
      <c r="N353" s="8" t="s">
        <v>3450</v>
      </c>
    </row>
    <row r="354" spans="1:14" ht="54" customHeight="1">
      <c r="A354" s="4" t="s">
        <v>291</v>
      </c>
      <c r="B354" s="4" t="s">
        <v>292</v>
      </c>
      <c r="C354" s="4" t="s">
        <v>4281</v>
      </c>
      <c r="D354" s="4" t="s">
        <v>208</v>
      </c>
      <c r="E354" s="4" t="s">
        <v>4280</v>
      </c>
      <c r="F354" s="4" t="s">
        <v>3452</v>
      </c>
      <c r="G354" s="4" t="s">
        <v>4282</v>
      </c>
      <c r="H354" s="4" t="s">
        <v>3847</v>
      </c>
      <c r="I354" s="4" t="s">
        <v>1556</v>
      </c>
      <c r="J354" s="4" t="s">
        <v>296</v>
      </c>
      <c r="K354" s="4" t="s">
        <v>908</v>
      </c>
      <c r="L354" s="7" t="s">
        <v>42</v>
      </c>
      <c r="M354" s="7"/>
      <c r="N354" s="4" t="s">
        <v>3450</v>
      </c>
    </row>
    <row r="355" spans="1:14" ht="40" customHeight="1">
      <c r="A355" s="8" t="s">
        <v>291</v>
      </c>
      <c r="B355" s="8" t="s">
        <v>292</v>
      </c>
      <c r="C355" s="8" t="s">
        <v>4283</v>
      </c>
      <c r="D355" s="8" t="s">
        <v>208</v>
      </c>
      <c r="E355" s="8" t="s">
        <v>4284</v>
      </c>
      <c r="F355" s="8" t="s">
        <v>3448</v>
      </c>
      <c r="G355" s="8" t="s">
        <v>4284</v>
      </c>
      <c r="H355" s="8" t="s">
        <v>3777</v>
      </c>
      <c r="I355" s="8" t="s">
        <v>1556</v>
      </c>
      <c r="J355" s="8" t="s">
        <v>296</v>
      </c>
      <c r="K355" s="8" t="s">
        <v>908</v>
      </c>
      <c r="L355" s="7" t="s">
        <v>42</v>
      </c>
      <c r="M355" s="7"/>
      <c r="N355" s="8" t="s">
        <v>3450</v>
      </c>
    </row>
    <row r="356" spans="1:14" ht="54" customHeight="1">
      <c r="A356" s="4" t="s">
        <v>291</v>
      </c>
      <c r="B356" s="4" t="s">
        <v>292</v>
      </c>
      <c r="C356" s="4" t="s">
        <v>4285</v>
      </c>
      <c r="D356" s="4" t="s">
        <v>208</v>
      </c>
      <c r="E356" s="4" t="s">
        <v>4284</v>
      </c>
      <c r="F356" s="4" t="s">
        <v>3452</v>
      </c>
      <c r="G356" s="4" t="s">
        <v>4286</v>
      </c>
      <c r="H356" s="4" t="s">
        <v>3779</v>
      </c>
      <c r="I356" s="4" t="s">
        <v>1556</v>
      </c>
      <c r="J356" s="4" t="s">
        <v>296</v>
      </c>
      <c r="K356" s="4" t="s">
        <v>908</v>
      </c>
      <c r="L356" s="7" t="s">
        <v>42</v>
      </c>
      <c r="M356" s="7"/>
      <c r="N356" s="4" t="s">
        <v>3450</v>
      </c>
    </row>
    <row r="357" spans="1:14" ht="40" customHeight="1">
      <c r="A357" s="8" t="s">
        <v>291</v>
      </c>
      <c r="B357" s="8" t="s">
        <v>292</v>
      </c>
      <c r="C357" s="8" t="s">
        <v>4287</v>
      </c>
      <c r="D357" s="8" t="s">
        <v>208</v>
      </c>
      <c r="E357" s="8" t="s">
        <v>4288</v>
      </c>
      <c r="F357" s="8" t="s">
        <v>3448</v>
      </c>
      <c r="G357" s="8" t="s">
        <v>4288</v>
      </c>
      <c r="H357" s="8" t="s">
        <v>3781</v>
      </c>
      <c r="I357" s="8" t="s">
        <v>1556</v>
      </c>
      <c r="J357" s="8" t="s">
        <v>296</v>
      </c>
      <c r="K357" s="8" t="s">
        <v>908</v>
      </c>
      <c r="L357" s="7" t="s">
        <v>42</v>
      </c>
      <c r="M357" s="7"/>
      <c r="N357" s="8" t="s">
        <v>3450</v>
      </c>
    </row>
    <row r="358" spans="1:14" ht="40" customHeight="1">
      <c r="A358" s="4" t="s">
        <v>291</v>
      </c>
      <c r="B358" s="4" t="s">
        <v>292</v>
      </c>
      <c r="C358" s="4" t="s">
        <v>4289</v>
      </c>
      <c r="D358" s="4" t="s">
        <v>208</v>
      </c>
      <c r="E358" s="4" t="s">
        <v>4288</v>
      </c>
      <c r="F358" s="4" t="s">
        <v>3452</v>
      </c>
      <c r="G358" s="4" t="s">
        <v>4290</v>
      </c>
      <c r="H358" s="4" t="s">
        <v>3783</v>
      </c>
      <c r="I358" s="4" t="s">
        <v>1556</v>
      </c>
      <c r="J358" s="4" t="s">
        <v>296</v>
      </c>
      <c r="K358" s="4" t="s">
        <v>908</v>
      </c>
      <c r="L358" s="7" t="s">
        <v>42</v>
      </c>
      <c r="M358" s="7"/>
      <c r="N358" s="4" t="s">
        <v>3450</v>
      </c>
    </row>
    <row r="359" spans="1:14" ht="40" customHeight="1">
      <c r="A359" s="8" t="s">
        <v>291</v>
      </c>
      <c r="B359" s="8" t="s">
        <v>292</v>
      </c>
      <c r="C359" s="8" t="s">
        <v>4291</v>
      </c>
      <c r="D359" s="8" t="s">
        <v>208</v>
      </c>
      <c r="E359" s="8" t="s">
        <v>4288</v>
      </c>
      <c r="F359" s="8" t="s">
        <v>3452</v>
      </c>
      <c r="G359" s="8" t="s">
        <v>4292</v>
      </c>
      <c r="H359" s="8" t="s">
        <v>3785</v>
      </c>
      <c r="I359" s="8" t="s">
        <v>1556</v>
      </c>
      <c r="J359" s="8" t="s">
        <v>296</v>
      </c>
      <c r="K359" s="8" t="s">
        <v>908</v>
      </c>
      <c r="L359" s="7" t="s">
        <v>42</v>
      </c>
      <c r="M359" s="7"/>
      <c r="N359" s="8" t="s">
        <v>3450</v>
      </c>
    </row>
    <row r="360" spans="1:14" ht="40" customHeight="1">
      <c r="A360" s="4" t="s">
        <v>291</v>
      </c>
      <c r="B360" s="4" t="s">
        <v>292</v>
      </c>
      <c r="C360" s="4" t="s">
        <v>4293</v>
      </c>
      <c r="D360" s="4" t="s">
        <v>208</v>
      </c>
      <c r="E360" s="4" t="s">
        <v>4288</v>
      </c>
      <c r="F360" s="4" t="s">
        <v>3452</v>
      </c>
      <c r="G360" s="4" t="s">
        <v>4294</v>
      </c>
      <c r="H360" s="4" t="s">
        <v>4146</v>
      </c>
      <c r="I360" s="4" t="s">
        <v>1556</v>
      </c>
      <c r="J360" s="4" t="s">
        <v>296</v>
      </c>
      <c r="K360" s="4" t="s">
        <v>908</v>
      </c>
      <c r="L360" s="7" t="s">
        <v>42</v>
      </c>
      <c r="M360" s="7"/>
      <c r="N360" s="4" t="s">
        <v>3450</v>
      </c>
    </row>
    <row r="361" spans="1:14" ht="40" customHeight="1">
      <c r="A361" s="8" t="s">
        <v>291</v>
      </c>
      <c r="B361" s="8" t="s">
        <v>292</v>
      </c>
      <c r="C361" s="8" t="s">
        <v>4295</v>
      </c>
      <c r="D361" s="8" t="s">
        <v>208</v>
      </c>
      <c r="E361" s="8" t="s">
        <v>4288</v>
      </c>
      <c r="F361" s="8" t="s">
        <v>3452</v>
      </c>
      <c r="G361" s="8" t="s">
        <v>4296</v>
      </c>
      <c r="H361" s="8" t="s">
        <v>3789</v>
      </c>
      <c r="I361" s="8" t="s">
        <v>1556</v>
      </c>
      <c r="J361" s="8" t="s">
        <v>296</v>
      </c>
      <c r="K361" s="8" t="s">
        <v>908</v>
      </c>
      <c r="L361" s="7" t="s">
        <v>42</v>
      </c>
      <c r="M361" s="7"/>
      <c r="N361" s="8" t="s">
        <v>3450</v>
      </c>
    </row>
    <row r="362" spans="1:14" ht="40" customHeight="1">
      <c r="A362" s="4" t="s">
        <v>291</v>
      </c>
      <c r="B362" s="4" t="s">
        <v>292</v>
      </c>
      <c r="C362" s="4" t="s">
        <v>4297</v>
      </c>
      <c r="D362" s="4" t="s">
        <v>208</v>
      </c>
      <c r="E362" s="4" t="s">
        <v>4288</v>
      </c>
      <c r="F362" s="4" t="s">
        <v>3452</v>
      </c>
      <c r="G362" s="4" t="s">
        <v>4298</v>
      </c>
      <c r="H362" s="4" t="s">
        <v>3892</v>
      </c>
      <c r="I362" s="4" t="s">
        <v>1556</v>
      </c>
      <c r="J362" s="4" t="s">
        <v>296</v>
      </c>
      <c r="K362" s="4" t="s">
        <v>908</v>
      </c>
      <c r="L362" s="7" t="s">
        <v>42</v>
      </c>
      <c r="M362" s="7"/>
      <c r="N362" s="4" t="s">
        <v>3450</v>
      </c>
    </row>
    <row r="363" spans="1:14" ht="40" customHeight="1">
      <c r="A363" s="8" t="s">
        <v>291</v>
      </c>
      <c r="B363" s="8" t="s">
        <v>292</v>
      </c>
      <c r="C363" s="8" t="s">
        <v>4299</v>
      </c>
      <c r="D363" s="8" t="s">
        <v>208</v>
      </c>
      <c r="E363" s="8" t="s">
        <v>4288</v>
      </c>
      <c r="F363" s="8" t="s">
        <v>3452</v>
      </c>
      <c r="G363" s="8" t="s">
        <v>4300</v>
      </c>
      <c r="H363" s="8" t="s">
        <v>3791</v>
      </c>
      <c r="I363" s="8" t="s">
        <v>1556</v>
      </c>
      <c r="J363" s="8" t="s">
        <v>296</v>
      </c>
      <c r="K363" s="8" t="s">
        <v>908</v>
      </c>
      <c r="L363" s="7" t="s">
        <v>42</v>
      </c>
      <c r="M363" s="7"/>
      <c r="N363" s="8" t="s">
        <v>3450</v>
      </c>
    </row>
    <row r="364" spans="1:14" ht="40" customHeight="1">
      <c r="A364" s="4" t="s">
        <v>291</v>
      </c>
      <c r="B364" s="4" t="s">
        <v>292</v>
      </c>
      <c r="C364" s="4" t="s">
        <v>4301</v>
      </c>
      <c r="D364" s="4" t="s">
        <v>208</v>
      </c>
      <c r="E364" s="4" t="s">
        <v>4288</v>
      </c>
      <c r="F364" s="4" t="s">
        <v>3452</v>
      </c>
      <c r="G364" s="4" t="s">
        <v>4302</v>
      </c>
      <c r="H364" s="4" t="s">
        <v>4303</v>
      </c>
      <c r="I364" s="4" t="s">
        <v>1556</v>
      </c>
      <c r="J364" s="4" t="s">
        <v>296</v>
      </c>
      <c r="K364" s="4" t="s">
        <v>908</v>
      </c>
      <c r="L364" s="7" t="s">
        <v>42</v>
      </c>
      <c r="M364" s="7"/>
      <c r="N364" s="4" t="s">
        <v>3450</v>
      </c>
    </row>
    <row r="365" spans="1:14" ht="40" customHeight="1">
      <c r="A365" s="8" t="s">
        <v>291</v>
      </c>
      <c r="B365" s="8" t="s">
        <v>292</v>
      </c>
      <c r="C365" s="8" t="s">
        <v>4304</v>
      </c>
      <c r="D365" s="8" t="s">
        <v>208</v>
      </c>
      <c r="E365" s="8" t="s">
        <v>4288</v>
      </c>
      <c r="F365" s="8" t="s">
        <v>3452</v>
      </c>
      <c r="G365" s="8" t="s">
        <v>4305</v>
      </c>
      <c r="H365" s="8" t="s">
        <v>3793</v>
      </c>
      <c r="I365" s="8" t="s">
        <v>1556</v>
      </c>
      <c r="J365" s="8" t="s">
        <v>296</v>
      </c>
      <c r="K365" s="8" t="s">
        <v>908</v>
      </c>
      <c r="L365" s="7" t="s">
        <v>42</v>
      </c>
      <c r="M365" s="7"/>
      <c r="N365" s="8" t="s">
        <v>3450</v>
      </c>
    </row>
    <row r="366" spans="1:14" ht="40" customHeight="1">
      <c r="A366" s="4" t="s">
        <v>299</v>
      </c>
      <c r="B366" s="4" t="s">
        <v>300</v>
      </c>
      <c r="C366" s="4" t="s">
        <v>4306</v>
      </c>
      <c r="D366" s="4" t="s">
        <v>208</v>
      </c>
      <c r="E366" s="4" t="s">
        <v>41</v>
      </c>
      <c r="F366" s="4" t="s">
        <v>3452</v>
      </c>
      <c r="G366" s="4" t="s">
        <v>4307</v>
      </c>
      <c r="H366" s="4" t="s">
        <v>3449</v>
      </c>
      <c r="I366" s="4" t="s">
        <v>1585</v>
      </c>
      <c r="J366" s="4" t="s">
        <v>305</v>
      </c>
      <c r="K366" s="4" t="s">
        <v>908</v>
      </c>
      <c r="L366" s="7" t="s">
        <v>42</v>
      </c>
      <c r="M366" s="7"/>
      <c r="N366" s="4" t="s">
        <v>3450</v>
      </c>
    </row>
    <row r="367" spans="1:14" ht="40" customHeight="1">
      <c r="A367" s="8" t="s">
        <v>308</v>
      </c>
      <c r="B367" s="8" t="s">
        <v>309</v>
      </c>
      <c r="C367" s="8" t="s">
        <v>4308</v>
      </c>
      <c r="D367" s="8" t="s">
        <v>183</v>
      </c>
      <c r="E367" s="8" t="s">
        <v>41</v>
      </c>
      <c r="F367" s="8" t="s">
        <v>3452</v>
      </c>
      <c r="G367" s="8" t="s">
        <v>4309</v>
      </c>
      <c r="H367" s="8" t="s">
        <v>3463</v>
      </c>
      <c r="I367" s="8" t="s">
        <v>1593</v>
      </c>
      <c r="J367" s="8" t="s">
        <v>315</v>
      </c>
      <c r="K367" s="8" t="s">
        <v>908</v>
      </c>
      <c r="L367" s="7" t="s">
        <v>42</v>
      </c>
      <c r="M367" s="7"/>
      <c r="N367" s="8" t="s">
        <v>3450</v>
      </c>
    </row>
    <row r="368" spans="1:14" ht="40" customHeight="1">
      <c r="A368" s="4" t="s">
        <v>308</v>
      </c>
      <c r="B368" s="4" t="s">
        <v>309</v>
      </c>
      <c r="C368" s="4" t="s">
        <v>4310</v>
      </c>
      <c r="D368" s="4" t="s">
        <v>183</v>
      </c>
      <c r="E368" s="4" t="s">
        <v>41</v>
      </c>
      <c r="F368" s="4" t="s">
        <v>3452</v>
      </c>
      <c r="G368" s="4" t="s">
        <v>4311</v>
      </c>
      <c r="H368" s="4" t="s">
        <v>3485</v>
      </c>
      <c r="I368" s="4" t="s">
        <v>1593</v>
      </c>
      <c r="J368" s="4" t="s">
        <v>315</v>
      </c>
      <c r="K368" s="4" t="s">
        <v>908</v>
      </c>
      <c r="L368" s="7" t="s">
        <v>42</v>
      </c>
      <c r="M368" s="7"/>
      <c r="N368" s="4" t="s">
        <v>3450</v>
      </c>
    </row>
    <row r="369" spans="1:14" ht="40" customHeight="1">
      <c r="A369" s="8" t="s">
        <v>308</v>
      </c>
      <c r="B369" s="8" t="s">
        <v>309</v>
      </c>
      <c r="C369" s="8" t="s">
        <v>4312</v>
      </c>
      <c r="D369" s="8" t="s">
        <v>183</v>
      </c>
      <c r="E369" s="8" t="s">
        <v>41</v>
      </c>
      <c r="F369" s="8" t="s">
        <v>3452</v>
      </c>
      <c r="G369" s="8" t="s">
        <v>4313</v>
      </c>
      <c r="H369" s="8" t="s">
        <v>3655</v>
      </c>
      <c r="I369" s="8" t="s">
        <v>1593</v>
      </c>
      <c r="J369" s="8" t="s">
        <v>315</v>
      </c>
      <c r="K369" s="8" t="s">
        <v>908</v>
      </c>
      <c r="L369" s="7" t="s">
        <v>42</v>
      </c>
      <c r="M369" s="7"/>
      <c r="N369" s="8" t="s">
        <v>3450</v>
      </c>
    </row>
    <row r="370" spans="1:14" ht="40" customHeight="1">
      <c r="A370" s="4" t="s">
        <v>308</v>
      </c>
      <c r="B370" s="4" t="s">
        <v>309</v>
      </c>
      <c r="C370" s="4" t="s">
        <v>4314</v>
      </c>
      <c r="D370" s="4" t="s">
        <v>183</v>
      </c>
      <c r="E370" s="4" t="s">
        <v>41</v>
      </c>
      <c r="F370" s="4" t="s">
        <v>3452</v>
      </c>
      <c r="G370" s="4" t="s">
        <v>4315</v>
      </c>
      <c r="H370" s="4" t="s">
        <v>3494</v>
      </c>
      <c r="I370" s="4" t="s">
        <v>1593</v>
      </c>
      <c r="J370" s="4" t="s">
        <v>315</v>
      </c>
      <c r="K370" s="4" t="s">
        <v>908</v>
      </c>
      <c r="L370" s="7" t="s">
        <v>42</v>
      </c>
      <c r="M370" s="7"/>
      <c r="N370" s="4" t="s">
        <v>3450</v>
      </c>
    </row>
    <row r="371" spans="1:14" ht="40" customHeight="1">
      <c r="A371" s="8" t="s">
        <v>308</v>
      </c>
      <c r="B371" s="8" t="s">
        <v>309</v>
      </c>
      <c r="C371" s="8" t="s">
        <v>4316</v>
      </c>
      <c r="D371" s="8" t="s">
        <v>183</v>
      </c>
      <c r="E371" s="8" t="s">
        <v>41</v>
      </c>
      <c r="F371" s="8" t="s">
        <v>3452</v>
      </c>
      <c r="G371" s="8" t="s">
        <v>4317</v>
      </c>
      <c r="H371" s="8" t="s">
        <v>3497</v>
      </c>
      <c r="I371" s="8" t="s">
        <v>1593</v>
      </c>
      <c r="J371" s="8" t="s">
        <v>315</v>
      </c>
      <c r="K371" s="8" t="s">
        <v>908</v>
      </c>
      <c r="L371" s="7" t="s">
        <v>42</v>
      </c>
      <c r="M371" s="7"/>
      <c r="N371" s="8" t="s">
        <v>3450</v>
      </c>
    </row>
    <row r="372" spans="1:14" ht="40" customHeight="1">
      <c r="A372" s="4" t="s">
        <v>308</v>
      </c>
      <c r="B372" s="4" t="s">
        <v>309</v>
      </c>
      <c r="C372" s="4" t="s">
        <v>4318</v>
      </c>
      <c r="D372" s="4" t="s">
        <v>183</v>
      </c>
      <c r="E372" s="4" t="s">
        <v>41</v>
      </c>
      <c r="F372" s="4" t="s">
        <v>3452</v>
      </c>
      <c r="G372" s="4" t="s">
        <v>4319</v>
      </c>
      <c r="H372" s="4" t="s">
        <v>3500</v>
      </c>
      <c r="I372" s="4" t="s">
        <v>1593</v>
      </c>
      <c r="J372" s="4" t="s">
        <v>315</v>
      </c>
      <c r="K372" s="4" t="s">
        <v>908</v>
      </c>
      <c r="L372" s="7" t="s">
        <v>42</v>
      </c>
      <c r="M372" s="7"/>
      <c r="N372" s="4" t="s">
        <v>3450</v>
      </c>
    </row>
    <row r="373" spans="1:14" ht="54" customHeight="1">
      <c r="A373" s="8" t="s">
        <v>318</v>
      </c>
      <c r="B373" s="8" t="s">
        <v>319</v>
      </c>
      <c r="C373" s="8" t="s">
        <v>4320</v>
      </c>
      <c r="D373" s="8" t="s">
        <v>183</v>
      </c>
      <c r="E373" s="8" t="s">
        <v>41</v>
      </c>
      <c r="F373" s="8" t="s">
        <v>3452</v>
      </c>
      <c r="G373" s="8" t="s">
        <v>4321</v>
      </c>
      <c r="H373" s="8" t="s">
        <v>3463</v>
      </c>
      <c r="I373" s="8" t="s">
        <v>1598</v>
      </c>
      <c r="J373" s="8" t="s">
        <v>323</v>
      </c>
      <c r="K373" s="8" t="s">
        <v>908</v>
      </c>
      <c r="L373" s="7" t="s">
        <v>42</v>
      </c>
      <c r="M373" s="7"/>
      <c r="N373" s="8" t="s">
        <v>3450</v>
      </c>
    </row>
    <row r="374" spans="1:14" ht="54" customHeight="1">
      <c r="A374" s="4" t="s">
        <v>318</v>
      </c>
      <c r="B374" s="4" t="s">
        <v>319</v>
      </c>
      <c r="C374" s="4" t="s">
        <v>4322</v>
      </c>
      <c r="D374" s="4" t="s">
        <v>183</v>
      </c>
      <c r="E374" s="4" t="s">
        <v>41</v>
      </c>
      <c r="F374" s="4" t="s">
        <v>3452</v>
      </c>
      <c r="G374" s="4" t="s">
        <v>4323</v>
      </c>
      <c r="H374" s="4" t="s">
        <v>3454</v>
      </c>
      <c r="I374" s="4" t="s">
        <v>1598</v>
      </c>
      <c r="J374" s="4" t="s">
        <v>323</v>
      </c>
      <c r="K374" s="4" t="s">
        <v>908</v>
      </c>
      <c r="L374" s="7" t="s">
        <v>42</v>
      </c>
      <c r="M374" s="7"/>
      <c r="N374" s="4" t="s">
        <v>3450</v>
      </c>
    </row>
    <row r="375" spans="1:14" ht="54" customHeight="1">
      <c r="A375" s="8" t="s">
        <v>318</v>
      </c>
      <c r="B375" s="8" t="s">
        <v>319</v>
      </c>
      <c r="C375" s="8" t="s">
        <v>4324</v>
      </c>
      <c r="D375" s="8" t="s">
        <v>183</v>
      </c>
      <c r="E375" s="8" t="s">
        <v>41</v>
      </c>
      <c r="F375" s="8" t="s">
        <v>3452</v>
      </c>
      <c r="G375" s="8" t="s">
        <v>4325</v>
      </c>
      <c r="H375" s="8" t="s">
        <v>3519</v>
      </c>
      <c r="I375" s="8" t="s">
        <v>1598</v>
      </c>
      <c r="J375" s="8" t="s">
        <v>323</v>
      </c>
      <c r="K375" s="8" t="s">
        <v>908</v>
      </c>
      <c r="L375" s="7" t="s">
        <v>42</v>
      </c>
      <c r="M375" s="7"/>
      <c r="N375" s="8" t="s">
        <v>3450</v>
      </c>
    </row>
    <row r="376" spans="1:14" ht="54" customHeight="1">
      <c r="A376" s="4" t="s">
        <v>318</v>
      </c>
      <c r="B376" s="4" t="s">
        <v>319</v>
      </c>
      <c r="C376" s="4" t="s">
        <v>4326</v>
      </c>
      <c r="D376" s="4" t="s">
        <v>183</v>
      </c>
      <c r="E376" s="4" t="s">
        <v>41</v>
      </c>
      <c r="F376" s="4" t="s">
        <v>3452</v>
      </c>
      <c r="G376" s="4" t="s">
        <v>4327</v>
      </c>
      <c r="H376" s="4" t="s">
        <v>3457</v>
      </c>
      <c r="I376" s="4" t="s">
        <v>1598</v>
      </c>
      <c r="J376" s="4" t="s">
        <v>323</v>
      </c>
      <c r="K376" s="4" t="s">
        <v>908</v>
      </c>
      <c r="L376" s="7" t="s">
        <v>42</v>
      </c>
      <c r="M376" s="7"/>
      <c r="N376" s="4" t="s">
        <v>3450</v>
      </c>
    </row>
    <row r="377" spans="1:14" ht="54" customHeight="1">
      <c r="A377" s="8" t="s">
        <v>318</v>
      </c>
      <c r="B377" s="8" t="s">
        <v>319</v>
      </c>
      <c r="C377" s="8" t="s">
        <v>4328</v>
      </c>
      <c r="D377" s="8" t="s">
        <v>183</v>
      </c>
      <c r="E377" s="8" t="s">
        <v>41</v>
      </c>
      <c r="F377" s="8" t="s">
        <v>3452</v>
      </c>
      <c r="G377" s="8" t="s">
        <v>4329</v>
      </c>
      <c r="H377" s="8" t="s">
        <v>3530</v>
      </c>
      <c r="I377" s="8" t="s">
        <v>1598</v>
      </c>
      <c r="J377" s="8" t="s">
        <v>323</v>
      </c>
      <c r="K377" s="8" t="s">
        <v>908</v>
      </c>
      <c r="L377" s="7" t="s">
        <v>42</v>
      </c>
      <c r="M377" s="7"/>
      <c r="N377" s="8" t="s">
        <v>3450</v>
      </c>
    </row>
    <row r="378" spans="1:14" ht="54" customHeight="1">
      <c r="A378" s="4" t="s">
        <v>318</v>
      </c>
      <c r="B378" s="4" t="s">
        <v>319</v>
      </c>
      <c r="C378" s="4" t="s">
        <v>4330</v>
      </c>
      <c r="D378" s="4" t="s">
        <v>183</v>
      </c>
      <c r="E378" s="4" t="s">
        <v>41</v>
      </c>
      <c r="F378" s="4" t="s">
        <v>3452</v>
      </c>
      <c r="G378" s="4" t="s">
        <v>4331</v>
      </c>
      <c r="H378" s="4" t="s">
        <v>4011</v>
      </c>
      <c r="I378" s="4" t="s">
        <v>1598</v>
      </c>
      <c r="J378" s="4" t="s">
        <v>323</v>
      </c>
      <c r="K378" s="4" t="s">
        <v>908</v>
      </c>
      <c r="L378" s="7" t="s">
        <v>42</v>
      </c>
      <c r="M378" s="7"/>
      <c r="N378" s="4" t="s">
        <v>3450</v>
      </c>
    </row>
    <row r="379" spans="1:14" ht="54" customHeight="1">
      <c r="A379" s="8" t="s">
        <v>318</v>
      </c>
      <c r="B379" s="8" t="s">
        <v>319</v>
      </c>
      <c r="C379" s="8" t="s">
        <v>4332</v>
      </c>
      <c r="D379" s="8" t="s">
        <v>183</v>
      </c>
      <c r="E379" s="8" t="s">
        <v>41</v>
      </c>
      <c r="F379" s="8" t="s">
        <v>3452</v>
      </c>
      <c r="G379" s="8" t="s">
        <v>4333</v>
      </c>
      <c r="H379" s="8" t="s">
        <v>3538</v>
      </c>
      <c r="I379" s="8" t="s">
        <v>1598</v>
      </c>
      <c r="J379" s="8" t="s">
        <v>323</v>
      </c>
      <c r="K379" s="8" t="s">
        <v>908</v>
      </c>
      <c r="L379" s="7" t="s">
        <v>42</v>
      </c>
      <c r="M379" s="7"/>
      <c r="N379" s="8" t="s">
        <v>3450</v>
      </c>
    </row>
    <row r="380" spans="1:14" ht="68" customHeight="1">
      <c r="A380" s="4" t="s">
        <v>318</v>
      </c>
      <c r="B380" s="4" t="s">
        <v>319</v>
      </c>
      <c r="C380" s="4" t="s">
        <v>4334</v>
      </c>
      <c r="D380" s="4" t="s">
        <v>183</v>
      </c>
      <c r="E380" s="4" t="s">
        <v>41</v>
      </c>
      <c r="F380" s="4" t="s">
        <v>3452</v>
      </c>
      <c r="G380" s="4" t="s">
        <v>4335</v>
      </c>
      <c r="H380" s="4" t="s">
        <v>3541</v>
      </c>
      <c r="I380" s="4" t="s">
        <v>1598</v>
      </c>
      <c r="J380" s="4" t="s">
        <v>323</v>
      </c>
      <c r="K380" s="4" t="s">
        <v>908</v>
      </c>
      <c r="L380" s="7" t="s">
        <v>42</v>
      </c>
      <c r="M380" s="7"/>
      <c r="N380" s="4" t="s">
        <v>3450</v>
      </c>
    </row>
    <row r="381" spans="1:14" ht="54" customHeight="1">
      <c r="A381" s="8" t="s">
        <v>318</v>
      </c>
      <c r="B381" s="8" t="s">
        <v>319</v>
      </c>
      <c r="C381" s="8" t="s">
        <v>4336</v>
      </c>
      <c r="D381" s="8" t="s">
        <v>183</v>
      </c>
      <c r="E381" s="8" t="s">
        <v>41</v>
      </c>
      <c r="F381" s="8" t="s">
        <v>3452</v>
      </c>
      <c r="G381" s="8" t="s">
        <v>4337</v>
      </c>
      <c r="H381" s="8" t="s">
        <v>4338</v>
      </c>
      <c r="I381" s="8" t="s">
        <v>1598</v>
      </c>
      <c r="J381" s="8" t="s">
        <v>323</v>
      </c>
      <c r="K381" s="8" t="s">
        <v>908</v>
      </c>
      <c r="L381" s="7" t="s">
        <v>42</v>
      </c>
      <c r="M381" s="7"/>
      <c r="N381" s="8" t="s">
        <v>3450</v>
      </c>
    </row>
    <row r="382" spans="1:14" ht="82" customHeight="1">
      <c r="A382" s="4" t="s">
        <v>318</v>
      </c>
      <c r="B382" s="4" t="s">
        <v>319</v>
      </c>
      <c r="C382" s="4" t="s">
        <v>4339</v>
      </c>
      <c r="D382" s="4" t="s">
        <v>183</v>
      </c>
      <c r="E382" s="4" t="s">
        <v>41</v>
      </c>
      <c r="F382" s="4" t="s">
        <v>3452</v>
      </c>
      <c r="G382" s="4" t="s">
        <v>4340</v>
      </c>
      <c r="H382" s="4" t="s">
        <v>3912</v>
      </c>
      <c r="I382" s="4" t="s">
        <v>1598</v>
      </c>
      <c r="J382" s="4" t="s">
        <v>323</v>
      </c>
      <c r="K382" s="4" t="s">
        <v>908</v>
      </c>
      <c r="L382" s="7" t="s">
        <v>42</v>
      </c>
      <c r="M382" s="7"/>
      <c r="N382" s="4" t="s">
        <v>3450</v>
      </c>
    </row>
    <row r="383" spans="1:14" ht="54" customHeight="1">
      <c r="A383" s="8" t="s">
        <v>318</v>
      </c>
      <c r="B383" s="8" t="s">
        <v>319</v>
      </c>
      <c r="C383" s="8" t="s">
        <v>4341</v>
      </c>
      <c r="D383" s="8" t="s">
        <v>183</v>
      </c>
      <c r="E383" s="8" t="s">
        <v>41</v>
      </c>
      <c r="F383" s="8" t="s">
        <v>3452</v>
      </c>
      <c r="G383" s="8" t="s">
        <v>4342</v>
      </c>
      <c r="H383" s="8" t="s">
        <v>3915</v>
      </c>
      <c r="I383" s="8" t="s">
        <v>1598</v>
      </c>
      <c r="J383" s="8" t="s">
        <v>323</v>
      </c>
      <c r="K383" s="8" t="s">
        <v>908</v>
      </c>
      <c r="L383" s="7" t="s">
        <v>42</v>
      </c>
      <c r="M383" s="7"/>
      <c r="N383" s="8" t="s">
        <v>3450</v>
      </c>
    </row>
    <row r="384" spans="1:14" ht="54" customHeight="1">
      <c r="A384" s="4" t="s">
        <v>318</v>
      </c>
      <c r="B384" s="4" t="s">
        <v>319</v>
      </c>
      <c r="C384" s="4" t="s">
        <v>4343</v>
      </c>
      <c r="D384" s="4" t="s">
        <v>183</v>
      </c>
      <c r="E384" s="4" t="s">
        <v>41</v>
      </c>
      <c r="F384" s="4" t="s">
        <v>3452</v>
      </c>
      <c r="G384" s="4" t="s">
        <v>4344</v>
      </c>
      <c r="H384" s="4" t="s">
        <v>3576</v>
      </c>
      <c r="I384" s="4" t="s">
        <v>1598</v>
      </c>
      <c r="J384" s="4" t="s">
        <v>323</v>
      </c>
      <c r="K384" s="4" t="s">
        <v>908</v>
      </c>
      <c r="L384" s="7" t="s">
        <v>42</v>
      </c>
      <c r="M384" s="7"/>
      <c r="N384" s="4" t="s">
        <v>3450</v>
      </c>
    </row>
    <row r="385" spans="1:14" ht="54" customHeight="1">
      <c r="A385" s="8" t="s">
        <v>318</v>
      </c>
      <c r="B385" s="8" t="s">
        <v>319</v>
      </c>
      <c r="C385" s="8" t="s">
        <v>4345</v>
      </c>
      <c r="D385" s="8" t="s">
        <v>183</v>
      </c>
      <c r="E385" s="8" t="s">
        <v>41</v>
      </c>
      <c r="F385" s="8" t="s">
        <v>3452</v>
      </c>
      <c r="G385" s="8" t="s">
        <v>4346</v>
      </c>
      <c r="H385" s="8" t="s">
        <v>4347</v>
      </c>
      <c r="I385" s="8" t="s">
        <v>1598</v>
      </c>
      <c r="J385" s="8" t="s">
        <v>323</v>
      </c>
      <c r="K385" s="8" t="s">
        <v>908</v>
      </c>
      <c r="L385" s="7" t="s">
        <v>42</v>
      </c>
      <c r="M385" s="7"/>
      <c r="N385" s="8" t="s">
        <v>3450</v>
      </c>
    </row>
    <row r="386" spans="1:14" ht="68" customHeight="1">
      <c r="A386" s="4" t="s">
        <v>318</v>
      </c>
      <c r="B386" s="4" t="s">
        <v>319</v>
      </c>
      <c r="C386" s="4" t="s">
        <v>4348</v>
      </c>
      <c r="D386" s="4" t="s">
        <v>183</v>
      </c>
      <c r="E386" s="4" t="s">
        <v>41</v>
      </c>
      <c r="F386" s="4" t="s">
        <v>3452</v>
      </c>
      <c r="G386" s="4" t="s">
        <v>4349</v>
      </c>
      <c r="H386" s="4" t="s">
        <v>3582</v>
      </c>
      <c r="I386" s="4" t="s">
        <v>1598</v>
      </c>
      <c r="J386" s="4" t="s">
        <v>323</v>
      </c>
      <c r="K386" s="4" t="s">
        <v>908</v>
      </c>
      <c r="L386" s="7" t="s">
        <v>42</v>
      </c>
      <c r="M386" s="7"/>
      <c r="N386" s="4" t="s">
        <v>3450</v>
      </c>
    </row>
    <row r="387" spans="1:14" ht="68" customHeight="1">
      <c r="A387" s="8" t="s">
        <v>326</v>
      </c>
      <c r="B387" s="8" t="s">
        <v>327</v>
      </c>
      <c r="C387" s="8" t="s">
        <v>4350</v>
      </c>
      <c r="D387" s="8" t="s">
        <v>208</v>
      </c>
      <c r="E387" s="8" t="s">
        <v>41</v>
      </c>
      <c r="F387" s="8" t="s">
        <v>3452</v>
      </c>
      <c r="G387" s="8" t="s">
        <v>4351</v>
      </c>
      <c r="H387" s="8" t="s">
        <v>3449</v>
      </c>
      <c r="I387" s="8" t="s">
        <v>1701</v>
      </c>
      <c r="J387" s="8" t="s">
        <v>332</v>
      </c>
      <c r="K387" s="8" t="s">
        <v>908</v>
      </c>
      <c r="L387" s="7" t="s">
        <v>42</v>
      </c>
      <c r="M387" s="7"/>
      <c r="N387" s="8" t="s">
        <v>3450</v>
      </c>
    </row>
    <row r="388" spans="1:14" ht="68" customHeight="1">
      <c r="A388" s="4" t="s">
        <v>326</v>
      </c>
      <c r="B388" s="4" t="s">
        <v>327</v>
      </c>
      <c r="C388" s="4" t="s">
        <v>4352</v>
      </c>
      <c r="D388" s="4" t="s">
        <v>208</v>
      </c>
      <c r="E388" s="4" t="s">
        <v>41</v>
      </c>
      <c r="F388" s="4" t="s">
        <v>3452</v>
      </c>
      <c r="G388" s="4" t="s">
        <v>4353</v>
      </c>
      <c r="H388" s="4" t="s">
        <v>3466</v>
      </c>
      <c r="I388" s="4" t="s">
        <v>1701</v>
      </c>
      <c r="J388" s="4" t="s">
        <v>332</v>
      </c>
      <c r="K388" s="4" t="s">
        <v>908</v>
      </c>
      <c r="L388" s="7" t="s">
        <v>42</v>
      </c>
      <c r="M388" s="7"/>
      <c r="N388" s="4" t="s">
        <v>3450</v>
      </c>
    </row>
    <row r="389" spans="1:14" ht="68" customHeight="1">
      <c r="A389" s="8" t="s">
        <v>326</v>
      </c>
      <c r="B389" s="8" t="s">
        <v>327</v>
      </c>
      <c r="C389" s="8" t="s">
        <v>4354</v>
      </c>
      <c r="D389" s="8" t="s">
        <v>208</v>
      </c>
      <c r="E389" s="8" t="s">
        <v>41</v>
      </c>
      <c r="F389" s="8" t="s">
        <v>3452</v>
      </c>
      <c r="G389" s="8" t="s">
        <v>4355</v>
      </c>
      <c r="H389" s="8" t="s">
        <v>3469</v>
      </c>
      <c r="I389" s="8" t="s">
        <v>1701</v>
      </c>
      <c r="J389" s="8" t="s">
        <v>332</v>
      </c>
      <c r="K389" s="8" t="s">
        <v>908</v>
      </c>
      <c r="L389" s="7" t="s">
        <v>42</v>
      </c>
      <c r="M389" s="7"/>
      <c r="N389" s="8" t="s">
        <v>3450</v>
      </c>
    </row>
    <row r="390" spans="1:14" ht="40" customHeight="1">
      <c r="A390" s="4" t="s">
        <v>326</v>
      </c>
      <c r="B390" s="4" t="s">
        <v>327</v>
      </c>
      <c r="C390" s="4" t="s">
        <v>4356</v>
      </c>
      <c r="D390" s="4" t="s">
        <v>208</v>
      </c>
      <c r="E390" s="4" t="s">
        <v>41</v>
      </c>
      <c r="F390" s="4" t="s">
        <v>3452</v>
      </c>
      <c r="G390" s="4" t="s">
        <v>4357</v>
      </c>
      <c r="H390" s="4" t="s">
        <v>3538</v>
      </c>
      <c r="I390" s="4" t="s">
        <v>1701</v>
      </c>
      <c r="J390" s="4" t="s">
        <v>332</v>
      </c>
      <c r="K390" s="4" t="s">
        <v>908</v>
      </c>
      <c r="L390" s="7" t="s">
        <v>42</v>
      </c>
      <c r="M390" s="7"/>
      <c r="N390" s="4" t="s">
        <v>3450</v>
      </c>
    </row>
    <row r="391" spans="1:14" ht="40" customHeight="1">
      <c r="A391" s="8" t="s">
        <v>326</v>
      </c>
      <c r="B391" s="8" t="s">
        <v>327</v>
      </c>
      <c r="C391" s="8" t="s">
        <v>4358</v>
      </c>
      <c r="D391" s="8" t="s">
        <v>208</v>
      </c>
      <c r="E391" s="8" t="s">
        <v>41</v>
      </c>
      <c r="F391" s="8" t="s">
        <v>3452</v>
      </c>
      <c r="G391" s="8" t="s">
        <v>4359</v>
      </c>
      <c r="H391" s="8" t="s">
        <v>3541</v>
      </c>
      <c r="I391" s="8" t="s">
        <v>1701</v>
      </c>
      <c r="J391" s="8" t="s">
        <v>332</v>
      </c>
      <c r="K391" s="8" t="s">
        <v>908</v>
      </c>
      <c r="L391" s="7" t="s">
        <v>42</v>
      </c>
      <c r="M391" s="7"/>
      <c r="N391" s="8" t="s">
        <v>3450</v>
      </c>
    </row>
    <row r="392" spans="1:14" ht="40" customHeight="1">
      <c r="A392" s="4" t="s">
        <v>326</v>
      </c>
      <c r="B392" s="4" t="s">
        <v>327</v>
      </c>
      <c r="C392" s="4" t="s">
        <v>4360</v>
      </c>
      <c r="D392" s="4" t="s">
        <v>208</v>
      </c>
      <c r="E392" s="4" t="s">
        <v>41</v>
      </c>
      <c r="F392" s="4" t="s">
        <v>3452</v>
      </c>
      <c r="G392" s="4" t="s">
        <v>4361</v>
      </c>
      <c r="H392" s="4" t="s">
        <v>4338</v>
      </c>
      <c r="I392" s="4" t="s">
        <v>1701</v>
      </c>
      <c r="J392" s="4" t="s">
        <v>332</v>
      </c>
      <c r="K392" s="4" t="s">
        <v>908</v>
      </c>
      <c r="L392" s="7" t="s">
        <v>42</v>
      </c>
      <c r="M392" s="7"/>
      <c r="N392" s="4" t="s">
        <v>3450</v>
      </c>
    </row>
    <row r="393" spans="1:14" ht="40" customHeight="1">
      <c r="A393" s="8" t="s">
        <v>335</v>
      </c>
      <c r="B393" s="8" t="s">
        <v>336</v>
      </c>
      <c r="C393" s="8" t="s">
        <v>4362</v>
      </c>
      <c r="D393" s="8" t="s">
        <v>208</v>
      </c>
      <c r="E393" s="8" t="s">
        <v>41</v>
      </c>
      <c r="F393" s="8" t="s">
        <v>3452</v>
      </c>
      <c r="G393" s="8" t="s">
        <v>4363</v>
      </c>
      <c r="H393" s="8" t="s">
        <v>3449</v>
      </c>
      <c r="I393" s="8" t="s">
        <v>1724</v>
      </c>
      <c r="J393" s="8" t="s">
        <v>341</v>
      </c>
      <c r="K393" s="8" t="s">
        <v>908</v>
      </c>
      <c r="L393" s="7" t="s">
        <v>42</v>
      </c>
      <c r="M393" s="7"/>
      <c r="N393" s="8" t="s">
        <v>3450</v>
      </c>
    </row>
    <row r="394" spans="1:14" ht="68" customHeight="1">
      <c r="A394" s="4" t="s">
        <v>335</v>
      </c>
      <c r="B394" s="4" t="s">
        <v>336</v>
      </c>
      <c r="C394" s="4" t="s">
        <v>4364</v>
      </c>
      <c r="D394" s="4" t="s">
        <v>208</v>
      </c>
      <c r="E394" s="4" t="s">
        <v>41</v>
      </c>
      <c r="F394" s="4" t="s">
        <v>3452</v>
      </c>
      <c r="G394" s="4" t="s">
        <v>4365</v>
      </c>
      <c r="H394" s="4" t="s">
        <v>3466</v>
      </c>
      <c r="I394" s="4" t="s">
        <v>1724</v>
      </c>
      <c r="J394" s="4" t="s">
        <v>341</v>
      </c>
      <c r="K394" s="4" t="s">
        <v>908</v>
      </c>
      <c r="L394" s="7" t="s">
        <v>42</v>
      </c>
      <c r="M394" s="7"/>
      <c r="N394" s="4" t="s">
        <v>3450</v>
      </c>
    </row>
    <row r="395" spans="1:14" ht="40" customHeight="1">
      <c r="A395" s="8" t="s">
        <v>344</v>
      </c>
      <c r="B395" s="8" t="s">
        <v>345</v>
      </c>
      <c r="C395" s="8" t="s">
        <v>4366</v>
      </c>
      <c r="D395" s="8" t="s">
        <v>183</v>
      </c>
      <c r="E395" s="8" t="s">
        <v>41</v>
      </c>
      <c r="F395" s="8" t="s">
        <v>3452</v>
      </c>
      <c r="G395" s="8" t="s">
        <v>3590</v>
      </c>
      <c r="H395" s="8" t="s">
        <v>3463</v>
      </c>
      <c r="I395" s="8" t="s">
        <v>1729</v>
      </c>
      <c r="J395" s="8" t="s">
        <v>350</v>
      </c>
      <c r="K395" s="8" t="s">
        <v>908</v>
      </c>
      <c r="L395" s="7" t="s">
        <v>42</v>
      </c>
      <c r="M395" s="7"/>
      <c r="N395" s="8" t="s">
        <v>3450</v>
      </c>
    </row>
    <row r="396" spans="1:14" ht="40" customHeight="1">
      <c r="A396" s="4" t="s">
        <v>344</v>
      </c>
      <c r="B396" s="4" t="s">
        <v>345</v>
      </c>
      <c r="C396" s="4" t="s">
        <v>4367</v>
      </c>
      <c r="D396" s="4" t="s">
        <v>183</v>
      </c>
      <c r="E396" s="4" t="s">
        <v>41</v>
      </c>
      <c r="F396" s="4" t="s">
        <v>3452</v>
      </c>
      <c r="G396" s="4" t="s">
        <v>4368</v>
      </c>
      <c r="H396" s="4" t="s">
        <v>3454</v>
      </c>
      <c r="I396" s="4" t="s">
        <v>1729</v>
      </c>
      <c r="J396" s="4" t="s">
        <v>350</v>
      </c>
      <c r="K396" s="4" t="s">
        <v>908</v>
      </c>
      <c r="L396" s="7" t="s">
        <v>42</v>
      </c>
      <c r="M396" s="7"/>
      <c r="N396" s="4" t="s">
        <v>3450</v>
      </c>
    </row>
    <row r="397" spans="1:14" ht="54" customHeight="1">
      <c r="A397" s="8" t="s">
        <v>344</v>
      </c>
      <c r="B397" s="8" t="s">
        <v>345</v>
      </c>
      <c r="C397" s="8" t="s">
        <v>4369</v>
      </c>
      <c r="D397" s="8" t="s">
        <v>183</v>
      </c>
      <c r="E397" s="8" t="s">
        <v>41</v>
      </c>
      <c r="F397" s="8" t="s">
        <v>3452</v>
      </c>
      <c r="G397" s="8" t="s">
        <v>4370</v>
      </c>
      <c r="H397" s="8" t="s">
        <v>3519</v>
      </c>
      <c r="I397" s="8" t="s">
        <v>1729</v>
      </c>
      <c r="J397" s="8" t="s">
        <v>350</v>
      </c>
      <c r="K397" s="8" t="s">
        <v>908</v>
      </c>
      <c r="L397" s="7" t="s">
        <v>42</v>
      </c>
      <c r="M397" s="7"/>
      <c r="N397" s="8" t="s">
        <v>3450</v>
      </c>
    </row>
    <row r="398" spans="1:14" ht="40" customHeight="1">
      <c r="A398" s="4" t="s">
        <v>344</v>
      </c>
      <c r="B398" s="4" t="s">
        <v>345</v>
      </c>
      <c r="C398" s="4" t="s">
        <v>4371</v>
      </c>
      <c r="D398" s="4" t="s">
        <v>183</v>
      </c>
      <c r="E398" s="4" t="s">
        <v>41</v>
      </c>
      <c r="F398" s="4" t="s">
        <v>3452</v>
      </c>
      <c r="G398" s="4" t="s">
        <v>4372</v>
      </c>
      <c r="H398" s="4" t="s">
        <v>3522</v>
      </c>
      <c r="I398" s="4" t="s">
        <v>1729</v>
      </c>
      <c r="J398" s="4" t="s">
        <v>350</v>
      </c>
      <c r="K398" s="4" t="s">
        <v>908</v>
      </c>
      <c r="L398" s="7" t="s">
        <v>42</v>
      </c>
      <c r="M398" s="7"/>
      <c r="N398" s="4" t="s">
        <v>3450</v>
      </c>
    </row>
    <row r="399" spans="1:14" ht="54" customHeight="1">
      <c r="A399" s="8" t="s">
        <v>344</v>
      </c>
      <c r="B399" s="8" t="s">
        <v>345</v>
      </c>
      <c r="C399" s="8" t="s">
        <v>4373</v>
      </c>
      <c r="D399" s="8" t="s">
        <v>183</v>
      </c>
      <c r="E399" s="8" t="s">
        <v>41</v>
      </c>
      <c r="F399" s="8" t="s">
        <v>3452</v>
      </c>
      <c r="G399" s="8" t="s">
        <v>4374</v>
      </c>
      <c r="H399" s="8" t="s">
        <v>3525</v>
      </c>
      <c r="I399" s="8" t="s">
        <v>1729</v>
      </c>
      <c r="J399" s="8" t="s">
        <v>350</v>
      </c>
      <c r="K399" s="8" t="s">
        <v>908</v>
      </c>
      <c r="L399" s="7" t="s">
        <v>42</v>
      </c>
      <c r="M399" s="7"/>
      <c r="N399" s="8" t="s">
        <v>3450</v>
      </c>
    </row>
    <row r="400" spans="1:14" ht="68" customHeight="1">
      <c r="A400" s="4" t="s">
        <v>344</v>
      </c>
      <c r="B400" s="4" t="s">
        <v>345</v>
      </c>
      <c r="C400" s="4" t="s">
        <v>4375</v>
      </c>
      <c r="D400" s="4" t="s">
        <v>183</v>
      </c>
      <c r="E400" s="4" t="s">
        <v>41</v>
      </c>
      <c r="F400" s="4" t="s">
        <v>3452</v>
      </c>
      <c r="G400" s="4" t="s">
        <v>4376</v>
      </c>
      <c r="H400" s="4" t="s">
        <v>4377</v>
      </c>
      <c r="I400" s="4" t="s">
        <v>1729</v>
      </c>
      <c r="J400" s="4" t="s">
        <v>350</v>
      </c>
      <c r="K400" s="4" t="s">
        <v>908</v>
      </c>
      <c r="L400" s="7" t="s">
        <v>42</v>
      </c>
      <c r="M400" s="7"/>
      <c r="N400" s="4" t="s">
        <v>3450</v>
      </c>
    </row>
    <row r="401" spans="1:14" ht="68" customHeight="1">
      <c r="A401" s="8" t="s">
        <v>344</v>
      </c>
      <c r="B401" s="8" t="s">
        <v>345</v>
      </c>
      <c r="C401" s="8" t="s">
        <v>4378</v>
      </c>
      <c r="D401" s="8" t="s">
        <v>183</v>
      </c>
      <c r="E401" s="8" t="s">
        <v>41</v>
      </c>
      <c r="F401" s="8" t="s">
        <v>3452</v>
      </c>
      <c r="G401" s="8" t="s">
        <v>4379</v>
      </c>
      <c r="H401" s="8" t="s">
        <v>4380</v>
      </c>
      <c r="I401" s="8" t="s">
        <v>1729</v>
      </c>
      <c r="J401" s="8" t="s">
        <v>350</v>
      </c>
      <c r="K401" s="8" t="s">
        <v>908</v>
      </c>
      <c r="L401" s="7" t="s">
        <v>42</v>
      </c>
      <c r="M401" s="7"/>
      <c r="N401" s="8" t="s">
        <v>3450</v>
      </c>
    </row>
    <row r="402" spans="1:14" ht="40" customHeight="1">
      <c r="A402" s="4" t="s">
        <v>344</v>
      </c>
      <c r="B402" s="4" t="s">
        <v>345</v>
      </c>
      <c r="C402" s="4" t="s">
        <v>4381</v>
      </c>
      <c r="D402" s="4" t="s">
        <v>183</v>
      </c>
      <c r="E402" s="4" t="s">
        <v>41</v>
      </c>
      <c r="F402" s="4" t="s">
        <v>3452</v>
      </c>
      <c r="G402" s="4" t="s">
        <v>4382</v>
      </c>
      <c r="H402" s="4" t="s">
        <v>4383</v>
      </c>
      <c r="I402" s="4" t="s">
        <v>1729</v>
      </c>
      <c r="J402" s="4" t="s">
        <v>350</v>
      </c>
      <c r="K402" s="4" t="s">
        <v>908</v>
      </c>
      <c r="L402" s="7" t="s">
        <v>42</v>
      </c>
      <c r="M402" s="7"/>
      <c r="N402" s="4" t="s">
        <v>3450</v>
      </c>
    </row>
    <row r="403" spans="1:14" ht="68" customHeight="1">
      <c r="A403" s="8" t="s">
        <v>344</v>
      </c>
      <c r="B403" s="8" t="s">
        <v>345</v>
      </c>
      <c r="C403" s="8" t="s">
        <v>4384</v>
      </c>
      <c r="D403" s="8" t="s">
        <v>183</v>
      </c>
      <c r="E403" s="8" t="s">
        <v>41</v>
      </c>
      <c r="F403" s="8" t="s">
        <v>3452</v>
      </c>
      <c r="G403" s="8" t="s">
        <v>4385</v>
      </c>
      <c r="H403" s="8" t="s">
        <v>4386</v>
      </c>
      <c r="I403" s="8" t="s">
        <v>1729</v>
      </c>
      <c r="J403" s="8" t="s">
        <v>350</v>
      </c>
      <c r="K403" s="8" t="s">
        <v>908</v>
      </c>
      <c r="L403" s="7" t="s">
        <v>42</v>
      </c>
      <c r="M403" s="7"/>
      <c r="N403" s="8" t="s">
        <v>3450</v>
      </c>
    </row>
    <row r="404" spans="1:14" ht="40" customHeight="1">
      <c r="A404" s="4" t="s">
        <v>344</v>
      </c>
      <c r="B404" s="4" t="s">
        <v>345</v>
      </c>
      <c r="C404" s="4" t="s">
        <v>4387</v>
      </c>
      <c r="D404" s="4" t="s">
        <v>183</v>
      </c>
      <c r="E404" s="4" t="s">
        <v>41</v>
      </c>
      <c r="F404" s="4" t="s">
        <v>3452</v>
      </c>
      <c r="G404" s="4" t="s">
        <v>4388</v>
      </c>
      <c r="H404" s="4" t="s">
        <v>4389</v>
      </c>
      <c r="I404" s="4" t="s">
        <v>1729</v>
      </c>
      <c r="J404" s="4" t="s">
        <v>350</v>
      </c>
      <c r="K404" s="4" t="s">
        <v>908</v>
      </c>
      <c r="L404" s="7" t="s">
        <v>42</v>
      </c>
      <c r="M404" s="7"/>
      <c r="N404" s="4" t="s">
        <v>3450</v>
      </c>
    </row>
    <row r="405" spans="1:14" ht="40" customHeight="1">
      <c r="A405" s="8" t="s">
        <v>344</v>
      </c>
      <c r="B405" s="8" t="s">
        <v>345</v>
      </c>
      <c r="C405" s="8" t="s">
        <v>4390</v>
      </c>
      <c r="D405" s="8" t="s">
        <v>183</v>
      </c>
      <c r="E405" s="8" t="s">
        <v>41</v>
      </c>
      <c r="F405" s="8" t="s">
        <v>3452</v>
      </c>
      <c r="G405" s="8" t="s">
        <v>4391</v>
      </c>
      <c r="H405" s="8" t="s">
        <v>4392</v>
      </c>
      <c r="I405" s="8" t="s">
        <v>1729</v>
      </c>
      <c r="J405" s="8" t="s">
        <v>350</v>
      </c>
      <c r="K405" s="8" t="s">
        <v>908</v>
      </c>
      <c r="L405" s="7" t="s">
        <v>42</v>
      </c>
      <c r="M405" s="7"/>
      <c r="N405" s="8" t="s">
        <v>3450</v>
      </c>
    </row>
    <row r="406" spans="1:14" ht="54" customHeight="1">
      <c r="A406" s="4" t="s">
        <v>344</v>
      </c>
      <c r="B406" s="4" t="s">
        <v>345</v>
      </c>
      <c r="C406" s="4" t="s">
        <v>4393</v>
      </c>
      <c r="D406" s="4" t="s">
        <v>183</v>
      </c>
      <c r="E406" s="4" t="s">
        <v>41</v>
      </c>
      <c r="F406" s="4" t="s">
        <v>3452</v>
      </c>
      <c r="G406" s="4" t="s">
        <v>4394</v>
      </c>
      <c r="H406" s="4" t="s">
        <v>4395</v>
      </c>
      <c r="I406" s="4" t="s">
        <v>1729</v>
      </c>
      <c r="J406" s="4" t="s">
        <v>350</v>
      </c>
      <c r="K406" s="4" t="s">
        <v>908</v>
      </c>
      <c r="L406" s="7" t="s">
        <v>42</v>
      </c>
      <c r="M406" s="7"/>
      <c r="N406" s="4" t="s">
        <v>3450</v>
      </c>
    </row>
    <row r="407" spans="1:14" ht="40" customHeight="1">
      <c r="A407" s="8" t="s">
        <v>344</v>
      </c>
      <c r="B407" s="8" t="s">
        <v>345</v>
      </c>
      <c r="C407" s="8" t="s">
        <v>4396</v>
      </c>
      <c r="D407" s="8" t="s">
        <v>183</v>
      </c>
      <c r="E407" s="8" t="s">
        <v>41</v>
      </c>
      <c r="F407" s="8" t="s">
        <v>3452</v>
      </c>
      <c r="G407" s="8" t="s">
        <v>4397</v>
      </c>
      <c r="H407" s="8" t="s">
        <v>4398</v>
      </c>
      <c r="I407" s="8" t="s">
        <v>1729</v>
      </c>
      <c r="J407" s="8" t="s">
        <v>350</v>
      </c>
      <c r="K407" s="8" t="s">
        <v>908</v>
      </c>
      <c r="L407" s="7" t="s">
        <v>42</v>
      </c>
      <c r="M407" s="7"/>
      <c r="N407" s="8" t="s">
        <v>3450</v>
      </c>
    </row>
    <row r="408" spans="1:14" ht="82" customHeight="1">
      <c r="A408" s="4" t="s">
        <v>344</v>
      </c>
      <c r="B408" s="4" t="s">
        <v>345</v>
      </c>
      <c r="C408" s="4" t="s">
        <v>4399</v>
      </c>
      <c r="D408" s="4" t="s">
        <v>183</v>
      </c>
      <c r="E408" s="4" t="s">
        <v>41</v>
      </c>
      <c r="F408" s="4" t="s">
        <v>3452</v>
      </c>
      <c r="G408" s="4" t="s">
        <v>4400</v>
      </c>
      <c r="H408" s="4" t="s">
        <v>4401</v>
      </c>
      <c r="I408" s="4" t="s">
        <v>1729</v>
      </c>
      <c r="J408" s="4" t="s">
        <v>350</v>
      </c>
      <c r="K408" s="4" t="s">
        <v>908</v>
      </c>
      <c r="L408" s="7" t="s">
        <v>42</v>
      </c>
      <c r="M408" s="7"/>
      <c r="N408" s="4" t="s">
        <v>3450</v>
      </c>
    </row>
    <row r="409" spans="1:14" ht="40" customHeight="1">
      <c r="A409" s="8" t="s">
        <v>344</v>
      </c>
      <c r="B409" s="8" t="s">
        <v>345</v>
      </c>
      <c r="C409" s="8" t="s">
        <v>4402</v>
      </c>
      <c r="D409" s="8" t="s">
        <v>183</v>
      </c>
      <c r="E409" s="8" t="s">
        <v>41</v>
      </c>
      <c r="F409" s="8" t="s">
        <v>3452</v>
      </c>
      <c r="G409" s="8" t="s">
        <v>4403</v>
      </c>
      <c r="H409" s="8" t="s">
        <v>4404</v>
      </c>
      <c r="I409" s="8" t="s">
        <v>1729</v>
      </c>
      <c r="J409" s="8" t="s">
        <v>350</v>
      </c>
      <c r="K409" s="8" t="s">
        <v>908</v>
      </c>
      <c r="L409" s="7" t="s">
        <v>42</v>
      </c>
      <c r="M409" s="7"/>
      <c r="N409" s="8" t="s">
        <v>3450</v>
      </c>
    </row>
    <row r="410" spans="1:14" ht="40" customHeight="1">
      <c r="A410" s="4" t="s">
        <v>344</v>
      </c>
      <c r="B410" s="4" t="s">
        <v>345</v>
      </c>
      <c r="C410" s="4" t="s">
        <v>4405</v>
      </c>
      <c r="D410" s="4" t="s">
        <v>183</v>
      </c>
      <c r="E410" s="4" t="s">
        <v>41</v>
      </c>
      <c r="F410" s="4" t="s">
        <v>3452</v>
      </c>
      <c r="G410" s="4" t="s">
        <v>3097</v>
      </c>
      <c r="H410" s="4" t="s">
        <v>4406</v>
      </c>
      <c r="I410" s="4" t="s">
        <v>1729</v>
      </c>
      <c r="J410" s="4" t="s">
        <v>350</v>
      </c>
      <c r="K410" s="4" t="s">
        <v>908</v>
      </c>
      <c r="L410" s="7" t="s">
        <v>42</v>
      </c>
      <c r="M410" s="7"/>
      <c r="N410" s="4" t="s">
        <v>3450</v>
      </c>
    </row>
    <row r="411" spans="1:14" ht="40" customHeight="1">
      <c r="A411" s="8" t="s">
        <v>353</v>
      </c>
      <c r="B411" s="8" t="s">
        <v>354</v>
      </c>
      <c r="C411" s="8" t="s">
        <v>4407</v>
      </c>
      <c r="D411" s="8" t="s">
        <v>183</v>
      </c>
      <c r="E411" s="8" t="s">
        <v>41</v>
      </c>
      <c r="F411" s="8" t="s">
        <v>3452</v>
      </c>
      <c r="G411" s="8" t="s">
        <v>4408</v>
      </c>
      <c r="H411" s="8" t="s">
        <v>4214</v>
      </c>
      <c r="I411" s="8" t="s">
        <v>1755</v>
      </c>
      <c r="J411" s="8" t="s">
        <v>358</v>
      </c>
      <c r="K411" s="8" t="s">
        <v>908</v>
      </c>
      <c r="L411" s="7" t="s">
        <v>42</v>
      </c>
      <c r="M411" s="7"/>
      <c r="N411" s="8" t="s">
        <v>3450</v>
      </c>
    </row>
    <row r="412" spans="1:14" ht="40" customHeight="1">
      <c r="A412" s="4" t="s">
        <v>353</v>
      </c>
      <c r="B412" s="4" t="s">
        <v>354</v>
      </c>
      <c r="C412" s="4" t="s">
        <v>4409</v>
      </c>
      <c r="D412" s="4" t="s">
        <v>183</v>
      </c>
      <c r="E412" s="4" t="s">
        <v>41</v>
      </c>
      <c r="F412" s="4" t="s">
        <v>3452</v>
      </c>
      <c r="G412" s="4" t="s">
        <v>4410</v>
      </c>
      <c r="H412" s="4" t="s">
        <v>3485</v>
      </c>
      <c r="I412" s="4" t="s">
        <v>1755</v>
      </c>
      <c r="J412" s="4" t="s">
        <v>358</v>
      </c>
      <c r="K412" s="4" t="s">
        <v>908</v>
      </c>
      <c r="L412" s="7" t="s">
        <v>42</v>
      </c>
      <c r="M412" s="7"/>
      <c r="N412" s="4" t="s">
        <v>3450</v>
      </c>
    </row>
    <row r="413" spans="1:14" ht="40" customHeight="1">
      <c r="A413" s="8" t="s">
        <v>353</v>
      </c>
      <c r="B413" s="8" t="s">
        <v>354</v>
      </c>
      <c r="C413" s="8" t="s">
        <v>4411</v>
      </c>
      <c r="D413" s="8" t="s">
        <v>183</v>
      </c>
      <c r="E413" s="8" t="s">
        <v>41</v>
      </c>
      <c r="F413" s="8" t="s">
        <v>3452</v>
      </c>
      <c r="G413" s="8" t="s">
        <v>4412</v>
      </c>
      <c r="H413" s="8" t="s">
        <v>3655</v>
      </c>
      <c r="I413" s="8" t="s">
        <v>1755</v>
      </c>
      <c r="J413" s="8" t="s">
        <v>358</v>
      </c>
      <c r="K413" s="8" t="s">
        <v>908</v>
      </c>
      <c r="L413" s="7" t="s">
        <v>42</v>
      </c>
      <c r="M413" s="7"/>
      <c r="N413" s="8" t="s">
        <v>3450</v>
      </c>
    </row>
    <row r="414" spans="1:14" ht="40" customHeight="1">
      <c r="A414" s="4" t="s">
        <v>353</v>
      </c>
      <c r="B414" s="4" t="s">
        <v>354</v>
      </c>
      <c r="C414" s="4" t="s">
        <v>4413</v>
      </c>
      <c r="D414" s="4" t="s">
        <v>183</v>
      </c>
      <c r="E414" s="4" t="s">
        <v>41</v>
      </c>
      <c r="F414" s="4" t="s">
        <v>3452</v>
      </c>
      <c r="G414" s="4" t="s">
        <v>4414</v>
      </c>
      <c r="H414" s="4" t="s">
        <v>3494</v>
      </c>
      <c r="I414" s="4" t="s">
        <v>1755</v>
      </c>
      <c r="J414" s="4" t="s">
        <v>358</v>
      </c>
      <c r="K414" s="4" t="s">
        <v>908</v>
      </c>
      <c r="L414" s="7" t="s">
        <v>42</v>
      </c>
      <c r="M414" s="7"/>
      <c r="N414" s="4" t="s">
        <v>3450</v>
      </c>
    </row>
    <row r="415" spans="1:14" ht="54" customHeight="1">
      <c r="A415" s="8" t="s">
        <v>353</v>
      </c>
      <c r="B415" s="8" t="s">
        <v>354</v>
      </c>
      <c r="C415" s="8" t="s">
        <v>4415</v>
      </c>
      <c r="D415" s="8" t="s">
        <v>183</v>
      </c>
      <c r="E415" s="8" t="s">
        <v>41</v>
      </c>
      <c r="F415" s="8" t="s">
        <v>3452</v>
      </c>
      <c r="G415" s="8" t="s">
        <v>4416</v>
      </c>
      <c r="H415" s="8" t="s">
        <v>3497</v>
      </c>
      <c r="I415" s="8" t="s">
        <v>1755</v>
      </c>
      <c r="J415" s="8" t="s">
        <v>358</v>
      </c>
      <c r="K415" s="8" t="s">
        <v>908</v>
      </c>
      <c r="L415" s="7" t="s">
        <v>42</v>
      </c>
      <c r="M415" s="7"/>
      <c r="N415" s="8" t="s">
        <v>3450</v>
      </c>
    </row>
    <row r="416" spans="1:14" ht="40" customHeight="1">
      <c r="A416" s="4" t="s">
        <v>353</v>
      </c>
      <c r="B416" s="4" t="s">
        <v>354</v>
      </c>
      <c r="C416" s="4" t="s">
        <v>4417</v>
      </c>
      <c r="D416" s="4" t="s">
        <v>183</v>
      </c>
      <c r="E416" s="4" t="s">
        <v>41</v>
      </c>
      <c r="F416" s="4" t="s">
        <v>3452</v>
      </c>
      <c r="G416" s="4" t="s">
        <v>4418</v>
      </c>
      <c r="H416" s="4" t="s">
        <v>3500</v>
      </c>
      <c r="I416" s="4" t="s">
        <v>1755</v>
      </c>
      <c r="J416" s="4" t="s">
        <v>358</v>
      </c>
      <c r="K416" s="4" t="s">
        <v>908</v>
      </c>
      <c r="L416" s="7" t="s">
        <v>42</v>
      </c>
      <c r="M416" s="7"/>
      <c r="N416" s="4" t="s">
        <v>3450</v>
      </c>
    </row>
    <row r="417" spans="1:14" ht="40" customHeight="1">
      <c r="A417" s="8" t="s">
        <v>353</v>
      </c>
      <c r="B417" s="8" t="s">
        <v>354</v>
      </c>
      <c r="C417" s="8" t="s">
        <v>4419</v>
      </c>
      <c r="D417" s="8" t="s">
        <v>183</v>
      </c>
      <c r="E417" s="8" t="s">
        <v>41</v>
      </c>
      <c r="F417" s="8" t="s">
        <v>3452</v>
      </c>
      <c r="G417" s="8" t="s">
        <v>4420</v>
      </c>
      <c r="H417" s="8" t="s">
        <v>3503</v>
      </c>
      <c r="I417" s="8" t="s">
        <v>1755</v>
      </c>
      <c r="J417" s="8" t="s">
        <v>358</v>
      </c>
      <c r="K417" s="8" t="s">
        <v>908</v>
      </c>
      <c r="L417" s="7" t="s">
        <v>42</v>
      </c>
      <c r="M417" s="7"/>
      <c r="N417" s="8" t="s">
        <v>3450</v>
      </c>
    </row>
    <row r="418" spans="1:14" ht="96" customHeight="1">
      <c r="A418" s="4" t="s">
        <v>353</v>
      </c>
      <c r="B418" s="4" t="s">
        <v>354</v>
      </c>
      <c r="C418" s="4" t="s">
        <v>4421</v>
      </c>
      <c r="D418" s="4" t="s">
        <v>183</v>
      </c>
      <c r="E418" s="4" t="s">
        <v>41</v>
      </c>
      <c r="F418" s="4" t="s">
        <v>3452</v>
      </c>
      <c r="G418" s="4" t="s">
        <v>4422</v>
      </c>
      <c r="H418" s="4" t="s">
        <v>3506</v>
      </c>
      <c r="I418" s="4" t="s">
        <v>1755</v>
      </c>
      <c r="J418" s="4" t="s">
        <v>358</v>
      </c>
      <c r="K418" s="4" t="s">
        <v>908</v>
      </c>
      <c r="L418" s="7" t="s">
        <v>42</v>
      </c>
      <c r="M418" s="7"/>
      <c r="N418" s="4" t="s">
        <v>3450</v>
      </c>
    </row>
    <row r="419" spans="1:14" ht="54" customHeight="1">
      <c r="A419" s="8" t="s">
        <v>353</v>
      </c>
      <c r="B419" s="8" t="s">
        <v>354</v>
      </c>
      <c r="C419" s="8" t="s">
        <v>4423</v>
      </c>
      <c r="D419" s="8" t="s">
        <v>183</v>
      </c>
      <c r="E419" s="8" t="s">
        <v>41</v>
      </c>
      <c r="F419" s="8" t="s">
        <v>3452</v>
      </c>
      <c r="G419" s="8" t="s">
        <v>4424</v>
      </c>
      <c r="H419" s="8" t="s">
        <v>3509</v>
      </c>
      <c r="I419" s="8" t="s">
        <v>1755</v>
      </c>
      <c r="J419" s="8" t="s">
        <v>358</v>
      </c>
      <c r="K419" s="8" t="s">
        <v>908</v>
      </c>
      <c r="L419" s="7" t="s">
        <v>42</v>
      </c>
      <c r="M419" s="7"/>
      <c r="N419" s="8" t="s">
        <v>3450</v>
      </c>
    </row>
    <row r="420" spans="1:14" ht="40" customHeight="1">
      <c r="A420" s="4" t="s">
        <v>353</v>
      </c>
      <c r="B420" s="4" t="s">
        <v>354</v>
      </c>
      <c r="C420" s="4" t="s">
        <v>4425</v>
      </c>
      <c r="D420" s="4" t="s">
        <v>183</v>
      </c>
      <c r="E420" s="4" t="s">
        <v>41</v>
      </c>
      <c r="F420" s="4" t="s">
        <v>3452</v>
      </c>
      <c r="G420" s="4" t="s">
        <v>4391</v>
      </c>
      <c r="H420" s="4" t="s">
        <v>4426</v>
      </c>
      <c r="I420" s="4" t="s">
        <v>1755</v>
      </c>
      <c r="J420" s="4" t="s">
        <v>358</v>
      </c>
      <c r="K420" s="4" t="s">
        <v>908</v>
      </c>
      <c r="L420" s="7" t="s">
        <v>42</v>
      </c>
      <c r="M420" s="7"/>
      <c r="N420" s="4" t="s">
        <v>3450</v>
      </c>
    </row>
    <row r="421" spans="1:14" ht="68" customHeight="1">
      <c r="A421" s="8" t="s">
        <v>353</v>
      </c>
      <c r="B421" s="8" t="s">
        <v>354</v>
      </c>
      <c r="C421" s="8" t="s">
        <v>4427</v>
      </c>
      <c r="D421" s="8" t="s">
        <v>183</v>
      </c>
      <c r="E421" s="8" t="s">
        <v>41</v>
      </c>
      <c r="F421" s="8" t="s">
        <v>3452</v>
      </c>
      <c r="G421" s="8" t="s">
        <v>4428</v>
      </c>
      <c r="H421" s="8" t="s">
        <v>4429</v>
      </c>
      <c r="I421" s="8" t="s">
        <v>1755</v>
      </c>
      <c r="J421" s="8" t="s">
        <v>358</v>
      </c>
      <c r="K421" s="8" t="s">
        <v>908</v>
      </c>
      <c r="L421" s="7" t="s">
        <v>42</v>
      </c>
      <c r="M421" s="7"/>
      <c r="N421" s="8" t="s">
        <v>3450</v>
      </c>
    </row>
    <row r="422" spans="1:14" ht="40" customHeight="1">
      <c r="A422" s="4" t="s">
        <v>353</v>
      </c>
      <c r="B422" s="4" t="s">
        <v>354</v>
      </c>
      <c r="C422" s="4" t="s">
        <v>4430</v>
      </c>
      <c r="D422" s="4" t="s">
        <v>183</v>
      </c>
      <c r="E422" s="4" t="s">
        <v>41</v>
      </c>
      <c r="F422" s="4" t="s">
        <v>3452</v>
      </c>
      <c r="G422" s="4" t="s">
        <v>4431</v>
      </c>
      <c r="H422" s="4" t="s">
        <v>4432</v>
      </c>
      <c r="I422" s="4" t="s">
        <v>1755</v>
      </c>
      <c r="J422" s="4" t="s">
        <v>358</v>
      </c>
      <c r="K422" s="4" t="s">
        <v>908</v>
      </c>
      <c r="L422" s="7" t="s">
        <v>42</v>
      </c>
      <c r="M422" s="7"/>
      <c r="N422" s="4" t="s">
        <v>3450</v>
      </c>
    </row>
    <row r="423" spans="1:14" ht="40" customHeight="1">
      <c r="A423" s="8" t="s">
        <v>353</v>
      </c>
      <c r="B423" s="8" t="s">
        <v>354</v>
      </c>
      <c r="C423" s="8" t="s">
        <v>4433</v>
      </c>
      <c r="D423" s="8" t="s">
        <v>183</v>
      </c>
      <c r="E423" s="8" t="s">
        <v>41</v>
      </c>
      <c r="F423" s="8" t="s">
        <v>3452</v>
      </c>
      <c r="G423" s="8" t="s">
        <v>4434</v>
      </c>
      <c r="H423" s="8" t="s">
        <v>4435</v>
      </c>
      <c r="I423" s="8" t="s">
        <v>1755</v>
      </c>
      <c r="J423" s="8" t="s">
        <v>358</v>
      </c>
      <c r="K423" s="8" t="s">
        <v>908</v>
      </c>
      <c r="L423" s="7" t="s">
        <v>42</v>
      </c>
      <c r="M423" s="7"/>
      <c r="N423" s="8" t="s">
        <v>3450</v>
      </c>
    </row>
    <row r="424" spans="1:14" ht="40" customHeight="1">
      <c r="A424" s="4" t="s">
        <v>361</v>
      </c>
      <c r="B424" s="4" t="s">
        <v>362</v>
      </c>
      <c r="C424" s="4" t="s">
        <v>4436</v>
      </c>
      <c r="D424" s="4" t="s">
        <v>183</v>
      </c>
      <c r="E424" s="4" t="s">
        <v>41</v>
      </c>
      <c r="F424" s="4" t="s">
        <v>3452</v>
      </c>
      <c r="G424" s="4" t="s">
        <v>4437</v>
      </c>
      <c r="H424" s="4" t="s">
        <v>3463</v>
      </c>
      <c r="I424" s="4" t="s">
        <v>1799</v>
      </c>
      <c r="J424" s="4" t="s">
        <v>365</v>
      </c>
      <c r="K424" s="4" t="s">
        <v>908</v>
      </c>
      <c r="L424" s="7" t="s">
        <v>42</v>
      </c>
      <c r="M424" s="7"/>
      <c r="N424" s="4" t="s">
        <v>3450</v>
      </c>
    </row>
    <row r="425" spans="1:14" ht="40" customHeight="1">
      <c r="A425" s="8" t="s">
        <v>361</v>
      </c>
      <c r="B425" s="8" t="s">
        <v>362</v>
      </c>
      <c r="C425" s="8" t="s">
        <v>4438</v>
      </c>
      <c r="D425" s="8" t="s">
        <v>183</v>
      </c>
      <c r="E425" s="8" t="s">
        <v>41</v>
      </c>
      <c r="F425" s="8" t="s">
        <v>3452</v>
      </c>
      <c r="G425" s="8" t="s">
        <v>4439</v>
      </c>
      <c r="H425" s="8" t="s">
        <v>3485</v>
      </c>
      <c r="I425" s="8" t="s">
        <v>1799</v>
      </c>
      <c r="J425" s="8" t="s">
        <v>365</v>
      </c>
      <c r="K425" s="8" t="s">
        <v>908</v>
      </c>
      <c r="L425" s="7" t="s">
        <v>42</v>
      </c>
      <c r="M425" s="7"/>
      <c r="N425" s="8" t="s">
        <v>3450</v>
      </c>
    </row>
    <row r="426" spans="1:14" ht="54" customHeight="1">
      <c r="A426" s="4" t="s">
        <v>361</v>
      </c>
      <c r="B426" s="4" t="s">
        <v>362</v>
      </c>
      <c r="C426" s="4" t="s">
        <v>4440</v>
      </c>
      <c r="D426" s="4" t="s">
        <v>183</v>
      </c>
      <c r="E426" s="4" t="s">
        <v>41</v>
      </c>
      <c r="F426" s="4" t="s">
        <v>3452</v>
      </c>
      <c r="G426" s="4" t="s">
        <v>4441</v>
      </c>
      <c r="H426" s="4" t="s">
        <v>3655</v>
      </c>
      <c r="I426" s="4" t="s">
        <v>1799</v>
      </c>
      <c r="J426" s="4" t="s">
        <v>365</v>
      </c>
      <c r="K426" s="4" t="s">
        <v>908</v>
      </c>
      <c r="L426" s="7" t="s">
        <v>42</v>
      </c>
      <c r="M426" s="7"/>
      <c r="N426" s="4" t="s">
        <v>3450</v>
      </c>
    </row>
    <row r="427" spans="1:14" ht="68" customHeight="1">
      <c r="A427" s="8" t="s">
        <v>361</v>
      </c>
      <c r="B427" s="8" t="s">
        <v>362</v>
      </c>
      <c r="C427" s="8" t="s">
        <v>4442</v>
      </c>
      <c r="D427" s="8" t="s">
        <v>183</v>
      </c>
      <c r="E427" s="8" t="s">
        <v>41</v>
      </c>
      <c r="F427" s="8" t="s">
        <v>3452</v>
      </c>
      <c r="G427" s="8" t="s">
        <v>4443</v>
      </c>
      <c r="H427" s="8" t="s">
        <v>3494</v>
      </c>
      <c r="I427" s="8" t="s">
        <v>1799</v>
      </c>
      <c r="J427" s="8" t="s">
        <v>365</v>
      </c>
      <c r="K427" s="8" t="s">
        <v>908</v>
      </c>
      <c r="L427" s="7" t="s">
        <v>42</v>
      </c>
      <c r="M427" s="7"/>
      <c r="N427" s="8" t="s">
        <v>3450</v>
      </c>
    </row>
    <row r="428" spans="1:14" ht="40" customHeight="1">
      <c r="A428" s="4" t="s">
        <v>361</v>
      </c>
      <c r="B428" s="4" t="s">
        <v>362</v>
      </c>
      <c r="C428" s="4" t="s">
        <v>4444</v>
      </c>
      <c r="D428" s="4" t="s">
        <v>183</v>
      </c>
      <c r="E428" s="4" t="s">
        <v>41</v>
      </c>
      <c r="F428" s="4" t="s">
        <v>3452</v>
      </c>
      <c r="G428" s="4" t="s">
        <v>4445</v>
      </c>
      <c r="H428" s="4" t="s">
        <v>3497</v>
      </c>
      <c r="I428" s="4" t="s">
        <v>1799</v>
      </c>
      <c r="J428" s="4" t="s">
        <v>365</v>
      </c>
      <c r="K428" s="4" t="s">
        <v>908</v>
      </c>
      <c r="L428" s="7" t="s">
        <v>42</v>
      </c>
      <c r="M428" s="7"/>
      <c r="N428" s="4" t="s">
        <v>3450</v>
      </c>
    </row>
    <row r="429" spans="1:14" ht="40" customHeight="1">
      <c r="A429" s="8" t="s">
        <v>361</v>
      </c>
      <c r="B429" s="8" t="s">
        <v>362</v>
      </c>
      <c r="C429" s="8" t="s">
        <v>4446</v>
      </c>
      <c r="D429" s="8" t="s">
        <v>183</v>
      </c>
      <c r="E429" s="8" t="s">
        <v>41</v>
      </c>
      <c r="F429" s="8" t="s">
        <v>3452</v>
      </c>
      <c r="G429" s="8" t="s">
        <v>4447</v>
      </c>
      <c r="H429" s="8" t="s">
        <v>3500</v>
      </c>
      <c r="I429" s="8" t="s">
        <v>1799</v>
      </c>
      <c r="J429" s="8" t="s">
        <v>365</v>
      </c>
      <c r="K429" s="8" t="s">
        <v>908</v>
      </c>
      <c r="L429" s="7" t="s">
        <v>42</v>
      </c>
      <c r="M429" s="7"/>
      <c r="N429" s="8" t="s">
        <v>3450</v>
      </c>
    </row>
    <row r="430" spans="1:14" ht="40" customHeight="1">
      <c r="A430" s="4" t="s">
        <v>368</v>
      </c>
      <c r="B430" s="4" t="s">
        <v>369</v>
      </c>
      <c r="C430" s="4" t="s">
        <v>4448</v>
      </c>
      <c r="D430" s="4" t="s">
        <v>183</v>
      </c>
      <c r="E430" s="4" t="s">
        <v>41</v>
      </c>
      <c r="F430" s="4" t="s">
        <v>3452</v>
      </c>
      <c r="G430" s="4" t="s">
        <v>4449</v>
      </c>
      <c r="H430" s="4" t="s">
        <v>3449</v>
      </c>
      <c r="I430" s="4" t="s">
        <v>1819</v>
      </c>
      <c r="J430" s="4" t="s">
        <v>375</v>
      </c>
      <c r="K430" s="4" t="s">
        <v>908</v>
      </c>
      <c r="L430" s="7" t="s">
        <v>42</v>
      </c>
      <c r="M430" s="7"/>
      <c r="N430" s="4" t="s">
        <v>3450</v>
      </c>
    </row>
    <row r="431" spans="1:14" ht="54" customHeight="1">
      <c r="A431" s="8" t="s">
        <v>368</v>
      </c>
      <c r="B431" s="8" t="s">
        <v>369</v>
      </c>
      <c r="C431" s="8" t="s">
        <v>4450</v>
      </c>
      <c r="D431" s="8" t="s">
        <v>183</v>
      </c>
      <c r="E431" s="8" t="s">
        <v>41</v>
      </c>
      <c r="F431" s="8" t="s">
        <v>3452</v>
      </c>
      <c r="G431" s="8" t="s">
        <v>4451</v>
      </c>
      <c r="H431" s="8" t="s">
        <v>3466</v>
      </c>
      <c r="I431" s="8" t="s">
        <v>1819</v>
      </c>
      <c r="J431" s="8" t="s">
        <v>375</v>
      </c>
      <c r="K431" s="8" t="s">
        <v>908</v>
      </c>
      <c r="L431" s="7" t="s">
        <v>42</v>
      </c>
      <c r="M431" s="7"/>
      <c r="N431" s="8" t="s">
        <v>3450</v>
      </c>
    </row>
    <row r="432" spans="1:14" ht="40" customHeight="1">
      <c r="A432" s="4" t="s">
        <v>368</v>
      </c>
      <c r="B432" s="4" t="s">
        <v>369</v>
      </c>
      <c r="C432" s="4" t="s">
        <v>4452</v>
      </c>
      <c r="D432" s="4" t="s">
        <v>183</v>
      </c>
      <c r="E432" s="4" t="s">
        <v>4453</v>
      </c>
      <c r="F432" s="4" t="s">
        <v>3448</v>
      </c>
      <c r="G432" s="4" t="s">
        <v>4453</v>
      </c>
      <c r="H432" s="4" t="s">
        <v>3472</v>
      </c>
      <c r="I432" s="4" t="s">
        <v>1819</v>
      </c>
      <c r="J432" s="4" t="s">
        <v>375</v>
      </c>
      <c r="K432" s="4" t="s">
        <v>908</v>
      </c>
      <c r="L432" s="7" t="s">
        <v>42</v>
      </c>
      <c r="M432" s="7"/>
      <c r="N432" s="4" t="s">
        <v>3450</v>
      </c>
    </row>
    <row r="433" spans="1:14" ht="40" customHeight="1">
      <c r="A433" s="8" t="s">
        <v>368</v>
      </c>
      <c r="B433" s="8" t="s">
        <v>369</v>
      </c>
      <c r="C433" s="8" t="s">
        <v>4454</v>
      </c>
      <c r="D433" s="8" t="s">
        <v>183</v>
      </c>
      <c r="E433" s="8" t="s">
        <v>4453</v>
      </c>
      <c r="F433" s="8" t="s">
        <v>3452</v>
      </c>
      <c r="G433" s="8" t="s">
        <v>4455</v>
      </c>
      <c r="H433" s="8" t="s">
        <v>3475</v>
      </c>
      <c r="I433" s="8" t="s">
        <v>1819</v>
      </c>
      <c r="J433" s="8" t="s">
        <v>375</v>
      </c>
      <c r="K433" s="8" t="s">
        <v>908</v>
      </c>
      <c r="L433" s="7" t="s">
        <v>42</v>
      </c>
      <c r="M433" s="7"/>
      <c r="N433" s="8" t="s">
        <v>3450</v>
      </c>
    </row>
    <row r="434" spans="1:14" ht="40" customHeight="1">
      <c r="A434" s="4" t="s">
        <v>368</v>
      </c>
      <c r="B434" s="4" t="s">
        <v>369</v>
      </c>
      <c r="C434" s="4" t="s">
        <v>4456</v>
      </c>
      <c r="D434" s="4" t="s">
        <v>183</v>
      </c>
      <c r="E434" s="4" t="s">
        <v>4457</v>
      </c>
      <c r="F434" s="4" t="s">
        <v>3448</v>
      </c>
      <c r="G434" s="4" t="s">
        <v>4457</v>
      </c>
      <c r="H434" s="4" t="s">
        <v>3603</v>
      </c>
      <c r="I434" s="4" t="s">
        <v>1819</v>
      </c>
      <c r="J434" s="4" t="s">
        <v>375</v>
      </c>
      <c r="K434" s="4" t="s">
        <v>908</v>
      </c>
      <c r="L434" s="7" t="s">
        <v>42</v>
      </c>
      <c r="M434" s="7"/>
      <c r="N434" s="4" t="s">
        <v>3450</v>
      </c>
    </row>
    <row r="435" spans="1:14" ht="40" customHeight="1">
      <c r="A435" s="8" t="s">
        <v>368</v>
      </c>
      <c r="B435" s="8" t="s">
        <v>369</v>
      </c>
      <c r="C435" s="8" t="s">
        <v>4458</v>
      </c>
      <c r="D435" s="8" t="s">
        <v>183</v>
      </c>
      <c r="E435" s="8" t="s">
        <v>4457</v>
      </c>
      <c r="F435" s="8" t="s">
        <v>3452</v>
      </c>
      <c r="G435" s="8" t="s">
        <v>4459</v>
      </c>
      <c r="H435" s="8" t="s">
        <v>3608</v>
      </c>
      <c r="I435" s="8" t="s">
        <v>1819</v>
      </c>
      <c r="J435" s="8" t="s">
        <v>375</v>
      </c>
      <c r="K435" s="8" t="s">
        <v>908</v>
      </c>
      <c r="L435" s="7" t="s">
        <v>42</v>
      </c>
      <c r="M435" s="7"/>
      <c r="N435" s="8" t="s">
        <v>3450</v>
      </c>
    </row>
    <row r="436" spans="1:14" ht="40" customHeight="1">
      <c r="A436" s="4" t="s">
        <v>368</v>
      </c>
      <c r="B436" s="4" t="s">
        <v>369</v>
      </c>
      <c r="C436" s="4" t="s">
        <v>4460</v>
      </c>
      <c r="D436" s="4" t="s">
        <v>183</v>
      </c>
      <c r="E436" s="4" t="s">
        <v>4461</v>
      </c>
      <c r="F436" s="4" t="s">
        <v>3448</v>
      </c>
      <c r="G436" s="4" t="s">
        <v>4461</v>
      </c>
      <c r="H436" s="4" t="s">
        <v>3775</v>
      </c>
      <c r="I436" s="4" t="s">
        <v>1819</v>
      </c>
      <c r="J436" s="4" t="s">
        <v>375</v>
      </c>
      <c r="K436" s="4" t="s">
        <v>908</v>
      </c>
      <c r="L436" s="7" t="s">
        <v>42</v>
      </c>
      <c r="M436" s="7"/>
      <c r="N436" s="4" t="s">
        <v>3450</v>
      </c>
    </row>
    <row r="437" spans="1:14" ht="54" customHeight="1">
      <c r="A437" s="8" t="s">
        <v>368</v>
      </c>
      <c r="B437" s="8" t="s">
        <v>369</v>
      </c>
      <c r="C437" s="8" t="s">
        <v>4462</v>
      </c>
      <c r="D437" s="8" t="s">
        <v>183</v>
      </c>
      <c r="E437" s="8" t="s">
        <v>4461</v>
      </c>
      <c r="F437" s="8" t="s">
        <v>3452</v>
      </c>
      <c r="G437" s="8" t="s">
        <v>4463</v>
      </c>
      <c r="H437" s="8" t="s">
        <v>3777</v>
      </c>
      <c r="I437" s="8" t="s">
        <v>1819</v>
      </c>
      <c r="J437" s="8" t="s">
        <v>375</v>
      </c>
      <c r="K437" s="8" t="s">
        <v>908</v>
      </c>
      <c r="L437" s="7" t="s">
        <v>42</v>
      </c>
      <c r="M437" s="7"/>
      <c r="N437" s="8" t="s">
        <v>3450</v>
      </c>
    </row>
    <row r="438" spans="1:14" ht="40" customHeight="1">
      <c r="A438" s="4" t="s">
        <v>368</v>
      </c>
      <c r="B438" s="4" t="s">
        <v>369</v>
      </c>
      <c r="C438" s="4" t="s">
        <v>4464</v>
      </c>
      <c r="D438" s="4" t="s">
        <v>183</v>
      </c>
      <c r="E438" s="4" t="s">
        <v>4461</v>
      </c>
      <c r="F438" s="4" t="s">
        <v>3452</v>
      </c>
      <c r="G438" s="4" t="s">
        <v>4465</v>
      </c>
      <c r="H438" s="4" t="s">
        <v>3781</v>
      </c>
      <c r="I438" s="4" t="s">
        <v>1819</v>
      </c>
      <c r="J438" s="4" t="s">
        <v>375</v>
      </c>
      <c r="K438" s="4" t="s">
        <v>908</v>
      </c>
      <c r="L438" s="7" t="s">
        <v>42</v>
      </c>
      <c r="M438" s="7"/>
      <c r="N438" s="4" t="s">
        <v>3450</v>
      </c>
    </row>
    <row r="439" spans="1:14" ht="54" customHeight="1">
      <c r="A439" s="8" t="s">
        <v>368</v>
      </c>
      <c r="B439" s="8" t="s">
        <v>369</v>
      </c>
      <c r="C439" s="8" t="s">
        <v>4466</v>
      </c>
      <c r="D439" s="8" t="s">
        <v>183</v>
      </c>
      <c r="E439" s="8" t="s">
        <v>4461</v>
      </c>
      <c r="F439" s="8" t="s">
        <v>3452</v>
      </c>
      <c r="G439" s="8" t="s">
        <v>4467</v>
      </c>
      <c r="H439" s="8" t="s">
        <v>3783</v>
      </c>
      <c r="I439" s="8" t="s">
        <v>1819</v>
      </c>
      <c r="J439" s="8" t="s">
        <v>375</v>
      </c>
      <c r="K439" s="8" t="s">
        <v>908</v>
      </c>
      <c r="L439" s="7" t="s">
        <v>42</v>
      </c>
      <c r="M439" s="7"/>
      <c r="N439" s="8" t="s">
        <v>3450</v>
      </c>
    </row>
    <row r="440" spans="1:14" ht="68" customHeight="1">
      <c r="A440" s="4" t="s">
        <v>378</v>
      </c>
      <c r="B440" s="4" t="s">
        <v>379</v>
      </c>
      <c r="C440" s="4" t="s">
        <v>4468</v>
      </c>
      <c r="D440" s="4" t="s">
        <v>183</v>
      </c>
      <c r="E440" s="4" t="s">
        <v>41</v>
      </c>
      <c r="F440" s="4" t="s">
        <v>3452</v>
      </c>
      <c r="G440" s="4" t="s">
        <v>4469</v>
      </c>
      <c r="H440" s="4" t="s">
        <v>4214</v>
      </c>
      <c r="I440" s="4" t="s">
        <v>1829</v>
      </c>
      <c r="J440" s="4" t="s">
        <v>384</v>
      </c>
      <c r="K440" s="4" t="s">
        <v>908</v>
      </c>
      <c r="L440" s="7" t="s">
        <v>42</v>
      </c>
      <c r="M440" s="7"/>
      <c r="N440" s="4" t="s">
        <v>3450</v>
      </c>
    </row>
    <row r="441" spans="1:14" ht="40" customHeight="1">
      <c r="A441" s="8" t="s">
        <v>378</v>
      </c>
      <c r="B441" s="8" t="s">
        <v>379</v>
      </c>
      <c r="C441" s="8" t="s">
        <v>4470</v>
      </c>
      <c r="D441" s="8" t="s">
        <v>183</v>
      </c>
      <c r="E441" s="8" t="s">
        <v>41</v>
      </c>
      <c r="F441" s="8" t="s">
        <v>3452</v>
      </c>
      <c r="G441" s="8" t="s">
        <v>4471</v>
      </c>
      <c r="H441" s="8" t="s">
        <v>4472</v>
      </c>
      <c r="I441" s="8" t="s">
        <v>1829</v>
      </c>
      <c r="J441" s="8" t="s">
        <v>384</v>
      </c>
      <c r="K441" s="8" t="s">
        <v>908</v>
      </c>
      <c r="L441" s="7" t="s">
        <v>42</v>
      </c>
      <c r="M441" s="7"/>
      <c r="N441" s="8" t="s">
        <v>3450</v>
      </c>
    </row>
    <row r="442" spans="1:14" ht="40" customHeight="1">
      <c r="A442" s="4" t="s">
        <v>378</v>
      </c>
      <c r="B442" s="4" t="s">
        <v>379</v>
      </c>
      <c r="C442" s="4" t="s">
        <v>4473</v>
      </c>
      <c r="D442" s="4" t="s">
        <v>183</v>
      </c>
      <c r="E442" s="4" t="s">
        <v>41</v>
      </c>
      <c r="F442" s="4" t="s">
        <v>3452</v>
      </c>
      <c r="G442" s="4" t="s">
        <v>4474</v>
      </c>
      <c r="H442" s="4" t="s">
        <v>3485</v>
      </c>
      <c r="I442" s="4" t="s">
        <v>1829</v>
      </c>
      <c r="J442" s="4" t="s">
        <v>384</v>
      </c>
      <c r="K442" s="4" t="s">
        <v>908</v>
      </c>
      <c r="L442" s="7" t="s">
        <v>42</v>
      </c>
      <c r="M442" s="7"/>
      <c r="N442" s="4" t="s">
        <v>3450</v>
      </c>
    </row>
    <row r="443" spans="1:14" ht="40" customHeight="1">
      <c r="A443" s="8" t="s">
        <v>378</v>
      </c>
      <c r="B443" s="8" t="s">
        <v>379</v>
      </c>
      <c r="C443" s="8" t="s">
        <v>4475</v>
      </c>
      <c r="D443" s="8" t="s">
        <v>183</v>
      </c>
      <c r="E443" s="8" t="s">
        <v>41</v>
      </c>
      <c r="F443" s="8" t="s">
        <v>3452</v>
      </c>
      <c r="G443" s="8" t="s">
        <v>4476</v>
      </c>
      <c r="H443" s="8" t="s">
        <v>4231</v>
      </c>
      <c r="I443" s="8" t="s">
        <v>1829</v>
      </c>
      <c r="J443" s="8" t="s">
        <v>384</v>
      </c>
      <c r="K443" s="8" t="s">
        <v>908</v>
      </c>
      <c r="L443" s="7" t="s">
        <v>42</v>
      </c>
      <c r="M443" s="7"/>
      <c r="N443" s="8" t="s">
        <v>3450</v>
      </c>
    </row>
    <row r="444" spans="1:14" ht="40" customHeight="1">
      <c r="A444" s="4" t="s">
        <v>378</v>
      </c>
      <c r="B444" s="4" t="s">
        <v>379</v>
      </c>
      <c r="C444" s="4" t="s">
        <v>4477</v>
      </c>
      <c r="D444" s="4" t="s">
        <v>183</v>
      </c>
      <c r="E444" s="4" t="s">
        <v>41</v>
      </c>
      <c r="F444" s="4" t="s">
        <v>3452</v>
      </c>
      <c r="G444" s="4" t="s">
        <v>4478</v>
      </c>
      <c r="H444" s="4" t="s">
        <v>4479</v>
      </c>
      <c r="I444" s="4" t="s">
        <v>1829</v>
      </c>
      <c r="J444" s="4" t="s">
        <v>384</v>
      </c>
      <c r="K444" s="4" t="s">
        <v>908</v>
      </c>
      <c r="L444" s="7" t="s">
        <v>42</v>
      </c>
      <c r="M444" s="7"/>
      <c r="N444" s="4" t="s">
        <v>3450</v>
      </c>
    </row>
    <row r="445" spans="1:14" ht="40" customHeight="1">
      <c r="A445" s="8" t="s">
        <v>378</v>
      </c>
      <c r="B445" s="8" t="s">
        <v>379</v>
      </c>
      <c r="C445" s="8" t="s">
        <v>4480</v>
      </c>
      <c r="D445" s="8" t="s">
        <v>183</v>
      </c>
      <c r="E445" s="8" t="s">
        <v>41</v>
      </c>
      <c r="F445" s="8" t="s">
        <v>3452</v>
      </c>
      <c r="G445" s="8" t="s">
        <v>4481</v>
      </c>
      <c r="H445" s="8" t="s">
        <v>4482</v>
      </c>
      <c r="I445" s="8" t="s">
        <v>1829</v>
      </c>
      <c r="J445" s="8" t="s">
        <v>384</v>
      </c>
      <c r="K445" s="8" t="s">
        <v>908</v>
      </c>
      <c r="L445" s="7" t="s">
        <v>42</v>
      </c>
      <c r="M445" s="7"/>
      <c r="N445" s="8" t="s">
        <v>3450</v>
      </c>
    </row>
    <row r="446" spans="1:14" ht="40" customHeight="1">
      <c r="A446" s="4" t="s">
        <v>387</v>
      </c>
      <c r="B446" s="4" t="s">
        <v>388</v>
      </c>
      <c r="C446" s="4" t="s">
        <v>4483</v>
      </c>
      <c r="D446" s="4" t="s">
        <v>183</v>
      </c>
      <c r="E446" s="4" t="s">
        <v>41</v>
      </c>
      <c r="F446" s="4" t="s">
        <v>3452</v>
      </c>
      <c r="G446" s="4" t="s">
        <v>3650</v>
      </c>
      <c r="H446" s="4" t="s">
        <v>3463</v>
      </c>
      <c r="I446" s="4" t="s">
        <v>1857</v>
      </c>
      <c r="J446" s="4" t="s">
        <v>391</v>
      </c>
      <c r="K446" s="4" t="s">
        <v>908</v>
      </c>
      <c r="L446" s="7" t="s">
        <v>42</v>
      </c>
      <c r="M446" s="7"/>
      <c r="N446" s="4" t="s">
        <v>3450</v>
      </c>
    </row>
    <row r="447" spans="1:14" ht="40" customHeight="1">
      <c r="A447" s="8" t="s">
        <v>387</v>
      </c>
      <c r="B447" s="8" t="s">
        <v>388</v>
      </c>
      <c r="C447" s="8" t="s">
        <v>4484</v>
      </c>
      <c r="D447" s="8" t="s">
        <v>183</v>
      </c>
      <c r="E447" s="8" t="s">
        <v>41</v>
      </c>
      <c r="F447" s="8" t="s">
        <v>3452</v>
      </c>
      <c r="G447" s="8" t="s">
        <v>3652</v>
      </c>
      <c r="H447" s="8" t="s">
        <v>3485</v>
      </c>
      <c r="I447" s="8" t="s">
        <v>1857</v>
      </c>
      <c r="J447" s="8" t="s">
        <v>391</v>
      </c>
      <c r="K447" s="8" t="s">
        <v>908</v>
      </c>
      <c r="L447" s="7" t="s">
        <v>42</v>
      </c>
      <c r="M447" s="7"/>
      <c r="N447" s="8" t="s">
        <v>3450</v>
      </c>
    </row>
    <row r="448" spans="1:14" ht="40" customHeight="1">
      <c r="A448" s="4" t="s">
        <v>387</v>
      </c>
      <c r="B448" s="4" t="s">
        <v>388</v>
      </c>
      <c r="C448" s="4" t="s">
        <v>4485</v>
      </c>
      <c r="D448" s="4" t="s">
        <v>183</v>
      </c>
      <c r="E448" s="4" t="s">
        <v>41</v>
      </c>
      <c r="F448" s="4" t="s">
        <v>3452</v>
      </c>
      <c r="G448" s="4" t="s">
        <v>3654</v>
      </c>
      <c r="H448" s="4" t="s">
        <v>3655</v>
      </c>
      <c r="I448" s="4" t="s">
        <v>1857</v>
      </c>
      <c r="J448" s="4" t="s">
        <v>391</v>
      </c>
      <c r="K448" s="4" t="s">
        <v>908</v>
      </c>
      <c r="L448" s="7" t="s">
        <v>42</v>
      </c>
      <c r="M448" s="7"/>
      <c r="N448" s="4" t="s">
        <v>3450</v>
      </c>
    </row>
    <row r="449" spans="1:14" ht="40" customHeight="1">
      <c r="A449" s="8" t="s">
        <v>387</v>
      </c>
      <c r="B449" s="8" t="s">
        <v>388</v>
      </c>
      <c r="C449" s="8" t="s">
        <v>4486</v>
      </c>
      <c r="D449" s="8" t="s">
        <v>183</v>
      </c>
      <c r="E449" s="8" t="s">
        <v>41</v>
      </c>
      <c r="F449" s="8" t="s">
        <v>3452</v>
      </c>
      <c r="G449" s="8" t="s">
        <v>3657</v>
      </c>
      <c r="H449" s="8" t="s">
        <v>3494</v>
      </c>
      <c r="I449" s="8" t="s">
        <v>1857</v>
      </c>
      <c r="J449" s="8" t="s">
        <v>391</v>
      </c>
      <c r="K449" s="8" t="s">
        <v>908</v>
      </c>
      <c r="L449" s="7" t="s">
        <v>42</v>
      </c>
      <c r="M449" s="7"/>
      <c r="N449" s="8" t="s">
        <v>3450</v>
      </c>
    </row>
    <row r="450" spans="1:14" ht="40" customHeight="1">
      <c r="A450" s="4" t="s">
        <v>387</v>
      </c>
      <c r="B450" s="4" t="s">
        <v>388</v>
      </c>
      <c r="C450" s="4" t="s">
        <v>4487</v>
      </c>
      <c r="D450" s="4" t="s">
        <v>183</v>
      </c>
      <c r="E450" s="4" t="s">
        <v>41</v>
      </c>
      <c r="F450" s="4" t="s">
        <v>3452</v>
      </c>
      <c r="G450" s="4" t="s">
        <v>3659</v>
      </c>
      <c r="H450" s="4" t="s">
        <v>3497</v>
      </c>
      <c r="I450" s="4" t="s">
        <v>1857</v>
      </c>
      <c r="J450" s="4" t="s">
        <v>391</v>
      </c>
      <c r="K450" s="4" t="s">
        <v>908</v>
      </c>
      <c r="L450" s="7" t="s">
        <v>42</v>
      </c>
      <c r="M450" s="7"/>
      <c r="N450" s="4" t="s">
        <v>3450</v>
      </c>
    </row>
    <row r="451" spans="1:14" ht="54" customHeight="1">
      <c r="A451" s="8" t="s">
        <v>387</v>
      </c>
      <c r="B451" s="8" t="s">
        <v>388</v>
      </c>
      <c r="C451" s="8" t="s">
        <v>4488</v>
      </c>
      <c r="D451" s="8" t="s">
        <v>208</v>
      </c>
      <c r="E451" s="8" t="s">
        <v>41</v>
      </c>
      <c r="F451" s="8" t="s">
        <v>3452</v>
      </c>
      <c r="G451" s="8" t="s">
        <v>3661</v>
      </c>
      <c r="H451" s="8" t="s">
        <v>3588</v>
      </c>
      <c r="I451" s="8" t="s">
        <v>1857</v>
      </c>
      <c r="J451" s="8" t="s">
        <v>391</v>
      </c>
      <c r="K451" s="8" t="s">
        <v>908</v>
      </c>
      <c r="L451" s="7" t="s">
        <v>42</v>
      </c>
      <c r="M451" s="7"/>
      <c r="N451" s="8" t="s">
        <v>3450</v>
      </c>
    </row>
    <row r="452" spans="1:14" ht="40" customHeight="1">
      <c r="A452" s="4" t="s">
        <v>387</v>
      </c>
      <c r="B452" s="4" t="s">
        <v>388</v>
      </c>
      <c r="C452" s="4" t="s">
        <v>4489</v>
      </c>
      <c r="D452" s="4" t="s">
        <v>208</v>
      </c>
      <c r="E452" s="4" t="s">
        <v>41</v>
      </c>
      <c r="F452" s="4" t="s">
        <v>3452</v>
      </c>
      <c r="G452" s="4" t="s">
        <v>3663</v>
      </c>
      <c r="H452" s="4" t="s">
        <v>3664</v>
      </c>
      <c r="I452" s="4" t="s">
        <v>1857</v>
      </c>
      <c r="J452" s="4" t="s">
        <v>391</v>
      </c>
      <c r="K452" s="4" t="s">
        <v>908</v>
      </c>
      <c r="L452" s="7" t="s">
        <v>42</v>
      </c>
      <c r="M452" s="7"/>
      <c r="N452" s="4" t="s">
        <v>3450</v>
      </c>
    </row>
    <row r="453" spans="1:14" ht="40" customHeight="1">
      <c r="A453" s="8" t="s">
        <v>387</v>
      </c>
      <c r="B453" s="8" t="s">
        <v>388</v>
      </c>
      <c r="C453" s="8" t="s">
        <v>4490</v>
      </c>
      <c r="D453" s="8" t="s">
        <v>208</v>
      </c>
      <c r="E453" s="8" t="s">
        <v>41</v>
      </c>
      <c r="F453" s="8" t="s">
        <v>3452</v>
      </c>
      <c r="G453" s="8" t="s">
        <v>3666</v>
      </c>
      <c r="H453" s="8" t="s">
        <v>3667</v>
      </c>
      <c r="I453" s="8" t="s">
        <v>1857</v>
      </c>
      <c r="J453" s="8" t="s">
        <v>391</v>
      </c>
      <c r="K453" s="8" t="s">
        <v>908</v>
      </c>
      <c r="L453" s="7" t="s">
        <v>42</v>
      </c>
      <c r="M453" s="7"/>
      <c r="N453" s="8" t="s">
        <v>3450</v>
      </c>
    </row>
    <row r="454" spans="1:14" ht="54" customHeight="1">
      <c r="A454" s="4" t="s">
        <v>387</v>
      </c>
      <c r="B454" s="4" t="s">
        <v>388</v>
      </c>
      <c r="C454" s="4" t="s">
        <v>4491</v>
      </c>
      <c r="D454" s="4" t="s">
        <v>208</v>
      </c>
      <c r="E454" s="4" t="s">
        <v>41</v>
      </c>
      <c r="F454" s="4" t="s">
        <v>3452</v>
      </c>
      <c r="G454" s="4" t="s">
        <v>3669</v>
      </c>
      <c r="H454" s="4" t="s">
        <v>3670</v>
      </c>
      <c r="I454" s="4" t="s">
        <v>1857</v>
      </c>
      <c r="J454" s="4" t="s">
        <v>391</v>
      </c>
      <c r="K454" s="4" t="s">
        <v>908</v>
      </c>
      <c r="L454" s="7" t="s">
        <v>42</v>
      </c>
      <c r="M454" s="7"/>
      <c r="N454" s="4" t="s">
        <v>3450</v>
      </c>
    </row>
    <row r="455" spans="1:14" ht="54" customHeight="1">
      <c r="A455" s="8" t="s">
        <v>387</v>
      </c>
      <c r="B455" s="8" t="s">
        <v>388</v>
      </c>
      <c r="C455" s="8" t="s">
        <v>4492</v>
      </c>
      <c r="D455" s="8" t="s">
        <v>208</v>
      </c>
      <c r="E455" s="8" t="s">
        <v>41</v>
      </c>
      <c r="F455" s="8" t="s">
        <v>3452</v>
      </c>
      <c r="G455" s="8" t="s">
        <v>3672</v>
      </c>
      <c r="H455" s="8" t="s">
        <v>3673</v>
      </c>
      <c r="I455" s="8" t="s">
        <v>1857</v>
      </c>
      <c r="J455" s="8" t="s">
        <v>391</v>
      </c>
      <c r="K455" s="8" t="s">
        <v>908</v>
      </c>
      <c r="L455" s="7" t="s">
        <v>42</v>
      </c>
      <c r="M455" s="7"/>
      <c r="N455" s="8" t="s">
        <v>3450</v>
      </c>
    </row>
    <row r="456" spans="1:14" ht="68" customHeight="1">
      <c r="A456" s="4" t="s">
        <v>387</v>
      </c>
      <c r="B456" s="4" t="s">
        <v>388</v>
      </c>
      <c r="C456" s="4" t="s">
        <v>4493</v>
      </c>
      <c r="D456" s="4" t="s">
        <v>208</v>
      </c>
      <c r="E456" s="4" t="s">
        <v>41</v>
      </c>
      <c r="F456" s="4" t="s">
        <v>3452</v>
      </c>
      <c r="G456" s="4" t="s">
        <v>3675</v>
      </c>
      <c r="H456" s="4" t="s">
        <v>3676</v>
      </c>
      <c r="I456" s="4" t="s">
        <v>1857</v>
      </c>
      <c r="J456" s="4" t="s">
        <v>391</v>
      </c>
      <c r="K456" s="4" t="s">
        <v>908</v>
      </c>
      <c r="L456" s="7" t="s">
        <v>42</v>
      </c>
      <c r="M456" s="7"/>
      <c r="N456" s="4" t="s">
        <v>3450</v>
      </c>
    </row>
    <row r="457" spans="1:14" ht="40" customHeight="1">
      <c r="A457" s="8" t="s">
        <v>387</v>
      </c>
      <c r="B457" s="8" t="s">
        <v>388</v>
      </c>
      <c r="C457" s="8" t="s">
        <v>4494</v>
      </c>
      <c r="D457" s="8" t="s">
        <v>208</v>
      </c>
      <c r="E457" s="8" t="s">
        <v>41</v>
      </c>
      <c r="F457" s="8" t="s">
        <v>3452</v>
      </c>
      <c r="G457" s="8" t="s">
        <v>3678</v>
      </c>
      <c r="H457" s="8" t="s">
        <v>3679</v>
      </c>
      <c r="I457" s="8" t="s">
        <v>1857</v>
      </c>
      <c r="J457" s="8" t="s">
        <v>391</v>
      </c>
      <c r="K457" s="8" t="s">
        <v>908</v>
      </c>
      <c r="L457" s="7" t="s">
        <v>42</v>
      </c>
      <c r="M457" s="7"/>
      <c r="N457" s="8" t="s">
        <v>3450</v>
      </c>
    </row>
    <row r="458" spans="1:14" ht="54" customHeight="1">
      <c r="A458" s="4" t="s">
        <v>387</v>
      </c>
      <c r="B458" s="4" t="s">
        <v>388</v>
      </c>
      <c r="C458" s="4" t="s">
        <v>4495</v>
      </c>
      <c r="D458" s="4" t="s">
        <v>208</v>
      </c>
      <c r="E458" s="4" t="s">
        <v>41</v>
      </c>
      <c r="F458" s="4" t="s">
        <v>3452</v>
      </c>
      <c r="G458" s="4" t="s">
        <v>3681</v>
      </c>
      <c r="H458" s="4" t="s">
        <v>3682</v>
      </c>
      <c r="I458" s="4" t="s">
        <v>1857</v>
      </c>
      <c r="J458" s="4" t="s">
        <v>391</v>
      </c>
      <c r="K458" s="4" t="s">
        <v>908</v>
      </c>
      <c r="L458" s="7" t="s">
        <v>42</v>
      </c>
      <c r="M458" s="7"/>
      <c r="N458" s="4" t="s">
        <v>3450</v>
      </c>
    </row>
    <row r="459" spans="1:14" ht="40" customHeight="1">
      <c r="A459" s="8" t="s">
        <v>387</v>
      </c>
      <c r="B459" s="8" t="s">
        <v>388</v>
      </c>
      <c r="C459" s="8" t="s">
        <v>4496</v>
      </c>
      <c r="D459" s="8" t="s">
        <v>208</v>
      </c>
      <c r="E459" s="8" t="s">
        <v>41</v>
      </c>
      <c r="F459" s="8" t="s">
        <v>3452</v>
      </c>
      <c r="G459" s="8" t="s">
        <v>3684</v>
      </c>
      <c r="H459" s="8" t="s">
        <v>3685</v>
      </c>
      <c r="I459" s="8" t="s">
        <v>1857</v>
      </c>
      <c r="J459" s="8" t="s">
        <v>391</v>
      </c>
      <c r="K459" s="8" t="s">
        <v>908</v>
      </c>
      <c r="L459" s="7" t="s">
        <v>42</v>
      </c>
      <c r="M459" s="7"/>
      <c r="N459" s="8" t="s">
        <v>3450</v>
      </c>
    </row>
    <row r="460" spans="1:14" ht="40" customHeight="1">
      <c r="A460" s="4" t="s">
        <v>387</v>
      </c>
      <c r="B460" s="4" t="s">
        <v>388</v>
      </c>
      <c r="C460" s="4" t="s">
        <v>4497</v>
      </c>
      <c r="D460" s="4" t="s">
        <v>208</v>
      </c>
      <c r="E460" s="4" t="s">
        <v>41</v>
      </c>
      <c r="F460" s="4" t="s">
        <v>3452</v>
      </c>
      <c r="G460" s="4" t="s">
        <v>3687</v>
      </c>
      <c r="H460" s="4" t="s">
        <v>3688</v>
      </c>
      <c r="I460" s="4" t="s">
        <v>1857</v>
      </c>
      <c r="J460" s="4" t="s">
        <v>391</v>
      </c>
      <c r="K460" s="4" t="s">
        <v>908</v>
      </c>
      <c r="L460" s="7" t="s">
        <v>42</v>
      </c>
      <c r="M460" s="7"/>
      <c r="N460" s="4" t="s">
        <v>3450</v>
      </c>
    </row>
    <row r="461" spans="1:14" ht="54" customHeight="1">
      <c r="A461" s="8" t="s">
        <v>394</v>
      </c>
      <c r="B461" s="8" t="s">
        <v>395</v>
      </c>
      <c r="C461" s="8" t="s">
        <v>4498</v>
      </c>
      <c r="D461" s="8" t="s">
        <v>208</v>
      </c>
      <c r="E461" s="8" t="s">
        <v>41</v>
      </c>
      <c r="F461" s="8" t="s">
        <v>3452</v>
      </c>
      <c r="G461" s="8" t="s">
        <v>4499</v>
      </c>
      <c r="H461" s="8" t="s">
        <v>3449</v>
      </c>
      <c r="I461" s="8" t="s">
        <v>1883</v>
      </c>
      <c r="J461" s="8" t="s">
        <v>399</v>
      </c>
      <c r="K461" s="8" t="s">
        <v>908</v>
      </c>
      <c r="L461" s="7" t="s">
        <v>42</v>
      </c>
      <c r="M461" s="7"/>
      <c r="N461" s="8" t="s">
        <v>3450</v>
      </c>
    </row>
    <row r="462" spans="1:14" ht="54" customHeight="1">
      <c r="A462" s="4" t="s">
        <v>394</v>
      </c>
      <c r="B462" s="4" t="s">
        <v>395</v>
      </c>
      <c r="C462" s="4" t="s">
        <v>4500</v>
      </c>
      <c r="D462" s="4" t="s">
        <v>208</v>
      </c>
      <c r="E462" s="4" t="s">
        <v>4501</v>
      </c>
      <c r="F462" s="4" t="s">
        <v>3448</v>
      </c>
      <c r="G462" s="4" t="s">
        <v>4501</v>
      </c>
      <c r="H462" s="4" t="s">
        <v>3469</v>
      </c>
      <c r="I462" s="4" t="s">
        <v>1883</v>
      </c>
      <c r="J462" s="4" t="s">
        <v>399</v>
      </c>
      <c r="K462" s="4" t="s">
        <v>908</v>
      </c>
      <c r="L462" s="7" t="s">
        <v>42</v>
      </c>
      <c r="M462" s="7"/>
      <c r="N462" s="4" t="s">
        <v>3450</v>
      </c>
    </row>
    <row r="463" spans="1:14" ht="54" customHeight="1">
      <c r="A463" s="8" t="s">
        <v>394</v>
      </c>
      <c r="B463" s="8" t="s">
        <v>395</v>
      </c>
      <c r="C463" s="8" t="s">
        <v>4502</v>
      </c>
      <c r="D463" s="8" t="s">
        <v>208</v>
      </c>
      <c r="E463" s="8" t="s">
        <v>4501</v>
      </c>
      <c r="F463" s="8" t="s">
        <v>3452</v>
      </c>
      <c r="G463" s="8" t="s">
        <v>4503</v>
      </c>
      <c r="H463" s="8" t="s">
        <v>3530</v>
      </c>
      <c r="I463" s="8" t="s">
        <v>1883</v>
      </c>
      <c r="J463" s="8" t="s">
        <v>399</v>
      </c>
      <c r="K463" s="8" t="s">
        <v>908</v>
      </c>
      <c r="L463" s="7" t="s">
        <v>42</v>
      </c>
      <c r="M463" s="7"/>
      <c r="N463" s="8" t="s">
        <v>3450</v>
      </c>
    </row>
    <row r="464" spans="1:14" ht="68" customHeight="1">
      <c r="A464" s="4" t="s">
        <v>394</v>
      </c>
      <c r="B464" s="4" t="s">
        <v>395</v>
      </c>
      <c r="C464" s="4" t="s">
        <v>4504</v>
      </c>
      <c r="D464" s="4" t="s">
        <v>208</v>
      </c>
      <c r="E464" s="4" t="s">
        <v>4501</v>
      </c>
      <c r="F464" s="4" t="s">
        <v>3452</v>
      </c>
      <c r="G464" s="4" t="s">
        <v>4505</v>
      </c>
      <c r="H464" s="4" t="s">
        <v>4011</v>
      </c>
      <c r="I464" s="4" t="s">
        <v>1883</v>
      </c>
      <c r="J464" s="4" t="s">
        <v>399</v>
      </c>
      <c r="K464" s="4" t="s">
        <v>908</v>
      </c>
      <c r="L464" s="7" t="s">
        <v>42</v>
      </c>
      <c r="M464" s="7"/>
      <c r="N464" s="4" t="s">
        <v>3450</v>
      </c>
    </row>
    <row r="465" spans="1:14" ht="54" customHeight="1">
      <c r="A465" s="8" t="s">
        <v>394</v>
      </c>
      <c r="B465" s="8" t="s">
        <v>395</v>
      </c>
      <c r="C465" s="8" t="s">
        <v>4506</v>
      </c>
      <c r="D465" s="8" t="s">
        <v>208</v>
      </c>
      <c r="E465" s="8" t="s">
        <v>4501</v>
      </c>
      <c r="F465" s="8" t="s">
        <v>3452</v>
      </c>
      <c r="G465" s="8" t="s">
        <v>4507</v>
      </c>
      <c r="H465" s="8" t="s">
        <v>3541</v>
      </c>
      <c r="I465" s="8" t="s">
        <v>1883</v>
      </c>
      <c r="J465" s="8" t="s">
        <v>399</v>
      </c>
      <c r="K465" s="8" t="s">
        <v>908</v>
      </c>
      <c r="L465" s="7" t="s">
        <v>42</v>
      </c>
      <c r="M465" s="7"/>
      <c r="N465" s="8" t="s">
        <v>3450</v>
      </c>
    </row>
    <row r="466" spans="1:14" ht="54" customHeight="1">
      <c r="A466" s="4" t="s">
        <v>394</v>
      </c>
      <c r="B466" s="4" t="s">
        <v>395</v>
      </c>
      <c r="C466" s="4" t="s">
        <v>4508</v>
      </c>
      <c r="D466" s="4" t="s">
        <v>208</v>
      </c>
      <c r="E466" s="4" t="s">
        <v>4501</v>
      </c>
      <c r="F466" s="4" t="s">
        <v>3452</v>
      </c>
      <c r="G466" s="4" t="s">
        <v>4509</v>
      </c>
      <c r="H466" s="4" t="s">
        <v>4338</v>
      </c>
      <c r="I466" s="4" t="s">
        <v>1883</v>
      </c>
      <c r="J466" s="4" t="s">
        <v>399</v>
      </c>
      <c r="K466" s="4" t="s">
        <v>908</v>
      </c>
      <c r="L466" s="7" t="s">
        <v>42</v>
      </c>
      <c r="M466" s="7"/>
      <c r="N466" s="4" t="s">
        <v>3450</v>
      </c>
    </row>
    <row r="467" spans="1:14" ht="54" customHeight="1">
      <c r="A467" s="8" t="s">
        <v>394</v>
      </c>
      <c r="B467" s="8" t="s">
        <v>395</v>
      </c>
      <c r="C467" s="8" t="s">
        <v>4510</v>
      </c>
      <c r="D467" s="8" t="s">
        <v>208</v>
      </c>
      <c r="E467" s="8" t="s">
        <v>4501</v>
      </c>
      <c r="F467" s="8" t="s">
        <v>3452</v>
      </c>
      <c r="G467" s="8" t="s">
        <v>4511</v>
      </c>
      <c r="H467" s="8" t="s">
        <v>3576</v>
      </c>
      <c r="I467" s="8" t="s">
        <v>1883</v>
      </c>
      <c r="J467" s="8" t="s">
        <v>399</v>
      </c>
      <c r="K467" s="8" t="s">
        <v>908</v>
      </c>
      <c r="L467" s="7" t="s">
        <v>42</v>
      </c>
      <c r="M467" s="7"/>
      <c r="N467" s="8" t="s">
        <v>3450</v>
      </c>
    </row>
    <row r="468" spans="1:14" ht="54" customHeight="1">
      <c r="A468" s="4" t="s">
        <v>394</v>
      </c>
      <c r="B468" s="4" t="s">
        <v>395</v>
      </c>
      <c r="C468" s="4" t="s">
        <v>4512</v>
      </c>
      <c r="D468" s="4" t="s">
        <v>208</v>
      </c>
      <c r="E468" s="4" t="s">
        <v>4501</v>
      </c>
      <c r="F468" s="4" t="s">
        <v>3452</v>
      </c>
      <c r="G468" s="4" t="s">
        <v>4513</v>
      </c>
      <c r="H468" s="4" t="s">
        <v>4347</v>
      </c>
      <c r="I468" s="4" t="s">
        <v>1883</v>
      </c>
      <c r="J468" s="4" t="s">
        <v>399</v>
      </c>
      <c r="K468" s="4" t="s">
        <v>908</v>
      </c>
      <c r="L468" s="7" t="s">
        <v>42</v>
      </c>
      <c r="M468" s="7"/>
      <c r="N468" s="4" t="s">
        <v>3450</v>
      </c>
    </row>
    <row r="469" spans="1:14" ht="40" customHeight="1">
      <c r="A469" s="8" t="s">
        <v>402</v>
      </c>
      <c r="B469" s="8" t="s">
        <v>403</v>
      </c>
      <c r="C469" s="8" t="s">
        <v>4514</v>
      </c>
      <c r="D469" s="8" t="s">
        <v>183</v>
      </c>
      <c r="E469" s="8" t="s">
        <v>4515</v>
      </c>
      <c r="F469" s="8" t="s">
        <v>3448</v>
      </c>
      <c r="G469" s="8" t="s">
        <v>4515</v>
      </c>
      <c r="H469" s="8" t="s">
        <v>3463</v>
      </c>
      <c r="I469" s="8" t="s">
        <v>1894</v>
      </c>
      <c r="J469" s="8" t="s">
        <v>408</v>
      </c>
      <c r="K469" s="8" t="s">
        <v>908</v>
      </c>
      <c r="L469" s="7" t="s">
        <v>42</v>
      </c>
      <c r="M469" s="7"/>
      <c r="N469" s="8" t="s">
        <v>3450</v>
      </c>
    </row>
    <row r="470" spans="1:14" ht="54" customHeight="1">
      <c r="A470" s="4" t="s">
        <v>402</v>
      </c>
      <c r="B470" s="4" t="s">
        <v>403</v>
      </c>
      <c r="C470" s="4" t="s">
        <v>4516</v>
      </c>
      <c r="D470" s="4" t="s">
        <v>183</v>
      </c>
      <c r="E470" s="4" t="s">
        <v>4515</v>
      </c>
      <c r="F470" s="4" t="s">
        <v>3452</v>
      </c>
      <c r="G470" s="4" t="s">
        <v>4517</v>
      </c>
      <c r="H470" s="4" t="s">
        <v>3454</v>
      </c>
      <c r="I470" s="4" t="s">
        <v>1894</v>
      </c>
      <c r="J470" s="4" t="s">
        <v>408</v>
      </c>
      <c r="K470" s="4" t="s">
        <v>908</v>
      </c>
      <c r="L470" s="7" t="s">
        <v>42</v>
      </c>
      <c r="M470" s="7"/>
      <c r="N470" s="4" t="s">
        <v>3450</v>
      </c>
    </row>
    <row r="471" spans="1:14" ht="40" customHeight="1">
      <c r="A471" s="8" t="s">
        <v>402</v>
      </c>
      <c r="B471" s="8" t="s">
        <v>403</v>
      </c>
      <c r="C471" s="8" t="s">
        <v>4518</v>
      </c>
      <c r="D471" s="8" t="s">
        <v>183</v>
      </c>
      <c r="E471" s="8" t="s">
        <v>4519</v>
      </c>
      <c r="F471" s="8" t="s">
        <v>3448</v>
      </c>
      <c r="G471" s="8" t="s">
        <v>4519</v>
      </c>
      <c r="H471" s="8" t="s">
        <v>3519</v>
      </c>
      <c r="I471" s="8" t="s">
        <v>1894</v>
      </c>
      <c r="J471" s="8" t="s">
        <v>408</v>
      </c>
      <c r="K471" s="8" t="s">
        <v>908</v>
      </c>
      <c r="L471" s="7" t="s">
        <v>42</v>
      </c>
      <c r="M471" s="7"/>
      <c r="N471" s="8" t="s">
        <v>3450</v>
      </c>
    </row>
    <row r="472" spans="1:14" ht="68" customHeight="1">
      <c r="A472" s="4" t="s">
        <v>402</v>
      </c>
      <c r="B472" s="4" t="s">
        <v>403</v>
      </c>
      <c r="C472" s="4" t="s">
        <v>4520</v>
      </c>
      <c r="D472" s="4" t="s">
        <v>183</v>
      </c>
      <c r="E472" s="4" t="s">
        <v>4519</v>
      </c>
      <c r="F472" s="4" t="s">
        <v>3452</v>
      </c>
      <c r="G472" s="4" t="s">
        <v>4521</v>
      </c>
      <c r="H472" s="4" t="s">
        <v>3522</v>
      </c>
      <c r="I472" s="4" t="s">
        <v>1894</v>
      </c>
      <c r="J472" s="4" t="s">
        <v>408</v>
      </c>
      <c r="K472" s="4" t="s">
        <v>908</v>
      </c>
      <c r="L472" s="7" t="s">
        <v>42</v>
      </c>
      <c r="M472" s="7"/>
      <c r="N472" s="4" t="s">
        <v>3450</v>
      </c>
    </row>
    <row r="473" spans="1:14" ht="68" customHeight="1">
      <c r="A473" s="8" t="s">
        <v>402</v>
      </c>
      <c r="B473" s="8" t="s">
        <v>403</v>
      </c>
      <c r="C473" s="8" t="s">
        <v>4522</v>
      </c>
      <c r="D473" s="8" t="s">
        <v>183</v>
      </c>
      <c r="E473" s="8" t="s">
        <v>4519</v>
      </c>
      <c r="F473" s="8" t="s">
        <v>3452</v>
      </c>
      <c r="G473" s="8" t="s">
        <v>4523</v>
      </c>
      <c r="H473" s="8" t="s">
        <v>3525</v>
      </c>
      <c r="I473" s="8" t="s">
        <v>1894</v>
      </c>
      <c r="J473" s="8" t="s">
        <v>408</v>
      </c>
      <c r="K473" s="8" t="s">
        <v>908</v>
      </c>
      <c r="L473" s="7" t="s">
        <v>42</v>
      </c>
      <c r="M473" s="7"/>
      <c r="N473" s="8" t="s">
        <v>3450</v>
      </c>
    </row>
    <row r="474" spans="1:14" ht="68" customHeight="1">
      <c r="A474" s="4" t="s">
        <v>402</v>
      </c>
      <c r="B474" s="4" t="s">
        <v>403</v>
      </c>
      <c r="C474" s="4" t="s">
        <v>4524</v>
      </c>
      <c r="D474" s="4" t="s">
        <v>183</v>
      </c>
      <c r="E474" s="4" t="s">
        <v>4519</v>
      </c>
      <c r="F474" s="4" t="s">
        <v>3452</v>
      </c>
      <c r="G474" s="4" t="s">
        <v>4525</v>
      </c>
      <c r="H474" s="4" t="s">
        <v>4377</v>
      </c>
      <c r="I474" s="4" t="s">
        <v>1894</v>
      </c>
      <c r="J474" s="4" t="s">
        <v>408</v>
      </c>
      <c r="K474" s="4" t="s">
        <v>908</v>
      </c>
      <c r="L474" s="7" t="s">
        <v>42</v>
      </c>
      <c r="M474" s="7"/>
      <c r="N474" s="4" t="s">
        <v>3450</v>
      </c>
    </row>
    <row r="475" spans="1:14" ht="68" customHeight="1">
      <c r="A475" s="8" t="s">
        <v>402</v>
      </c>
      <c r="B475" s="8" t="s">
        <v>403</v>
      </c>
      <c r="C475" s="8" t="s">
        <v>4526</v>
      </c>
      <c r="D475" s="8" t="s">
        <v>183</v>
      </c>
      <c r="E475" s="8" t="s">
        <v>4519</v>
      </c>
      <c r="F475" s="8" t="s">
        <v>3452</v>
      </c>
      <c r="G475" s="8" t="s">
        <v>4527</v>
      </c>
      <c r="H475" s="8" t="s">
        <v>4380</v>
      </c>
      <c r="I475" s="8" t="s">
        <v>1894</v>
      </c>
      <c r="J475" s="8" t="s">
        <v>408</v>
      </c>
      <c r="K475" s="8" t="s">
        <v>908</v>
      </c>
      <c r="L475" s="7" t="s">
        <v>42</v>
      </c>
      <c r="M475" s="7"/>
      <c r="N475" s="8" t="s">
        <v>3450</v>
      </c>
    </row>
    <row r="476" spans="1:14" ht="40" customHeight="1">
      <c r="A476" s="4" t="s">
        <v>402</v>
      </c>
      <c r="B476" s="4" t="s">
        <v>403</v>
      </c>
      <c r="C476" s="4" t="s">
        <v>4528</v>
      </c>
      <c r="D476" s="4" t="s">
        <v>183</v>
      </c>
      <c r="E476" s="4" t="s">
        <v>4529</v>
      </c>
      <c r="F476" s="4" t="s">
        <v>3448</v>
      </c>
      <c r="G476" s="4" t="s">
        <v>4529</v>
      </c>
      <c r="H476" s="4" t="s">
        <v>4383</v>
      </c>
      <c r="I476" s="4" t="s">
        <v>1894</v>
      </c>
      <c r="J476" s="4" t="s">
        <v>408</v>
      </c>
      <c r="K476" s="4" t="s">
        <v>908</v>
      </c>
      <c r="L476" s="7" t="s">
        <v>42</v>
      </c>
      <c r="M476" s="7"/>
      <c r="N476" s="4" t="s">
        <v>3450</v>
      </c>
    </row>
    <row r="477" spans="1:14" ht="138" customHeight="1">
      <c r="A477" s="8" t="s">
        <v>402</v>
      </c>
      <c r="B477" s="8" t="s">
        <v>403</v>
      </c>
      <c r="C477" s="8" t="s">
        <v>4530</v>
      </c>
      <c r="D477" s="8" t="s">
        <v>183</v>
      </c>
      <c r="E477" s="8" t="s">
        <v>4529</v>
      </c>
      <c r="F477" s="8" t="s">
        <v>3452</v>
      </c>
      <c r="G477" s="8" t="s">
        <v>4531</v>
      </c>
      <c r="H477" s="8" t="s">
        <v>4386</v>
      </c>
      <c r="I477" s="8" t="s">
        <v>1894</v>
      </c>
      <c r="J477" s="8" t="s">
        <v>408</v>
      </c>
      <c r="K477" s="8" t="s">
        <v>908</v>
      </c>
      <c r="L477" s="7" t="s">
        <v>42</v>
      </c>
      <c r="M477" s="7"/>
      <c r="N477" s="8" t="s">
        <v>3450</v>
      </c>
    </row>
    <row r="478" spans="1:14" ht="110" customHeight="1">
      <c r="A478" s="4" t="s">
        <v>402</v>
      </c>
      <c r="B478" s="4" t="s">
        <v>403</v>
      </c>
      <c r="C478" s="4" t="s">
        <v>4532</v>
      </c>
      <c r="D478" s="4" t="s">
        <v>183</v>
      </c>
      <c r="E478" s="4" t="s">
        <v>4529</v>
      </c>
      <c r="F478" s="4" t="s">
        <v>3452</v>
      </c>
      <c r="G478" s="4" t="s">
        <v>4533</v>
      </c>
      <c r="H478" s="4" t="s">
        <v>4534</v>
      </c>
      <c r="I478" s="4" t="s">
        <v>1894</v>
      </c>
      <c r="J478" s="4" t="s">
        <v>408</v>
      </c>
      <c r="K478" s="4" t="s">
        <v>908</v>
      </c>
      <c r="L478" s="7" t="s">
        <v>42</v>
      </c>
      <c r="M478" s="7"/>
      <c r="N478" s="4" t="s">
        <v>3450</v>
      </c>
    </row>
    <row r="479" spans="1:14" ht="124" customHeight="1">
      <c r="A479" s="8" t="s">
        <v>402</v>
      </c>
      <c r="B479" s="8" t="s">
        <v>403</v>
      </c>
      <c r="C479" s="8" t="s">
        <v>4535</v>
      </c>
      <c r="D479" s="8" t="s">
        <v>183</v>
      </c>
      <c r="E479" s="8" t="s">
        <v>4529</v>
      </c>
      <c r="F479" s="8" t="s">
        <v>3452</v>
      </c>
      <c r="G479" s="8" t="s">
        <v>4536</v>
      </c>
      <c r="H479" s="8" t="s">
        <v>4537</v>
      </c>
      <c r="I479" s="8" t="s">
        <v>1894</v>
      </c>
      <c r="J479" s="8" t="s">
        <v>408</v>
      </c>
      <c r="K479" s="8" t="s">
        <v>908</v>
      </c>
      <c r="L479" s="7" t="s">
        <v>42</v>
      </c>
      <c r="M479" s="7"/>
      <c r="N479" s="8" t="s">
        <v>3450</v>
      </c>
    </row>
    <row r="480" spans="1:14" ht="40" customHeight="1">
      <c r="A480" s="4" t="s">
        <v>402</v>
      </c>
      <c r="B480" s="4" t="s">
        <v>403</v>
      </c>
      <c r="C480" s="4" t="s">
        <v>4538</v>
      </c>
      <c r="D480" s="4" t="s">
        <v>183</v>
      </c>
      <c r="E480" s="4" t="s">
        <v>4539</v>
      </c>
      <c r="F480" s="4" t="s">
        <v>3448</v>
      </c>
      <c r="G480" s="4" t="s">
        <v>4539</v>
      </c>
      <c r="H480" s="4" t="s">
        <v>4540</v>
      </c>
      <c r="I480" s="4" t="s">
        <v>1894</v>
      </c>
      <c r="J480" s="4" t="s">
        <v>408</v>
      </c>
      <c r="K480" s="4" t="s">
        <v>908</v>
      </c>
      <c r="L480" s="7" t="s">
        <v>42</v>
      </c>
      <c r="M480" s="7"/>
      <c r="N480" s="4" t="s">
        <v>3450</v>
      </c>
    </row>
    <row r="481" spans="1:14" ht="68" customHeight="1">
      <c r="A481" s="8" t="s">
        <v>402</v>
      </c>
      <c r="B481" s="8" t="s">
        <v>403</v>
      </c>
      <c r="C481" s="8" t="s">
        <v>4541</v>
      </c>
      <c r="D481" s="8" t="s">
        <v>183</v>
      </c>
      <c r="E481" s="8" t="s">
        <v>4539</v>
      </c>
      <c r="F481" s="8" t="s">
        <v>3452</v>
      </c>
      <c r="G481" s="8" t="s">
        <v>4542</v>
      </c>
      <c r="H481" s="8" t="s">
        <v>4395</v>
      </c>
      <c r="I481" s="8" t="s">
        <v>1894</v>
      </c>
      <c r="J481" s="8" t="s">
        <v>408</v>
      </c>
      <c r="K481" s="8" t="s">
        <v>908</v>
      </c>
      <c r="L481" s="7" t="s">
        <v>42</v>
      </c>
      <c r="M481" s="7"/>
      <c r="N481" s="8" t="s">
        <v>3450</v>
      </c>
    </row>
    <row r="482" spans="1:14" ht="40" customHeight="1">
      <c r="A482" s="4" t="s">
        <v>402</v>
      </c>
      <c r="B482" s="4" t="s">
        <v>403</v>
      </c>
      <c r="C482" s="4" t="s">
        <v>4543</v>
      </c>
      <c r="D482" s="4" t="s">
        <v>183</v>
      </c>
      <c r="E482" s="4" t="s">
        <v>4544</v>
      </c>
      <c r="F482" s="4" t="s">
        <v>3448</v>
      </c>
      <c r="G482" s="4" t="s">
        <v>4544</v>
      </c>
      <c r="H482" s="4" t="s">
        <v>4545</v>
      </c>
      <c r="I482" s="4" t="s">
        <v>1894</v>
      </c>
      <c r="J482" s="4" t="s">
        <v>408</v>
      </c>
      <c r="K482" s="4" t="s">
        <v>908</v>
      </c>
      <c r="L482" s="7" t="s">
        <v>42</v>
      </c>
      <c r="M482" s="7"/>
      <c r="N482" s="4" t="s">
        <v>3450</v>
      </c>
    </row>
    <row r="483" spans="1:14" ht="110" customHeight="1">
      <c r="A483" s="8" t="s">
        <v>402</v>
      </c>
      <c r="B483" s="8" t="s">
        <v>403</v>
      </c>
      <c r="C483" s="8" t="s">
        <v>4546</v>
      </c>
      <c r="D483" s="8" t="s">
        <v>183</v>
      </c>
      <c r="E483" s="8" t="s">
        <v>4544</v>
      </c>
      <c r="F483" s="8" t="s">
        <v>3452</v>
      </c>
      <c r="G483" s="8" t="s">
        <v>4547</v>
      </c>
      <c r="H483" s="8" t="s">
        <v>4548</v>
      </c>
      <c r="I483" s="8" t="s">
        <v>1894</v>
      </c>
      <c r="J483" s="8" t="s">
        <v>408</v>
      </c>
      <c r="K483" s="8" t="s">
        <v>908</v>
      </c>
      <c r="L483" s="7" t="s">
        <v>42</v>
      </c>
      <c r="M483" s="7"/>
      <c r="N483" s="8" t="s">
        <v>3450</v>
      </c>
    </row>
    <row r="484" spans="1:14" ht="54" customHeight="1">
      <c r="A484" s="4" t="s">
        <v>402</v>
      </c>
      <c r="B484" s="4" t="s">
        <v>403</v>
      </c>
      <c r="C484" s="4" t="s">
        <v>4549</v>
      </c>
      <c r="D484" s="4" t="s">
        <v>183</v>
      </c>
      <c r="E484" s="4" t="s">
        <v>4544</v>
      </c>
      <c r="F484" s="4" t="s">
        <v>3452</v>
      </c>
      <c r="G484" s="4" t="s">
        <v>4550</v>
      </c>
      <c r="H484" s="4" t="s">
        <v>4406</v>
      </c>
      <c r="I484" s="4" t="s">
        <v>1894</v>
      </c>
      <c r="J484" s="4" t="s">
        <v>408</v>
      </c>
      <c r="K484" s="4" t="s">
        <v>908</v>
      </c>
      <c r="L484" s="7" t="s">
        <v>42</v>
      </c>
      <c r="M484" s="7"/>
      <c r="N484" s="4" t="s">
        <v>3450</v>
      </c>
    </row>
    <row r="485" spans="1:14" ht="40" customHeight="1">
      <c r="A485" s="8" t="s">
        <v>402</v>
      </c>
      <c r="B485" s="8" t="s">
        <v>403</v>
      </c>
      <c r="C485" s="8" t="s">
        <v>4551</v>
      </c>
      <c r="D485" s="8" t="s">
        <v>183</v>
      </c>
      <c r="E485" s="8" t="s">
        <v>4552</v>
      </c>
      <c r="F485" s="8" t="s">
        <v>3448</v>
      </c>
      <c r="G485" s="8" t="s">
        <v>4552</v>
      </c>
      <c r="H485" s="8" t="s">
        <v>4553</v>
      </c>
      <c r="I485" s="8" t="s">
        <v>1894</v>
      </c>
      <c r="J485" s="8" t="s">
        <v>408</v>
      </c>
      <c r="K485" s="8" t="s">
        <v>908</v>
      </c>
      <c r="L485" s="7" t="s">
        <v>42</v>
      </c>
      <c r="M485" s="7"/>
      <c r="N485" s="8" t="s">
        <v>3450</v>
      </c>
    </row>
    <row r="486" spans="1:14" ht="40" customHeight="1">
      <c r="A486" s="4" t="s">
        <v>402</v>
      </c>
      <c r="B486" s="4" t="s">
        <v>403</v>
      </c>
      <c r="C486" s="4" t="s">
        <v>4554</v>
      </c>
      <c r="D486" s="4" t="s">
        <v>183</v>
      </c>
      <c r="E486" s="4" t="s">
        <v>4552</v>
      </c>
      <c r="F486" s="4" t="s">
        <v>3452</v>
      </c>
      <c r="G486" s="4" t="s">
        <v>4555</v>
      </c>
      <c r="H486" s="4" t="s">
        <v>4556</v>
      </c>
      <c r="I486" s="4" t="s">
        <v>1894</v>
      </c>
      <c r="J486" s="4" t="s">
        <v>408</v>
      </c>
      <c r="K486" s="4" t="s">
        <v>908</v>
      </c>
      <c r="L486" s="7" t="s">
        <v>42</v>
      </c>
      <c r="M486" s="7"/>
      <c r="N486" s="4" t="s">
        <v>3450</v>
      </c>
    </row>
    <row r="487" spans="1:14" ht="40" customHeight="1">
      <c r="A487" s="8" t="s">
        <v>402</v>
      </c>
      <c r="B487" s="8" t="s">
        <v>403</v>
      </c>
      <c r="C487" s="8" t="s">
        <v>4557</v>
      </c>
      <c r="D487" s="8" t="s">
        <v>183</v>
      </c>
      <c r="E487" s="8" t="s">
        <v>4552</v>
      </c>
      <c r="F487" s="8" t="s">
        <v>3452</v>
      </c>
      <c r="G487" s="8" t="s">
        <v>4558</v>
      </c>
      <c r="H487" s="8" t="s">
        <v>4559</v>
      </c>
      <c r="I487" s="8" t="s">
        <v>1894</v>
      </c>
      <c r="J487" s="8" t="s">
        <v>408</v>
      </c>
      <c r="K487" s="8" t="s">
        <v>908</v>
      </c>
      <c r="L487" s="7" t="s">
        <v>42</v>
      </c>
      <c r="M487" s="7"/>
      <c r="N487" s="8" t="s">
        <v>3450</v>
      </c>
    </row>
    <row r="488" spans="1:14" ht="40" customHeight="1">
      <c r="A488" s="4" t="s">
        <v>402</v>
      </c>
      <c r="B488" s="4" t="s">
        <v>403</v>
      </c>
      <c r="C488" s="4" t="s">
        <v>4560</v>
      </c>
      <c r="D488" s="4" t="s">
        <v>183</v>
      </c>
      <c r="E488" s="4" t="s">
        <v>4552</v>
      </c>
      <c r="F488" s="4" t="s">
        <v>3452</v>
      </c>
      <c r="G488" s="4" t="s">
        <v>4561</v>
      </c>
      <c r="H488" s="4" t="s">
        <v>4562</v>
      </c>
      <c r="I488" s="4" t="s">
        <v>1894</v>
      </c>
      <c r="J488" s="4" t="s">
        <v>408</v>
      </c>
      <c r="K488" s="4" t="s">
        <v>908</v>
      </c>
      <c r="L488" s="7" t="s">
        <v>42</v>
      </c>
      <c r="M488" s="7"/>
      <c r="N488" s="4" t="s">
        <v>3450</v>
      </c>
    </row>
    <row r="489" spans="1:14" ht="96" customHeight="1">
      <c r="A489" s="8" t="s">
        <v>402</v>
      </c>
      <c r="B489" s="8" t="s">
        <v>403</v>
      </c>
      <c r="C489" s="8" t="s">
        <v>4563</v>
      </c>
      <c r="D489" s="8" t="s">
        <v>208</v>
      </c>
      <c r="E489" s="8" t="s">
        <v>41</v>
      </c>
      <c r="F489" s="8" t="s">
        <v>3452</v>
      </c>
      <c r="G489" s="8" t="s">
        <v>4564</v>
      </c>
      <c r="H489" s="8" t="s">
        <v>4565</v>
      </c>
      <c r="I489" s="8" t="s">
        <v>1894</v>
      </c>
      <c r="J489" s="8" t="s">
        <v>408</v>
      </c>
      <c r="K489" s="8" t="s">
        <v>908</v>
      </c>
      <c r="L489" s="7" t="s">
        <v>42</v>
      </c>
      <c r="M489" s="7"/>
      <c r="N489" s="8" t="s">
        <v>3450</v>
      </c>
    </row>
    <row r="490" spans="1:14" ht="68" customHeight="1">
      <c r="A490" s="4" t="s">
        <v>402</v>
      </c>
      <c r="B490" s="4" t="s">
        <v>403</v>
      </c>
      <c r="C490" s="4" t="s">
        <v>4566</v>
      </c>
      <c r="D490" s="4" t="s">
        <v>208</v>
      </c>
      <c r="E490" s="4" t="s">
        <v>41</v>
      </c>
      <c r="F490" s="4" t="s">
        <v>3452</v>
      </c>
      <c r="G490" s="4" t="s">
        <v>4567</v>
      </c>
      <c r="H490" s="4" t="s">
        <v>4568</v>
      </c>
      <c r="I490" s="4" t="s">
        <v>1894</v>
      </c>
      <c r="J490" s="4" t="s">
        <v>408</v>
      </c>
      <c r="K490" s="4" t="s">
        <v>908</v>
      </c>
      <c r="L490" s="7" t="s">
        <v>42</v>
      </c>
      <c r="M490" s="7"/>
      <c r="N490" s="4" t="s">
        <v>3450</v>
      </c>
    </row>
    <row r="491" spans="1:14" ht="54" customHeight="1">
      <c r="A491" s="8" t="s">
        <v>411</v>
      </c>
      <c r="B491" s="8" t="s">
        <v>412</v>
      </c>
      <c r="C491" s="8" t="s">
        <v>4569</v>
      </c>
      <c r="D491" s="8" t="s">
        <v>183</v>
      </c>
      <c r="E491" s="8" t="s">
        <v>41</v>
      </c>
      <c r="F491" s="8" t="s">
        <v>3452</v>
      </c>
      <c r="G491" s="8" t="s">
        <v>4570</v>
      </c>
      <c r="H491" s="8" t="s">
        <v>3449</v>
      </c>
      <c r="I491" s="8" t="s">
        <v>1914</v>
      </c>
      <c r="J491" s="8" t="s">
        <v>416</v>
      </c>
      <c r="K491" s="8" t="s">
        <v>908</v>
      </c>
      <c r="L491" s="7" t="s">
        <v>42</v>
      </c>
      <c r="M491" s="7"/>
      <c r="N491" s="8" t="s">
        <v>3450</v>
      </c>
    </row>
    <row r="492" spans="1:14" ht="54" customHeight="1">
      <c r="A492" s="4" t="s">
        <v>411</v>
      </c>
      <c r="B492" s="4" t="s">
        <v>412</v>
      </c>
      <c r="C492" s="4" t="s">
        <v>4571</v>
      </c>
      <c r="D492" s="4" t="s">
        <v>183</v>
      </c>
      <c r="E492" s="4" t="s">
        <v>41</v>
      </c>
      <c r="F492" s="4" t="s">
        <v>3452</v>
      </c>
      <c r="G492" s="4" t="s">
        <v>4572</v>
      </c>
      <c r="H492" s="4" t="s">
        <v>3466</v>
      </c>
      <c r="I492" s="4" t="s">
        <v>1914</v>
      </c>
      <c r="J492" s="4" t="s">
        <v>416</v>
      </c>
      <c r="K492" s="4" t="s">
        <v>908</v>
      </c>
      <c r="L492" s="7" t="s">
        <v>42</v>
      </c>
      <c r="M492" s="7"/>
      <c r="N492" s="4" t="s">
        <v>3450</v>
      </c>
    </row>
    <row r="493" spans="1:14" ht="54" customHeight="1">
      <c r="A493" s="8" t="s">
        <v>411</v>
      </c>
      <c r="B493" s="8" t="s">
        <v>412</v>
      </c>
      <c r="C493" s="8" t="s">
        <v>4573</v>
      </c>
      <c r="D493" s="8" t="s">
        <v>183</v>
      </c>
      <c r="E493" s="8" t="s">
        <v>41</v>
      </c>
      <c r="F493" s="8" t="s">
        <v>3452</v>
      </c>
      <c r="G493" s="8" t="s">
        <v>4574</v>
      </c>
      <c r="H493" s="8" t="s">
        <v>3469</v>
      </c>
      <c r="I493" s="8" t="s">
        <v>1914</v>
      </c>
      <c r="J493" s="8" t="s">
        <v>416</v>
      </c>
      <c r="K493" s="8" t="s">
        <v>908</v>
      </c>
      <c r="L493" s="7" t="s">
        <v>42</v>
      </c>
      <c r="M493" s="7"/>
      <c r="N493" s="8" t="s">
        <v>3450</v>
      </c>
    </row>
    <row r="494" spans="1:14" ht="54" customHeight="1">
      <c r="A494" s="4" t="s">
        <v>411</v>
      </c>
      <c r="B494" s="4" t="s">
        <v>412</v>
      </c>
      <c r="C494" s="4" t="s">
        <v>4575</v>
      </c>
      <c r="D494" s="4" t="s">
        <v>183</v>
      </c>
      <c r="E494" s="4" t="s">
        <v>41</v>
      </c>
      <c r="F494" s="4" t="s">
        <v>3452</v>
      </c>
      <c r="G494" s="4" t="s">
        <v>4576</v>
      </c>
      <c r="H494" s="4" t="s">
        <v>3472</v>
      </c>
      <c r="I494" s="4" t="s">
        <v>1914</v>
      </c>
      <c r="J494" s="4" t="s">
        <v>416</v>
      </c>
      <c r="K494" s="4" t="s">
        <v>908</v>
      </c>
      <c r="L494" s="7" t="s">
        <v>42</v>
      </c>
      <c r="M494" s="7"/>
      <c r="N494" s="4" t="s">
        <v>3450</v>
      </c>
    </row>
    <row r="495" spans="1:14" ht="54" customHeight="1">
      <c r="A495" s="8" t="s">
        <v>411</v>
      </c>
      <c r="B495" s="8" t="s">
        <v>412</v>
      </c>
      <c r="C495" s="8" t="s">
        <v>4577</v>
      </c>
      <c r="D495" s="8" t="s">
        <v>183</v>
      </c>
      <c r="E495" s="8" t="s">
        <v>41</v>
      </c>
      <c r="F495" s="8" t="s">
        <v>3452</v>
      </c>
      <c r="G495" s="8" t="s">
        <v>4578</v>
      </c>
      <c r="H495" s="8" t="s">
        <v>3475</v>
      </c>
      <c r="I495" s="8" t="s">
        <v>1914</v>
      </c>
      <c r="J495" s="8" t="s">
        <v>416</v>
      </c>
      <c r="K495" s="8" t="s">
        <v>908</v>
      </c>
      <c r="L495" s="7" t="s">
        <v>42</v>
      </c>
      <c r="M495" s="7"/>
      <c r="N495" s="8" t="s">
        <v>3450</v>
      </c>
    </row>
    <row r="496" spans="1:14" ht="68" customHeight="1">
      <c r="A496" s="4" t="s">
        <v>419</v>
      </c>
      <c r="B496" s="4" t="s">
        <v>420</v>
      </c>
      <c r="C496" s="4" t="s">
        <v>4579</v>
      </c>
      <c r="D496" s="4" t="s">
        <v>208</v>
      </c>
      <c r="E496" s="4" t="s">
        <v>41</v>
      </c>
      <c r="F496" s="4" t="s">
        <v>3452</v>
      </c>
      <c r="G496" s="4" t="s">
        <v>4580</v>
      </c>
      <c r="H496" s="4" t="s">
        <v>3463</v>
      </c>
      <c r="I496" s="4" t="s">
        <v>1955</v>
      </c>
      <c r="J496" s="4" t="s">
        <v>427</v>
      </c>
      <c r="K496" s="4" t="s">
        <v>908</v>
      </c>
      <c r="L496" s="7" t="s">
        <v>42</v>
      </c>
      <c r="M496" s="7"/>
      <c r="N496" s="4" t="s">
        <v>3450</v>
      </c>
    </row>
    <row r="497" spans="1:14" ht="54" customHeight="1">
      <c r="A497" s="8" t="s">
        <v>419</v>
      </c>
      <c r="B497" s="8" t="s">
        <v>420</v>
      </c>
      <c r="C497" s="8" t="s">
        <v>4581</v>
      </c>
      <c r="D497" s="8" t="s">
        <v>208</v>
      </c>
      <c r="E497" s="8" t="s">
        <v>41</v>
      </c>
      <c r="F497" s="8" t="s">
        <v>3452</v>
      </c>
      <c r="G497" s="8" t="s">
        <v>4582</v>
      </c>
      <c r="H497" s="8" t="s">
        <v>3485</v>
      </c>
      <c r="I497" s="8" t="s">
        <v>1955</v>
      </c>
      <c r="J497" s="8" t="s">
        <v>427</v>
      </c>
      <c r="K497" s="8" t="s">
        <v>908</v>
      </c>
      <c r="L497" s="7" t="s">
        <v>42</v>
      </c>
      <c r="M497" s="7"/>
      <c r="N497" s="8" t="s">
        <v>3450</v>
      </c>
    </row>
    <row r="498" spans="1:14" ht="40" customHeight="1">
      <c r="A498" s="4" t="s">
        <v>419</v>
      </c>
      <c r="B498" s="4" t="s">
        <v>420</v>
      </c>
      <c r="C498" s="4" t="s">
        <v>4583</v>
      </c>
      <c r="D498" s="4" t="s">
        <v>183</v>
      </c>
      <c r="E498" s="4" t="s">
        <v>41</v>
      </c>
      <c r="F498" s="4" t="s">
        <v>3452</v>
      </c>
      <c r="G498" s="4" t="s">
        <v>4584</v>
      </c>
      <c r="H498" s="4" t="s">
        <v>3588</v>
      </c>
      <c r="I498" s="4" t="s">
        <v>1955</v>
      </c>
      <c r="J498" s="4" t="s">
        <v>427</v>
      </c>
      <c r="K498" s="4" t="s">
        <v>908</v>
      </c>
      <c r="L498" s="7" t="s">
        <v>42</v>
      </c>
      <c r="M498" s="7"/>
      <c r="N498" s="4" t="s">
        <v>3450</v>
      </c>
    </row>
    <row r="499" spans="1:14" ht="40" customHeight="1">
      <c r="A499" s="8" t="s">
        <v>419</v>
      </c>
      <c r="B499" s="8" t="s">
        <v>420</v>
      </c>
      <c r="C499" s="8" t="s">
        <v>4585</v>
      </c>
      <c r="D499" s="8" t="s">
        <v>183</v>
      </c>
      <c r="E499" s="8" t="s">
        <v>41</v>
      </c>
      <c r="F499" s="8" t="s">
        <v>3452</v>
      </c>
      <c r="G499" s="8" t="s">
        <v>4586</v>
      </c>
      <c r="H499" s="8" t="s">
        <v>3815</v>
      </c>
      <c r="I499" s="8" t="s">
        <v>1955</v>
      </c>
      <c r="J499" s="8" t="s">
        <v>427</v>
      </c>
      <c r="K499" s="8" t="s">
        <v>908</v>
      </c>
      <c r="L499" s="7" t="s">
        <v>42</v>
      </c>
      <c r="M499" s="7"/>
      <c r="N499" s="8" t="s">
        <v>3450</v>
      </c>
    </row>
    <row r="500" spans="1:14" ht="40" customHeight="1">
      <c r="A500" s="4" t="s">
        <v>419</v>
      </c>
      <c r="B500" s="4" t="s">
        <v>420</v>
      </c>
      <c r="C500" s="4" t="s">
        <v>4587</v>
      </c>
      <c r="D500" s="4" t="s">
        <v>183</v>
      </c>
      <c r="E500" s="4" t="s">
        <v>41</v>
      </c>
      <c r="F500" s="4" t="s">
        <v>3452</v>
      </c>
      <c r="G500" s="4" t="s">
        <v>4588</v>
      </c>
      <c r="H500" s="4" t="s">
        <v>3646</v>
      </c>
      <c r="I500" s="4" t="s">
        <v>1955</v>
      </c>
      <c r="J500" s="4" t="s">
        <v>427</v>
      </c>
      <c r="K500" s="4" t="s">
        <v>908</v>
      </c>
      <c r="L500" s="7" t="s">
        <v>42</v>
      </c>
      <c r="M500" s="7"/>
      <c r="N500" s="4" t="s">
        <v>3450</v>
      </c>
    </row>
    <row r="501" spans="1:14" ht="82" customHeight="1">
      <c r="A501" s="8" t="s">
        <v>419</v>
      </c>
      <c r="B501" s="8" t="s">
        <v>420</v>
      </c>
      <c r="C501" s="8" t="s">
        <v>4589</v>
      </c>
      <c r="D501" s="8" t="s">
        <v>183</v>
      </c>
      <c r="E501" s="8" t="s">
        <v>41</v>
      </c>
      <c r="F501" s="8" t="s">
        <v>3452</v>
      </c>
      <c r="G501" s="8" t="s">
        <v>4590</v>
      </c>
      <c r="H501" s="8" t="s">
        <v>3819</v>
      </c>
      <c r="I501" s="8" t="s">
        <v>1955</v>
      </c>
      <c r="J501" s="8" t="s">
        <v>427</v>
      </c>
      <c r="K501" s="8" t="s">
        <v>908</v>
      </c>
      <c r="L501" s="7" t="s">
        <v>42</v>
      </c>
      <c r="M501" s="7"/>
      <c r="N501" s="8" t="s">
        <v>3450</v>
      </c>
    </row>
    <row r="502" spans="1:14" ht="40" customHeight="1">
      <c r="A502" s="4" t="s">
        <v>419</v>
      </c>
      <c r="B502" s="4" t="s">
        <v>420</v>
      </c>
      <c r="C502" s="4" t="s">
        <v>4591</v>
      </c>
      <c r="D502" s="4" t="s">
        <v>183</v>
      </c>
      <c r="E502" s="4" t="s">
        <v>41</v>
      </c>
      <c r="F502" s="4" t="s">
        <v>3452</v>
      </c>
      <c r="G502" s="4" t="s">
        <v>4592</v>
      </c>
      <c r="H502" s="4" t="s">
        <v>4158</v>
      </c>
      <c r="I502" s="4" t="s">
        <v>1955</v>
      </c>
      <c r="J502" s="4" t="s">
        <v>427</v>
      </c>
      <c r="K502" s="4" t="s">
        <v>908</v>
      </c>
      <c r="L502" s="7" t="s">
        <v>42</v>
      </c>
      <c r="M502" s="7"/>
      <c r="N502" s="4" t="s">
        <v>3450</v>
      </c>
    </row>
    <row r="503" spans="1:14" ht="68" customHeight="1">
      <c r="A503" s="8" t="s">
        <v>419</v>
      </c>
      <c r="B503" s="8" t="s">
        <v>420</v>
      </c>
      <c r="C503" s="8" t="s">
        <v>4593</v>
      </c>
      <c r="D503" s="8" t="s">
        <v>183</v>
      </c>
      <c r="E503" s="8" t="s">
        <v>41</v>
      </c>
      <c r="F503" s="8" t="s">
        <v>3452</v>
      </c>
      <c r="G503" s="8" t="s">
        <v>4594</v>
      </c>
      <c r="H503" s="8" t="s">
        <v>4160</v>
      </c>
      <c r="I503" s="8" t="s">
        <v>1955</v>
      </c>
      <c r="J503" s="8" t="s">
        <v>427</v>
      </c>
      <c r="K503" s="8" t="s">
        <v>908</v>
      </c>
      <c r="L503" s="7" t="s">
        <v>42</v>
      </c>
      <c r="M503" s="7"/>
      <c r="N503" s="8" t="s">
        <v>3450</v>
      </c>
    </row>
    <row r="504" spans="1:14" ht="40" customHeight="1">
      <c r="A504" s="4" t="s">
        <v>419</v>
      </c>
      <c r="B504" s="4" t="s">
        <v>420</v>
      </c>
      <c r="C504" s="4" t="s">
        <v>4595</v>
      </c>
      <c r="D504" s="4" t="s">
        <v>183</v>
      </c>
      <c r="E504" s="4" t="s">
        <v>41</v>
      </c>
      <c r="F504" s="4" t="s">
        <v>3452</v>
      </c>
      <c r="G504" s="4" t="s">
        <v>4596</v>
      </c>
      <c r="H504" s="4" t="s">
        <v>4597</v>
      </c>
      <c r="I504" s="4" t="s">
        <v>1955</v>
      </c>
      <c r="J504" s="4" t="s">
        <v>427</v>
      </c>
      <c r="K504" s="4" t="s">
        <v>908</v>
      </c>
      <c r="L504" s="7" t="s">
        <v>42</v>
      </c>
      <c r="M504" s="7"/>
      <c r="N504" s="4" t="s">
        <v>3450</v>
      </c>
    </row>
    <row r="505" spans="1:14" ht="40" customHeight="1">
      <c r="A505" s="8" t="s">
        <v>419</v>
      </c>
      <c r="B505" s="8" t="s">
        <v>420</v>
      </c>
      <c r="C505" s="8" t="s">
        <v>4598</v>
      </c>
      <c r="D505" s="8" t="s">
        <v>183</v>
      </c>
      <c r="E505" s="8" t="s">
        <v>41</v>
      </c>
      <c r="F505" s="8" t="s">
        <v>3452</v>
      </c>
      <c r="G505" s="8" t="s">
        <v>4599</v>
      </c>
      <c r="H505" s="8" t="s">
        <v>4600</v>
      </c>
      <c r="I505" s="8" t="s">
        <v>1955</v>
      </c>
      <c r="J505" s="8" t="s">
        <v>427</v>
      </c>
      <c r="K505" s="8" t="s">
        <v>908</v>
      </c>
      <c r="L505" s="7" t="s">
        <v>42</v>
      </c>
      <c r="M505" s="7"/>
      <c r="N505" s="8" t="s">
        <v>3450</v>
      </c>
    </row>
    <row r="506" spans="1:14" ht="40" customHeight="1">
      <c r="A506" s="4" t="s">
        <v>419</v>
      </c>
      <c r="B506" s="4" t="s">
        <v>420</v>
      </c>
      <c r="C506" s="4" t="s">
        <v>4601</v>
      </c>
      <c r="D506" s="4" t="s">
        <v>183</v>
      </c>
      <c r="E506" s="4" t="s">
        <v>41</v>
      </c>
      <c r="F506" s="4" t="s">
        <v>3452</v>
      </c>
      <c r="G506" s="4" t="s">
        <v>4602</v>
      </c>
      <c r="H506" s="4" t="s">
        <v>4603</v>
      </c>
      <c r="I506" s="4" t="s">
        <v>1955</v>
      </c>
      <c r="J506" s="4" t="s">
        <v>427</v>
      </c>
      <c r="K506" s="4" t="s">
        <v>908</v>
      </c>
      <c r="L506" s="7" t="s">
        <v>42</v>
      </c>
      <c r="M506" s="7"/>
      <c r="N506" s="4" t="s">
        <v>3450</v>
      </c>
    </row>
    <row r="507" spans="1:14" ht="68" customHeight="1">
      <c r="A507" s="8" t="s">
        <v>419</v>
      </c>
      <c r="B507" s="8" t="s">
        <v>420</v>
      </c>
      <c r="C507" s="8" t="s">
        <v>4604</v>
      </c>
      <c r="D507" s="8" t="s">
        <v>183</v>
      </c>
      <c r="E507" s="8" t="s">
        <v>41</v>
      </c>
      <c r="F507" s="8" t="s">
        <v>3452</v>
      </c>
      <c r="G507" s="8" t="s">
        <v>4605</v>
      </c>
      <c r="H507" s="8" t="s">
        <v>4606</v>
      </c>
      <c r="I507" s="8" t="s">
        <v>1955</v>
      </c>
      <c r="J507" s="8" t="s">
        <v>427</v>
      </c>
      <c r="K507" s="8" t="s">
        <v>908</v>
      </c>
      <c r="L507" s="7" t="s">
        <v>42</v>
      </c>
      <c r="M507" s="7"/>
      <c r="N507" s="8" t="s">
        <v>3450</v>
      </c>
    </row>
    <row r="508" spans="1:14" ht="40" customHeight="1">
      <c r="A508" s="4" t="s">
        <v>419</v>
      </c>
      <c r="B508" s="4" t="s">
        <v>420</v>
      </c>
      <c r="C508" s="4" t="s">
        <v>4607</v>
      </c>
      <c r="D508" s="4" t="s">
        <v>183</v>
      </c>
      <c r="E508" s="4" t="s">
        <v>41</v>
      </c>
      <c r="F508" s="4" t="s">
        <v>3452</v>
      </c>
      <c r="G508" s="4" t="s">
        <v>4608</v>
      </c>
      <c r="H508" s="4" t="s">
        <v>4609</v>
      </c>
      <c r="I508" s="4" t="s">
        <v>1955</v>
      </c>
      <c r="J508" s="4" t="s">
        <v>427</v>
      </c>
      <c r="K508" s="4" t="s">
        <v>908</v>
      </c>
      <c r="L508" s="7" t="s">
        <v>42</v>
      </c>
      <c r="M508" s="7"/>
      <c r="N508" s="4" t="s">
        <v>3450</v>
      </c>
    </row>
    <row r="509" spans="1:14" ht="54" customHeight="1">
      <c r="A509" s="8" t="s">
        <v>419</v>
      </c>
      <c r="B509" s="8" t="s">
        <v>420</v>
      </c>
      <c r="C509" s="8" t="s">
        <v>4610</v>
      </c>
      <c r="D509" s="8" t="s">
        <v>183</v>
      </c>
      <c r="E509" s="8" t="s">
        <v>41</v>
      </c>
      <c r="F509" s="8" t="s">
        <v>3452</v>
      </c>
      <c r="G509" s="8" t="s">
        <v>4611</v>
      </c>
      <c r="H509" s="8" t="s">
        <v>4612</v>
      </c>
      <c r="I509" s="8" t="s">
        <v>1955</v>
      </c>
      <c r="J509" s="8" t="s">
        <v>427</v>
      </c>
      <c r="K509" s="8" t="s">
        <v>908</v>
      </c>
      <c r="L509" s="7" t="s">
        <v>42</v>
      </c>
      <c r="M509" s="7"/>
      <c r="N509" s="8" t="s">
        <v>3450</v>
      </c>
    </row>
    <row r="510" spans="1:14" ht="40" customHeight="1">
      <c r="A510" s="4" t="s">
        <v>419</v>
      </c>
      <c r="B510" s="4" t="s">
        <v>420</v>
      </c>
      <c r="C510" s="4" t="s">
        <v>4613</v>
      </c>
      <c r="D510" s="4" t="s">
        <v>183</v>
      </c>
      <c r="E510" s="4" t="s">
        <v>41</v>
      </c>
      <c r="F510" s="4" t="s">
        <v>3452</v>
      </c>
      <c r="G510" s="4" t="s">
        <v>4614</v>
      </c>
      <c r="H510" s="4" t="s">
        <v>4615</v>
      </c>
      <c r="I510" s="4" t="s">
        <v>1955</v>
      </c>
      <c r="J510" s="4" t="s">
        <v>427</v>
      </c>
      <c r="K510" s="4" t="s">
        <v>908</v>
      </c>
      <c r="L510" s="7" t="s">
        <v>42</v>
      </c>
      <c r="M510" s="7"/>
      <c r="N510" s="4" t="s">
        <v>3450</v>
      </c>
    </row>
    <row r="511" spans="1:14" ht="54" customHeight="1">
      <c r="A511" s="8" t="s">
        <v>419</v>
      </c>
      <c r="B511" s="8" t="s">
        <v>420</v>
      </c>
      <c r="C511" s="8" t="s">
        <v>4616</v>
      </c>
      <c r="D511" s="8" t="s">
        <v>183</v>
      </c>
      <c r="E511" s="8" t="s">
        <v>41</v>
      </c>
      <c r="F511" s="8" t="s">
        <v>3452</v>
      </c>
      <c r="G511" s="8" t="s">
        <v>4617</v>
      </c>
      <c r="H511" s="8" t="s">
        <v>3719</v>
      </c>
      <c r="I511" s="8" t="s">
        <v>1955</v>
      </c>
      <c r="J511" s="8" t="s">
        <v>427</v>
      </c>
      <c r="K511" s="8" t="s">
        <v>908</v>
      </c>
      <c r="L511" s="7" t="s">
        <v>42</v>
      </c>
      <c r="M511" s="7"/>
      <c r="N511" s="8" t="s">
        <v>3450</v>
      </c>
    </row>
    <row r="512" spans="1:14" ht="40" customHeight="1">
      <c r="A512" s="4" t="s">
        <v>419</v>
      </c>
      <c r="B512" s="4" t="s">
        <v>420</v>
      </c>
      <c r="C512" s="4" t="s">
        <v>4618</v>
      </c>
      <c r="D512" s="4" t="s">
        <v>183</v>
      </c>
      <c r="E512" s="4" t="s">
        <v>41</v>
      </c>
      <c r="F512" s="4" t="s">
        <v>3452</v>
      </c>
      <c r="G512" s="4" t="s">
        <v>4619</v>
      </c>
      <c r="H512" s="4" t="s">
        <v>4620</v>
      </c>
      <c r="I512" s="4" t="s">
        <v>1955</v>
      </c>
      <c r="J512" s="4" t="s">
        <v>427</v>
      </c>
      <c r="K512" s="4" t="s">
        <v>908</v>
      </c>
      <c r="L512" s="7" t="s">
        <v>42</v>
      </c>
      <c r="M512" s="7"/>
      <c r="N512" s="4" t="s">
        <v>3450</v>
      </c>
    </row>
    <row r="513" spans="1:14" ht="54" customHeight="1">
      <c r="A513" s="8" t="s">
        <v>419</v>
      </c>
      <c r="B513" s="8" t="s">
        <v>420</v>
      </c>
      <c r="C513" s="8" t="s">
        <v>4621</v>
      </c>
      <c r="D513" s="8" t="s">
        <v>183</v>
      </c>
      <c r="E513" s="8" t="s">
        <v>41</v>
      </c>
      <c r="F513" s="8" t="s">
        <v>3452</v>
      </c>
      <c r="G513" s="8" t="s">
        <v>4622</v>
      </c>
      <c r="H513" s="8" t="s">
        <v>3725</v>
      </c>
      <c r="I513" s="8" t="s">
        <v>1955</v>
      </c>
      <c r="J513" s="8" t="s">
        <v>427</v>
      </c>
      <c r="K513" s="8" t="s">
        <v>908</v>
      </c>
      <c r="L513" s="7" t="s">
        <v>42</v>
      </c>
      <c r="M513" s="7"/>
      <c r="N513" s="8" t="s">
        <v>3450</v>
      </c>
    </row>
    <row r="514" spans="1:14" ht="40" customHeight="1">
      <c r="A514" s="4" t="s">
        <v>419</v>
      </c>
      <c r="B514" s="4" t="s">
        <v>420</v>
      </c>
      <c r="C514" s="4" t="s">
        <v>4623</v>
      </c>
      <c r="D514" s="4" t="s">
        <v>183</v>
      </c>
      <c r="E514" s="4" t="s">
        <v>41</v>
      </c>
      <c r="F514" s="4" t="s">
        <v>3452</v>
      </c>
      <c r="G514" s="4" t="s">
        <v>4624</v>
      </c>
      <c r="H514" s="4" t="s">
        <v>4625</v>
      </c>
      <c r="I514" s="4" t="s">
        <v>1955</v>
      </c>
      <c r="J514" s="4" t="s">
        <v>427</v>
      </c>
      <c r="K514" s="4" t="s">
        <v>908</v>
      </c>
      <c r="L514" s="7" t="s">
        <v>42</v>
      </c>
      <c r="M514" s="7"/>
      <c r="N514" s="4" t="s">
        <v>3450</v>
      </c>
    </row>
    <row r="515" spans="1:14" ht="54" customHeight="1">
      <c r="A515" s="8" t="s">
        <v>419</v>
      </c>
      <c r="B515" s="8" t="s">
        <v>420</v>
      </c>
      <c r="C515" s="8" t="s">
        <v>4626</v>
      </c>
      <c r="D515" s="8" t="s">
        <v>183</v>
      </c>
      <c r="E515" s="8" t="s">
        <v>41</v>
      </c>
      <c r="F515" s="8" t="s">
        <v>3452</v>
      </c>
      <c r="G515" s="8" t="s">
        <v>4627</v>
      </c>
      <c r="H515" s="8" t="s">
        <v>4628</v>
      </c>
      <c r="I515" s="8" t="s">
        <v>1955</v>
      </c>
      <c r="J515" s="8" t="s">
        <v>427</v>
      </c>
      <c r="K515" s="8" t="s">
        <v>908</v>
      </c>
      <c r="L515" s="7" t="s">
        <v>42</v>
      </c>
      <c r="M515" s="7"/>
      <c r="N515" s="8" t="s">
        <v>3450</v>
      </c>
    </row>
    <row r="516" spans="1:14" ht="40" customHeight="1">
      <c r="A516" s="4" t="s">
        <v>430</v>
      </c>
      <c r="B516" s="4" t="s">
        <v>431</v>
      </c>
      <c r="C516" s="4" t="s">
        <v>4629</v>
      </c>
      <c r="D516" s="4" t="s">
        <v>183</v>
      </c>
      <c r="E516" s="4" t="s">
        <v>2792</v>
      </c>
      <c r="F516" s="4" t="s">
        <v>3448</v>
      </c>
      <c r="G516" s="4" t="s">
        <v>2792</v>
      </c>
      <c r="H516" s="4" t="s">
        <v>3449</v>
      </c>
      <c r="I516" s="4" t="s">
        <v>1966</v>
      </c>
      <c r="J516" s="4" t="s">
        <v>436</v>
      </c>
      <c r="K516" s="4" t="s">
        <v>908</v>
      </c>
      <c r="L516" s="7" t="s">
        <v>42</v>
      </c>
      <c r="M516" s="7"/>
      <c r="N516" s="4" t="s">
        <v>3450</v>
      </c>
    </row>
    <row r="517" spans="1:14" ht="40" customHeight="1">
      <c r="A517" s="8" t="s">
        <v>430</v>
      </c>
      <c r="B517" s="8" t="s">
        <v>431</v>
      </c>
      <c r="C517" s="8" t="s">
        <v>4630</v>
      </c>
      <c r="D517" s="8" t="s">
        <v>183</v>
      </c>
      <c r="E517" s="8" t="s">
        <v>2792</v>
      </c>
      <c r="F517" s="8" t="s">
        <v>3452</v>
      </c>
      <c r="G517" s="8" t="s">
        <v>3825</v>
      </c>
      <c r="H517" s="8" t="s">
        <v>3466</v>
      </c>
      <c r="I517" s="8" t="s">
        <v>1966</v>
      </c>
      <c r="J517" s="8" t="s">
        <v>436</v>
      </c>
      <c r="K517" s="8" t="s">
        <v>908</v>
      </c>
      <c r="L517" s="7" t="s">
        <v>42</v>
      </c>
      <c r="M517" s="7"/>
      <c r="N517" s="8" t="s">
        <v>3450</v>
      </c>
    </row>
    <row r="518" spans="1:14" ht="40" customHeight="1">
      <c r="A518" s="4" t="s">
        <v>430</v>
      </c>
      <c r="B518" s="4" t="s">
        <v>431</v>
      </c>
      <c r="C518" s="4" t="s">
        <v>4631</v>
      </c>
      <c r="D518" s="4" t="s">
        <v>183</v>
      </c>
      <c r="E518" s="4" t="s">
        <v>2792</v>
      </c>
      <c r="F518" s="4" t="s">
        <v>3452</v>
      </c>
      <c r="G518" s="4" t="s">
        <v>3827</v>
      </c>
      <c r="H518" s="4" t="s">
        <v>3469</v>
      </c>
      <c r="I518" s="4" t="s">
        <v>1966</v>
      </c>
      <c r="J518" s="4" t="s">
        <v>436</v>
      </c>
      <c r="K518" s="4" t="s">
        <v>908</v>
      </c>
      <c r="L518" s="7" t="s">
        <v>42</v>
      </c>
      <c r="M518" s="7"/>
      <c r="N518" s="4" t="s">
        <v>3450</v>
      </c>
    </row>
    <row r="519" spans="1:14" ht="40" customHeight="1">
      <c r="A519" s="8" t="s">
        <v>430</v>
      </c>
      <c r="B519" s="8" t="s">
        <v>431</v>
      </c>
      <c r="C519" s="8" t="s">
        <v>4632</v>
      </c>
      <c r="D519" s="8" t="s">
        <v>183</v>
      </c>
      <c r="E519" s="8" t="s">
        <v>2792</v>
      </c>
      <c r="F519" s="8" t="s">
        <v>3452</v>
      </c>
      <c r="G519" s="8" t="s">
        <v>3829</v>
      </c>
      <c r="H519" s="8" t="s">
        <v>3472</v>
      </c>
      <c r="I519" s="8" t="s">
        <v>1966</v>
      </c>
      <c r="J519" s="8" t="s">
        <v>436</v>
      </c>
      <c r="K519" s="8" t="s">
        <v>908</v>
      </c>
      <c r="L519" s="7" t="s">
        <v>42</v>
      </c>
      <c r="M519" s="7"/>
      <c r="N519" s="8" t="s">
        <v>3450</v>
      </c>
    </row>
    <row r="520" spans="1:14" ht="40" customHeight="1">
      <c r="A520" s="4" t="s">
        <v>430</v>
      </c>
      <c r="B520" s="4" t="s">
        <v>431</v>
      </c>
      <c r="C520" s="4" t="s">
        <v>4633</v>
      </c>
      <c r="D520" s="4" t="s">
        <v>183</v>
      </c>
      <c r="E520" s="4" t="s">
        <v>2792</v>
      </c>
      <c r="F520" s="4" t="s">
        <v>3452</v>
      </c>
      <c r="G520" s="4" t="s">
        <v>3831</v>
      </c>
      <c r="H520" s="4" t="s">
        <v>3475</v>
      </c>
      <c r="I520" s="4" t="s">
        <v>1966</v>
      </c>
      <c r="J520" s="4" t="s">
        <v>436</v>
      </c>
      <c r="K520" s="4" t="s">
        <v>908</v>
      </c>
      <c r="L520" s="7" t="s">
        <v>42</v>
      </c>
      <c r="M520" s="7"/>
      <c r="N520" s="4" t="s">
        <v>3450</v>
      </c>
    </row>
    <row r="521" spans="1:14" ht="40" customHeight="1">
      <c r="A521" s="8" t="s">
        <v>430</v>
      </c>
      <c r="B521" s="8" t="s">
        <v>431</v>
      </c>
      <c r="C521" s="8" t="s">
        <v>4634</v>
      </c>
      <c r="D521" s="8" t="s">
        <v>183</v>
      </c>
      <c r="E521" s="8" t="s">
        <v>2792</v>
      </c>
      <c r="F521" s="8" t="s">
        <v>3452</v>
      </c>
      <c r="G521" s="8" t="s">
        <v>3833</v>
      </c>
      <c r="H521" s="8" t="s">
        <v>3478</v>
      </c>
      <c r="I521" s="8" t="s">
        <v>1966</v>
      </c>
      <c r="J521" s="8" t="s">
        <v>436</v>
      </c>
      <c r="K521" s="8" t="s">
        <v>908</v>
      </c>
      <c r="L521" s="7" t="s">
        <v>42</v>
      </c>
      <c r="M521" s="7"/>
      <c r="N521" s="8" t="s">
        <v>3450</v>
      </c>
    </row>
    <row r="522" spans="1:14" ht="40" customHeight="1">
      <c r="A522" s="4" t="s">
        <v>430</v>
      </c>
      <c r="B522" s="4" t="s">
        <v>431</v>
      </c>
      <c r="C522" s="4" t="s">
        <v>4635</v>
      </c>
      <c r="D522" s="4" t="s">
        <v>183</v>
      </c>
      <c r="E522" s="4" t="s">
        <v>2792</v>
      </c>
      <c r="F522" s="4" t="s">
        <v>3452</v>
      </c>
      <c r="G522" s="4" t="s">
        <v>3835</v>
      </c>
      <c r="H522" s="4" t="s">
        <v>3603</v>
      </c>
      <c r="I522" s="4" t="s">
        <v>1966</v>
      </c>
      <c r="J522" s="4" t="s">
        <v>436</v>
      </c>
      <c r="K522" s="4" t="s">
        <v>908</v>
      </c>
      <c r="L522" s="7" t="s">
        <v>42</v>
      </c>
      <c r="M522" s="7"/>
      <c r="N522" s="4" t="s">
        <v>3450</v>
      </c>
    </row>
    <row r="523" spans="1:14" ht="40" customHeight="1">
      <c r="A523" s="8" t="s">
        <v>430</v>
      </c>
      <c r="B523" s="8" t="s">
        <v>431</v>
      </c>
      <c r="C523" s="8" t="s">
        <v>4636</v>
      </c>
      <c r="D523" s="8" t="s">
        <v>183</v>
      </c>
      <c r="E523" s="8" t="s">
        <v>3837</v>
      </c>
      <c r="F523" s="8" t="s">
        <v>3448</v>
      </c>
      <c r="G523" s="8" t="s">
        <v>3837</v>
      </c>
      <c r="H523" s="8" t="s">
        <v>3838</v>
      </c>
      <c r="I523" s="8" t="s">
        <v>1966</v>
      </c>
      <c r="J523" s="8" t="s">
        <v>436</v>
      </c>
      <c r="K523" s="8" t="s">
        <v>908</v>
      </c>
      <c r="L523" s="7" t="s">
        <v>42</v>
      </c>
      <c r="M523" s="7"/>
      <c r="N523" s="8" t="s">
        <v>3450</v>
      </c>
    </row>
    <row r="524" spans="1:14" ht="40" customHeight="1">
      <c r="A524" s="4" t="s">
        <v>430</v>
      </c>
      <c r="B524" s="4" t="s">
        <v>431</v>
      </c>
      <c r="C524" s="4" t="s">
        <v>4637</v>
      </c>
      <c r="D524" s="4" t="s">
        <v>183</v>
      </c>
      <c r="E524" s="4" t="s">
        <v>3837</v>
      </c>
      <c r="F524" s="4" t="s">
        <v>3452</v>
      </c>
      <c r="G524" s="4" t="s">
        <v>3840</v>
      </c>
      <c r="H524" s="4" t="s">
        <v>3608</v>
      </c>
      <c r="I524" s="4" t="s">
        <v>1966</v>
      </c>
      <c r="J524" s="4" t="s">
        <v>436</v>
      </c>
      <c r="K524" s="4" t="s">
        <v>908</v>
      </c>
      <c r="L524" s="7" t="s">
        <v>42</v>
      </c>
      <c r="M524" s="7"/>
      <c r="N524" s="4" t="s">
        <v>3450</v>
      </c>
    </row>
    <row r="525" spans="1:14" ht="40" customHeight="1">
      <c r="A525" s="8" t="s">
        <v>430</v>
      </c>
      <c r="B525" s="8" t="s">
        <v>431</v>
      </c>
      <c r="C525" s="8" t="s">
        <v>4638</v>
      </c>
      <c r="D525" s="8" t="s">
        <v>183</v>
      </c>
      <c r="E525" s="8" t="s">
        <v>3837</v>
      </c>
      <c r="F525" s="8" t="s">
        <v>3452</v>
      </c>
      <c r="G525" s="8" t="s">
        <v>3842</v>
      </c>
      <c r="H525" s="8" t="s">
        <v>3611</v>
      </c>
      <c r="I525" s="8" t="s">
        <v>1966</v>
      </c>
      <c r="J525" s="8" t="s">
        <v>436</v>
      </c>
      <c r="K525" s="8" t="s">
        <v>908</v>
      </c>
      <c r="L525" s="7" t="s">
        <v>42</v>
      </c>
      <c r="M525" s="7"/>
      <c r="N525" s="8" t="s">
        <v>3450</v>
      </c>
    </row>
    <row r="526" spans="1:14" ht="40" customHeight="1">
      <c r="A526" s="4" t="s">
        <v>430</v>
      </c>
      <c r="B526" s="4" t="s">
        <v>431</v>
      </c>
      <c r="C526" s="4" t="s">
        <v>4639</v>
      </c>
      <c r="D526" s="4" t="s">
        <v>183</v>
      </c>
      <c r="E526" s="4" t="s">
        <v>3837</v>
      </c>
      <c r="F526" s="4" t="s">
        <v>3452</v>
      </c>
      <c r="G526" s="4" t="s">
        <v>3844</v>
      </c>
      <c r="H526" s="4" t="s">
        <v>3775</v>
      </c>
      <c r="I526" s="4" t="s">
        <v>1966</v>
      </c>
      <c r="J526" s="4" t="s">
        <v>436</v>
      </c>
      <c r="K526" s="4" t="s">
        <v>908</v>
      </c>
      <c r="L526" s="7" t="s">
        <v>42</v>
      </c>
      <c r="M526" s="7"/>
      <c r="N526" s="4" t="s">
        <v>3450</v>
      </c>
    </row>
    <row r="527" spans="1:14" ht="40" customHeight="1">
      <c r="A527" s="8" t="s">
        <v>430</v>
      </c>
      <c r="B527" s="8" t="s">
        <v>431</v>
      </c>
      <c r="C527" s="8" t="s">
        <v>4640</v>
      </c>
      <c r="D527" s="8" t="s">
        <v>183</v>
      </c>
      <c r="E527" s="8" t="s">
        <v>3837</v>
      </c>
      <c r="F527" s="8" t="s">
        <v>3452</v>
      </c>
      <c r="G527" s="8" t="s">
        <v>3846</v>
      </c>
      <c r="H527" s="8" t="s">
        <v>3847</v>
      </c>
      <c r="I527" s="8" t="s">
        <v>1966</v>
      </c>
      <c r="J527" s="8" t="s">
        <v>436</v>
      </c>
      <c r="K527" s="8" t="s">
        <v>908</v>
      </c>
      <c r="L527" s="7" t="s">
        <v>42</v>
      </c>
      <c r="M527" s="7"/>
      <c r="N527" s="8" t="s">
        <v>3450</v>
      </c>
    </row>
    <row r="528" spans="1:14" ht="40" customHeight="1">
      <c r="A528" s="4" t="s">
        <v>439</v>
      </c>
      <c r="B528" s="4" t="s">
        <v>440</v>
      </c>
      <c r="C528" s="4" t="s">
        <v>4641</v>
      </c>
      <c r="D528" s="4" t="s">
        <v>183</v>
      </c>
      <c r="E528" s="4" t="s">
        <v>41</v>
      </c>
      <c r="F528" s="4" t="s">
        <v>3452</v>
      </c>
      <c r="G528" s="4" t="s">
        <v>4642</v>
      </c>
      <c r="H528" s="4" t="s">
        <v>3463</v>
      </c>
      <c r="I528" s="4" t="s">
        <v>1979</v>
      </c>
      <c r="J528" s="4" t="s">
        <v>446</v>
      </c>
      <c r="K528" s="4" t="s">
        <v>908</v>
      </c>
      <c r="L528" s="7" t="s">
        <v>42</v>
      </c>
      <c r="M528" s="7"/>
      <c r="N528" s="4" t="s">
        <v>3450</v>
      </c>
    </row>
    <row r="529" spans="1:14" ht="40" customHeight="1">
      <c r="A529" s="8" t="s">
        <v>439</v>
      </c>
      <c r="B529" s="8" t="s">
        <v>440</v>
      </c>
      <c r="C529" s="8" t="s">
        <v>4643</v>
      </c>
      <c r="D529" s="8" t="s">
        <v>183</v>
      </c>
      <c r="E529" s="8" t="s">
        <v>41</v>
      </c>
      <c r="F529" s="8" t="s">
        <v>3452</v>
      </c>
      <c r="G529" s="8" t="s">
        <v>4644</v>
      </c>
      <c r="H529" s="8" t="s">
        <v>3466</v>
      </c>
      <c r="I529" s="8" t="s">
        <v>1979</v>
      </c>
      <c r="J529" s="8" t="s">
        <v>446</v>
      </c>
      <c r="K529" s="8" t="s">
        <v>908</v>
      </c>
      <c r="L529" s="7" t="s">
        <v>42</v>
      </c>
      <c r="M529" s="7"/>
      <c r="N529" s="8" t="s">
        <v>3450</v>
      </c>
    </row>
    <row r="530" spans="1:14" ht="40" customHeight="1">
      <c r="A530" s="4" t="s">
        <v>439</v>
      </c>
      <c r="B530" s="4" t="s">
        <v>440</v>
      </c>
      <c r="C530" s="4" t="s">
        <v>4645</v>
      </c>
      <c r="D530" s="4" t="s">
        <v>183</v>
      </c>
      <c r="E530" s="4" t="s">
        <v>41</v>
      </c>
      <c r="F530" s="4" t="s">
        <v>3452</v>
      </c>
      <c r="G530" s="4" t="s">
        <v>4646</v>
      </c>
      <c r="H530" s="4" t="s">
        <v>3469</v>
      </c>
      <c r="I530" s="4" t="s">
        <v>1979</v>
      </c>
      <c r="J530" s="4" t="s">
        <v>446</v>
      </c>
      <c r="K530" s="4" t="s">
        <v>908</v>
      </c>
      <c r="L530" s="7" t="s">
        <v>42</v>
      </c>
      <c r="M530" s="7"/>
      <c r="N530" s="4" t="s">
        <v>3450</v>
      </c>
    </row>
    <row r="531" spans="1:14" ht="40" customHeight="1">
      <c r="A531" s="8" t="s">
        <v>439</v>
      </c>
      <c r="B531" s="8" t="s">
        <v>440</v>
      </c>
      <c r="C531" s="8" t="s">
        <v>4647</v>
      </c>
      <c r="D531" s="8" t="s">
        <v>183</v>
      </c>
      <c r="E531" s="8" t="s">
        <v>41</v>
      </c>
      <c r="F531" s="8" t="s">
        <v>3452</v>
      </c>
      <c r="G531" s="8" t="s">
        <v>4648</v>
      </c>
      <c r="H531" s="8" t="s">
        <v>3472</v>
      </c>
      <c r="I531" s="8" t="s">
        <v>1979</v>
      </c>
      <c r="J531" s="8" t="s">
        <v>446</v>
      </c>
      <c r="K531" s="8" t="s">
        <v>908</v>
      </c>
      <c r="L531" s="7" t="s">
        <v>42</v>
      </c>
      <c r="M531" s="7"/>
      <c r="N531" s="8" t="s">
        <v>3450</v>
      </c>
    </row>
    <row r="532" spans="1:14" ht="54" customHeight="1">
      <c r="A532" s="4" t="s">
        <v>439</v>
      </c>
      <c r="B532" s="4" t="s">
        <v>440</v>
      </c>
      <c r="C532" s="4" t="s">
        <v>4649</v>
      </c>
      <c r="D532" s="4" t="s">
        <v>183</v>
      </c>
      <c r="E532" s="4" t="s">
        <v>41</v>
      </c>
      <c r="F532" s="4" t="s">
        <v>3452</v>
      </c>
      <c r="G532" s="4" t="s">
        <v>4650</v>
      </c>
      <c r="H532" s="4" t="s">
        <v>3475</v>
      </c>
      <c r="I532" s="4" t="s">
        <v>1979</v>
      </c>
      <c r="J532" s="4" t="s">
        <v>446</v>
      </c>
      <c r="K532" s="4" t="s">
        <v>908</v>
      </c>
      <c r="L532" s="7" t="s">
        <v>42</v>
      </c>
      <c r="M532" s="7"/>
      <c r="N532" s="4" t="s">
        <v>3450</v>
      </c>
    </row>
    <row r="533" spans="1:14" ht="40" customHeight="1">
      <c r="A533" s="8" t="s">
        <v>439</v>
      </c>
      <c r="B533" s="8" t="s">
        <v>440</v>
      </c>
      <c r="C533" s="8" t="s">
        <v>4651</v>
      </c>
      <c r="D533" s="8" t="s">
        <v>183</v>
      </c>
      <c r="E533" s="8" t="s">
        <v>41</v>
      </c>
      <c r="F533" s="8" t="s">
        <v>3452</v>
      </c>
      <c r="G533" s="8" t="s">
        <v>4652</v>
      </c>
      <c r="H533" s="8" t="s">
        <v>3915</v>
      </c>
      <c r="I533" s="8" t="s">
        <v>1979</v>
      </c>
      <c r="J533" s="8" t="s">
        <v>446</v>
      </c>
      <c r="K533" s="8" t="s">
        <v>908</v>
      </c>
      <c r="L533" s="7" t="s">
        <v>42</v>
      </c>
      <c r="M533" s="7"/>
      <c r="N533" s="8" t="s">
        <v>3450</v>
      </c>
    </row>
    <row r="534" spans="1:14" ht="54" customHeight="1">
      <c r="A534" s="4" t="s">
        <v>439</v>
      </c>
      <c r="B534" s="4" t="s">
        <v>440</v>
      </c>
      <c r="C534" s="4" t="s">
        <v>4653</v>
      </c>
      <c r="D534" s="4" t="s">
        <v>183</v>
      </c>
      <c r="E534" s="4" t="s">
        <v>41</v>
      </c>
      <c r="F534" s="4" t="s">
        <v>3452</v>
      </c>
      <c r="G534" s="4" t="s">
        <v>4654</v>
      </c>
      <c r="H534" s="4" t="s">
        <v>3838</v>
      </c>
      <c r="I534" s="4" t="s">
        <v>1979</v>
      </c>
      <c r="J534" s="4" t="s">
        <v>446</v>
      </c>
      <c r="K534" s="4" t="s">
        <v>908</v>
      </c>
      <c r="L534" s="7" t="s">
        <v>42</v>
      </c>
      <c r="M534" s="7"/>
      <c r="N534" s="4" t="s">
        <v>3450</v>
      </c>
    </row>
    <row r="535" spans="1:14" ht="40" customHeight="1">
      <c r="A535" s="8" t="s">
        <v>439</v>
      </c>
      <c r="B535" s="8" t="s">
        <v>440</v>
      </c>
      <c r="C535" s="8" t="s">
        <v>4655</v>
      </c>
      <c r="D535" s="8" t="s">
        <v>183</v>
      </c>
      <c r="E535" s="8" t="s">
        <v>41</v>
      </c>
      <c r="F535" s="8" t="s">
        <v>3452</v>
      </c>
      <c r="G535" s="8" t="s">
        <v>4656</v>
      </c>
      <c r="H535" s="8" t="s">
        <v>3608</v>
      </c>
      <c r="I535" s="8" t="s">
        <v>1979</v>
      </c>
      <c r="J535" s="8" t="s">
        <v>446</v>
      </c>
      <c r="K535" s="8" t="s">
        <v>908</v>
      </c>
      <c r="L535" s="7" t="s">
        <v>42</v>
      </c>
      <c r="M535" s="7"/>
      <c r="N535" s="8" t="s">
        <v>3450</v>
      </c>
    </row>
    <row r="536" spans="1:14" ht="40" customHeight="1">
      <c r="A536" s="4" t="s">
        <v>439</v>
      </c>
      <c r="B536" s="4" t="s">
        <v>440</v>
      </c>
      <c r="C536" s="4" t="s">
        <v>4657</v>
      </c>
      <c r="D536" s="4" t="s">
        <v>183</v>
      </c>
      <c r="E536" s="4" t="s">
        <v>41</v>
      </c>
      <c r="F536" s="4" t="s">
        <v>3452</v>
      </c>
      <c r="G536" s="4" t="s">
        <v>4658</v>
      </c>
      <c r="H536" s="4" t="s">
        <v>3611</v>
      </c>
      <c r="I536" s="4" t="s">
        <v>1979</v>
      </c>
      <c r="J536" s="4" t="s">
        <v>446</v>
      </c>
      <c r="K536" s="4" t="s">
        <v>908</v>
      </c>
      <c r="L536" s="7" t="s">
        <v>42</v>
      </c>
      <c r="M536" s="7"/>
      <c r="N536" s="4" t="s">
        <v>3450</v>
      </c>
    </row>
    <row r="537" spans="1:14" ht="54" customHeight="1">
      <c r="A537" s="8" t="s">
        <v>439</v>
      </c>
      <c r="B537" s="8" t="s">
        <v>440</v>
      </c>
      <c r="C537" s="8" t="s">
        <v>4659</v>
      </c>
      <c r="D537" s="8" t="s">
        <v>183</v>
      </c>
      <c r="E537" s="8" t="s">
        <v>41</v>
      </c>
      <c r="F537" s="8" t="s">
        <v>3452</v>
      </c>
      <c r="G537" s="8" t="s">
        <v>4660</v>
      </c>
      <c r="H537" s="8" t="s">
        <v>3775</v>
      </c>
      <c r="I537" s="8" t="s">
        <v>1979</v>
      </c>
      <c r="J537" s="8" t="s">
        <v>446</v>
      </c>
      <c r="K537" s="8" t="s">
        <v>908</v>
      </c>
      <c r="L537" s="7" t="s">
        <v>42</v>
      </c>
      <c r="M537" s="7"/>
      <c r="N537" s="8" t="s">
        <v>3450</v>
      </c>
    </row>
    <row r="538" spans="1:14" ht="40" customHeight="1">
      <c r="A538" s="4" t="s">
        <v>439</v>
      </c>
      <c r="B538" s="4" t="s">
        <v>440</v>
      </c>
      <c r="C538" s="4" t="s">
        <v>4661</v>
      </c>
      <c r="D538" s="4" t="s">
        <v>183</v>
      </c>
      <c r="E538" s="4" t="s">
        <v>41</v>
      </c>
      <c r="F538" s="4" t="s">
        <v>3452</v>
      </c>
      <c r="G538" s="4" t="s">
        <v>4662</v>
      </c>
      <c r="H538" s="4" t="s">
        <v>3777</v>
      </c>
      <c r="I538" s="4" t="s">
        <v>1979</v>
      </c>
      <c r="J538" s="4" t="s">
        <v>446</v>
      </c>
      <c r="K538" s="4" t="s">
        <v>908</v>
      </c>
      <c r="L538" s="7" t="s">
        <v>42</v>
      </c>
      <c r="M538" s="7"/>
      <c r="N538" s="4" t="s">
        <v>3450</v>
      </c>
    </row>
    <row r="539" spans="1:14" ht="54" customHeight="1">
      <c r="A539" s="8" t="s">
        <v>449</v>
      </c>
      <c r="B539" s="8" t="s">
        <v>450</v>
      </c>
      <c r="C539" s="8" t="s">
        <v>4663</v>
      </c>
      <c r="D539" s="8" t="s">
        <v>183</v>
      </c>
      <c r="E539" s="8" t="s">
        <v>41</v>
      </c>
      <c r="F539" s="8" t="s">
        <v>3452</v>
      </c>
      <c r="G539" s="8" t="s">
        <v>4664</v>
      </c>
      <c r="H539" s="8" t="s">
        <v>3463</v>
      </c>
      <c r="I539" s="8" t="s">
        <v>1996</v>
      </c>
      <c r="J539" s="8" t="s">
        <v>454</v>
      </c>
      <c r="K539" s="8" t="s">
        <v>908</v>
      </c>
      <c r="L539" s="7" t="s">
        <v>42</v>
      </c>
      <c r="M539" s="7"/>
      <c r="N539" s="8" t="s">
        <v>3450</v>
      </c>
    </row>
    <row r="540" spans="1:14" ht="54" customHeight="1">
      <c r="A540" s="4" t="s">
        <v>449</v>
      </c>
      <c r="B540" s="4" t="s">
        <v>450</v>
      </c>
      <c r="C540" s="4" t="s">
        <v>4665</v>
      </c>
      <c r="D540" s="4" t="s">
        <v>183</v>
      </c>
      <c r="E540" s="4" t="s">
        <v>41</v>
      </c>
      <c r="F540" s="4" t="s">
        <v>3452</v>
      </c>
      <c r="G540" s="4" t="s">
        <v>4666</v>
      </c>
      <c r="H540" s="4" t="s">
        <v>3469</v>
      </c>
      <c r="I540" s="4" t="s">
        <v>1996</v>
      </c>
      <c r="J540" s="4" t="s">
        <v>454</v>
      </c>
      <c r="K540" s="4" t="s">
        <v>908</v>
      </c>
      <c r="L540" s="7" t="s">
        <v>42</v>
      </c>
      <c r="M540" s="7"/>
      <c r="N540" s="4" t="s">
        <v>3450</v>
      </c>
    </row>
    <row r="541" spans="1:14" ht="54" customHeight="1">
      <c r="A541" s="8" t="s">
        <v>449</v>
      </c>
      <c r="B541" s="8" t="s">
        <v>450</v>
      </c>
      <c r="C541" s="8" t="s">
        <v>4667</v>
      </c>
      <c r="D541" s="8" t="s">
        <v>183</v>
      </c>
      <c r="E541" s="8" t="s">
        <v>41</v>
      </c>
      <c r="F541" s="8" t="s">
        <v>3452</v>
      </c>
      <c r="G541" s="8" t="s">
        <v>4668</v>
      </c>
      <c r="H541" s="8" t="s">
        <v>3472</v>
      </c>
      <c r="I541" s="8" t="s">
        <v>1996</v>
      </c>
      <c r="J541" s="8" t="s">
        <v>454</v>
      </c>
      <c r="K541" s="8" t="s">
        <v>908</v>
      </c>
      <c r="L541" s="7" t="s">
        <v>42</v>
      </c>
      <c r="M541" s="7"/>
      <c r="N541" s="8" t="s">
        <v>3450</v>
      </c>
    </row>
    <row r="542" spans="1:14" ht="54" customHeight="1">
      <c r="A542" s="4" t="s">
        <v>449</v>
      </c>
      <c r="B542" s="4" t="s">
        <v>450</v>
      </c>
      <c r="C542" s="4" t="s">
        <v>4669</v>
      </c>
      <c r="D542" s="4" t="s">
        <v>183</v>
      </c>
      <c r="E542" s="4" t="s">
        <v>41</v>
      </c>
      <c r="F542" s="4" t="s">
        <v>3452</v>
      </c>
      <c r="G542" s="4" t="s">
        <v>4670</v>
      </c>
      <c r="H542" s="4" t="s">
        <v>3475</v>
      </c>
      <c r="I542" s="4" t="s">
        <v>1996</v>
      </c>
      <c r="J542" s="4" t="s">
        <v>454</v>
      </c>
      <c r="K542" s="4" t="s">
        <v>908</v>
      </c>
      <c r="L542" s="7" t="s">
        <v>42</v>
      </c>
      <c r="M542" s="7"/>
      <c r="N542" s="4" t="s">
        <v>3450</v>
      </c>
    </row>
    <row r="543" spans="1:14" ht="54" customHeight="1">
      <c r="A543" s="8" t="s">
        <v>449</v>
      </c>
      <c r="B543" s="8" t="s">
        <v>450</v>
      </c>
      <c r="C543" s="8" t="s">
        <v>4671</v>
      </c>
      <c r="D543" s="8" t="s">
        <v>183</v>
      </c>
      <c r="E543" s="8" t="s">
        <v>41</v>
      </c>
      <c r="F543" s="8" t="s">
        <v>3452</v>
      </c>
      <c r="G543" s="8" t="s">
        <v>4672</v>
      </c>
      <c r="H543" s="8" t="s">
        <v>3478</v>
      </c>
      <c r="I543" s="8" t="s">
        <v>1996</v>
      </c>
      <c r="J543" s="8" t="s">
        <v>454</v>
      </c>
      <c r="K543" s="8" t="s">
        <v>908</v>
      </c>
      <c r="L543" s="7" t="s">
        <v>42</v>
      </c>
      <c r="M543" s="7"/>
      <c r="N543" s="8" t="s">
        <v>3450</v>
      </c>
    </row>
    <row r="544" spans="1:14" ht="54" customHeight="1">
      <c r="A544" s="4" t="s">
        <v>449</v>
      </c>
      <c r="B544" s="4" t="s">
        <v>450</v>
      </c>
      <c r="C544" s="4" t="s">
        <v>4673</v>
      </c>
      <c r="D544" s="4" t="s">
        <v>183</v>
      </c>
      <c r="E544" s="4" t="s">
        <v>41</v>
      </c>
      <c r="F544" s="4" t="s">
        <v>3452</v>
      </c>
      <c r="G544" s="4" t="s">
        <v>4674</v>
      </c>
      <c r="H544" s="4" t="s">
        <v>3603</v>
      </c>
      <c r="I544" s="4" t="s">
        <v>1996</v>
      </c>
      <c r="J544" s="4" t="s">
        <v>454</v>
      </c>
      <c r="K544" s="4" t="s">
        <v>908</v>
      </c>
      <c r="L544" s="7" t="s">
        <v>42</v>
      </c>
      <c r="M544" s="7"/>
      <c r="N544" s="4" t="s">
        <v>3450</v>
      </c>
    </row>
    <row r="545" spans="1:14" ht="40" customHeight="1">
      <c r="A545" s="8" t="s">
        <v>457</v>
      </c>
      <c r="B545" s="8" t="s">
        <v>458</v>
      </c>
      <c r="C545" s="8" t="s">
        <v>4675</v>
      </c>
      <c r="D545" s="8" t="s">
        <v>208</v>
      </c>
      <c r="E545" s="8" t="s">
        <v>41</v>
      </c>
      <c r="F545" s="8" t="s">
        <v>3452</v>
      </c>
      <c r="G545" s="8" t="s">
        <v>4676</v>
      </c>
      <c r="H545" s="8" t="s">
        <v>3449</v>
      </c>
      <c r="I545" s="8" t="s">
        <v>2013</v>
      </c>
      <c r="J545" s="8" t="s">
        <v>464</v>
      </c>
      <c r="K545" s="8" t="s">
        <v>908</v>
      </c>
      <c r="L545" s="7" t="s">
        <v>42</v>
      </c>
      <c r="M545" s="7"/>
      <c r="N545" s="8" t="s">
        <v>3450</v>
      </c>
    </row>
    <row r="546" spans="1:14" ht="40" customHeight="1">
      <c r="A546" s="4" t="s">
        <v>467</v>
      </c>
      <c r="B546" s="4" t="s">
        <v>468</v>
      </c>
      <c r="C546" s="4" t="s">
        <v>4677</v>
      </c>
      <c r="D546" s="4" t="s">
        <v>208</v>
      </c>
      <c r="E546" s="4" t="s">
        <v>41</v>
      </c>
      <c r="F546" s="4" t="s">
        <v>3452</v>
      </c>
      <c r="G546" s="4" t="s">
        <v>4678</v>
      </c>
      <c r="H546" s="4" t="s">
        <v>3463</v>
      </c>
      <c r="I546" s="4" t="s">
        <v>2018</v>
      </c>
      <c r="J546" s="4" t="s">
        <v>473</v>
      </c>
      <c r="K546" s="4" t="s">
        <v>908</v>
      </c>
      <c r="L546" s="7" t="s">
        <v>42</v>
      </c>
      <c r="M546" s="7"/>
      <c r="N546" s="4" t="s">
        <v>3450</v>
      </c>
    </row>
    <row r="547" spans="1:14" ht="40" customHeight="1">
      <c r="A547" s="8" t="s">
        <v>467</v>
      </c>
      <c r="B547" s="8" t="s">
        <v>468</v>
      </c>
      <c r="C547" s="8" t="s">
        <v>4679</v>
      </c>
      <c r="D547" s="8" t="s">
        <v>208</v>
      </c>
      <c r="E547" s="8" t="s">
        <v>41</v>
      </c>
      <c r="F547" s="8" t="s">
        <v>3452</v>
      </c>
      <c r="G547" s="8" t="s">
        <v>4680</v>
      </c>
      <c r="H547" s="8" t="s">
        <v>3466</v>
      </c>
      <c r="I547" s="8" t="s">
        <v>2018</v>
      </c>
      <c r="J547" s="8" t="s">
        <v>473</v>
      </c>
      <c r="K547" s="8" t="s">
        <v>908</v>
      </c>
      <c r="L547" s="7" t="s">
        <v>42</v>
      </c>
      <c r="M547" s="7"/>
      <c r="N547" s="8" t="s">
        <v>3450</v>
      </c>
    </row>
    <row r="548" spans="1:14" ht="40" customHeight="1">
      <c r="A548" s="4" t="s">
        <v>467</v>
      </c>
      <c r="B548" s="4" t="s">
        <v>468</v>
      </c>
      <c r="C548" s="4" t="s">
        <v>4681</v>
      </c>
      <c r="D548" s="4" t="s">
        <v>208</v>
      </c>
      <c r="E548" s="4" t="s">
        <v>41</v>
      </c>
      <c r="F548" s="4" t="s">
        <v>3452</v>
      </c>
      <c r="G548" s="4" t="s">
        <v>4682</v>
      </c>
      <c r="H548" s="4" t="s">
        <v>3469</v>
      </c>
      <c r="I548" s="4" t="s">
        <v>2018</v>
      </c>
      <c r="J548" s="4" t="s">
        <v>473</v>
      </c>
      <c r="K548" s="4" t="s">
        <v>908</v>
      </c>
      <c r="L548" s="7" t="s">
        <v>42</v>
      </c>
      <c r="M548" s="7"/>
      <c r="N548" s="4" t="s">
        <v>3450</v>
      </c>
    </row>
    <row r="549" spans="1:14" ht="40" customHeight="1">
      <c r="A549" s="8" t="s">
        <v>467</v>
      </c>
      <c r="B549" s="8" t="s">
        <v>468</v>
      </c>
      <c r="C549" s="8" t="s">
        <v>4683</v>
      </c>
      <c r="D549" s="8" t="s">
        <v>208</v>
      </c>
      <c r="E549" s="8" t="s">
        <v>41</v>
      </c>
      <c r="F549" s="8" t="s">
        <v>3452</v>
      </c>
      <c r="G549" s="8" t="s">
        <v>4684</v>
      </c>
      <c r="H549" s="8" t="s">
        <v>3472</v>
      </c>
      <c r="I549" s="8" t="s">
        <v>2018</v>
      </c>
      <c r="J549" s="8" t="s">
        <v>473</v>
      </c>
      <c r="K549" s="8" t="s">
        <v>908</v>
      </c>
      <c r="L549" s="7" t="s">
        <v>42</v>
      </c>
      <c r="M549" s="7"/>
      <c r="N549" s="8" t="s">
        <v>3450</v>
      </c>
    </row>
    <row r="550" spans="1:14" ht="40" customHeight="1">
      <c r="A550" s="4" t="s">
        <v>467</v>
      </c>
      <c r="B550" s="4" t="s">
        <v>468</v>
      </c>
      <c r="C550" s="4" t="s">
        <v>4685</v>
      </c>
      <c r="D550" s="4" t="s">
        <v>208</v>
      </c>
      <c r="E550" s="4" t="s">
        <v>41</v>
      </c>
      <c r="F550" s="4" t="s">
        <v>3452</v>
      </c>
      <c r="G550" s="4" t="s">
        <v>4686</v>
      </c>
      <c r="H550" s="4" t="s">
        <v>3475</v>
      </c>
      <c r="I550" s="4" t="s">
        <v>2018</v>
      </c>
      <c r="J550" s="4" t="s">
        <v>473</v>
      </c>
      <c r="K550" s="4" t="s">
        <v>908</v>
      </c>
      <c r="L550" s="7" t="s">
        <v>42</v>
      </c>
      <c r="M550" s="7"/>
      <c r="N550" s="4" t="s">
        <v>3450</v>
      </c>
    </row>
    <row r="551" spans="1:14" ht="40" customHeight="1">
      <c r="A551" s="8" t="s">
        <v>467</v>
      </c>
      <c r="B551" s="8" t="s">
        <v>468</v>
      </c>
      <c r="C551" s="8" t="s">
        <v>4687</v>
      </c>
      <c r="D551" s="8" t="s">
        <v>208</v>
      </c>
      <c r="E551" s="8" t="s">
        <v>41</v>
      </c>
      <c r="F551" s="8" t="s">
        <v>3452</v>
      </c>
      <c r="G551" s="8" t="s">
        <v>4688</v>
      </c>
      <c r="H551" s="8" t="s">
        <v>3478</v>
      </c>
      <c r="I551" s="8" t="s">
        <v>2018</v>
      </c>
      <c r="J551" s="8" t="s">
        <v>473</v>
      </c>
      <c r="K551" s="8" t="s">
        <v>908</v>
      </c>
      <c r="L551" s="7" t="s">
        <v>42</v>
      </c>
      <c r="M551" s="7"/>
      <c r="N551" s="8" t="s">
        <v>3450</v>
      </c>
    </row>
    <row r="552" spans="1:14" ht="40" customHeight="1">
      <c r="A552" s="4" t="s">
        <v>467</v>
      </c>
      <c r="B552" s="4" t="s">
        <v>468</v>
      </c>
      <c r="C552" s="4" t="s">
        <v>4689</v>
      </c>
      <c r="D552" s="4" t="s">
        <v>208</v>
      </c>
      <c r="E552" s="4" t="s">
        <v>41</v>
      </c>
      <c r="F552" s="4" t="s">
        <v>3452</v>
      </c>
      <c r="G552" s="4" t="s">
        <v>4690</v>
      </c>
      <c r="H552" s="4" t="s">
        <v>3915</v>
      </c>
      <c r="I552" s="4" t="s">
        <v>2018</v>
      </c>
      <c r="J552" s="4" t="s">
        <v>473</v>
      </c>
      <c r="K552" s="4" t="s">
        <v>908</v>
      </c>
      <c r="L552" s="7" t="s">
        <v>42</v>
      </c>
      <c r="M552" s="7"/>
      <c r="N552" s="4" t="s">
        <v>3450</v>
      </c>
    </row>
    <row r="553" spans="1:14" ht="40" customHeight="1">
      <c r="A553" s="8" t="s">
        <v>467</v>
      </c>
      <c r="B553" s="8" t="s">
        <v>468</v>
      </c>
      <c r="C553" s="8" t="s">
        <v>4691</v>
      </c>
      <c r="D553" s="8" t="s">
        <v>208</v>
      </c>
      <c r="E553" s="8" t="s">
        <v>41</v>
      </c>
      <c r="F553" s="8" t="s">
        <v>3452</v>
      </c>
      <c r="G553" s="8" t="s">
        <v>4692</v>
      </c>
      <c r="H553" s="8" t="s">
        <v>3838</v>
      </c>
      <c r="I553" s="8" t="s">
        <v>2018</v>
      </c>
      <c r="J553" s="8" t="s">
        <v>473</v>
      </c>
      <c r="K553" s="8" t="s">
        <v>908</v>
      </c>
      <c r="L553" s="7" t="s">
        <v>42</v>
      </c>
      <c r="M553" s="7"/>
      <c r="N553" s="8" t="s">
        <v>3450</v>
      </c>
    </row>
    <row r="554" spans="1:14" ht="40" customHeight="1">
      <c r="A554" s="4" t="s">
        <v>467</v>
      </c>
      <c r="B554" s="4" t="s">
        <v>468</v>
      </c>
      <c r="C554" s="4" t="s">
        <v>4693</v>
      </c>
      <c r="D554" s="4" t="s">
        <v>208</v>
      </c>
      <c r="E554" s="4" t="s">
        <v>41</v>
      </c>
      <c r="F554" s="4" t="s">
        <v>3452</v>
      </c>
      <c r="G554" s="4" t="s">
        <v>4694</v>
      </c>
      <c r="H554" s="4" t="s">
        <v>3608</v>
      </c>
      <c r="I554" s="4" t="s">
        <v>2018</v>
      </c>
      <c r="J554" s="4" t="s">
        <v>473</v>
      </c>
      <c r="K554" s="4" t="s">
        <v>908</v>
      </c>
      <c r="L554" s="7" t="s">
        <v>42</v>
      </c>
      <c r="M554" s="7"/>
      <c r="N554" s="4" t="s">
        <v>3450</v>
      </c>
    </row>
    <row r="555" spans="1:14" ht="40" customHeight="1">
      <c r="A555" s="8" t="s">
        <v>467</v>
      </c>
      <c r="B555" s="8" t="s">
        <v>468</v>
      </c>
      <c r="C555" s="8" t="s">
        <v>4695</v>
      </c>
      <c r="D555" s="8" t="s">
        <v>208</v>
      </c>
      <c r="E555" s="8" t="s">
        <v>41</v>
      </c>
      <c r="F555" s="8" t="s">
        <v>3452</v>
      </c>
      <c r="G555" s="8" t="s">
        <v>4696</v>
      </c>
      <c r="H555" s="8" t="s">
        <v>3611</v>
      </c>
      <c r="I555" s="8" t="s">
        <v>2018</v>
      </c>
      <c r="J555" s="8" t="s">
        <v>473</v>
      </c>
      <c r="K555" s="8" t="s">
        <v>908</v>
      </c>
      <c r="L555" s="7" t="s">
        <v>42</v>
      </c>
      <c r="M555" s="7"/>
      <c r="N555" s="8" t="s">
        <v>3450</v>
      </c>
    </row>
    <row r="556" spans="1:14" ht="40" customHeight="1">
      <c r="A556" s="4" t="s">
        <v>467</v>
      </c>
      <c r="B556" s="4" t="s">
        <v>468</v>
      </c>
      <c r="C556" s="4" t="s">
        <v>4697</v>
      </c>
      <c r="D556" s="4" t="s">
        <v>208</v>
      </c>
      <c r="E556" s="4" t="s">
        <v>41</v>
      </c>
      <c r="F556" s="4" t="s">
        <v>3452</v>
      </c>
      <c r="G556" s="4" t="s">
        <v>4698</v>
      </c>
      <c r="H556" s="4" t="s">
        <v>3775</v>
      </c>
      <c r="I556" s="4" t="s">
        <v>2018</v>
      </c>
      <c r="J556" s="4" t="s">
        <v>473</v>
      </c>
      <c r="K556" s="4" t="s">
        <v>908</v>
      </c>
      <c r="L556" s="7" t="s">
        <v>42</v>
      </c>
      <c r="M556" s="7"/>
      <c r="N556" s="4" t="s">
        <v>3450</v>
      </c>
    </row>
    <row r="557" spans="1:14" ht="40" customHeight="1">
      <c r="A557" s="8" t="s">
        <v>467</v>
      </c>
      <c r="B557" s="8" t="s">
        <v>468</v>
      </c>
      <c r="C557" s="8" t="s">
        <v>4699</v>
      </c>
      <c r="D557" s="8" t="s">
        <v>208</v>
      </c>
      <c r="E557" s="8" t="s">
        <v>41</v>
      </c>
      <c r="F557" s="8" t="s">
        <v>3452</v>
      </c>
      <c r="G557" s="8" t="s">
        <v>4700</v>
      </c>
      <c r="H557" s="8" t="s">
        <v>3847</v>
      </c>
      <c r="I557" s="8" t="s">
        <v>2018</v>
      </c>
      <c r="J557" s="8" t="s">
        <v>473</v>
      </c>
      <c r="K557" s="8" t="s">
        <v>908</v>
      </c>
      <c r="L557" s="7" t="s">
        <v>42</v>
      </c>
      <c r="M557" s="7"/>
      <c r="N557" s="8" t="s">
        <v>3450</v>
      </c>
    </row>
    <row r="558" spans="1:14" ht="40" customHeight="1">
      <c r="A558" s="4" t="s">
        <v>467</v>
      </c>
      <c r="B558" s="4" t="s">
        <v>468</v>
      </c>
      <c r="C558" s="4" t="s">
        <v>4701</v>
      </c>
      <c r="D558" s="4" t="s">
        <v>208</v>
      </c>
      <c r="E558" s="4" t="s">
        <v>41</v>
      </c>
      <c r="F558" s="4" t="s">
        <v>3452</v>
      </c>
      <c r="G558" s="4" t="s">
        <v>4702</v>
      </c>
      <c r="H558" s="4" t="s">
        <v>4703</v>
      </c>
      <c r="I558" s="4" t="s">
        <v>2018</v>
      </c>
      <c r="J558" s="4" t="s">
        <v>473</v>
      </c>
      <c r="K558" s="4" t="s">
        <v>908</v>
      </c>
      <c r="L558" s="7" t="s">
        <v>42</v>
      </c>
      <c r="M558" s="7"/>
      <c r="N558" s="4" t="s">
        <v>3450</v>
      </c>
    </row>
    <row r="559" spans="1:14" ht="54" customHeight="1">
      <c r="A559" s="8" t="s">
        <v>467</v>
      </c>
      <c r="B559" s="8" t="s">
        <v>468</v>
      </c>
      <c r="C559" s="8" t="s">
        <v>4704</v>
      </c>
      <c r="D559" s="8" t="s">
        <v>208</v>
      </c>
      <c r="E559" s="8" t="s">
        <v>41</v>
      </c>
      <c r="F559" s="8" t="s">
        <v>3452</v>
      </c>
      <c r="G559" s="8" t="s">
        <v>4705</v>
      </c>
      <c r="H559" s="8" t="s">
        <v>4706</v>
      </c>
      <c r="I559" s="8" t="s">
        <v>2018</v>
      </c>
      <c r="J559" s="8" t="s">
        <v>473</v>
      </c>
      <c r="K559" s="8" t="s">
        <v>908</v>
      </c>
      <c r="L559" s="7" t="s">
        <v>42</v>
      </c>
      <c r="M559" s="7"/>
      <c r="N559" s="8" t="s">
        <v>3450</v>
      </c>
    </row>
    <row r="560" spans="1:14" ht="40" customHeight="1">
      <c r="A560" s="4" t="s">
        <v>476</v>
      </c>
      <c r="B560" s="4" t="s">
        <v>477</v>
      </c>
      <c r="C560" s="4" t="s">
        <v>4707</v>
      </c>
      <c r="D560" s="4" t="s">
        <v>183</v>
      </c>
      <c r="E560" s="4" t="s">
        <v>41</v>
      </c>
      <c r="F560" s="4" t="s">
        <v>3452</v>
      </c>
      <c r="G560" s="4" t="s">
        <v>3900</v>
      </c>
      <c r="H560" s="4" t="s">
        <v>3463</v>
      </c>
      <c r="I560" s="4" t="s">
        <v>2026</v>
      </c>
      <c r="J560" s="4" t="s">
        <v>483</v>
      </c>
      <c r="K560" s="4" t="s">
        <v>908</v>
      </c>
      <c r="L560" s="7" t="s">
        <v>42</v>
      </c>
      <c r="M560" s="7"/>
      <c r="N560" s="4" t="s">
        <v>3450</v>
      </c>
    </row>
    <row r="561" spans="1:14" ht="40" customHeight="1">
      <c r="A561" s="8" t="s">
        <v>476</v>
      </c>
      <c r="B561" s="8" t="s">
        <v>477</v>
      </c>
      <c r="C561" s="8" t="s">
        <v>4708</v>
      </c>
      <c r="D561" s="8" t="s">
        <v>183</v>
      </c>
      <c r="E561" s="8" t="s">
        <v>41</v>
      </c>
      <c r="F561" s="8" t="s">
        <v>3452</v>
      </c>
      <c r="G561" s="8" t="s">
        <v>4709</v>
      </c>
      <c r="H561" s="8" t="s">
        <v>3655</v>
      </c>
      <c r="I561" s="8" t="s">
        <v>2026</v>
      </c>
      <c r="J561" s="8" t="s">
        <v>483</v>
      </c>
      <c r="K561" s="8" t="s">
        <v>908</v>
      </c>
      <c r="L561" s="7" t="s">
        <v>42</v>
      </c>
      <c r="M561" s="7"/>
      <c r="N561" s="8" t="s">
        <v>3450</v>
      </c>
    </row>
    <row r="562" spans="1:14" ht="68" customHeight="1">
      <c r="A562" s="4" t="s">
        <v>476</v>
      </c>
      <c r="B562" s="4" t="s">
        <v>477</v>
      </c>
      <c r="C562" s="4" t="s">
        <v>4710</v>
      </c>
      <c r="D562" s="4" t="s">
        <v>183</v>
      </c>
      <c r="E562" s="4" t="s">
        <v>41</v>
      </c>
      <c r="F562" s="4" t="s">
        <v>3452</v>
      </c>
      <c r="G562" s="4" t="s">
        <v>4711</v>
      </c>
      <c r="H562" s="4" t="s">
        <v>3466</v>
      </c>
      <c r="I562" s="4" t="s">
        <v>2026</v>
      </c>
      <c r="J562" s="4" t="s">
        <v>483</v>
      </c>
      <c r="K562" s="4" t="s">
        <v>908</v>
      </c>
      <c r="L562" s="7" t="s">
        <v>42</v>
      </c>
      <c r="M562" s="7"/>
      <c r="N562" s="4" t="s">
        <v>3450</v>
      </c>
    </row>
    <row r="563" spans="1:14" ht="40" customHeight="1">
      <c r="A563" s="8" t="s">
        <v>476</v>
      </c>
      <c r="B563" s="8" t="s">
        <v>477</v>
      </c>
      <c r="C563" s="8" t="s">
        <v>4712</v>
      </c>
      <c r="D563" s="8" t="s">
        <v>183</v>
      </c>
      <c r="E563" s="8" t="s">
        <v>41</v>
      </c>
      <c r="F563" s="8" t="s">
        <v>3452</v>
      </c>
      <c r="G563" s="8" t="s">
        <v>3909</v>
      </c>
      <c r="H563" s="8" t="s">
        <v>3457</v>
      </c>
      <c r="I563" s="8" t="s">
        <v>2026</v>
      </c>
      <c r="J563" s="8" t="s">
        <v>483</v>
      </c>
      <c r="K563" s="8" t="s">
        <v>908</v>
      </c>
      <c r="L563" s="7" t="s">
        <v>42</v>
      </c>
      <c r="M563" s="7"/>
      <c r="N563" s="8" t="s">
        <v>3450</v>
      </c>
    </row>
    <row r="564" spans="1:14" ht="40" customHeight="1">
      <c r="A564" s="4" t="s">
        <v>476</v>
      </c>
      <c r="B564" s="4" t="s">
        <v>477</v>
      </c>
      <c r="C564" s="4" t="s">
        <v>4713</v>
      </c>
      <c r="D564" s="4" t="s">
        <v>183</v>
      </c>
      <c r="E564" s="4" t="s">
        <v>41</v>
      </c>
      <c r="F564" s="4" t="s">
        <v>3452</v>
      </c>
      <c r="G564" s="4" t="s">
        <v>4714</v>
      </c>
      <c r="H564" s="4" t="s">
        <v>4715</v>
      </c>
      <c r="I564" s="4" t="s">
        <v>2026</v>
      </c>
      <c r="J564" s="4" t="s">
        <v>483</v>
      </c>
      <c r="K564" s="4" t="s">
        <v>908</v>
      </c>
      <c r="L564" s="7" t="s">
        <v>42</v>
      </c>
      <c r="M564" s="7"/>
      <c r="N564" s="4" t="s">
        <v>3450</v>
      </c>
    </row>
    <row r="565" spans="1:14" ht="68" customHeight="1">
      <c r="A565" s="8" t="s">
        <v>476</v>
      </c>
      <c r="B565" s="8" t="s">
        <v>477</v>
      </c>
      <c r="C565" s="8" t="s">
        <v>4716</v>
      </c>
      <c r="D565" s="8" t="s">
        <v>183</v>
      </c>
      <c r="E565" s="8" t="s">
        <v>41</v>
      </c>
      <c r="F565" s="8" t="s">
        <v>3452</v>
      </c>
      <c r="G565" s="8" t="s">
        <v>4717</v>
      </c>
      <c r="H565" s="8" t="s">
        <v>3472</v>
      </c>
      <c r="I565" s="8" t="s">
        <v>2026</v>
      </c>
      <c r="J565" s="8" t="s">
        <v>483</v>
      </c>
      <c r="K565" s="8" t="s">
        <v>908</v>
      </c>
      <c r="L565" s="7" t="s">
        <v>42</v>
      </c>
      <c r="M565" s="7"/>
      <c r="N565" s="8" t="s">
        <v>3450</v>
      </c>
    </row>
    <row r="566" spans="1:14" ht="40" customHeight="1">
      <c r="A566" s="4" t="s">
        <v>476</v>
      </c>
      <c r="B566" s="4" t="s">
        <v>477</v>
      </c>
      <c r="C566" s="4" t="s">
        <v>4718</v>
      </c>
      <c r="D566" s="4" t="s">
        <v>183</v>
      </c>
      <c r="E566" s="4" t="s">
        <v>41</v>
      </c>
      <c r="F566" s="4" t="s">
        <v>3452</v>
      </c>
      <c r="G566" s="4" t="s">
        <v>3933</v>
      </c>
      <c r="H566" s="4" t="s">
        <v>3538</v>
      </c>
      <c r="I566" s="4" t="s">
        <v>2026</v>
      </c>
      <c r="J566" s="4" t="s">
        <v>483</v>
      </c>
      <c r="K566" s="4" t="s">
        <v>908</v>
      </c>
      <c r="L566" s="7" t="s">
        <v>42</v>
      </c>
      <c r="M566" s="7"/>
      <c r="N566" s="4" t="s">
        <v>3450</v>
      </c>
    </row>
    <row r="567" spans="1:14" ht="40" customHeight="1">
      <c r="A567" s="8" t="s">
        <v>476</v>
      </c>
      <c r="B567" s="8" t="s">
        <v>477</v>
      </c>
      <c r="C567" s="8" t="s">
        <v>4719</v>
      </c>
      <c r="D567" s="8" t="s">
        <v>183</v>
      </c>
      <c r="E567" s="8" t="s">
        <v>41</v>
      </c>
      <c r="F567" s="8" t="s">
        <v>3452</v>
      </c>
      <c r="G567" s="8" t="s">
        <v>4720</v>
      </c>
      <c r="H567" s="8" t="s">
        <v>4721</v>
      </c>
      <c r="I567" s="8" t="s">
        <v>2026</v>
      </c>
      <c r="J567" s="8" t="s">
        <v>483</v>
      </c>
      <c r="K567" s="8" t="s">
        <v>908</v>
      </c>
      <c r="L567" s="7" t="s">
        <v>42</v>
      </c>
      <c r="M567" s="7"/>
      <c r="N567" s="8" t="s">
        <v>3450</v>
      </c>
    </row>
    <row r="568" spans="1:14" ht="82" customHeight="1">
      <c r="A568" s="4" t="s">
        <v>476</v>
      </c>
      <c r="B568" s="4" t="s">
        <v>477</v>
      </c>
      <c r="C568" s="4" t="s">
        <v>4722</v>
      </c>
      <c r="D568" s="4" t="s">
        <v>183</v>
      </c>
      <c r="E568" s="4" t="s">
        <v>41</v>
      </c>
      <c r="F568" s="4" t="s">
        <v>3452</v>
      </c>
      <c r="G568" s="4" t="s">
        <v>4723</v>
      </c>
      <c r="H568" s="4" t="s">
        <v>3478</v>
      </c>
      <c r="I568" s="4" t="s">
        <v>2026</v>
      </c>
      <c r="J568" s="4" t="s">
        <v>483</v>
      </c>
      <c r="K568" s="4" t="s">
        <v>908</v>
      </c>
      <c r="L568" s="7" t="s">
        <v>42</v>
      </c>
      <c r="M568" s="7"/>
      <c r="N568" s="4" t="s">
        <v>3450</v>
      </c>
    </row>
    <row r="569" spans="1:14" ht="40" customHeight="1">
      <c r="A569" s="8" t="s">
        <v>476</v>
      </c>
      <c r="B569" s="8" t="s">
        <v>477</v>
      </c>
      <c r="C569" s="8" t="s">
        <v>4724</v>
      </c>
      <c r="D569" s="8" t="s">
        <v>183</v>
      </c>
      <c r="E569" s="8" t="s">
        <v>41</v>
      </c>
      <c r="F569" s="8" t="s">
        <v>3452</v>
      </c>
      <c r="G569" s="8" t="s">
        <v>4294</v>
      </c>
      <c r="H569" s="8" t="s">
        <v>3915</v>
      </c>
      <c r="I569" s="8" t="s">
        <v>2026</v>
      </c>
      <c r="J569" s="8" t="s">
        <v>483</v>
      </c>
      <c r="K569" s="8" t="s">
        <v>908</v>
      </c>
      <c r="L569" s="7" t="s">
        <v>42</v>
      </c>
      <c r="M569" s="7"/>
      <c r="N569" s="8" t="s">
        <v>3450</v>
      </c>
    </row>
    <row r="570" spans="1:14" ht="68" customHeight="1">
      <c r="A570" s="4" t="s">
        <v>476</v>
      </c>
      <c r="B570" s="4" t="s">
        <v>477</v>
      </c>
      <c r="C570" s="4" t="s">
        <v>4725</v>
      </c>
      <c r="D570" s="4" t="s">
        <v>183</v>
      </c>
      <c r="E570" s="4" t="s">
        <v>41</v>
      </c>
      <c r="F570" s="4" t="s">
        <v>3452</v>
      </c>
      <c r="G570" s="4" t="s">
        <v>4726</v>
      </c>
      <c r="H570" s="4" t="s">
        <v>3838</v>
      </c>
      <c r="I570" s="4" t="s">
        <v>2026</v>
      </c>
      <c r="J570" s="4" t="s">
        <v>483</v>
      </c>
      <c r="K570" s="4" t="s">
        <v>908</v>
      </c>
      <c r="L570" s="7" t="s">
        <v>42</v>
      </c>
      <c r="M570" s="7"/>
      <c r="N570" s="4" t="s">
        <v>3450</v>
      </c>
    </row>
    <row r="571" spans="1:14" ht="40" customHeight="1">
      <c r="A571" s="8" t="s">
        <v>486</v>
      </c>
      <c r="B571" s="8" t="s">
        <v>487</v>
      </c>
      <c r="C571" s="8" t="s">
        <v>4727</v>
      </c>
      <c r="D571" s="8" t="s">
        <v>208</v>
      </c>
      <c r="E571" s="8" t="s">
        <v>41</v>
      </c>
      <c r="F571" s="8" t="s">
        <v>3452</v>
      </c>
      <c r="G571" s="8" t="s">
        <v>4728</v>
      </c>
      <c r="H571" s="8" t="s">
        <v>3449</v>
      </c>
      <c r="I571" s="8" t="s">
        <v>2073</v>
      </c>
      <c r="J571" s="8" t="s">
        <v>490</v>
      </c>
      <c r="K571" s="8" t="s">
        <v>908</v>
      </c>
      <c r="L571" s="7" t="s">
        <v>42</v>
      </c>
      <c r="M571" s="7"/>
      <c r="N571" s="8" t="s">
        <v>3450</v>
      </c>
    </row>
    <row r="572" spans="1:14" ht="54" customHeight="1">
      <c r="A572" s="4" t="s">
        <v>486</v>
      </c>
      <c r="B572" s="4" t="s">
        <v>487</v>
      </c>
      <c r="C572" s="4" t="s">
        <v>4729</v>
      </c>
      <c r="D572" s="4" t="s">
        <v>208</v>
      </c>
      <c r="E572" s="4" t="s">
        <v>41</v>
      </c>
      <c r="F572" s="4" t="s">
        <v>3452</v>
      </c>
      <c r="G572" s="4" t="s">
        <v>3692</v>
      </c>
      <c r="H572" s="4" t="s">
        <v>3466</v>
      </c>
      <c r="I572" s="4" t="s">
        <v>2073</v>
      </c>
      <c r="J572" s="4" t="s">
        <v>490</v>
      </c>
      <c r="K572" s="4" t="s">
        <v>908</v>
      </c>
      <c r="L572" s="7" t="s">
        <v>42</v>
      </c>
      <c r="M572" s="7"/>
      <c r="N572" s="4" t="s">
        <v>3450</v>
      </c>
    </row>
    <row r="573" spans="1:14" ht="40" customHeight="1">
      <c r="A573" s="8" t="s">
        <v>486</v>
      </c>
      <c r="B573" s="8" t="s">
        <v>487</v>
      </c>
      <c r="C573" s="8" t="s">
        <v>4730</v>
      </c>
      <c r="D573" s="8" t="s">
        <v>208</v>
      </c>
      <c r="E573" s="8" t="s">
        <v>41</v>
      </c>
      <c r="F573" s="8" t="s">
        <v>3452</v>
      </c>
      <c r="G573" s="8" t="s">
        <v>4731</v>
      </c>
      <c r="H573" s="8" t="s">
        <v>3469</v>
      </c>
      <c r="I573" s="8" t="s">
        <v>2073</v>
      </c>
      <c r="J573" s="8" t="s">
        <v>490</v>
      </c>
      <c r="K573" s="8" t="s">
        <v>908</v>
      </c>
      <c r="L573" s="7" t="s">
        <v>42</v>
      </c>
      <c r="M573" s="7"/>
      <c r="N573" s="8" t="s">
        <v>3450</v>
      </c>
    </row>
    <row r="574" spans="1:14" ht="40" customHeight="1">
      <c r="A574" s="4" t="s">
        <v>486</v>
      </c>
      <c r="B574" s="4" t="s">
        <v>487</v>
      </c>
      <c r="C574" s="4" t="s">
        <v>4732</v>
      </c>
      <c r="D574" s="4" t="s">
        <v>208</v>
      </c>
      <c r="E574" s="4" t="s">
        <v>41</v>
      </c>
      <c r="F574" s="4" t="s">
        <v>3452</v>
      </c>
      <c r="G574" s="4" t="s">
        <v>4733</v>
      </c>
      <c r="H574" s="4" t="s">
        <v>3472</v>
      </c>
      <c r="I574" s="4" t="s">
        <v>2073</v>
      </c>
      <c r="J574" s="4" t="s">
        <v>490</v>
      </c>
      <c r="K574" s="4" t="s">
        <v>908</v>
      </c>
      <c r="L574" s="7" t="s">
        <v>42</v>
      </c>
      <c r="M574" s="7"/>
      <c r="N574" s="4" t="s">
        <v>3450</v>
      </c>
    </row>
    <row r="575" spans="1:14" ht="40" customHeight="1">
      <c r="A575" s="8" t="s">
        <v>493</v>
      </c>
      <c r="B575" s="8" t="s">
        <v>494</v>
      </c>
      <c r="C575" s="8" t="s">
        <v>4734</v>
      </c>
      <c r="D575" s="8" t="s">
        <v>208</v>
      </c>
      <c r="E575" s="8" t="s">
        <v>41</v>
      </c>
      <c r="F575" s="8" t="s">
        <v>3452</v>
      </c>
      <c r="G575" s="8" t="s">
        <v>4735</v>
      </c>
      <c r="H575" s="8" t="s">
        <v>3449</v>
      </c>
      <c r="I575" s="8" t="s">
        <v>2097</v>
      </c>
      <c r="J575" s="8" t="s">
        <v>498</v>
      </c>
      <c r="K575" s="8" t="s">
        <v>908</v>
      </c>
      <c r="L575" s="7" t="s">
        <v>42</v>
      </c>
      <c r="M575" s="7"/>
      <c r="N575" s="8" t="s">
        <v>3450</v>
      </c>
    </row>
    <row r="576" spans="1:14" ht="54" customHeight="1">
      <c r="A576" s="4" t="s">
        <v>493</v>
      </c>
      <c r="B576" s="4" t="s">
        <v>494</v>
      </c>
      <c r="C576" s="4" t="s">
        <v>4736</v>
      </c>
      <c r="D576" s="4" t="s">
        <v>208</v>
      </c>
      <c r="E576" s="4" t="s">
        <v>41</v>
      </c>
      <c r="F576" s="4" t="s">
        <v>3452</v>
      </c>
      <c r="G576" s="4" t="s">
        <v>3692</v>
      </c>
      <c r="H576" s="4" t="s">
        <v>3466</v>
      </c>
      <c r="I576" s="4" t="s">
        <v>2097</v>
      </c>
      <c r="J576" s="4" t="s">
        <v>498</v>
      </c>
      <c r="K576" s="4" t="s">
        <v>908</v>
      </c>
      <c r="L576" s="7" t="s">
        <v>42</v>
      </c>
      <c r="M576" s="7"/>
      <c r="N576" s="4" t="s">
        <v>3450</v>
      </c>
    </row>
    <row r="577" spans="1:14" ht="40" customHeight="1">
      <c r="A577" s="8" t="s">
        <v>493</v>
      </c>
      <c r="B577" s="8" t="s">
        <v>494</v>
      </c>
      <c r="C577" s="8" t="s">
        <v>4737</v>
      </c>
      <c r="D577" s="8" t="s">
        <v>208</v>
      </c>
      <c r="E577" s="8" t="s">
        <v>41</v>
      </c>
      <c r="F577" s="8" t="s">
        <v>3452</v>
      </c>
      <c r="G577" s="8" t="s">
        <v>4738</v>
      </c>
      <c r="H577" s="8" t="s">
        <v>3469</v>
      </c>
      <c r="I577" s="8" t="s">
        <v>2097</v>
      </c>
      <c r="J577" s="8" t="s">
        <v>498</v>
      </c>
      <c r="K577" s="8" t="s">
        <v>908</v>
      </c>
      <c r="L577" s="7" t="s">
        <v>42</v>
      </c>
      <c r="M577" s="7"/>
      <c r="N577" s="8" t="s">
        <v>3450</v>
      </c>
    </row>
    <row r="578" spans="1:14" ht="40" customHeight="1">
      <c r="A578" s="4" t="s">
        <v>493</v>
      </c>
      <c r="B578" s="4" t="s">
        <v>494</v>
      </c>
      <c r="C578" s="4" t="s">
        <v>4739</v>
      </c>
      <c r="D578" s="4" t="s">
        <v>208</v>
      </c>
      <c r="E578" s="4" t="s">
        <v>41</v>
      </c>
      <c r="F578" s="4" t="s">
        <v>3452</v>
      </c>
      <c r="G578" s="4" t="s">
        <v>4740</v>
      </c>
      <c r="H578" s="4" t="s">
        <v>3472</v>
      </c>
      <c r="I578" s="4" t="s">
        <v>2097</v>
      </c>
      <c r="J578" s="4" t="s">
        <v>498</v>
      </c>
      <c r="K578" s="4" t="s">
        <v>908</v>
      </c>
      <c r="L578" s="7" t="s">
        <v>42</v>
      </c>
      <c r="M578" s="7"/>
      <c r="N578" s="4" t="s">
        <v>3450</v>
      </c>
    </row>
    <row r="579" spans="1:14" ht="40" customHeight="1">
      <c r="A579" s="8" t="s">
        <v>501</v>
      </c>
      <c r="B579" s="8" t="s">
        <v>502</v>
      </c>
      <c r="C579" s="8" t="s">
        <v>4741</v>
      </c>
      <c r="D579" s="8" t="s">
        <v>208</v>
      </c>
      <c r="E579" s="8" t="s">
        <v>41</v>
      </c>
      <c r="F579" s="8" t="s">
        <v>3452</v>
      </c>
      <c r="G579" s="8" t="s">
        <v>4742</v>
      </c>
      <c r="H579" s="8" t="s">
        <v>3449</v>
      </c>
      <c r="I579" s="8" t="s">
        <v>2112</v>
      </c>
      <c r="J579" s="8" t="s">
        <v>505</v>
      </c>
      <c r="K579" s="8" t="s">
        <v>908</v>
      </c>
      <c r="L579" s="7" t="s">
        <v>42</v>
      </c>
      <c r="M579" s="7"/>
      <c r="N579" s="8" t="s">
        <v>3450</v>
      </c>
    </row>
    <row r="580" spans="1:14" ht="40" customHeight="1">
      <c r="A580" s="4" t="s">
        <v>501</v>
      </c>
      <c r="B580" s="4" t="s">
        <v>502</v>
      </c>
      <c r="C580" s="4" t="s">
        <v>4743</v>
      </c>
      <c r="D580" s="4" t="s">
        <v>208</v>
      </c>
      <c r="E580" s="4" t="s">
        <v>41</v>
      </c>
      <c r="F580" s="4" t="s">
        <v>3452</v>
      </c>
      <c r="G580" s="4" t="s">
        <v>4744</v>
      </c>
      <c r="H580" s="4" t="s">
        <v>3466</v>
      </c>
      <c r="I580" s="4" t="s">
        <v>2112</v>
      </c>
      <c r="J580" s="4" t="s">
        <v>505</v>
      </c>
      <c r="K580" s="4" t="s">
        <v>908</v>
      </c>
      <c r="L580" s="7" t="s">
        <v>42</v>
      </c>
      <c r="M580" s="7"/>
      <c r="N580" s="4" t="s">
        <v>3450</v>
      </c>
    </row>
    <row r="581" spans="1:14" ht="40" customHeight="1">
      <c r="A581" s="8" t="s">
        <v>501</v>
      </c>
      <c r="B581" s="8" t="s">
        <v>502</v>
      </c>
      <c r="C581" s="8" t="s">
        <v>4745</v>
      </c>
      <c r="D581" s="8" t="s">
        <v>208</v>
      </c>
      <c r="E581" s="8" t="s">
        <v>41</v>
      </c>
      <c r="F581" s="8" t="s">
        <v>3452</v>
      </c>
      <c r="G581" s="8" t="s">
        <v>4746</v>
      </c>
      <c r="H581" s="8" t="s">
        <v>3469</v>
      </c>
      <c r="I581" s="8" t="s">
        <v>2112</v>
      </c>
      <c r="J581" s="8" t="s">
        <v>505</v>
      </c>
      <c r="K581" s="8" t="s">
        <v>908</v>
      </c>
      <c r="L581" s="7" t="s">
        <v>42</v>
      </c>
      <c r="M581" s="7"/>
      <c r="N581" s="8" t="s">
        <v>3450</v>
      </c>
    </row>
    <row r="582" spans="1:14" ht="40" customHeight="1">
      <c r="A582" s="4" t="s">
        <v>501</v>
      </c>
      <c r="B582" s="4" t="s">
        <v>502</v>
      </c>
      <c r="C582" s="4" t="s">
        <v>4747</v>
      </c>
      <c r="D582" s="4" t="s">
        <v>208</v>
      </c>
      <c r="E582" s="4" t="s">
        <v>41</v>
      </c>
      <c r="F582" s="4" t="s">
        <v>3452</v>
      </c>
      <c r="G582" s="4" t="s">
        <v>4748</v>
      </c>
      <c r="H582" s="4" t="s">
        <v>3472</v>
      </c>
      <c r="I582" s="4" t="s">
        <v>2112</v>
      </c>
      <c r="J582" s="4" t="s">
        <v>505</v>
      </c>
      <c r="K582" s="4" t="s">
        <v>908</v>
      </c>
      <c r="L582" s="7" t="s">
        <v>42</v>
      </c>
      <c r="M582" s="7"/>
      <c r="N582" s="4" t="s">
        <v>3450</v>
      </c>
    </row>
    <row r="583" spans="1:14" ht="68" customHeight="1">
      <c r="A583" s="8" t="s">
        <v>508</v>
      </c>
      <c r="B583" s="8" t="s">
        <v>509</v>
      </c>
      <c r="C583" s="8" t="s">
        <v>4749</v>
      </c>
      <c r="D583" s="8" t="s">
        <v>208</v>
      </c>
      <c r="E583" s="8" t="s">
        <v>41</v>
      </c>
      <c r="F583" s="8" t="s">
        <v>3452</v>
      </c>
      <c r="G583" s="8" t="s">
        <v>4750</v>
      </c>
      <c r="H583" s="8" t="s">
        <v>3449</v>
      </c>
      <c r="I583" s="8" t="s">
        <v>2134</v>
      </c>
      <c r="J583" s="8" t="s">
        <v>513</v>
      </c>
      <c r="K583" s="8" t="s">
        <v>908</v>
      </c>
      <c r="L583" s="7" t="s">
        <v>42</v>
      </c>
      <c r="M583" s="7"/>
      <c r="N583" s="8" t="s">
        <v>3450</v>
      </c>
    </row>
    <row r="584" spans="1:14" ht="54" customHeight="1">
      <c r="A584" s="4" t="s">
        <v>508</v>
      </c>
      <c r="B584" s="4" t="s">
        <v>509</v>
      </c>
      <c r="C584" s="4" t="s">
        <v>4751</v>
      </c>
      <c r="D584" s="4" t="s">
        <v>208</v>
      </c>
      <c r="E584" s="4" t="s">
        <v>41</v>
      </c>
      <c r="F584" s="4" t="s">
        <v>3452</v>
      </c>
      <c r="G584" s="4" t="s">
        <v>4752</v>
      </c>
      <c r="H584" s="4" t="s">
        <v>3466</v>
      </c>
      <c r="I584" s="4" t="s">
        <v>2134</v>
      </c>
      <c r="J584" s="4" t="s">
        <v>513</v>
      </c>
      <c r="K584" s="4" t="s">
        <v>908</v>
      </c>
      <c r="L584" s="7" t="s">
        <v>42</v>
      </c>
      <c r="M584" s="7"/>
      <c r="N584" s="4" t="s">
        <v>3450</v>
      </c>
    </row>
    <row r="585" spans="1:14" ht="54" customHeight="1">
      <c r="A585" s="8" t="s">
        <v>508</v>
      </c>
      <c r="B585" s="8" t="s">
        <v>509</v>
      </c>
      <c r="C585" s="8" t="s">
        <v>4753</v>
      </c>
      <c r="D585" s="8" t="s">
        <v>208</v>
      </c>
      <c r="E585" s="8" t="s">
        <v>41</v>
      </c>
      <c r="F585" s="8" t="s">
        <v>3452</v>
      </c>
      <c r="G585" s="8" t="s">
        <v>4754</v>
      </c>
      <c r="H585" s="8" t="s">
        <v>3469</v>
      </c>
      <c r="I585" s="8" t="s">
        <v>2134</v>
      </c>
      <c r="J585" s="8" t="s">
        <v>513</v>
      </c>
      <c r="K585" s="8" t="s">
        <v>908</v>
      </c>
      <c r="L585" s="7" t="s">
        <v>42</v>
      </c>
      <c r="M585" s="7"/>
      <c r="N585" s="8" t="s">
        <v>3450</v>
      </c>
    </row>
    <row r="586" spans="1:14" ht="68" customHeight="1">
      <c r="A586" s="4" t="s">
        <v>508</v>
      </c>
      <c r="B586" s="4" t="s">
        <v>509</v>
      </c>
      <c r="C586" s="4" t="s">
        <v>4755</v>
      </c>
      <c r="D586" s="4" t="s">
        <v>208</v>
      </c>
      <c r="E586" s="4" t="s">
        <v>41</v>
      </c>
      <c r="F586" s="4" t="s">
        <v>3452</v>
      </c>
      <c r="G586" s="4" t="s">
        <v>4756</v>
      </c>
      <c r="H586" s="4" t="s">
        <v>3472</v>
      </c>
      <c r="I586" s="4" t="s">
        <v>2134</v>
      </c>
      <c r="J586" s="4" t="s">
        <v>513</v>
      </c>
      <c r="K586" s="4" t="s">
        <v>908</v>
      </c>
      <c r="L586" s="7" t="s">
        <v>42</v>
      </c>
      <c r="M586" s="7"/>
      <c r="N586" s="4" t="s">
        <v>3450</v>
      </c>
    </row>
    <row r="587" spans="1:14" ht="40" customHeight="1">
      <c r="A587" s="8" t="s">
        <v>508</v>
      </c>
      <c r="B587" s="8" t="s">
        <v>509</v>
      </c>
      <c r="C587" s="8" t="s">
        <v>4757</v>
      </c>
      <c r="D587" s="8" t="s">
        <v>208</v>
      </c>
      <c r="E587" s="8" t="s">
        <v>41</v>
      </c>
      <c r="F587" s="8" t="s">
        <v>3452</v>
      </c>
      <c r="G587" s="8" t="s">
        <v>4758</v>
      </c>
      <c r="H587" s="8" t="s">
        <v>3475</v>
      </c>
      <c r="I587" s="8" t="s">
        <v>2134</v>
      </c>
      <c r="J587" s="8" t="s">
        <v>513</v>
      </c>
      <c r="K587" s="8" t="s">
        <v>908</v>
      </c>
      <c r="L587" s="7" t="s">
        <v>42</v>
      </c>
      <c r="M587" s="7"/>
      <c r="N587" s="8" t="s">
        <v>3450</v>
      </c>
    </row>
    <row r="588" spans="1:14" ht="54" customHeight="1">
      <c r="A588" s="4" t="s">
        <v>517</v>
      </c>
      <c r="B588" s="4" t="s">
        <v>518</v>
      </c>
      <c r="C588" s="4" t="s">
        <v>4759</v>
      </c>
      <c r="D588" s="4" t="s">
        <v>208</v>
      </c>
      <c r="E588" s="4" t="s">
        <v>41</v>
      </c>
      <c r="F588" s="4" t="s">
        <v>3452</v>
      </c>
      <c r="G588" s="4" t="s">
        <v>4760</v>
      </c>
      <c r="H588" s="4" t="s">
        <v>3449</v>
      </c>
      <c r="I588" s="4" t="s">
        <v>2159</v>
      </c>
      <c r="J588" s="4" t="s">
        <v>522</v>
      </c>
      <c r="K588" s="4" t="s">
        <v>908</v>
      </c>
      <c r="L588" s="7" t="s">
        <v>42</v>
      </c>
      <c r="M588" s="7"/>
      <c r="N588" s="4" t="s">
        <v>3450</v>
      </c>
    </row>
    <row r="589" spans="1:14" ht="54" customHeight="1">
      <c r="A589" s="8" t="s">
        <v>517</v>
      </c>
      <c r="B589" s="8" t="s">
        <v>518</v>
      </c>
      <c r="C589" s="8" t="s">
        <v>4761</v>
      </c>
      <c r="D589" s="8" t="s">
        <v>208</v>
      </c>
      <c r="E589" s="8" t="s">
        <v>41</v>
      </c>
      <c r="F589" s="8" t="s">
        <v>3452</v>
      </c>
      <c r="G589" s="8" t="s">
        <v>4752</v>
      </c>
      <c r="H589" s="8" t="s">
        <v>3466</v>
      </c>
      <c r="I589" s="8" t="s">
        <v>2159</v>
      </c>
      <c r="J589" s="8" t="s">
        <v>522</v>
      </c>
      <c r="K589" s="8" t="s">
        <v>908</v>
      </c>
      <c r="L589" s="7" t="s">
        <v>42</v>
      </c>
      <c r="M589" s="7"/>
      <c r="N589" s="8" t="s">
        <v>3450</v>
      </c>
    </row>
    <row r="590" spans="1:14" ht="40" customHeight="1">
      <c r="A590" s="4" t="s">
        <v>517</v>
      </c>
      <c r="B590" s="4" t="s">
        <v>518</v>
      </c>
      <c r="C590" s="4" t="s">
        <v>4762</v>
      </c>
      <c r="D590" s="4" t="s">
        <v>208</v>
      </c>
      <c r="E590" s="4" t="s">
        <v>41</v>
      </c>
      <c r="F590" s="4" t="s">
        <v>3452</v>
      </c>
      <c r="G590" s="4" t="s">
        <v>4763</v>
      </c>
      <c r="H590" s="4" t="s">
        <v>3469</v>
      </c>
      <c r="I590" s="4" t="s">
        <v>2159</v>
      </c>
      <c r="J590" s="4" t="s">
        <v>522</v>
      </c>
      <c r="K590" s="4" t="s">
        <v>908</v>
      </c>
      <c r="L590" s="7" t="s">
        <v>42</v>
      </c>
      <c r="M590" s="7"/>
      <c r="N590" s="4" t="s">
        <v>3450</v>
      </c>
    </row>
    <row r="591" spans="1:14" ht="68" customHeight="1">
      <c r="A591" s="8" t="s">
        <v>517</v>
      </c>
      <c r="B591" s="8" t="s">
        <v>518</v>
      </c>
      <c r="C591" s="8" t="s">
        <v>4764</v>
      </c>
      <c r="D591" s="8" t="s">
        <v>208</v>
      </c>
      <c r="E591" s="8" t="s">
        <v>41</v>
      </c>
      <c r="F591" s="8" t="s">
        <v>3452</v>
      </c>
      <c r="G591" s="8" t="s">
        <v>4756</v>
      </c>
      <c r="H591" s="8" t="s">
        <v>3472</v>
      </c>
      <c r="I591" s="8" t="s">
        <v>2159</v>
      </c>
      <c r="J591" s="8" t="s">
        <v>522</v>
      </c>
      <c r="K591" s="8" t="s">
        <v>908</v>
      </c>
      <c r="L591" s="7" t="s">
        <v>42</v>
      </c>
      <c r="M591" s="7"/>
      <c r="N591" s="8" t="s">
        <v>3450</v>
      </c>
    </row>
    <row r="592" spans="1:14" ht="40" customHeight="1">
      <c r="A592" s="4" t="s">
        <v>517</v>
      </c>
      <c r="B592" s="4" t="s">
        <v>518</v>
      </c>
      <c r="C592" s="4" t="s">
        <v>4765</v>
      </c>
      <c r="D592" s="4" t="s">
        <v>208</v>
      </c>
      <c r="E592" s="4" t="s">
        <v>41</v>
      </c>
      <c r="F592" s="4" t="s">
        <v>3452</v>
      </c>
      <c r="G592" s="4" t="s">
        <v>4758</v>
      </c>
      <c r="H592" s="4" t="s">
        <v>3475</v>
      </c>
      <c r="I592" s="4" t="s">
        <v>2159</v>
      </c>
      <c r="J592" s="4" t="s">
        <v>522</v>
      </c>
      <c r="K592" s="4" t="s">
        <v>908</v>
      </c>
      <c r="L592" s="7" t="s">
        <v>42</v>
      </c>
      <c r="M592" s="7"/>
      <c r="N592" s="4" t="s">
        <v>3450</v>
      </c>
    </row>
    <row r="593" spans="1:14" ht="40" customHeight="1">
      <c r="A593" s="8" t="s">
        <v>525</v>
      </c>
      <c r="B593" s="8" t="s">
        <v>526</v>
      </c>
      <c r="C593" s="8" t="s">
        <v>4766</v>
      </c>
      <c r="D593" s="8" t="s">
        <v>208</v>
      </c>
      <c r="E593" s="8" t="s">
        <v>41</v>
      </c>
      <c r="F593" s="8" t="s">
        <v>3452</v>
      </c>
      <c r="G593" s="8" t="s">
        <v>4767</v>
      </c>
      <c r="H593" s="8" t="s">
        <v>3449</v>
      </c>
      <c r="I593" s="8" t="s">
        <v>2185</v>
      </c>
      <c r="J593" s="8" t="s">
        <v>529</v>
      </c>
      <c r="K593" s="8" t="s">
        <v>908</v>
      </c>
      <c r="L593" s="7" t="s">
        <v>42</v>
      </c>
      <c r="M593" s="7"/>
      <c r="N593" s="8" t="s">
        <v>3450</v>
      </c>
    </row>
    <row r="594" spans="1:14" ht="54" customHeight="1">
      <c r="A594" s="4" t="s">
        <v>525</v>
      </c>
      <c r="B594" s="4" t="s">
        <v>526</v>
      </c>
      <c r="C594" s="4" t="s">
        <v>4768</v>
      </c>
      <c r="D594" s="4" t="s">
        <v>208</v>
      </c>
      <c r="E594" s="4" t="s">
        <v>41</v>
      </c>
      <c r="F594" s="4" t="s">
        <v>3452</v>
      </c>
      <c r="G594" s="4" t="s">
        <v>3692</v>
      </c>
      <c r="H594" s="4" t="s">
        <v>3466</v>
      </c>
      <c r="I594" s="4" t="s">
        <v>2185</v>
      </c>
      <c r="J594" s="4" t="s">
        <v>529</v>
      </c>
      <c r="K594" s="4" t="s">
        <v>908</v>
      </c>
      <c r="L594" s="7" t="s">
        <v>42</v>
      </c>
      <c r="M594" s="7"/>
      <c r="N594" s="4" t="s">
        <v>3450</v>
      </c>
    </row>
    <row r="595" spans="1:14" ht="40" customHeight="1">
      <c r="A595" s="8" t="s">
        <v>525</v>
      </c>
      <c r="B595" s="8" t="s">
        <v>526</v>
      </c>
      <c r="C595" s="8" t="s">
        <v>4769</v>
      </c>
      <c r="D595" s="8" t="s">
        <v>208</v>
      </c>
      <c r="E595" s="8" t="s">
        <v>41</v>
      </c>
      <c r="F595" s="8" t="s">
        <v>3452</v>
      </c>
      <c r="G595" s="8" t="s">
        <v>4770</v>
      </c>
      <c r="H595" s="8" t="s">
        <v>3469</v>
      </c>
      <c r="I595" s="8" t="s">
        <v>2185</v>
      </c>
      <c r="J595" s="8" t="s">
        <v>529</v>
      </c>
      <c r="K595" s="8" t="s">
        <v>908</v>
      </c>
      <c r="L595" s="7" t="s">
        <v>42</v>
      </c>
      <c r="M595" s="7"/>
      <c r="N595" s="8" t="s">
        <v>3450</v>
      </c>
    </row>
    <row r="596" spans="1:14" ht="40" customHeight="1">
      <c r="A596" s="4" t="s">
        <v>525</v>
      </c>
      <c r="B596" s="4" t="s">
        <v>526</v>
      </c>
      <c r="C596" s="4" t="s">
        <v>4771</v>
      </c>
      <c r="D596" s="4" t="s">
        <v>208</v>
      </c>
      <c r="E596" s="4" t="s">
        <v>41</v>
      </c>
      <c r="F596" s="4" t="s">
        <v>3452</v>
      </c>
      <c r="G596" s="4" t="s">
        <v>4772</v>
      </c>
      <c r="H596" s="4" t="s">
        <v>3472</v>
      </c>
      <c r="I596" s="4" t="s">
        <v>2185</v>
      </c>
      <c r="J596" s="4" t="s">
        <v>529</v>
      </c>
      <c r="K596" s="4" t="s">
        <v>908</v>
      </c>
      <c r="L596" s="7" t="s">
        <v>42</v>
      </c>
      <c r="M596" s="7"/>
      <c r="N596" s="4" t="s">
        <v>3450</v>
      </c>
    </row>
    <row r="597" spans="1:14" ht="40" customHeight="1">
      <c r="A597" s="8" t="s">
        <v>531</v>
      </c>
      <c r="B597" s="8" t="s">
        <v>532</v>
      </c>
      <c r="C597" s="8" t="s">
        <v>4773</v>
      </c>
      <c r="D597" s="8" t="s">
        <v>208</v>
      </c>
      <c r="E597" s="8" t="s">
        <v>41</v>
      </c>
      <c r="F597" s="8" t="s">
        <v>3452</v>
      </c>
      <c r="G597" s="8" t="s">
        <v>4767</v>
      </c>
      <c r="H597" s="8" t="s">
        <v>3449</v>
      </c>
      <c r="I597" s="8" t="s">
        <v>2201</v>
      </c>
      <c r="J597" s="8" t="s">
        <v>536</v>
      </c>
      <c r="K597" s="8" t="s">
        <v>908</v>
      </c>
      <c r="L597" s="7" t="s">
        <v>42</v>
      </c>
      <c r="M597" s="7"/>
      <c r="N597" s="8" t="s">
        <v>3450</v>
      </c>
    </row>
    <row r="598" spans="1:14" ht="54" customHeight="1">
      <c r="A598" s="4" t="s">
        <v>531</v>
      </c>
      <c r="B598" s="4" t="s">
        <v>532</v>
      </c>
      <c r="C598" s="4" t="s">
        <v>4774</v>
      </c>
      <c r="D598" s="4" t="s">
        <v>208</v>
      </c>
      <c r="E598" s="4" t="s">
        <v>41</v>
      </c>
      <c r="F598" s="4" t="s">
        <v>3452</v>
      </c>
      <c r="G598" s="4" t="s">
        <v>3692</v>
      </c>
      <c r="H598" s="4" t="s">
        <v>3466</v>
      </c>
      <c r="I598" s="4" t="s">
        <v>2201</v>
      </c>
      <c r="J598" s="4" t="s">
        <v>536</v>
      </c>
      <c r="K598" s="4" t="s">
        <v>908</v>
      </c>
      <c r="L598" s="7" t="s">
        <v>42</v>
      </c>
      <c r="M598" s="7"/>
      <c r="N598" s="4" t="s">
        <v>3450</v>
      </c>
    </row>
    <row r="599" spans="1:14" ht="40" customHeight="1">
      <c r="A599" s="8" t="s">
        <v>531</v>
      </c>
      <c r="B599" s="8" t="s">
        <v>532</v>
      </c>
      <c r="C599" s="8" t="s">
        <v>4775</v>
      </c>
      <c r="D599" s="8" t="s">
        <v>208</v>
      </c>
      <c r="E599" s="8" t="s">
        <v>41</v>
      </c>
      <c r="F599" s="8" t="s">
        <v>3452</v>
      </c>
      <c r="G599" s="8" t="s">
        <v>4770</v>
      </c>
      <c r="H599" s="8" t="s">
        <v>3469</v>
      </c>
      <c r="I599" s="8" t="s">
        <v>2201</v>
      </c>
      <c r="J599" s="8" t="s">
        <v>536</v>
      </c>
      <c r="K599" s="8" t="s">
        <v>908</v>
      </c>
      <c r="L599" s="7" t="s">
        <v>42</v>
      </c>
      <c r="M599" s="7"/>
      <c r="N599" s="8" t="s">
        <v>3450</v>
      </c>
    </row>
    <row r="600" spans="1:14" ht="40" customHeight="1">
      <c r="A600" s="4" t="s">
        <v>531</v>
      </c>
      <c r="B600" s="4" t="s">
        <v>532</v>
      </c>
      <c r="C600" s="4" t="s">
        <v>4776</v>
      </c>
      <c r="D600" s="4" t="s">
        <v>208</v>
      </c>
      <c r="E600" s="4" t="s">
        <v>41</v>
      </c>
      <c r="F600" s="4" t="s">
        <v>3452</v>
      </c>
      <c r="G600" s="4" t="s">
        <v>4772</v>
      </c>
      <c r="H600" s="4" t="s">
        <v>3472</v>
      </c>
      <c r="I600" s="4" t="s">
        <v>2201</v>
      </c>
      <c r="J600" s="4" t="s">
        <v>536</v>
      </c>
      <c r="K600" s="4" t="s">
        <v>908</v>
      </c>
      <c r="L600" s="7" t="s">
        <v>42</v>
      </c>
      <c r="M600" s="7"/>
      <c r="N600" s="4" t="s">
        <v>3450</v>
      </c>
    </row>
    <row r="601" spans="1:14" ht="54" customHeight="1">
      <c r="A601" s="8" t="s">
        <v>539</v>
      </c>
      <c r="B601" s="8" t="s">
        <v>540</v>
      </c>
      <c r="C601" s="8" t="s">
        <v>4777</v>
      </c>
      <c r="D601" s="8" t="s">
        <v>183</v>
      </c>
      <c r="E601" s="8" t="s">
        <v>41</v>
      </c>
      <c r="F601" s="8" t="s">
        <v>3452</v>
      </c>
      <c r="G601" s="8" t="s">
        <v>4778</v>
      </c>
      <c r="H601" s="8" t="s">
        <v>3449</v>
      </c>
      <c r="I601" s="8" t="s">
        <v>2217</v>
      </c>
      <c r="J601" s="8" t="s">
        <v>543</v>
      </c>
      <c r="K601" s="8" t="s">
        <v>908</v>
      </c>
      <c r="L601" s="7" t="s">
        <v>42</v>
      </c>
      <c r="M601" s="7"/>
      <c r="N601" s="8" t="s">
        <v>3450</v>
      </c>
    </row>
    <row r="602" spans="1:14" ht="40" customHeight="1">
      <c r="A602" s="4" t="s">
        <v>539</v>
      </c>
      <c r="B602" s="4" t="s">
        <v>540</v>
      </c>
      <c r="C602" s="4" t="s">
        <v>4779</v>
      </c>
      <c r="D602" s="4" t="s">
        <v>183</v>
      </c>
      <c r="E602" s="4" t="s">
        <v>41</v>
      </c>
      <c r="F602" s="4" t="s">
        <v>3452</v>
      </c>
      <c r="G602" s="4" t="s">
        <v>4780</v>
      </c>
      <c r="H602" s="4" t="s">
        <v>3454</v>
      </c>
      <c r="I602" s="4" t="s">
        <v>2217</v>
      </c>
      <c r="J602" s="4" t="s">
        <v>543</v>
      </c>
      <c r="K602" s="4" t="s">
        <v>908</v>
      </c>
      <c r="L602" s="7" t="s">
        <v>42</v>
      </c>
      <c r="M602" s="7"/>
      <c r="N602" s="4" t="s">
        <v>3450</v>
      </c>
    </row>
    <row r="603" spans="1:14" ht="40" customHeight="1">
      <c r="A603" s="8" t="s">
        <v>539</v>
      </c>
      <c r="B603" s="8" t="s">
        <v>540</v>
      </c>
      <c r="C603" s="8" t="s">
        <v>4781</v>
      </c>
      <c r="D603" s="8" t="s">
        <v>183</v>
      </c>
      <c r="E603" s="8" t="s">
        <v>41</v>
      </c>
      <c r="F603" s="8" t="s">
        <v>3452</v>
      </c>
      <c r="G603" s="8" t="s">
        <v>4782</v>
      </c>
      <c r="H603" s="8" t="s">
        <v>3519</v>
      </c>
      <c r="I603" s="8" t="s">
        <v>2217</v>
      </c>
      <c r="J603" s="8" t="s">
        <v>543</v>
      </c>
      <c r="K603" s="8" t="s">
        <v>908</v>
      </c>
      <c r="L603" s="7" t="s">
        <v>42</v>
      </c>
      <c r="M603" s="7"/>
      <c r="N603" s="8" t="s">
        <v>3450</v>
      </c>
    </row>
    <row r="604" spans="1:14" ht="40" customHeight="1">
      <c r="A604" s="4" t="s">
        <v>539</v>
      </c>
      <c r="B604" s="4" t="s">
        <v>540</v>
      </c>
      <c r="C604" s="4" t="s">
        <v>4783</v>
      </c>
      <c r="D604" s="4" t="s">
        <v>183</v>
      </c>
      <c r="E604" s="4" t="s">
        <v>41</v>
      </c>
      <c r="F604" s="4" t="s">
        <v>3452</v>
      </c>
      <c r="G604" s="4" t="s">
        <v>4784</v>
      </c>
      <c r="H604" s="4" t="s">
        <v>3522</v>
      </c>
      <c r="I604" s="4" t="s">
        <v>2217</v>
      </c>
      <c r="J604" s="4" t="s">
        <v>543</v>
      </c>
      <c r="K604" s="4" t="s">
        <v>908</v>
      </c>
      <c r="L604" s="7" t="s">
        <v>42</v>
      </c>
      <c r="M604" s="7"/>
      <c r="N604" s="4" t="s">
        <v>3450</v>
      </c>
    </row>
    <row r="605" spans="1:14" ht="54" customHeight="1">
      <c r="A605" s="8" t="s">
        <v>539</v>
      </c>
      <c r="B605" s="8" t="s">
        <v>540</v>
      </c>
      <c r="C605" s="8" t="s">
        <v>4785</v>
      </c>
      <c r="D605" s="8" t="s">
        <v>183</v>
      </c>
      <c r="E605" s="8" t="s">
        <v>41</v>
      </c>
      <c r="F605" s="8" t="s">
        <v>3452</v>
      </c>
      <c r="G605" s="8" t="s">
        <v>4752</v>
      </c>
      <c r="H605" s="8" t="s">
        <v>3469</v>
      </c>
      <c r="I605" s="8" t="s">
        <v>2217</v>
      </c>
      <c r="J605" s="8" t="s">
        <v>543</v>
      </c>
      <c r="K605" s="8" t="s">
        <v>908</v>
      </c>
      <c r="L605" s="7" t="s">
        <v>42</v>
      </c>
      <c r="M605" s="7"/>
      <c r="N605" s="8" t="s">
        <v>3450</v>
      </c>
    </row>
    <row r="606" spans="1:14" ht="40" customHeight="1">
      <c r="A606" s="4" t="s">
        <v>539</v>
      </c>
      <c r="B606" s="4" t="s">
        <v>540</v>
      </c>
      <c r="C606" s="4" t="s">
        <v>4786</v>
      </c>
      <c r="D606" s="4" t="s">
        <v>183</v>
      </c>
      <c r="E606" s="4" t="s">
        <v>41</v>
      </c>
      <c r="F606" s="4" t="s">
        <v>3452</v>
      </c>
      <c r="G606" s="4" t="s">
        <v>4787</v>
      </c>
      <c r="H606" s="4" t="s">
        <v>3472</v>
      </c>
      <c r="I606" s="4" t="s">
        <v>2217</v>
      </c>
      <c r="J606" s="4" t="s">
        <v>543</v>
      </c>
      <c r="K606" s="4" t="s">
        <v>908</v>
      </c>
      <c r="L606" s="7" t="s">
        <v>42</v>
      </c>
      <c r="M606" s="7"/>
      <c r="N606" s="4" t="s">
        <v>3450</v>
      </c>
    </row>
    <row r="607" spans="1:14" ht="68" customHeight="1">
      <c r="A607" s="8" t="s">
        <v>539</v>
      </c>
      <c r="B607" s="8" t="s">
        <v>540</v>
      </c>
      <c r="C607" s="8" t="s">
        <v>4788</v>
      </c>
      <c r="D607" s="8" t="s">
        <v>183</v>
      </c>
      <c r="E607" s="8" t="s">
        <v>41</v>
      </c>
      <c r="F607" s="8" t="s">
        <v>3452</v>
      </c>
      <c r="G607" s="8" t="s">
        <v>4756</v>
      </c>
      <c r="H607" s="8" t="s">
        <v>3475</v>
      </c>
      <c r="I607" s="8" t="s">
        <v>2217</v>
      </c>
      <c r="J607" s="8" t="s">
        <v>543</v>
      </c>
      <c r="K607" s="8" t="s">
        <v>908</v>
      </c>
      <c r="L607" s="7" t="s">
        <v>42</v>
      </c>
      <c r="M607" s="7"/>
      <c r="N607" s="8" t="s">
        <v>3450</v>
      </c>
    </row>
    <row r="608" spans="1:14" ht="40" customHeight="1">
      <c r="A608" s="4" t="s">
        <v>539</v>
      </c>
      <c r="B608" s="4" t="s">
        <v>540</v>
      </c>
      <c r="C608" s="4" t="s">
        <v>4789</v>
      </c>
      <c r="D608" s="4" t="s">
        <v>183</v>
      </c>
      <c r="E608" s="4" t="s">
        <v>41</v>
      </c>
      <c r="F608" s="4" t="s">
        <v>3452</v>
      </c>
      <c r="G608" s="4" t="s">
        <v>4758</v>
      </c>
      <c r="H608" s="4" t="s">
        <v>3478</v>
      </c>
      <c r="I608" s="4" t="s">
        <v>2217</v>
      </c>
      <c r="J608" s="4" t="s">
        <v>543</v>
      </c>
      <c r="K608" s="4" t="s">
        <v>908</v>
      </c>
      <c r="L608" s="7" t="s">
        <v>42</v>
      </c>
      <c r="M608" s="7"/>
      <c r="N608" s="4" t="s">
        <v>3450</v>
      </c>
    </row>
    <row r="609" spans="1:14" ht="40" customHeight="1">
      <c r="A609" s="8" t="s">
        <v>546</v>
      </c>
      <c r="B609" s="8" t="s">
        <v>547</v>
      </c>
      <c r="C609" s="8" t="s">
        <v>4790</v>
      </c>
      <c r="D609" s="8" t="s">
        <v>183</v>
      </c>
      <c r="E609" s="8" t="s">
        <v>41</v>
      </c>
      <c r="F609" s="8" t="s">
        <v>3452</v>
      </c>
      <c r="G609" s="8" t="s">
        <v>4791</v>
      </c>
      <c r="H609" s="8" t="s">
        <v>3449</v>
      </c>
      <c r="I609" s="8" t="s">
        <v>2249</v>
      </c>
      <c r="J609" s="8" t="s">
        <v>551</v>
      </c>
      <c r="K609" s="8" t="s">
        <v>908</v>
      </c>
      <c r="L609" s="7" t="s">
        <v>42</v>
      </c>
      <c r="M609" s="7"/>
      <c r="N609" s="8" t="s">
        <v>3450</v>
      </c>
    </row>
    <row r="610" spans="1:14" ht="40" customHeight="1">
      <c r="A610" s="4" t="s">
        <v>546</v>
      </c>
      <c r="B610" s="4" t="s">
        <v>547</v>
      </c>
      <c r="C610" s="4" t="s">
        <v>4792</v>
      </c>
      <c r="D610" s="4" t="s">
        <v>183</v>
      </c>
      <c r="E610" s="4" t="s">
        <v>41</v>
      </c>
      <c r="F610" s="4" t="s">
        <v>3452</v>
      </c>
      <c r="G610" s="4" t="s">
        <v>4793</v>
      </c>
      <c r="H610" s="4" t="s">
        <v>3466</v>
      </c>
      <c r="I610" s="4" t="s">
        <v>2249</v>
      </c>
      <c r="J610" s="4" t="s">
        <v>551</v>
      </c>
      <c r="K610" s="4" t="s">
        <v>908</v>
      </c>
      <c r="L610" s="7" t="s">
        <v>42</v>
      </c>
      <c r="M610" s="7"/>
      <c r="N610" s="4" t="s">
        <v>3450</v>
      </c>
    </row>
    <row r="611" spans="1:14" ht="40" customHeight="1">
      <c r="A611" s="8" t="s">
        <v>546</v>
      </c>
      <c r="B611" s="8" t="s">
        <v>547</v>
      </c>
      <c r="C611" s="8" t="s">
        <v>4794</v>
      </c>
      <c r="D611" s="8" t="s">
        <v>183</v>
      </c>
      <c r="E611" s="8" t="s">
        <v>41</v>
      </c>
      <c r="F611" s="8" t="s">
        <v>3452</v>
      </c>
      <c r="G611" s="8" t="s">
        <v>4795</v>
      </c>
      <c r="H611" s="8" t="s">
        <v>3469</v>
      </c>
      <c r="I611" s="8" t="s">
        <v>2249</v>
      </c>
      <c r="J611" s="8" t="s">
        <v>551</v>
      </c>
      <c r="K611" s="8" t="s">
        <v>908</v>
      </c>
      <c r="L611" s="7" t="s">
        <v>42</v>
      </c>
      <c r="M611" s="7"/>
      <c r="N611" s="8" t="s">
        <v>3450</v>
      </c>
    </row>
    <row r="612" spans="1:14" ht="40" customHeight="1">
      <c r="A612" s="4" t="s">
        <v>546</v>
      </c>
      <c r="B612" s="4" t="s">
        <v>547</v>
      </c>
      <c r="C612" s="4" t="s">
        <v>4796</v>
      </c>
      <c r="D612" s="4" t="s">
        <v>183</v>
      </c>
      <c r="E612" s="4" t="s">
        <v>41</v>
      </c>
      <c r="F612" s="4" t="s">
        <v>3452</v>
      </c>
      <c r="G612" s="4" t="s">
        <v>4797</v>
      </c>
      <c r="H612" s="4" t="s">
        <v>3472</v>
      </c>
      <c r="I612" s="4" t="s">
        <v>2249</v>
      </c>
      <c r="J612" s="4" t="s">
        <v>551</v>
      </c>
      <c r="K612" s="4" t="s">
        <v>908</v>
      </c>
      <c r="L612" s="7" t="s">
        <v>42</v>
      </c>
      <c r="M612" s="7"/>
      <c r="N612" s="4" t="s">
        <v>3450</v>
      </c>
    </row>
    <row r="613" spans="1:14" ht="40" customHeight="1">
      <c r="A613" s="8" t="s">
        <v>546</v>
      </c>
      <c r="B613" s="8" t="s">
        <v>547</v>
      </c>
      <c r="C613" s="8" t="s">
        <v>4798</v>
      </c>
      <c r="D613" s="8" t="s">
        <v>183</v>
      </c>
      <c r="E613" s="8" t="s">
        <v>41</v>
      </c>
      <c r="F613" s="8" t="s">
        <v>3452</v>
      </c>
      <c r="G613" s="8" t="s">
        <v>4799</v>
      </c>
      <c r="H613" s="8" t="s">
        <v>3475</v>
      </c>
      <c r="I613" s="8" t="s">
        <v>2249</v>
      </c>
      <c r="J613" s="8" t="s">
        <v>551</v>
      </c>
      <c r="K613" s="8" t="s">
        <v>908</v>
      </c>
      <c r="L613" s="7" t="s">
        <v>42</v>
      </c>
      <c r="M613" s="7"/>
      <c r="N613" s="8" t="s">
        <v>3450</v>
      </c>
    </row>
    <row r="614" spans="1:14" ht="40" customHeight="1">
      <c r="A614" s="4" t="s">
        <v>546</v>
      </c>
      <c r="B614" s="4" t="s">
        <v>547</v>
      </c>
      <c r="C614" s="4" t="s">
        <v>4800</v>
      </c>
      <c r="D614" s="4" t="s">
        <v>183</v>
      </c>
      <c r="E614" s="4" t="s">
        <v>41</v>
      </c>
      <c r="F614" s="4" t="s">
        <v>3452</v>
      </c>
      <c r="G614" s="4" t="s">
        <v>4801</v>
      </c>
      <c r="H614" s="4" t="s">
        <v>3478</v>
      </c>
      <c r="I614" s="4" t="s">
        <v>2249</v>
      </c>
      <c r="J614" s="4" t="s">
        <v>551</v>
      </c>
      <c r="K614" s="4" t="s">
        <v>908</v>
      </c>
      <c r="L614" s="7" t="s">
        <v>42</v>
      </c>
      <c r="M614" s="7"/>
      <c r="N614" s="4" t="s">
        <v>3450</v>
      </c>
    </row>
    <row r="615" spans="1:14" ht="40" customHeight="1">
      <c r="A615" s="8" t="s">
        <v>554</v>
      </c>
      <c r="B615" s="8" t="s">
        <v>555</v>
      </c>
      <c r="C615" s="8" t="s">
        <v>4802</v>
      </c>
      <c r="D615" s="8" t="s">
        <v>183</v>
      </c>
      <c r="E615" s="8" t="s">
        <v>41</v>
      </c>
      <c r="F615" s="8" t="s">
        <v>3452</v>
      </c>
      <c r="G615" s="8" t="s">
        <v>4803</v>
      </c>
      <c r="H615" s="8" t="s">
        <v>3463</v>
      </c>
      <c r="I615" s="8" t="s">
        <v>2289</v>
      </c>
      <c r="J615" s="8" t="s">
        <v>560</v>
      </c>
      <c r="K615" s="8" t="s">
        <v>908</v>
      </c>
      <c r="L615" s="7" t="s">
        <v>42</v>
      </c>
      <c r="M615" s="7"/>
      <c r="N615" s="8" t="s">
        <v>3450</v>
      </c>
    </row>
    <row r="616" spans="1:14" ht="54" customHeight="1">
      <c r="A616" s="4" t="s">
        <v>554</v>
      </c>
      <c r="B616" s="4" t="s">
        <v>555</v>
      </c>
      <c r="C616" s="4" t="s">
        <v>4804</v>
      </c>
      <c r="D616" s="4" t="s">
        <v>183</v>
      </c>
      <c r="E616" s="4" t="s">
        <v>41</v>
      </c>
      <c r="F616" s="4" t="s">
        <v>3452</v>
      </c>
      <c r="G616" s="4" t="s">
        <v>4805</v>
      </c>
      <c r="H616" s="4" t="s">
        <v>3655</v>
      </c>
      <c r="I616" s="4" t="s">
        <v>2289</v>
      </c>
      <c r="J616" s="4" t="s">
        <v>560</v>
      </c>
      <c r="K616" s="4" t="s">
        <v>908</v>
      </c>
      <c r="L616" s="7" t="s">
        <v>42</v>
      </c>
      <c r="M616" s="7"/>
      <c r="N616" s="4" t="s">
        <v>3450</v>
      </c>
    </row>
    <row r="617" spans="1:14" ht="40" customHeight="1">
      <c r="A617" s="8" t="s">
        <v>554</v>
      </c>
      <c r="B617" s="8" t="s">
        <v>555</v>
      </c>
      <c r="C617" s="8" t="s">
        <v>4806</v>
      </c>
      <c r="D617" s="8" t="s">
        <v>183</v>
      </c>
      <c r="E617" s="8" t="s">
        <v>41</v>
      </c>
      <c r="F617" s="8" t="s">
        <v>3452</v>
      </c>
      <c r="G617" s="8" t="s">
        <v>4807</v>
      </c>
      <c r="H617" s="8" t="s">
        <v>3497</v>
      </c>
      <c r="I617" s="8" t="s">
        <v>2289</v>
      </c>
      <c r="J617" s="8" t="s">
        <v>560</v>
      </c>
      <c r="K617" s="8" t="s">
        <v>908</v>
      </c>
      <c r="L617" s="7" t="s">
        <v>42</v>
      </c>
      <c r="M617" s="7"/>
      <c r="N617" s="8" t="s">
        <v>3450</v>
      </c>
    </row>
    <row r="618" spans="1:14" ht="40" customHeight="1">
      <c r="A618" s="4" t="s">
        <v>554</v>
      </c>
      <c r="B618" s="4" t="s">
        <v>555</v>
      </c>
      <c r="C618" s="4" t="s">
        <v>4808</v>
      </c>
      <c r="D618" s="4" t="s">
        <v>183</v>
      </c>
      <c r="E618" s="4" t="s">
        <v>41</v>
      </c>
      <c r="F618" s="4" t="s">
        <v>3452</v>
      </c>
      <c r="G618" s="4" t="s">
        <v>4809</v>
      </c>
      <c r="H618" s="4" t="s">
        <v>3503</v>
      </c>
      <c r="I618" s="4" t="s">
        <v>2289</v>
      </c>
      <c r="J618" s="4" t="s">
        <v>560</v>
      </c>
      <c r="K618" s="4" t="s">
        <v>908</v>
      </c>
      <c r="L618" s="7" t="s">
        <v>42</v>
      </c>
      <c r="M618" s="7"/>
      <c r="N618" s="4" t="s">
        <v>3450</v>
      </c>
    </row>
    <row r="619" spans="1:14" ht="40" customHeight="1">
      <c r="A619" s="8" t="s">
        <v>554</v>
      </c>
      <c r="B619" s="8" t="s">
        <v>555</v>
      </c>
      <c r="C619" s="8" t="s">
        <v>4810</v>
      </c>
      <c r="D619" s="8" t="s">
        <v>183</v>
      </c>
      <c r="E619" s="8" t="s">
        <v>41</v>
      </c>
      <c r="F619" s="8" t="s">
        <v>3452</v>
      </c>
      <c r="G619" s="8" t="s">
        <v>4811</v>
      </c>
      <c r="H619" s="8" t="s">
        <v>3509</v>
      </c>
      <c r="I619" s="8" t="s">
        <v>2289</v>
      </c>
      <c r="J619" s="8" t="s">
        <v>560</v>
      </c>
      <c r="K619" s="8" t="s">
        <v>908</v>
      </c>
      <c r="L619" s="7" t="s">
        <v>42</v>
      </c>
      <c r="M619" s="7"/>
      <c r="N619" s="8" t="s">
        <v>3450</v>
      </c>
    </row>
    <row r="620" spans="1:14" ht="40" customHeight="1">
      <c r="A620" s="4" t="s">
        <v>554</v>
      </c>
      <c r="B620" s="4" t="s">
        <v>555</v>
      </c>
      <c r="C620" s="4" t="s">
        <v>4812</v>
      </c>
      <c r="D620" s="4" t="s">
        <v>183</v>
      </c>
      <c r="E620" s="4" t="s">
        <v>41</v>
      </c>
      <c r="F620" s="4" t="s">
        <v>3452</v>
      </c>
      <c r="G620" s="4" t="s">
        <v>4813</v>
      </c>
      <c r="H620" s="4" t="s">
        <v>4429</v>
      </c>
      <c r="I620" s="4" t="s">
        <v>2289</v>
      </c>
      <c r="J620" s="4" t="s">
        <v>560</v>
      </c>
      <c r="K620" s="4" t="s">
        <v>908</v>
      </c>
      <c r="L620" s="7" t="s">
        <v>42</v>
      </c>
      <c r="M620" s="7"/>
      <c r="N620" s="4" t="s">
        <v>3450</v>
      </c>
    </row>
    <row r="621" spans="1:14" ht="68" customHeight="1">
      <c r="A621" s="8" t="s">
        <v>554</v>
      </c>
      <c r="B621" s="8" t="s">
        <v>555</v>
      </c>
      <c r="C621" s="8" t="s">
        <v>4814</v>
      </c>
      <c r="D621" s="8" t="s">
        <v>183</v>
      </c>
      <c r="E621" s="8" t="s">
        <v>41</v>
      </c>
      <c r="F621" s="8" t="s">
        <v>3452</v>
      </c>
      <c r="G621" s="8" t="s">
        <v>4815</v>
      </c>
      <c r="H621" s="8" t="s">
        <v>4435</v>
      </c>
      <c r="I621" s="8" t="s">
        <v>2289</v>
      </c>
      <c r="J621" s="8" t="s">
        <v>560</v>
      </c>
      <c r="K621" s="8" t="s">
        <v>908</v>
      </c>
      <c r="L621" s="7" t="s">
        <v>42</v>
      </c>
      <c r="M621" s="7"/>
      <c r="N621" s="8" t="s">
        <v>3450</v>
      </c>
    </row>
    <row r="622" spans="1:14" ht="40" customHeight="1">
      <c r="A622" s="4" t="s">
        <v>563</v>
      </c>
      <c r="B622" s="4" t="s">
        <v>564</v>
      </c>
      <c r="C622" s="4" t="s">
        <v>4816</v>
      </c>
      <c r="D622" s="4" t="s">
        <v>183</v>
      </c>
      <c r="E622" s="4" t="s">
        <v>41</v>
      </c>
      <c r="F622" s="4" t="s">
        <v>3452</v>
      </c>
      <c r="G622" s="4" t="s">
        <v>4817</v>
      </c>
      <c r="H622" s="4" t="s">
        <v>3449</v>
      </c>
      <c r="I622" s="4" t="s">
        <v>2314</v>
      </c>
      <c r="J622" s="4" t="s">
        <v>567</v>
      </c>
      <c r="K622" s="4" t="s">
        <v>908</v>
      </c>
      <c r="L622" s="7" t="s">
        <v>42</v>
      </c>
      <c r="M622" s="7"/>
      <c r="N622" s="4" t="s">
        <v>3450</v>
      </c>
    </row>
    <row r="623" spans="1:14" ht="40" customHeight="1">
      <c r="A623" s="8" t="s">
        <v>563</v>
      </c>
      <c r="B623" s="8" t="s">
        <v>564</v>
      </c>
      <c r="C623" s="8" t="s">
        <v>4818</v>
      </c>
      <c r="D623" s="8" t="s">
        <v>183</v>
      </c>
      <c r="E623" s="8" t="s">
        <v>41</v>
      </c>
      <c r="F623" s="8" t="s">
        <v>3452</v>
      </c>
      <c r="G623" s="8" t="s">
        <v>4819</v>
      </c>
      <c r="H623" s="8" t="s">
        <v>3469</v>
      </c>
      <c r="I623" s="8" t="s">
        <v>2314</v>
      </c>
      <c r="J623" s="8" t="s">
        <v>567</v>
      </c>
      <c r="K623" s="8" t="s">
        <v>908</v>
      </c>
      <c r="L623" s="7" t="s">
        <v>42</v>
      </c>
      <c r="M623" s="7"/>
      <c r="N623" s="8" t="s">
        <v>3450</v>
      </c>
    </row>
    <row r="624" spans="1:14" ht="40" customHeight="1">
      <c r="A624" s="4" t="s">
        <v>563</v>
      </c>
      <c r="B624" s="4" t="s">
        <v>564</v>
      </c>
      <c r="C624" s="4" t="s">
        <v>4820</v>
      </c>
      <c r="D624" s="4" t="s">
        <v>183</v>
      </c>
      <c r="E624" s="4" t="s">
        <v>41</v>
      </c>
      <c r="F624" s="4" t="s">
        <v>3452</v>
      </c>
      <c r="G624" s="4" t="s">
        <v>4821</v>
      </c>
      <c r="H624" s="4" t="s">
        <v>3475</v>
      </c>
      <c r="I624" s="4" t="s">
        <v>2314</v>
      </c>
      <c r="J624" s="4" t="s">
        <v>567</v>
      </c>
      <c r="K624" s="4" t="s">
        <v>908</v>
      </c>
      <c r="L624" s="7" t="s">
        <v>42</v>
      </c>
      <c r="M624" s="7"/>
      <c r="N624" s="4" t="s">
        <v>3450</v>
      </c>
    </row>
    <row r="625" spans="1:14" ht="40" customHeight="1">
      <c r="A625" s="8" t="s">
        <v>563</v>
      </c>
      <c r="B625" s="8" t="s">
        <v>564</v>
      </c>
      <c r="C625" s="8" t="s">
        <v>4822</v>
      </c>
      <c r="D625" s="8" t="s">
        <v>183</v>
      </c>
      <c r="E625" s="8" t="s">
        <v>41</v>
      </c>
      <c r="F625" s="8" t="s">
        <v>3452</v>
      </c>
      <c r="G625" s="8" t="s">
        <v>4823</v>
      </c>
      <c r="H625" s="8" t="s">
        <v>3603</v>
      </c>
      <c r="I625" s="8" t="s">
        <v>2314</v>
      </c>
      <c r="J625" s="8" t="s">
        <v>567</v>
      </c>
      <c r="K625" s="8" t="s">
        <v>908</v>
      </c>
      <c r="L625" s="7" t="s">
        <v>42</v>
      </c>
      <c r="M625" s="7"/>
      <c r="N625" s="8" t="s">
        <v>3450</v>
      </c>
    </row>
    <row r="626" spans="1:14" ht="40" customHeight="1">
      <c r="A626" s="4" t="s">
        <v>563</v>
      </c>
      <c r="B626" s="4" t="s">
        <v>564</v>
      </c>
      <c r="C626" s="4" t="s">
        <v>4824</v>
      </c>
      <c r="D626" s="4" t="s">
        <v>183</v>
      </c>
      <c r="E626" s="4" t="s">
        <v>41</v>
      </c>
      <c r="F626" s="4" t="s">
        <v>3452</v>
      </c>
      <c r="G626" s="4" t="s">
        <v>4825</v>
      </c>
      <c r="H626" s="4" t="s">
        <v>3608</v>
      </c>
      <c r="I626" s="4" t="s">
        <v>2314</v>
      </c>
      <c r="J626" s="4" t="s">
        <v>567</v>
      </c>
      <c r="K626" s="4" t="s">
        <v>908</v>
      </c>
      <c r="L626" s="7" t="s">
        <v>42</v>
      </c>
      <c r="M626" s="7"/>
      <c r="N626" s="4" t="s">
        <v>3450</v>
      </c>
    </row>
    <row r="627" spans="1:14" ht="40" customHeight="1">
      <c r="A627" s="8" t="s">
        <v>563</v>
      </c>
      <c r="B627" s="8" t="s">
        <v>564</v>
      </c>
      <c r="C627" s="8" t="s">
        <v>4826</v>
      </c>
      <c r="D627" s="8" t="s">
        <v>183</v>
      </c>
      <c r="E627" s="8" t="s">
        <v>41</v>
      </c>
      <c r="F627" s="8" t="s">
        <v>3452</v>
      </c>
      <c r="G627" s="8" t="s">
        <v>4827</v>
      </c>
      <c r="H627" s="8" t="s">
        <v>3775</v>
      </c>
      <c r="I627" s="8" t="s">
        <v>2314</v>
      </c>
      <c r="J627" s="8" t="s">
        <v>567</v>
      </c>
      <c r="K627" s="8" t="s">
        <v>908</v>
      </c>
      <c r="L627" s="7" t="s">
        <v>42</v>
      </c>
      <c r="M627" s="7"/>
      <c r="N627" s="8" t="s">
        <v>3450</v>
      </c>
    </row>
    <row r="628" spans="1:14" ht="40" customHeight="1">
      <c r="A628" s="4" t="s">
        <v>563</v>
      </c>
      <c r="B628" s="4" t="s">
        <v>564</v>
      </c>
      <c r="C628" s="4" t="s">
        <v>4828</v>
      </c>
      <c r="D628" s="4" t="s">
        <v>183</v>
      </c>
      <c r="E628" s="4" t="s">
        <v>41</v>
      </c>
      <c r="F628" s="4" t="s">
        <v>3452</v>
      </c>
      <c r="G628" s="4" t="s">
        <v>4829</v>
      </c>
      <c r="H628" s="4" t="s">
        <v>3777</v>
      </c>
      <c r="I628" s="4" t="s">
        <v>2314</v>
      </c>
      <c r="J628" s="4" t="s">
        <v>567</v>
      </c>
      <c r="K628" s="4" t="s">
        <v>908</v>
      </c>
      <c r="L628" s="7" t="s">
        <v>42</v>
      </c>
      <c r="M628" s="7"/>
      <c r="N628" s="4" t="s">
        <v>3450</v>
      </c>
    </row>
    <row r="629" spans="1:14" ht="40" customHeight="1">
      <c r="A629" s="8" t="s">
        <v>563</v>
      </c>
      <c r="B629" s="8" t="s">
        <v>564</v>
      </c>
      <c r="C629" s="8" t="s">
        <v>4830</v>
      </c>
      <c r="D629" s="8" t="s">
        <v>183</v>
      </c>
      <c r="E629" s="8" t="s">
        <v>41</v>
      </c>
      <c r="F629" s="8" t="s">
        <v>3452</v>
      </c>
      <c r="G629" s="8" t="s">
        <v>4831</v>
      </c>
      <c r="H629" s="8" t="s">
        <v>3781</v>
      </c>
      <c r="I629" s="8" t="s">
        <v>2314</v>
      </c>
      <c r="J629" s="8" t="s">
        <v>567</v>
      </c>
      <c r="K629" s="8" t="s">
        <v>908</v>
      </c>
      <c r="L629" s="7" t="s">
        <v>42</v>
      </c>
      <c r="M629" s="7"/>
      <c r="N629" s="8" t="s">
        <v>3450</v>
      </c>
    </row>
    <row r="630" spans="1:14" ht="40" customHeight="1">
      <c r="A630" s="4" t="s">
        <v>570</v>
      </c>
      <c r="B630" s="4" t="s">
        <v>571</v>
      </c>
      <c r="C630" s="4" t="s">
        <v>4832</v>
      </c>
      <c r="D630" s="4" t="s">
        <v>208</v>
      </c>
      <c r="E630" s="4" t="s">
        <v>41</v>
      </c>
      <c r="F630" s="4" t="s">
        <v>3452</v>
      </c>
      <c r="G630" s="4" t="s">
        <v>4833</v>
      </c>
      <c r="H630" s="4" t="s">
        <v>3449</v>
      </c>
      <c r="I630" s="4" t="s">
        <v>2339</v>
      </c>
      <c r="J630" s="4" t="s">
        <v>575</v>
      </c>
      <c r="K630" s="4" t="s">
        <v>908</v>
      </c>
      <c r="L630" s="7" t="s">
        <v>42</v>
      </c>
      <c r="M630" s="7"/>
      <c r="N630" s="4" t="s">
        <v>3450</v>
      </c>
    </row>
    <row r="631" spans="1:14" ht="40" customHeight="1">
      <c r="A631" s="8" t="s">
        <v>570</v>
      </c>
      <c r="B631" s="8" t="s">
        <v>571</v>
      </c>
      <c r="C631" s="8" t="s">
        <v>4834</v>
      </c>
      <c r="D631" s="8" t="s">
        <v>208</v>
      </c>
      <c r="E631" s="8" t="s">
        <v>41</v>
      </c>
      <c r="F631" s="8" t="s">
        <v>3452</v>
      </c>
      <c r="G631" s="8" t="s">
        <v>4835</v>
      </c>
      <c r="H631" s="8" t="s">
        <v>3466</v>
      </c>
      <c r="I631" s="8" t="s">
        <v>2339</v>
      </c>
      <c r="J631" s="8" t="s">
        <v>575</v>
      </c>
      <c r="K631" s="8" t="s">
        <v>908</v>
      </c>
      <c r="L631" s="7" t="s">
        <v>42</v>
      </c>
      <c r="M631" s="7"/>
      <c r="N631" s="8" t="s">
        <v>3450</v>
      </c>
    </row>
    <row r="632" spans="1:14" ht="40" customHeight="1">
      <c r="A632" s="4" t="s">
        <v>570</v>
      </c>
      <c r="B632" s="4" t="s">
        <v>571</v>
      </c>
      <c r="C632" s="4" t="s">
        <v>4836</v>
      </c>
      <c r="D632" s="4" t="s">
        <v>208</v>
      </c>
      <c r="E632" s="4" t="s">
        <v>41</v>
      </c>
      <c r="F632" s="4" t="s">
        <v>3452</v>
      </c>
      <c r="G632" s="4" t="s">
        <v>4837</v>
      </c>
      <c r="H632" s="4" t="s">
        <v>3469</v>
      </c>
      <c r="I632" s="4" t="s">
        <v>2339</v>
      </c>
      <c r="J632" s="4" t="s">
        <v>575</v>
      </c>
      <c r="K632" s="4" t="s">
        <v>908</v>
      </c>
      <c r="L632" s="7" t="s">
        <v>42</v>
      </c>
      <c r="M632" s="7"/>
      <c r="N632" s="4" t="s">
        <v>3450</v>
      </c>
    </row>
    <row r="633" spans="1:14" ht="68" customHeight="1">
      <c r="A633" s="8" t="s">
        <v>570</v>
      </c>
      <c r="B633" s="8" t="s">
        <v>571</v>
      </c>
      <c r="C633" s="8" t="s">
        <v>4838</v>
      </c>
      <c r="D633" s="8" t="s">
        <v>208</v>
      </c>
      <c r="E633" s="8" t="s">
        <v>41</v>
      </c>
      <c r="F633" s="8" t="s">
        <v>3452</v>
      </c>
      <c r="G633" s="8" t="s">
        <v>4839</v>
      </c>
      <c r="H633" s="8" t="s">
        <v>3472</v>
      </c>
      <c r="I633" s="8" t="s">
        <v>2339</v>
      </c>
      <c r="J633" s="8" t="s">
        <v>575</v>
      </c>
      <c r="K633" s="8" t="s">
        <v>908</v>
      </c>
      <c r="L633" s="7" t="s">
        <v>42</v>
      </c>
      <c r="M633" s="7"/>
      <c r="N633" s="8" t="s">
        <v>3450</v>
      </c>
    </row>
    <row r="634" spans="1:14" ht="40" customHeight="1">
      <c r="A634" s="4" t="s">
        <v>578</v>
      </c>
      <c r="B634" s="4" t="s">
        <v>579</v>
      </c>
      <c r="C634" s="4" t="s">
        <v>4840</v>
      </c>
      <c r="D634" s="4" t="s">
        <v>208</v>
      </c>
      <c r="E634" s="4" t="s">
        <v>41</v>
      </c>
      <c r="F634" s="4" t="s">
        <v>3452</v>
      </c>
      <c r="G634" s="4" t="s">
        <v>4767</v>
      </c>
      <c r="H634" s="4" t="s">
        <v>3449</v>
      </c>
      <c r="I634" s="4" t="s">
        <v>2350</v>
      </c>
      <c r="J634" s="4" t="s">
        <v>583</v>
      </c>
      <c r="K634" s="4" t="s">
        <v>908</v>
      </c>
      <c r="L634" s="7" t="s">
        <v>42</v>
      </c>
      <c r="M634" s="7"/>
      <c r="N634" s="4" t="s">
        <v>3450</v>
      </c>
    </row>
    <row r="635" spans="1:14" ht="54" customHeight="1">
      <c r="A635" s="8" t="s">
        <v>578</v>
      </c>
      <c r="B635" s="8" t="s">
        <v>579</v>
      </c>
      <c r="C635" s="8" t="s">
        <v>4841</v>
      </c>
      <c r="D635" s="8" t="s">
        <v>208</v>
      </c>
      <c r="E635" s="8" t="s">
        <v>41</v>
      </c>
      <c r="F635" s="8" t="s">
        <v>3452</v>
      </c>
      <c r="G635" s="8" t="s">
        <v>3692</v>
      </c>
      <c r="H635" s="8" t="s">
        <v>3466</v>
      </c>
      <c r="I635" s="8" t="s">
        <v>2350</v>
      </c>
      <c r="J635" s="8" t="s">
        <v>583</v>
      </c>
      <c r="K635" s="8" t="s">
        <v>908</v>
      </c>
      <c r="L635" s="7" t="s">
        <v>42</v>
      </c>
      <c r="M635" s="7"/>
      <c r="N635" s="8" t="s">
        <v>3450</v>
      </c>
    </row>
    <row r="636" spans="1:14" ht="40" customHeight="1">
      <c r="A636" s="4" t="s">
        <v>578</v>
      </c>
      <c r="B636" s="4" t="s">
        <v>579</v>
      </c>
      <c r="C636" s="4" t="s">
        <v>4842</v>
      </c>
      <c r="D636" s="4" t="s">
        <v>208</v>
      </c>
      <c r="E636" s="4" t="s">
        <v>41</v>
      </c>
      <c r="F636" s="4" t="s">
        <v>3452</v>
      </c>
      <c r="G636" s="4" t="s">
        <v>4770</v>
      </c>
      <c r="H636" s="4" t="s">
        <v>3469</v>
      </c>
      <c r="I636" s="4" t="s">
        <v>2350</v>
      </c>
      <c r="J636" s="4" t="s">
        <v>583</v>
      </c>
      <c r="K636" s="4" t="s">
        <v>908</v>
      </c>
      <c r="L636" s="7" t="s">
        <v>42</v>
      </c>
      <c r="M636" s="7"/>
      <c r="N636" s="4" t="s">
        <v>3450</v>
      </c>
    </row>
    <row r="637" spans="1:14" ht="40" customHeight="1">
      <c r="A637" s="8" t="s">
        <v>578</v>
      </c>
      <c r="B637" s="8" t="s">
        <v>579</v>
      </c>
      <c r="C637" s="8" t="s">
        <v>4843</v>
      </c>
      <c r="D637" s="8" t="s">
        <v>208</v>
      </c>
      <c r="E637" s="8" t="s">
        <v>41</v>
      </c>
      <c r="F637" s="8" t="s">
        <v>3452</v>
      </c>
      <c r="G637" s="8" t="s">
        <v>4772</v>
      </c>
      <c r="H637" s="8" t="s">
        <v>3472</v>
      </c>
      <c r="I637" s="8" t="s">
        <v>2350</v>
      </c>
      <c r="J637" s="8" t="s">
        <v>583</v>
      </c>
      <c r="K637" s="8" t="s">
        <v>908</v>
      </c>
      <c r="L637" s="7" t="s">
        <v>42</v>
      </c>
      <c r="M637" s="7"/>
      <c r="N637" s="8" t="s">
        <v>3450</v>
      </c>
    </row>
    <row r="638" spans="1:14" ht="40" customHeight="1">
      <c r="A638" s="4" t="s">
        <v>586</v>
      </c>
      <c r="B638" s="4" t="s">
        <v>587</v>
      </c>
      <c r="C638" s="4" t="s">
        <v>4844</v>
      </c>
      <c r="D638" s="4" t="s">
        <v>183</v>
      </c>
      <c r="E638" s="4" t="s">
        <v>41</v>
      </c>
      <c r="F638" s="4" t="s">
        <v>3452</v>
      </c>
      <c r="G638" s="4" t="s">
        <v>4845</v>
      </c>
      <c r="H638" s="4" t="s">
        <v>3449</v>
      </c>
      <c r="I638" s="4" t="s">
        <v>2367</v>
      </c>
      <c r="J638" s="4" t="s">
        <v>591</v>
      </c>
      <c r="K638" s="4" t="s">
        <v>908</v>
      </c>
      <c r="L638" s="7" t="s">
        <v>42</v>
      </c>
      <c r="M638" s="7"/>
      <c r="N638" s="4" t="s">
        <v>3450</v>
      </c>
    </row>
    <row r="639" spans="1:14" ht="54" customHeight="1">
      <c r="A639" s="8" t="s">
        <v>586</v>
      </c>
      <c r="B639" s="8" t="s">
        <v>587</v>
      </c>
      <c r="C639" s="8" t="s">
        <v>4846</v>
      </c>
      <c r="D639" s="8" t="s">
        <v>183</v>
      </c>
      <c r="E639" s="8" t="s">
        <v>41</v>
      </c>
      <c r="F639" s="8" t="s">
        <v>3452</v>
      </c>
      <c r="G639" s="8" t="s">
        <v>4847</v>
      </c>
      <c r="H639" s="8" t="s">
        <v>3469</v>
      </c>
      <c r="I639" s="8" t="s">
        <v>2367</v>
      </c>
      <c r="J639" s="8" t="s">
        <v>591</v>
      </c>
      <c r="K639" s="8" t="s">
        <v>908</v>
      </c>
      <c r="L639" s="7" t="s">
        <v>42</v>
      </c>
      <c r="M639" s="7"/>
      <c r="N639" s="8" t="s">
        <v>3450</v>
      </c>
    </row>
    <row r="640" spans="1:14" ht="40" customHeight="1">
      <c r="A640" s="4" t="s">
        <v>586</v>
      </c>
      <c r="B640" s="4" t="s">
        <v>587</v>
      </c>
      <c r="C640" s="4" t="s">
        <v>4848</v>
      </c>
      <c r="D640" s="4" t="s">
        <v>183</v>
      </c>
      <c r="E640" s="4" t="s">
        <v>41</v>
      </c>
      <c r="F640" s="4" t="s">
        <v>3452</v>
      </c>
      <c r="G640" s="4" t="s">
        <v>4849</v>
      </c>
      <c r="H640" s="4" t="s">
        <v>3475</v>
      </c>
      <c r="I640" s="4" t="s">
        <v>2367</v>
      </c>
      <c r="J640" s="4" t="s">
        <v>591</v>
      </c>
      <c r="K640" s="4" t="s">
        <v>908</v>
      </c>
      <c r="L640" s="7" t="s">
        <v>42</v>
      </c>
      <c r="M640" s="7"/>
      <c r="N640" s="4" t="s">
        <v>3450</v>
      </c>
    </row>
    <row r="641" spans="1:14" ht="54" customHeight="1">
      <c r="A641" s="8" t="s">
        <v>586</v>
      </c>
      <c r="B641" s="8" t="s">
        <v>587</v>
      </c>
      <c r="C641" s="8" t="s">
        <v>4850</v>
      </c>
      <c r="D641" s="8" t="s">
        <v>183</v>
      </c>
      <c r="E641" s="8" t="s">
        <v>41</v>
      </c>
      <c r="F641" s="8" t="s">
        <v>3452</v>
      </c>
      <c r="G641" s="8" t="s">
        <v>4851</v>
      </c>
      <c r="H641" s="8" t="s">
        <v>3603</v>
      </c>
      <c r="I641" s="8" t="s">
        <v>2367</v>
      </c>
      <c r="J641" s="8" t="s">
        <v>591</v>
      </c>
      <c r="K641" s="8" t="s">
        <v>908</v>
      </c>
      <c r="L641" s="7" t="s">
        <v>42</v>
      </c>
      <c r="M641" s="7"/>
      <c r="N641" s="8" t="s">
        <v>3450</v>
      </c>
    </row>
    <row r="642" spans="1:14" ht="40" customHeight="1">
      <c r="A642" s="4" t="s">
        <v>586</v>
      </c>
      <c r="B642" s="4" t="s">
        <v>587</v>
      </c>
      <c r="C642" s="4" t="s">
        <v>4852</v>
      </c>
      <c r="D642" s="4" t="s">
        <v>183</v>
      </c>
      <c r="E642" s="4" t="s">
        <v>41</v>
      </c>
      <c r="F642" s="4" t="s">
        <v>3452</v>
      </c>
      <c r="G642" s="4" t="s">
        <v>4853</v>
      </c>
      <c r="H642" s="4" t="s">
        <v>3608</v>
      </c>
      <c r="I642" s="4" t="s">
        <v>2367</v>
      </c>
      <c r="J642" s="4" t="s">
        <v>591</v>
      </c>
      <c r="K642" s="4" t="s">
        <v>908</v>
      </c>
      <c r="L642" s="7" t="s">
        <v>42</v>
      </c>
      <c r="M642" s="7"/>
      <c r="N642" s="4" t="s">
        <v>3450</v>
      </c>
    </row>
    <row r="643" spans="1:14" ht="40" customHeight="1">
      <c r="A643" s="8" t="s">
        <v>586</v>
      </c>
      <c r="B643" s="8" t="s">
        <v>587</v>
      </c>
      <c r="C643" s="8" t="s">
        <v>4854</v>
      </c>
      <c r="D643" s="8" t="s">
        <v>183</v>
      </c>
      <c r="E643" s="8" t="s">
        <v>41</v>
      </c>
      <c r="F643" s="8" t="s">
        <v>3452</v>
      </c>
      <c r="G643" s="8" t="s">
        <v>4855</v>
      </c>
      <c r="H643" s="8" t="s">
        <v>3611</v>
      </c>
      <c r="I643" s="8" t="s">
        <v>2367</v>
      </c>
      <c r="J643" s="8" t="s">
        <v>591</v>
      </c>
      <c r="K643" s="8" t="s">
        <v>908</v>
      </c>
      <c r="L643" s="7" t="s">
        <v>42</v>
      </c>
      <c r="M643" s="7"/>
      <c r="N643" s="8" t="s">
        <v>3450</v>
      </c>
    </row>
    <row r="644" spans="1:14" ht="54" customHeight="1">
      <c r="A644" s="4" t="s">
        <v>586</v>
      </c>
      <c r="B644" s="4" t="s">
        <v>587</v>
      </c>
      <c r="C644" s="4" t="s">
        <v>4856</v>
      </c>
      <c r="D644" s="4" t="s">
        <v>183</v>
      </c>
      <c r="E644" s="4" t="s">
        <v>41</v>
      </c>
      <c r="F644" s="4" t="s">
        <v>3452</v>
      </c>
      <c r="G644" s="4" t="s">
        <v>4857</v>
      </c>
      <c r="H644" s="4" t="s">
        <v>3847</v>
      </c>
      <c r="I644" s="4" t="s">
        <v>2367</v>
      </c>
      <c r="J644" s="4" t="s">
        <v>591</v>
      </c>
      <c r="K644" s="4" t="s">
        <v>908</v>
      </c>
      <c r="L644" s="7" t="s">
        <v>42</v>
      </c>
      <c r="M644" s="7"/>
      <c r="N644" s="4" t="s">
        <v>3450</v>
      </c>
    </row>
    <row r="645" spans="1:14" ht="40" customHeight="1">
      <c r="A645" s="8" t="s">
        <v>586</v>
      </c>
      <c r="B645" s="8" t="s">
        <v>587</v>
      </c>
      <c r="C645" s="8" t="s">
        <v>4858</v>
      </c>
      <c r="D645" s="8" t="s">
        <v>183</v>
      </c>
      <c r="E645" s="8" t="s">
        <v>41</v>
      </c>
      <c r="F645" s="8" t="s">
        <v>3452</v>
      </c>
      <c r="G645" s="8" t="s">
        <v>4859</v>
      </c>
      <c r="H645" s="8" t="s">
        <v>3779</v>
      </c>
      <c r="I645" s="8" t="s">
        <v>2367</v>
      </c>
      <c r="J645" s="8" t="s">
        <v>591</v>
      </c>
      <c r="K645" s="8" t="s">
        <v>908</v>
      </c>
      <c r="L645" s="7" t="s">
        <v>42</v>
      </c>
      <c r="M645" s="7"/>
      <c r="N645" s="8" t="s">
        <v>3450</v>
      </c>
    </row>
    <row r="646" spans="1:14" ht="54" customHeight="1">
      <c r="A646" s="4" t="s">
        <v>586</v>
      </c>
      <c r="B646" s="4" t="s">
        <v>587</v>
      </c>
      <c r="C646" s="4" t="s">
        <v>4860</v>
      </c>
      <c r="D646" s="4" t="s">
        <v>183</v>
      </c>
      <c r="E646" s="4" t="s">
        <v>41</v>
      </c>
      <c r="F646" s="4" t="s">
        <v>3452</v>
      </c>
      <c r="G646" s="4" t="s">
        <v>4861</v>
      </c>
      <c r="H646" s="4" t="s">
        <v>3783</v>
      </c>
      <c r="I646" s="4" t="s">
        <v>2367</v>
      </c>
      <c r="J646" s="4" t="s">
        <v>591</v>
      </c>
      <c r="K646" s="4" t="s">
        <v>908</v>
      </c>
      <c r="L646" s="7" t="s">
        <v>42</v>
      </c>
      <c r="M646" s="7"/>
      <c r="N646" s="4" t="s">
        <v>3450</v>
      </c>
    </row>
    <row r="647" spans="1:14" ht="40" customHeight="1">
      <c r="A647" s="8" t="s">
        <v>586</v>
      </c>
      <c r="B647" s="8" t="s">
        <v>587</v>
      </c>
      <c r="C647" s="8" t="s">
        <v>4862</v>
      </c>
      <c r="D647" s="8" t="s">
        <v>183</v>
      </c>
      <c r="E647" s="8" t="s">
        <v>41</v>
      </c>
      <c r="F647" s="8" t="s">
        <v>3452</v>
      </c>
      <c r="G647" s="8" t="s">
        <v>4863</v>
      </c>
      <c r="H647" s="8" t="s">
        <v>3885</v>
      </c>
      <c r="I647" s="8" t="s">
        <v>2367</v>
      </c>
      <c r="J647" s="8" t="s">
        <v>591</v>
      </c>
      <c r="K647" s="8" t="s">
        <v>908</v>
      </c>
      <c r="L647" s="7" t="s">
        <v>42</v>
      </c>
      <c r="M647" s="7"/>
      <c r="N647" s="8" t="s">
        <v>3450</v>
      </c>
    </row>
    <row r="648" spans="1:14" ht="40" customHeight="1">
      <c r="A648" s="4" t="s">
        <v>594</v>
      </c>
      <c r="B648" s="4" t="s">
        <v>595</v>
      </c>
      <c r="C648" s="4" t="s">
        <v>4864</v>
      </c>
      <c r="D648" s="4" t="s">
        <v>183</v>
      </c>
      <c r="E648" s="4" t="s">
        <v>4408</v>
      </c>
      <c r="F648" s="4" t="s">
        <v>3448</v>
      </c>
      <c r="G648" s="4" t="s">
        <v>4408</v>
      </c>
      <c r="H648" s="4" t="s">
        <v>3449</v>
      </c>
      <c r="I648" s="4" t="s">
        <v>2377</v>
      </c>
      <c r="J648" s="4" t="s">
        <v>600</v>
      </c>
      <c r="K648" s="4" t="s">
        <v>908</v>
      </c>
      <c r="L648" s="7" t="s">
        <v>42</v>
      </c>
      <c r="M648" s="7"/>
      <c r="N648" s="4" t="s">
        <v>3450</v>
      </c>
    </row>
    <row r="649" spans="1:14" ht="40" customHeight="1">
      <c r="A649" s="8" t="s">
        <v>594</v>
      </c>
      <c r="B649" s="8" t="s">
        <v>595</v>
      </c>
      <c r="C649" s="8" t="s">
        <v>4865</v>
      </c>
      <c r="D649" s="8" t="s">
        <v>183</v>
      </c>
      <c r="E649" s="8" t="s">
        <v>4408</v>
      </c>
      <c r="F649" s="8" t="s">
        <v>3452</v>
      </c>
      <c r="G649" s="8" t="s">
        <v>4866</v>
      </c>
      <c r="H649" s="8" t="s">
        <v>3466</v>
      </c>
      <c r="I649" s="8" t="s">
        <v>2377</v>
      </c>
      <c r="J649" s="8" t="s">
        <v>600</v>
      </c>
      <c r="K649" s="8" t="s">
        <v>908</v>
      </c>
      <c r="L649" s="7" t="s">
        <v>42</v>
      </c>
      <c r="M649" s="7"/>
      <c r="N649" s="8" t="s">
        <v>3450</v>
      </c>
    </row>
    <row r="650" spans="1:14" ht="40" customHeight="1">
      <c r="A650" s="4" t="s">
        <v>594</v>
      </c>
      <c r="B650" s="4" t="s">
        <v>595</v>
      </c>
      <c r="C650" s="4" t="s">
        <v>4867</v>
      </c>
      <c r="D650" s="4" t="s">
        <v>183</v>
      </c>
      <c r="E650" s="4" t="s">
        <v>4408</v>
      </c>
      <c r="F650" s="4" t="s">
        <v>3452</v>
      </c>
      <c r="G650" s="4" t="s">
        <v>4868</v>
      </c>
      <c r="H650" s="4" t="s">
        <v>3469</v>
      </c>
      <c r="I650" s="4" t="s">
        <v>2377</v>
      </c>
      <c r="J650" s="4" t="s">
        <v>600</v>
      </c>
      <c r="K650" s="4" t="s">
        <v>908</v>
      </c>
      <c r="L650" s="7" t="s">
        <v>42</v>
      </c>
      <c r="M650" s="7"/>
      <c r="N650" s="4" t="s">
        <v>3450</v>
      </c>
    </row>
    <row r="651" spans="1:14" ht="54" customHeight="1">
      <c r="A651" s="8" t="s">
        <v>594</v>
      </c>
      <c r="B651" s="8" t="s">
        <v>595</v>
      </c>
      <c r="C651" s="8" t="s">
        <v>4869</v>
      </c>
      <c r="D651" s="8" t="s">
        <v>183</v>
      </c>
      <c r="E651" s="8" t="s">
        <v>4408</v>
      </c>
      <c r="F651" s="8" t="s">
        <v>3452</v>
      </c>
      <c r="G651" s="8" t="s">
        <v>4870</v>
      </c>
      <c r="H651" s="8" t="s">
        <v>3472</v>
      </c>
      <c r="I651" s="8" t="s">
        <v>2377</v>
      </c>
      <c r="J651" s="8" t="s">
        <v>600</v>
      </c>
      <c r="K651" s="8" t="s">
        <v>908</v>
      </c>
      <c r="L651" s="7" t="s">
        <v>42</v>
      </c>
      <c r="M651" s="7"/>
      <c r="N651" s="8" t="s">
        <v>3450</v>
      </c>
    </row>
    <row r="652" spans="1:14" ht="40" customHeight="1">
      <c r="A652" s="4" t="s">
        <v>594</v>
      </c>
      <c r="B652" s="4" t="s">
        <v>595</v>
      </c>
      <c r="C652" s="4" t="s">
        <v>4871</v>
      </c>
      <c r="D652" s="4" t="s">
        <v>183</v>
      </c>
      <c r="E652" s="4" t="s">
        <v>4408</v>
      </c>
      <c r="F652" s="4" t="s">
        <v>3452</v>
      </c>
      <c r="G652" s="4" t="s">
        <v>4872</v>
      </c>
      <c r="H652" s="4" t="s">
        <v>3475</v>
      </c>
      <c r="I652" s="4" t="s">
        <v>2377</v>
      </c>
      <c r="J652" s="4" t="s">
        <v>600</v>
      </c>
      <c r="K652" s="4" t="s">
        <v>908</v>
      </c>
      <c r="L652" s="7" t="s">
        <v>42</v>
      </c>
      <c r="M652" s="7"/>
      <c r="N652" s="4" t="s">
        <v>3450</v>
      </c>
    </row>
    <row r="653" spans="1:14" ht="40" customHeight="1">
      <c r="A653" s="8" t="s">
        <v>594</v>
      </c>
      <c r="B653" s="8" t="s">
        <v>595</v>
      </c>
      <c r="C653" s="8" t="s">
        <v>4873</v>
      </c>
      <c r="D653" s="8" t="s">
        <v>183</v>
      </c>
      <c r="E653" s="8" t="s">
        <v>4408</v>
      </c>
      <c r="F653" s="8" t="s">
        <v>3452</v>
      </c>
      <c r="G653" s="8" t="s">
        <v>4874</v>
      </c>
      <c r="H653" s="8" t="s">
        <v>3478</v>
      </c>
      <c r="I653" s="8" t="s">
        <v>2377</v>
      </c>
      <c r="J653" s="8" t="s">
        <v>600</v>
      </c>
      <c r="K653" s="8" t="s">
        <v>908</v>
      </c>
      <c r="L653" s="7" t="s">
        <v>42</v>
      </c>
      <c r="M653" s="7"/>
      <c r="N653" s="8" t="s">
        <v>3450</v>
      </c>
    </row>
    <row r="654" spans="1:14" ht="40" customHeight="1">
      <c r="A654" s="4" t="s">
        <v>594</v>
      </c>
      <c r="B654" s="4" t="s">
        <v>595</v>
      </c>
      <c r="C654" s="4" t="s">
        <v>4875</v>
      </c>
      <c r="D654" s="4" t="s">
        <v>183</v>
      </c>
      <c r="E654" s="4" t="s">
        <v>4408</v>
      </c>
      <c r="F654" s="4" t="s">
        <v>3452</v>
      </c>
      <c r="G654" s="4" t="s">
        <v>4876</v>
      </c>
      <c r="H654" s="4" t="s">
        <v>3603</v>
      </c>
      <c r="I654" s="4" t="s">
        <v>2377</v>
      </c>
      <c r="J654" s="4" t="s">
        <v>600</v>
      </c>
      <c r="K654" s="4" t="s">
        <v>908</v>
      </c>
      <c r="L654" s="7" t="s">
        <v>42</v>
      </c>
      <c r="M654" s="7"/>
      <c r="N654" s="4" t="s">
        <v>3450</v>
      </c>
    </row>
    <row r="655" spans="1:14" ht="40" customHeight="1">
      <c r="A655" s="8" t="s">
        <v>594</v>
      </c>
      <c r="B655" s="8" t="s">
        <v>595</v>
      </c>
      <c r="C655" s="8" t="s">
        <v>4877</v>
      </c>
      <c r="D655" s="8" t="s">
        <v>183</v>
      </c>
      <c r="E655" s="8" t="s">
        <v>3590</v>
      </c>
      <c r="F655" s="8" t="s">
        <v>3448</v>
      </c>
      <c r="G655" s="8" t="s">
        <v>3590</v>
      </c>
      <c r="H655" s="8" t="s">
        <v>3608</v>
      </c>
      <c r="I655" s="8" t="s">
        <v>2377</v>
      </c>
      <c r="J655" s="8" t="s">
        <v>600</v>
      </c>
      <c r="K655" s="8" t="s">
        <v>908</v>
      </c>
      <c r="L655" s="7" t="s">
        <v>42</v>
      </c>
      <c r="M655" s="7"/>
      <c r="N655" s="8" t="s">
        <v>3450</v>
      </c>
    </row>
    <row r="656" spans="1:14" ht="40" customHeight="1">
      <c r="A656" s="4" t="s">
        <v>594</v>
      </c>
      <c r="B656" s="4" t="s">
        <v>595</v>
      </c>
      <c r="C656" s="4" t="s">
        <v>4878</v>
      </c>
      <c r="D656" s="4" t="s">
        <v>183</v>
      </c>
      <c r="E656" s="4" t="s">
        <v>3590</v>
      </c>
      <c r="F656" s="4" t="s">
        <v>3452</v>
      </c>
      <c r="G656" s="4" t="s">
        <v>4879</v>
      </c>
      <c r="H656" s="4" t="s">
        <v>3611</v>
      </c>
      <c r="I656" s="4" t="s">
        <v>2377</v>
      </c>
      <c r="J656" s="4" t="s">
        <v>600</v>
      </c>
      <c r="K656" s="4" t="s">
        <v>908</v>
      </c>
      <c r="L656" s="7" t="s">
        <v>42</v>
      </c>
      <c r="M656" s="7"/>
      <c r="N656" s="4" t="s">
        <v>3450</v>
      </c>
    </row>
    <row r="657" spans="1:14" ht="40" customHeight="1">
      <c r="A657" s="8" t="s">
        <v>594</v>
      </c>
      <c r="B657" s="8" t="s">
        <v>595</v>
      </c>
      <c r="C657" s="8" t="s">
        <v>4880</v>
      </c>
      <c r="D657" s="8" t="s">
        <v>183</v>
      </c>
      <c r="E657" s="8" t="s">
        <v>3590</v>
      </c>
      <c r="F657" s="8" t="s">
        <v>3452</v>
      </c>
      <c r="G657" s="8" t="s">
        <v>4881</v>
      </c>
      <c r="H657" s="8" t="s">
        <v>3775</v>
      </c>
      <c r="I657" s="8" t="s">
        <v>2377</v>
      </c>
      <c r="J657" s="8" t="s">
        <v>600</v>
      </c>
      <c r="K657" s="8" t="s">
        <v>908</v>
      </c>
      <c r="L657" s="7" t="s">
        <v>42</v>
      </c>
      <c r="M657" s="7"/>
      <c r="N657" s="8" t="s">
        <v>3450</v>
      </c>
    </row>
    <row r="658" spans="1:14" ht="40" customHeight="1">
      <c r="A658" s="4" t="s">
        <v>594</v>
      </c>
      <c r="B658" s="4" t="s">
        <v>595</v>
      </c>
      <c r="C658" s="4" t="s">
        <v>4882</v>
      </c>
      <c r="D658" s="4" t="s">
        <v>183</v>
      </c>
      <c r="E658" s="4" t="s">
        <v>3590</v>
      </c>
      <c r="F658" s="4" t="s">
        <v>3452</v>
      </c>
      <c r="G658" s="4" t="s">
        <v>4883</v>
      </c>
      <c r="H658" s="4" t="s">
        <v>3847</v>
      </c>
      <c r="I658" s="4" t="s">
        <v>2377</v>
      </c>
      <c r="J658" s="4" t="s">
        <v>600</v>
      </c>
      <c r="K658" s="4" t="s">
        <v>908</v>
      </c>
      <c r="L658" s="7" t="s">
        <v>42</v>
      </c>
      <c r="M658" s="7"/>
      <c r="N658" s="4" t="s">
        <v>3450</v>
      </c>
    </row>
    <row r="659" spans="1:14" ht="40" customHeight="1">
      <c r="A659" s="8" t="s">
        <v>594</v>
      </c>
      <c r="B659" s="8" t="s">
        <v>595</v>
      </c>
      <c r="C659" s="8" t="s">
        <v>4884</v>
      </c>
      <c r="D659" s="8" t="s">
        <v>183</v>
      </c>
      <c r="E659" s="8" t="s">
        <v>3590</v>
      </c>
      <c r="F659" s="8" t="s">
        <v>3452</v>
      </c>
      <c r="G659" s="8" t="s">
        <v>4885</v>
      </c>
      <c r="H659" s="8" t="s">
        <v>3777</v>
      </c>
      <c r="I659" s="8" t="s">
        <v>2377</v>
      </c>
      <c r="J659" s="8" t="s">
        <v>600</v>
      </c>
      <c r="K659" s="8" t="s">
        <v>908</v>
      </c>
      <c r="L659" s="7" t="s">
        <v>42</v>
      </c>
      <c r="M659" s="7"/>
      <c r="N659" s="8" t="s">
        <v>3450</v>
      </c>
    </row>
    <row r="660" spans="1:14" ht="40" customHeight="1">
      <c r="A660" s="4" t="s">
        <v>594</v>
      </c>
      <c r="B660" s="4" t="s">
        <v>595</v>
      </c>
      <c r="C660" s="4" t="s">
        <v>4886</v>
      </c>
      <c r="D660" s="4" t="s">
        <v>183</v>
      </c>
      <c r="E660" s="4" t="s">
        <v>3590</v>
      </c>
      <c r="F660" s="4" t="s">
        <v>3452</v>
      </c>
      <c r="G660" s="4" t="s">
        <v>4887</v>
      </c>
      <c r="H660" s="4" t="s">
        <v>3779</v>
      </c>
      <c r="I660" s="4" t="s">
        <v>2377</v>
      </c>
      <c r="J660" s="4" t="s">
        <v>600</v>
      </c>
      <c r="K660" s="4" t="s">
        <v>908</v>
      </c>
      <c r="L660" s="7" t="s">
        <v>42</v>
      </c>
      <c r="M660" s="7"/>
      <c r="N660" s="4" t="s">
        <v>3450</v>
      </c>
    </row>
    <row r="661" spans="1:14" ht="40" customHeight="1">
      <c r="A661" s="8" t="s">
        <v>594</v>
      </c>
      <c r="B661" s="8" t="s">
        <v>595</v>
      </c>
      <c r="C661" s="8" t="s">
        <v>4888</v>
      </c>
      <c r="D661" s="8" t="s">
        <v>183</v>
      </c>
      <c r="E661" s="8" t="s">
        <v>4889</v>
      </c>
      <c r="F661" s="8" t="s">
        <v>3448</v>
      </c>
      <c r="G661" s="8" t="s">
        <v>4889</v>
      </c>
      <c r="H661" s="8" t="s">
        <v>3783</v>
      </c>
      <c r="I661" s="8" t="s">
        <v>2377</v>
      </c>
      <c r="J661" s="8" t="s">
        <v>600</v>
      </c>
      <c r="K661" s="8" t="s">
        <v>908</v>
      </c>
      <c r="L661" s="7" t="s">
        <v>42</v>
      </c>
      <c r="M661" s="7"/>
      <c r="N661" s="8" t="s">
        <v>3450</v>
      </c>
    </row>
    <row r="662" spans="1:14" ht="40" customHeight="1">
      <c r="A662" s="4" t="s">
        <v>594</v>
      </c>
      <c r="B662" s="4" t="s">
        <v>595</v>
      </c>
      <c r="C662" s="4" t="s">
        <v>4890</v>
      </c>
      <c r="D662" s="4" t="s">
        <v>183</v>
      </c>
      <c r="E662" s="4" t="s">
        <v>4889</v>
      </c>
      <c r="F662" s="4" t="s">
        <v>3452</v>
      </c>
      <c r="G662" s="4" t="s">
        <v>4879</v>
      </c>
      <c r="H662" s="4" t="s">
        <v>3785</v>
      </c>
      <c r="I662" s="4" t="s">
        <v>2377</v>
      </c>
      <c r="J662" s="4" t="s">
        <v>600</v>
      </c>
      <c r="K662" s="4" t="s">
        <v>908</v>
      </c>
      <c r="L662" s="7" t="s">
        <v>42</v>
      </c>
      <c r="M662" s="7"/>
      <c r="N662" s="4" t="s">
        <v>3450</v>
      </c>
    </row>
    <row r="663" spans="1:14" ht="40" customHeight="1">
      <c r="A663" s="8" t="s">
        <v>594</v>
      </c>
      <c r="B663" s="8" t="s">
        <v>595</v>
      </c>
      <c r="C663" s="8" t="s">
        <v>4891</v>
      </c>
      <c r="D663" s="8" t="s">
        <v>183</v>
      </c>
      <c r="E663" s="8" t="s">
        <v>4889</v>
      </c>
      <c r="F663" s="8" t="s">
        <v>3452</v>
      </c>
      <c r="G663" s="8" t="s">
        <v>4892</v>
      </c>
      <c r="H663" s="8" t="s">
        <v>3885</v>
      </c>
      <c r="I663" s="8" t="s">
        <v>2377</v>
      </c>
      <c r="J663" s="8" t="s">
        <v>600</v>
      </c>
      <c r="K663" s="8" t="s">
        <v>908</v>
      </c>
      <c r="L663" s="7" t="s">
        <v>42</v>
      </c>
      <c r="M663" s="7"/>
      <c r="N663" s="8" t="s">
        <v>3450</v>
      </c>
    </row>
    <row r="664" spans="1:14" ht="54" customHeight="1">
      <c r="A664" s="4" t="s">
        <v>603</v>
      </c>
      <c r="B664" s="4" t="s">
        <v>604</v>
      </c>
      <c r="C664" s="4" t="s">
        <v>4893</v>
      </c>
      <c r="D664" s="4" t="s">
        <v>208</v>
      </c>
      <c r="E664" s="4" t="s">
        <v>41</v>
      </c>
      <c r="F664" s="4" t="s">
        <v>3452</v>
      </c>
      <c r="G664" s="4" t="s">
        <v>4894</v>
      </c>
      <c r="H664" s="4" t="s">
        <v>3463</v>
      </c>
      <c r="I664" s="4" t="s">
        <v>2442</v>
      </c>
      <c r="J664" s="4" t="s">
        <v>608</v>
      </c>
      <c r="K664" s="4" t="s">
        <v>908</v>
      </c>
      <c r="L664" s="7" t="s">
        <v>42</v>
      </c>
      <c r="M664" s="7"/>
      <c r="N664" s="4" t="s">
        <v>3450</v>
      </c>
    </row>
    <row r="665" spans="1:14" ht="54" customHeight="1">
      <c r="A665" s="8" t="s">
        <v>603</v>
      </c>
      <c r="B665" s="8" t="s">
        <v>604</v>
      </c>
      <c r="C665" s="8" t="s">
        <v>4895</v>
      </c>
      <c r="D665" s="8" t="s">
        <v>208</v>
      </c>
      <c r="E665" s="8" t="s">
        <v>41</v>
      </c>
      <c r="F665" s="8" t="s">
        <v>3452</v>
      </c>
      <c r="G665" s="8" t="s">
        <v>4752</v>
      </c>
      <c r="H665" s="8" t="s">
        <v>3485</v>
      </c>
      <c r="I665" s="8" t="s">
        <v>2442</v>
      </c>
      <c r="J665" s="8" t="s">
        <v>608</v>
      </c>
      <c r="K665" s="8" t="s">
        <v>908</v>
      </c>
      <c r="L665" s="7" t="s">
        <v>42</v>
      </c>
      <c r="M665" s="7"/>
      <c r="N665" s="8" t="s">
        <v>3450</v>
      </c>
    </row>
    <row r="666" spans="1:14" ht="40" customHeight="1">
      <c r="A666" s="4" t="s">
        <v>603</v>
      </c>
      <c r="B666" s="4" t="s">
        <v>604</v>
      </c>
      <c r="C666" s="4" t="s">
        <v>4896</v>
      </c>
      <c r="D666" s="4" t="s">
        <v>208</v>
      </c>
      <c r="E666" s="4" t="s">
        <v>41</v>
      </c>
      <c r="F666" s="4" t="s">
        <v>3452</v>
      </c>
      <c r="G666" s="4" t="s">
        <v>4897</v>
      </c>
      <c r="H666" s="4" t="s">
        <v>3655</v>
      </c>
      <c r="I666" s="4" t="s">
        <v>2442</v>
      </c>
      <c r="J666" s="4" t="s">
        <v>608</v>
      </c>
      <c r="K666" s="4" t="s">
        <v>908</v>
      </c>
      <c r="L666" s="7" t="s">
        <v>42</v>
      </c>
      <c r="M666" s="7"/>
      <c r="N666" s="4" t="s">
        <v>3450</v>
      </c>
    </row>
    <row r="667" spans="1:14" ht="68" customHeight="1">
      <c r="A667" s="8" t="s">
        <v>603</v>
      </c>
      <c r="B667" s="8" t="s">
        <v>604</v>
      </c>
      <c r="C667" s="8" t="s">
        <v>4898</v>
      </c>
      <c r="D667" s="8" t="s">
        <v>208</v>
      </c>
      <c r="E667" s="8" t="s">
        <v>41</v>
      </c>
      <c r="F667" s="8" t="s">
        <v>3452</v>
      </c>
      <c r="G667" s="8" t="s">
        <v>4756</v>
      </c>
      <c r="H667" s="8" t="s">
        <v>3494</v>
      </c>
      <c r="I667" s="8" t="s">
        <v>2442</v>
      </c>
      <c r="J667" s="8" t="s">
        <v>608</v>
      </c>
      <c r="K667" s="8" t="s">
        <v>908</v>
      </c>
      <c r="L667" s="7" t="s">
        <v>42</v>
      </c>
      <c r="M667" s="7"/>
      <c r="N667" s="8" t="s">
        <v>3450</v>
      </c>
    </row>
    <row r="668" spans="1:14" ht="40" customHeight="1">
      <c r="A668" s="4" t="s">
        <v>603</v>
      </c>
      <c r="B668" s="4" t="s">
        <v>604</v>
      </c>
      <c r="C668" s="4" t="s">
        <v>4899</v>
      </c>
      <c r="D668" s="4" t="s">
        <v>208</v>
      </c>
      <c r="E668" s="4" t="s">
        <v>41</v>
      </c>
      <c r="F668" s="4" t="s">
        <v>3452</v>
      </c>
      <c r="G668" s="4" t="s">
        <v>4758</v>
      </c>
      <c r="H668" s="4" t="s">
        <v>3497</v>
      </c>
      <c r="I668" s="4" t="s">
        <v>2442</v>
      </c>
      <c r="J668" s="4" t="s">
        <v>608</v>
      </c>
      <c r="K668" s="4" t="s">
        <v>908</v>
      </c>
      <c r="L668" s="7" t="s">
        <v>42</v>
      </c>
      <c r="M668" s="7"/>
      <c r="N668" s="4" t="s">
        <v>3450</v>
      </c>
    </row>
    <row r="669" spans="1:14" ht="40" customHeight="1">
      <c r="A669" s="8" t="s">
        <v>603</v>
      </c>
      <c r="B669" s="8" t="s">
        <v>604</v>
      </c>
      <c r="C669" s="8" t="s">
        <v>4900</v>
      </c>
      <c r="D669" s="8" t="s">
        <v>208</v>
      </c>
      <c r="E669" s="8" t="s">
        <v>41</v>
      </c>
      <c r="F669" s="8" t="s">
        <v>3452</v>
      </c>
      <c r="G669" s="8" t="s">
        <v>4901</v>
      </c>
      <c r="H669" s="8" t="s">
        <v>4902</v>
      </c>
      <c r="I669" s="8" t="s">
        <v>2442</v>
      </c>
      <c r="J669" s="8" t="s">
        <v>608</v>
      </c>
      <c r="K669" s="8" t="s">
        <v>908</v>
      </c>
      <c r="L669" s="7" t="s">
        <v>42</v>
      </c>
      <c r="M669" s="7"/>
      <c r="N669" s="8" t="s">
        <v>3450</v>
      </c>
    </row>
    <row r="670" spans="1:14" ht="54" customHeight="1">
      <c r="A670" s="4" t="s">
        <v>603</v>
      </c>
      <c r="B670" s="4" t="s">
        <v>604</v>
      </c>
      <c r="C670" s="4" t="s">
        <v>4903</v>
      </c>
      <c r="D670" s="4" t="s">
        <v>208</v>
      </c>
      <c r="E670" s="4" t="s">
        <v>41</v>
      </c>
      <c r="F670" s="4" t="s">
        <v>3452</v>
      </c>
      <c r="G670" s="4" t="s">
        <v>4904</v>
      </c>
      <c r="H670" s="4" t="s">
        <v>4905</v>
      </c>
      <c r="I670" s="4" t="s">
        <v>2442</v>
      </c>
      <c r="J670" s="4" t="s">
        <v>608</v>
      </c>
      <c r="K670" s="4" t="s">
        <v>908</v>
      </c>
      <c r="L670" s="7" t="s">
        <v>42</v>
      </c>
      <c r="M670" s="7"/>
      <c r="N670" s="4" t="s">
        <v>3450</v>
      </c>
    </row>
    <row r="671" spans="1:14" ht="40" customHeight="1">
      <c r="A671" s="8" t="s">
        <v>603</v>
      </c>
      <c r="B671" s="8" t="s">
        <v>604</v>
      </c>
      <c r="C671" s="8" t="s">
        <v>4906</v>
      </c>
      <c r="D671" s="8" t="s">
        <v>208</v>
      </c>
      <c r="E671" s="8" t="s">
        <v>41</v>
      </c>
      <c r="F671" s="8" t="s">
        <v>3452</v>
      </c>
      <c r="G671" s="8" t="s">
        <v>4907</v>
      </c>
      <c r="H671" s="8" t="s">
        <v>4908</v>
      </c>
      <c r="I671" s="8" t="s">
        <v>2442</v>
      </c>
      <c r="J671" s="8" t="s">
        <v>608</v>
      </c>
      <c r="K671" s="8" t="s">
        <v>908</v>
      </c>
      <c r="L671" s="7" t="s">
        <v>42</v>
      </c>
      <c r="M671" s="7"/>
      <c r="N671" s="8" t="s">
        <v>3450</v>
      </c>
    </row>
    <row r="672" spans="1:14" ht="40" customHeight="1">
      <c r="A672" s="4" t="s">
        <v>603</v>
      </c>
      <c r="B672" s="4" t="s">
        <v>604</v>
      </c>
      <c r="C672" s="4" t="s">
        <v>4909</v>
      </c>
      <c r="D672" s="4" t="s">
        <v>208</v>
      </c>
      <c r="E672" s="4" t="s">
        <v>41</v>
      </c>
      <c r="F672" s="4" t="s">
        <v>3452</v>
      </c>
      <c r="G672" s="4" t="s">
        <v>4910</v>
      </c>
      <c r="H672" s="4" t="s">
        <v>4911</v>
      </c>
      <c r="I672" s="4" t="s">
        <v>2442</v>
      </c>
      <c r="J672" s="4" t="s">
        <v>608</v>
      </c>
      <c r="K672" s="4" t="s">
        <v>908</v>
      </c>
      <c r="L672" s="7" t="s">
        <v>42</v>
      </c>
      <c r="M672" s="7"/>
      <c r="N672" s="4" t="s">
        <v>3450</v>
      </c>
    </row>
    <row r="673" spans="1:14" ht="40" customHeight="1">
      <c r="A673" s="8" t="s">
        <v>603</v>
      </c>
      <c r="B673" s="8" t="s">
        <v>604</v>
      </c>
      <c r="C673" s="8" t="s">
        <v>4912</v>
      </c>
      <c r="D673" s="8" t="s">
        <v>208</v>
      </c>
      <c r="E673" s="8" t="s">
        <v>41</v>
      </c>
      <c r="F673" s="8" t="s">
        <v>3452</v>
      </c>
      <c r="G673" s="8" t="s">
        <v>3423</v>
      </c>
      <c r="H673" s="8" t="s">
        <v>4913</v>
      </c>
      <c r="I673" s="8" t="s">
        <v>2442</v>
      </c>
      <c r="J673" s="8" t="s">
        <v>608</v>
      </c>
      <c r="K673" s="8" t="s">
        <v>908</v>
      </c>
      <c r="L673" s="7" t="s">
        <v>42</v>
      </c>
      <c r="M673" s="7"/>
      <c r="N673" s="8" t="s">
        <v>3450</v>
      </c>
    </row>
    <row r="674" spans="1:14" ht="40" customHeight="1">
      <c r="A674" s="4" t="s">
        <v>611</v>
      </c>
      <c r="B674" s="4" t="s">
        <v>612</v>
      </c>
      <c r="C674" s="4" t="s">
        <v>4914</v>
      </c>
      <c r="D674" s="4" t="s">
        <v>183</v>
      </c>
      <c r="E674" s="4" t="s">
        <v>4915</v>
      </c>
      <c r="F674" s="4" t="s">
        <v>3448</v>
      </c>
      <c r="G674" s="4" t="s">
        <v>4915</v>
      </c>
      <c r="H674" s="4" t="s">
        <v>3449</v>
      </c>
      <c r="I674" s="4" t="s">
        <v>2501</v>
      </c>
      <c r="J674" s="4" t="s">
        <v>616</v>
      </c>
      <c r="K674" s="4" t="s">
        <v>908</v>
      </c>
      <c r="L674" s="7" t="s">
        <v>42</v>
      </c>
      <c r="M674" s="7"/>
      <c r="N674" s="4" t="s">
        <v>3450</v>
      </c>
    </row>
    <row r="675" spans="1:14" ht="40" customHeight="1">
      <c r="A675" s="8" t="s">
        <v>611</v>
      </c>
      <c r="B675" s="8" t="s">
        <v>612</v>
      </c>
      <c r="C675" s="8" t="s">
        <v>4916</v>
      </c>
      <c r="D675" s="8" t="s">
        <v>183</v>
      </c>
      <c r="E675" s="8" t="s">
        <v>4915</v>
      </c>
      <c r="F675" s="8" t="s">
        <v>3452</v>
      </c>
      <c r="G675" s="8" t="s">
        <v>4917</v>
      </c>
      <c r="H675" s="8" t="s">
        <v>3454</v>
      </c>
      <c r="I675" s="8" t="s">
        <v>2501</v>
      </c>
      <c r="J675" s="8" t="s">
        <v>616</v>
      </c>
      <c r="K675" s="8" t="s">
        <v>908</v>
      </c>
      <c r="L675" s="7" t="s">
        <v>42</v>
      </c>
      <c r="M675" s="7"/>
      <c r="N675" s="8" t="s">
        <v>3450</v>
      </c>
    </row>
    <row r="676" spans="1:14" ht="40" customHeight="1">
      <c r="A676" s="4" t="s">
        <v>611</v>
      </c>
      <c r="B676" s="4" t="s">
        <v>612</v>
      </c>
      <c r="C676" s="4" t="s">
        <v>4918</v>
      </c>
      <c r="D676" s="4" t="s">
        <v>183</v>
      </c>
      <c r="E676" s="4" t="s">
        <v>4915</v>
      </c>
      <c r="F676" s="4" t="s">
        <v>3452</v>
      </c>
      <c r="G676" s="4" t="s">
        <v>4919</v>
      </c>
      <c r="H676" s="4" t="s">
        <v>3519</v>
      </c>
      <c r="I676" s="4" t="s">
        <v>2501</v>
      </c>
      <c r="J676" s="4" t="s">
        <v>616</v>
      </c>
      <c r="K676" s="4" t="s">
        <v>908</v>
      </c>
      <c r="L676" s="7" t="s">
        <v>42</v>
      </c>
      <c r="M676" s="7"/>
      <c r="N676" s="4" t="s">
        <v>3450</v>
      </c>
    </row>
    <row r="677" spans="1:14" ht="40" customHeight="1">
      <c r="A677" s="8" t="s">
        <v>611</v>
      </c>
      <c r="B677" s="8" t="s">
        <v>612</v>
      </c>
      <c r="C677" s="8" t="s">
        <v>4920</v>
      </c>
      <c r="D677" s="8" t="s">
        <v>183</v>
      </c>
      <c r="E677" s="8" t="s">
        <v>4915</v>
      </c>
      <c r="F677" s="8" t="s">
        <v>3452</v>
      </c>
      <c r="G677" s="8" t="s">
        <v>4921</v>
      </c>
      <c r="H677" s="8" t="s">
        <v>3522</v>
      </c>
      <c r="I677" s="8" t="s">
        <v>2501</v>
      </c>
      <c r="J677" s="8" t="s">
        <v>616</v>
      </c>
      <c r="K677" s="8" t="s">
        <v>908</v>
      </c>
      <c r="L677" s="7" t="s">
        <v>42</v>
      </c>
      <c r="M677" s="7"/>
      <c r="N677" s="8" t="s">
        <v>3450</v>
      </c>
    </row>
    <row r="678" spans="1:14" ht="40" customHeight="1">
      <c r="A678" s="4" t="s">
        <v>611</v>
      </c>
      <c r="B678" s="4" t="s">
        <v>612</v>
      </c>
      <c r="C678" s="4" t="s">
        <v>4922</v>
      </c>
      <c r="D678" s="4" t="s">
        <v>183</v>
      </c>
      <c r="E678" s="4" t="s">
        <v>4915</v>
      </c>
      <c r="F678" s="4" t="s">
        <v>3452</v>
      </c>
      <c r="G678" s="4" t="s">
        <v>4923</v>
      </c>
      <c r="H678" s="4" t="s">
        <v>3525</v>
      </c>
      <c r="I678" s="4" t="s">
        <v>2501</v>
      </c>
      <c r="J678" s="4" t="s">
        <v>616</v>
      </c>
      <c r="K678" s="4" t="s">
        <v>908</v>
      </c>
      <c r="L678" s="7" t="s">
        <v>42</v>
      </c>
      <c r="M678" s="7"/>
      <c r="N678" s="4" t="s">
        <v>3450</v>
      </c>
    </row>
    <row r="679" spans="1:14" ht="40" customHeight="1">
      <c r="A679" s="8" t="s">
        <v>611</v>
      </c>
      <c r="B679" s="8" t="s">
        <v>612</v>
      </c>
      <c r="C679" s="8" t="s">
        <v>4924</v>
      </c>
      <c r="D679" s="8" t="s">
        <v>183</v>
      </c>
      <c r="E679" s="8" t="s">
        <v>4915</v>
      </c>
      <c r="F679" s="8" t="s">
        <v>3452</v>
      </c>
      <c r="G679" s="8" t="s">
        <v>4925</v>
      </c>
      <c r="H679" s="8" t="s">
        <v>4377</v>
      </c>
      <c r="I679" s="8" t="s">
        <v>2501</v>
      </c>
      <c r="J679" s="8" t="s">
        <v>616</v>
      </c>
      <c r="K679" s="8" t="s">
        <v>908</v>
      </c>
      <c r="L679" s="7" t="s">
        <v>42</v>
      </c>
      <c r="M679" s="7"/>
      <c r="N679" s="8" t="s">
        <v>3450</v>
      </c>
    </row>
    <row r="680" spans="1:14" ht="40" customHeight="1">
      <c r="A680" s="4" t="s">
        <v>611</v>
      </c>
      <c r="B680" s="4" t="s">
        <v>612</v>
      </c>
      <c r="C680" s="4" t="s">
        <v>4926</v>
      </c>
      <c r="D680" s="4" t="s">
        <v>183</v>
      </c>
      <c r="E680" s="4" t="s">
        <v>4927</v>
      </c>
      <c r="F680" s="4" t="s">
        <v>3448</v>
      </c>
      <c r="G680" s="4" t="s">
        <v>4927</v>
      </c>
      <c r="H680" s="4" t="s">
        <v>3472</v>
      </c>
      <c r="I680" s="4" t="s">
        <v>2501</v>
      </c>
      <c r="J680" s="4" t="s">
        <v>616</v>
      </c>
      <c r="K680" s="4" t="s">
        <v>908</v>
      </c>
      <c r="L680" s="7" t="s">
        <v>42</v>
      </c>
      <c r="M680" s="7"/>
      <c r="N680" s="4" t="s">
        <v>3450</v>
      </c>
    </row>
    <row r="681" spans="1:14" ht="40" customHeight="1">
      <c r="A681" s="8" t="s">
        <v>611</v>
      </c>
      <c r="B681" s="8" t="s">
        <v>612</v>
      </c>
      <c r="C681" s="8" t="s">
        <v>4928</v>
      </c>
      <c r="D681" s="8" t="s">
        <v>183</v>
      </c>
      <c r="E681" s="8" t="s">
        <v>4927</v>
      </c>
      <c r="F681" s="8" t="s">
        <v>3452</v>
      </c>
      <c r="G681" s="8" t="s">
        <v>4929</v>
      </c>
      <c r="H681" s="8" t="s">
        <v>3538</v>
      </c>
      <c r="I681" s="8" t="s">
        <v>2501</v>
      </c>
      <c r="J681" s="8" t="s">
        <v>616</v>
      </c>
      <c r="K681" s="8" t="s">
        <v>908</v>
      </c>
      <c r="L681" s="7" t="s">
        <v>42</v>
      </c>
      <c r="M681" s="7"/>
      <c r="N681" s="8" t="s">
        <v>3450</v>
      </c>
    </row>
    <row r="682" spans="1:14" ht="40" customHeight="1">
      <c r="A682" s="4" t="s">
        <v>611</v>
      </c>
      <c r="B682" s="4" t="s">
        <v>612</v>
      </c>
      <c r="C682" s="4" t="s">
        <v>4930</v>
      </c>
      <c r="D682" s="4" t="s">
        <v>183</v>
      </c>
      <c r="E682" s="4" t="s">
        <v>4927</v>
      </c>
      <c r="F682" s="4" t="s">
        <v>3452</v>
      </c>
      <c r="G682" s="4" t="s">
        <v>4931</v>
      </c>
      <c r="H682" s="4" t="s">
        <v>3907</v>
      </c>
      <c r="I682" s="4" t="s">
        <v>2501</v>
      </c>
      <c r="J682" s="4" t="s">
        <v>616</v>
      </c>
      <c r="K682" s="4" t="s">
        <v>908</v>
      </c>
      <c r="L682" s="7" t="s">
        <v>42</v>
      </c>
      <c r="M682" s="7"/>
      <c r="N682" s="4" t="s">
        <v>3450</v>
      </c>
    </row>
    <row r="683" spans="1:14" ht="40" customHeight="1">
      <c r="A683" s="8" t="s">
        <v>611</v>
      </c>
      <c r="B683" s="8" t="s">
        <v>612</v>
      </c>
      <c r="C683" s="8" t="s">
        <v>4932</v>
      </c>
      <c r="D683" s="8" t="s">
        <v>183</v>
      </c>
      <c r="E683" s="8" t="s">
        <v>4927</v>
      </c>
      <c r="F683" s="8" t="s">
        <v>3452</v>
      </c>
      <c r="G683" s="8" t="s">
        <v>4933</v>
      </c>
      <c r="H683" s="8" t="s">
        <v>4721</v>
      </c>
      <c r="I683" s="8" t="s">
        <v>2501</v>
      </c>
      <c r="J683" s="8" t="s">
        <v>616</v>
      </c>
      <c r="K683" s="8" t="s">
        <v>908</v>
      </c>
      <c r="L683" s="7" t="s">
        <v>42</v>
      </c>
      <c r="M683" s="7"/>
      <c r="N683" s="8" t="s">
        <v>3450</v>
      </c>
    </row>
    <row r="684" spans="1:14" ht="40" customHeight="1">
      <c r="A684" s="4" t="s">
        <v>611</v>
      </c>
      <c r="B684" s="4" t="s">
        <v>612</v>
      </c>
      <c r="C684" s="4" t="s">
        <v>4934</v>
      </c>
      <c r="D684" s="4" t="s">
        <v>183</v>
      </c>
      <c r="E684" s="4" t="s">
        <v>4927</v>
      </c>
      <c r="F684" s="4" t="s">
        <v>3452</v>
      </c>
      <c r="G684" s="4" t="s">
        <v>4935</v>
      </c>
      <c r="H684" s="4" t="s">
        <v>4936</v>
      </c>
      <c r="I684" s="4" t="s">
        <v>2501</v>
      </c>
      <c r="J684" s="4" t="s">
        <v>616</v>
      </c>
      <c r="K684" s="4" t="s">
        <v>908</v>
      </c>
      <c r="L684" s="7" t="s">
        <v>42</v>
      </c>
      <c r="M684" s="7"/>
      <c r="N684" s="4" t="s">
        <v>3450</v>
      </c>
    </row>
  </sheetData>
  <conditionalFormatting sqref="L6:L684">
    <cfRule type="containsText" dxfId="0" priority="1" stopIfTrue="1" operator="containsText" text="Approved">
      <formula>NOT(ISERROR(SEARCH("Approved",L6)))</formula>
    </cfRule>
  </conditionalFormatting>
  <dataValidations count="1">
    <dataValidation type="list" allowBlank="1" showInputMessage="1" showErrorMessage="1" sqref="L6:L684">
      <formula1>"Not started,In review,Approved,Needs correction,Not applicable,Excluded"</formula1>
    </dataValidation>
  </dataValidations>
  <pageMargins left="0.7" right="0.7" top="0.75" bottom="0.75" header="0.3" footer="0.3"/>
  <pageSetup paperSize="9" fitToHeight="0" orientation="landscape"/>
  <tableParts count="1">
    <tablePart r:id="rId1"/>
  </tableParts>
</worksheet>
</file>

<file path=xl/worksheets/sheet5.xml><?xml version="1.0" encoding="utf-8"?>
<worksheet xmlns="http://schemas.openxmlformats.org/spreadsheetml/2006/main" xmlns:r="http://schemas.openxmlformats.org/officeDocument/2006/relationships">
  <sheetPr>
    <pageSetUpPr fitToPage="1"/>
  </sheetPr>
  <dimension ref="A2:J485"/>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cols>
    <col min="1" max="1" width="13.7109375" customWidth="1"/>
    <col min="2" max="2" width="48.7109375" customWidth="1"/>
    <col min="3" max="3" width="25.7109375" customWidth="1"/>
    <col min="4" max="4" width="100.7109375" customWidth="1"/>
    <col min="5" max="5" width="60.7109375" customWidth="1"/>
    <col min="6" max="6" width="20.7109375" customWidth="1"/>
    <col min="7" max="7" width="50.7109375" customWidth="1"/>
    <col min="8" max="8" width="22.7109375" customWidth="1"/>
    <col min="9" max="10" width="70.7109375" customWidth="1"/>
  </cols>
  <sheetData>
    <row r="2" spans="1:10" ht="28" customHeight="1">
      <c r="A2" s="1" t="s">
        <v>4937</v>
      </c>
    </row>
    <row r="3" spans="1:10" ht="22" customHeight="1">
      <c r="A3" s="2" t="s">
        <v>4938</v>
      </c>
    </row>
    <row r="5" spans="1:10" ht="45" customHeight="1">
      <c r="A5" s="3" t="s">
        <v>622</v>
      </c>
      <c r="B5" s="3" t="s">
        <v>3</v>
      </c>
      <c r="C5" s="3" t="s">
        <v>4939</v>
      </c>
      <c r="D5" s="3" t="s">
        <v>4940</v>
      </c>
      <c r="E5" s="3" t="s">
        <v>4941</v>
      </c>
      <c r="F5" s="3" t="s">
        <v>21</v>
      </c>
      <c r="G5" s="3" t="s">
        <v>631</v>
      </c>
      <c r="H5" s="3" t="s">
        <v>12</v>
      </c>
      <c r="I5" s="3" t="s">
        <v>628</v>
      </c>
      <c r="J5" s="3" t="s">
        <v>4942</v>
      </c>
    </row>
    <row r="6" spans="1:10" ht="40" customHeight="1">
      <c r="A6" s="4" t="s">
        <v>33</v>
      </c>
      <c r="B6" s="4" t="s">
        <v>34</v>
      </c>
      <c r="C6" s="4" t="s">
        <v>4943</v>
      </c>
      <c r="D6" s="4" t="s">
        <v>4944</v>
      </c>
      <c r="E6" s="4" t="s">
        <v>41</v>
      </c>
      <c r="F6" s="4" t="s">
        <v>48</v>
      </c>
      <c r="G6" s="4" t="s">
        <v>905</v>
      </c>
      <c r="H6" s="7" t="s">
        <v>42</v>
      </c>
      <c r="I6" s="7"/>
      <c r="J6" s="4" t="s">
        <v>4945</v>
      </c>
    </row>
    <row r="7" spans="1:10" ht="40" customHeight="1">
      <c r="A7" s="8" t="s">
        <v>55</v>
      </c>
      <c r="B7" s="8" t="s">
        <v>56</v>
      </c>
      <c r="C7" s="8" t="s">
        <v>4946</v>
      </c>
      <c r="D7" s="8" t="s">
        <v>4944</v>
      </c>
      <c r="E7" s="8" t="s">
        <v>41</v>
      </c>
      <c r="F7" s="8" t="s">
        <v>64</v>
      </c>
      <c r="G7" s="8" t="s">
        <v>921</v>
      </c>
      <c r="H7" s="7" t="s">
        <v>42</v>
      </c>
      <c r="I7" s="7"/>
      <c r="J7" s="8" t="s">
        <v>4945</v>
      </c>
    </row>
    <row r="8" spans="1:10" ht="40" customHeight="1">
      <c r="A8" s="4" t="s">
        <v>67</v>
      </c>
      <c r="B8" s="4" t="s">
        <v>68</v>
      </c>
      <c r="C8" s="4" t="s">
        <v>4947</v>
      </c>
      <c r="D8" s="4" t="s">
        <v>3487</v>
      </c>
      <c r="E8" s="4" t="s">
        <v>41</v>
      </c>
      <c r="F8" s="4" t="s">
        <v>77</v>
      </c>
      <c r="G8" s="4" t="s">
        <v>927</v>
      </c>
      <c r="H8" s="7" t="s">
        <v>42</v>
      </c>
      <c r="I8" s="7"/>
      <c r="J8" s="4" t="s">
        <v>4948</v>
      </c>
    </row>
    <row r="9" spans="1:10" ht="40" customHeight="1">
      <c r="A9" s="8" t="s">
        <v>67</v>
      </c>
      <c r="B9" s="8" t="s">
        <v>68</v>
      </c>
      <c r="C9" s="8" t="s">
        <v>4949</v>
      </c>
      <c r="D9" s="8" t="s">
        <v>4950</v>
      </c>
      <c r="E9" s="8" t="s">
        <v>41</v>
      </c>
      <c r="F9" s="8" t="s">
        <v>77</v>
      </c>
      <c r="G9" s="8" t="s">
        <v>927</v>
      </c>
      <c r="H9" s="7" t="s">
        <v>42</v>
      </c>
      <c r="I9" s="7"/>
      <c r="J9" s="8" t="s">
        <v>4948</v>
      </c>
    </row>
    <row r="10" spans="1:10" ht="40" customHeight="1">
      <c r="A10" s="4" t="s">
        <v>81</v>
      </c>
      <c r="B10" s="4" t="s">
        <v>82</v>
      </c>
      <c r="C10" s="4" t="s">
        <v>4951</v>
      </c>
      <c r="D10" s="4" t="s">
        <v>4952</v>
      </c>
      <c r="E10" s="4" t="s">
        <v>4952</v>
      </c>
      <c r="F10" s="4" t="s">
        <v>88</v>
      </c>
      <c r="G10" s="4" t="s">
        <v>984</v>
      </c>
      <c r="H10" s="7" t="s">
        <v>42</v>
      </c>
      <c r="I10" s="7"/>
      <c r="J10" s="4" t="s">
        <v>1002</v>
      </c>
    </row>
    <row r="11" spans="1:10" ht="40" customHeight="1">
      <c r="A11" s="8" t="s">
        <v>92</v>
      </c>
      <c r="B11" s="8" t="s">
        <v>105</v>
      </c>
      <c r="C11" s="8" t="s">
        <v>4953</v>
      </c>
      <c r="D11" s="8" t="s">
        <v>3487</v>
      </c>
      <c r="E11" s="8" t="s">
        <v>41</v>
      </c>
      <c r="F11" s="8" t="s">
        <v>102</v>
      </c>
      <c r="G11" s="8" t="s">
        <v>1008</v>
      </c>
      <c r="H11" s="7" t="s">
        <v>42</v>
      </c>
      <c r="I11" s="7"/>
      <c r="J11" s="8" t="s">
        <v>4948</v>
      </c>
    </row>
    <row r="12" spans="1:10" ht="40" customHeight="1">
      <c r="A12" s="4" t="s">
        <v>92</v>
      </c>
      <c r="B12" s="4" t="s">
        <v>105</v>
      </c>
      <c r="C12" s="4" t="s">
        <v>4954</v>
      </c>
      <c r="D12" s="4" t="s">
        <v>4955</v>
      </c>
      <c r="E12" s="4" t="s">
        <v>41</v>
      </c>
      <c r="F12" s="4" t="s">
        <v>102</v>
      </c>
      <c r="G12" s="4" t="s">
        <v>1008</v>
      </c>
      <c r="H12" s="7" t="s">
        <v>42</v>
      </c>
      <c r="I12" s="7"/>
      <c r="J12" s="4" t="s">
        <v>4948</v>
      </c>
    </row>
    <row r="13" spans="1:10" ht="40" customHeight="1">
      <c r="A13" s="8" t="s">
        <v>92</v>
      </c>
      <c r="B13" s="8" t="s">
        <v>105</v>
      </c>
      <c r="C13" s="8" t="s">
        <v>4956</v>
      </c>
      <c r="D13" s="8" t="s">
        <v>4957</v>
      </c>
      <c r="E13" s="8" t="s">
        <v>41</v>
      </c>
      <c r="F13" s="8" t="s">
        <v>102</v>
      </c>
      <c r="G13" s="8" t="s">
        <v>1008</v>
      </c>
      <c r="H13" s="7" t="s">
        <v>42</v>
      </c>
      <c r="I13" s="7"/>
      <c r="J13" s="8" t="s">
        <v>4948</v>
      </c>
    </row>
    <row r="14" spans="1:10" ht="40" customHeight="1">
      <c r="A14" s="4" t="s">
        <v>92</v>
      </c>
      <c r="B14" s="4" t="s">
        <v>105</v>
      </c>
      <c r="C14" s="4" t="s">
        <v>4958</v>
      </c>
      <c r="D14" s="4" t="s">
        <v>4959</v>
      </c>
      <c r="E14" s="4" t="s">
        <v>41</v>
      </c>
      <c r="F14" s="4" t="s">
        <v>102</v>
      </c>
      <c r="G14" s="4" t="s">
        <v>1008</v>
      </c>
      <c r="H14" s="7" t="s">
        <v>42</v>
      </c>
      <c r="I14" s="7"/>
      <c r="J14" s="4" t="s">
        <v>4948</v>
      </c>
    </row>
    <row r="15" spans="1:10" ht="40" customHeight="1">
      <c r="A15" s="8" t="s">
        <v>92</v>
      </c>
      <c r="B15" s="8" t="s">
        <v>105</v>
      </c>
      <c r="C15" s="8" t="s">
        <v>4960</v>
      </c>
      <c r="D15" s="8" t="s">
        <v>4961</v>
      </c>
      <c r="E15" s="8" t="s">
        <v>41</v>
      </c>
      <c r="F15" s="8" t="s">
        <v>102</v>
      </c>
      <c r="G15" s="8" t="s">
        <v>1008</v>
      </c>
      <c r="H15" s="7" t="s">
        <v>42</v>
      </c>
      <c r="I15" s="7"/>
      <c r="J15" s="8" t="s">
        <v>4948</v>
      </c>
    </row>
    <row r="16" spans="1:10" ht="40" customHeight="1">
      <c r="A16" s="4" t="s">
        <v>107</v>
      </c>
      <c r="B16" s="4" t="s">
        <v>108</v>
      </c>
      <c r="C16" s="4" t="s">
        <v>4962</v>
      </c>
      <c r="D16" s="4" t="s">
        <v>4963</v>
      </c>
      <c r="E16" s="4" t="s">
        <v>41</v>
      </c>
      <c r="F16" s="4" t="s">
        <v>118</v>
      </c>
      <c r="G16" s="4" t="s">
        <v>1051</v>
      </c>
      <c r="H16" s="7" t="s">
        <v>42</v>
      </c>
      <c r="I16" s="7"/>
      <c r="J16" s="4" t="s">
        <v>4948</v>
      </c>
    </row>
    <row r="17" spans="1:10" ht="40" customHeight="1">
      <c r="A17" s="8" t="s">
        <v>107</v>
      </c>
      <c r="B17" s="8" t="s">
        <v>108</v>
      </c>
      <c r="C17" s="8" t="s">
        <v>4964</v>
      </c>
      <c r="D17" s="8" t="s">
        <v>4965</v>
      </c>
      <c r="E17" s="8" t="s">
        <v>41</v>
      </c>
      <c r="F17" s="8" t="s">
        <v>118</v>
      </c>
      <c r="G17" s="8" t="s">
        <v>1051</v>
      </c>
      <c r="H17" s="7" t="s">
        <v>42</v>
      </c>
      <c r="I17" s="7"/>
      <c r="J17" s="8" t="s">
        <v>4948</v>
      </c>
    </row>
    <row r="18" spans="1:10" ht="68" customHeight="1">
      <c r="A18" s="4" t="s">
        <v>107</v>
      </c>
      <c r="B18" s="4" t="s">
        <v>108</v>
      </c>
      <c r="C18" s="4" t="s">
        <v>4966</v>
      </c>
      <c r="D18" s="4" t="s">
        <v>4967</v>
      </c>
      <c r="E18" s="4" t="s">
        <v>41</v>
      </c>
      <c r="F18" s="4" t="s">
        <v>118</v>
      </c>
      <c r="G18" s="4" t="s">
        <v>1051</v>
      </c>
      <c r="H18" s="7" t="s">
        <v>42</v>
      </c>
      <c r="I18" s="7"/>
      <c r="J18" s="4" t="s">
        <v>4948</v>
      </c>
    </row>
    <row r="19" spans="1:10" ht="40" customHeight="1">
      <c r="A19" s="8" t="s">
        <v>121</v>
      </c>
      <c r="B19" s="8" t="s">
        <v>134</v>
      </c>
      <c r="C19" s="8" t="s">
        <v>4968</v>
      </c>
      <c r="D19" s="8" t="s">
        <v>4969</v>
      </c>
      <c r="E19" s="8" t="s">
        <v>41</v>
      </c>
      <c r="F19" s="8" t="s">
        <v>132</v>
      </c>
      <c r="G19" s="8" t="s">
        <v>1074</v>
      </c>
      <c r="H19" s="7" t="s">
        <v>42</v>
      </c>
      <c r="I19" s="7"/>
      <c r="J19" s="8" t="s">
        <v>4948</v>
      </c>
    </row>
    <row r="20" spans="1:10" ht="40" customHeight="1">
      <c r="A20" s="4" t="s">
        <v>121</v>
      </c>
      <c r="B20" s="4" t="s">
        <v>134</v>
      </c>
      <c r="C20" s="4" t="s">
        <v>4970</v>
      </c>
      <c r="D20" s="4" t="s">
        <v>4971</v>
      </c>
      <c r="E20" s="4" t="s">
        <v>41</v>
      </c>
      <c r="F20" s="4" t="s">
        <v>132</v>
      </c>
      <c r="G20" s="4" t="s">
        <v>1074</v>
      </c>
      <c r="H20" s="7" t="s">
        <v>42</v>
      </c>
      <c r="I20" s="7"/>
      <c r="J20" s="4" t="s">
        <v>4948</v>
      </c>
    </row>
    <row r="21" spans="1:10" ht="40" customHeight="1">
      <c r="A21" s="8" t="s">
        <v>121</v>
      </c>
      <c r="B21" s="8" t="s">
        <v>134</v>
      </c>
      <c r="C21" s="8" t="s">
        <v>4972</v>
      </c>
      <c r="D21" s="8" t="s">
        <v>4973</v>
      </c>
      <c r="E21" s="8" t="s">
        <v>41</v>
      </c>
      <c r="F21" s="8" t="s">
        <v>132</v>
      </c>
      <c r="G21" s="8" t="s">
        <v>1074</v>
      </c>
      <c r="H21" s="7" t="s">
        <v>42</v>
      </c>
      <c r="I21" s="7"/>
      <c r="J21" s="8" t="s">
        <v>4948</v>
      </c>
    </row>
    <row r="22" spans="1:10" ht="40" customHeight="1">
      <c r="A22" s="4" t="s">
        <v>121</v>
      </c>
      <c r="B22" s="4" t="s">
        <v>134</v>
      </c>
      <c r="C22" s="4" t="s">
        <v>4974</v>
      </c>
      <c r="D22" s="4" t="s">
        <v>4975</v>
      </c>
      <c r="E22" s="4" t="s">
        <v>41</v>
      </c>
      <c r="F22" s="4" t="s">
        <v>132</v>
      </c>
      <c r="G22" s="4" t="s">
        <v>1074</v>
      </c>
      <c r="H22" s="7" t="s">
        <v>42</v>
      </c>
      <c r="I22" s="7"/>
      <c r="J22" s="4" t="s">
        <v>4948</v>
      </c>
    </row>
    <row r="23" spans="1:10" ht="40" customHeight="1">
      <c r="A23" s="8" t="s">
        <v>121</v>
      </c>
      <c r="B23" s="8" t="s">
        <v>134</v>
      </c>
      <c r="C23" s="8" t="s">
        <v>4976</v>
      </c>
      <c r="D23" s="8" t="s">
        <v>4977</v>
      </c>
      <c r="E23" s="8" t="s">
        <v>41</v>
      </c>
      <c r="F23" s="8" t="s">
        <v>132</v>
      </c>
      <c r="G23" s="8" t="s">
        <v>1074</v>
      </c>
      <c r="H23" s="7" t="s">
        <v>42</v>
      </c>
      <c r="I23" s="7"/>
      <c r="J23" s="8" t="s">
        <v>4948</v>
      </c>
    </row>
    <row r="24" spans="1:10" ht="40" customHeight="1">
      <c r="A24" s="4" t="s">
        <v>121</v>
      </c>
      <c r="B24" s="4" t="s">
        <v>134</v>
      </c>
      <c r="C24" s="4" t="s">
        <v>4978</v>
      </c>
      <c r="D24" s="4" t="s">
        <v>4979</v>
      </c>
      <c r="E24" s="4" t="s">
        <v>41</v>
      </c>
      <c r="F24" s="4" t="s">
        <v>132</v>
      </c>
      <c r="G24" s="4" t="s">
        <v>1074</v>
      </c>
      <c r="H24" s="7" t="s">
        <v>42</v>
      </c>
      <c r="I24" s="7"/>
      <c r="J24" s="4" t="s">
        <v>4948</v>
      </c>
    </row>
    <row r="25" spans="1:10" ht="40" customHeight="1">
      <c r="A25" s="8" t="s">
        <v>121</v>
      </c>
      <c r="B25" s="8" t="s">
        <v>134</v>
      </c>
      <c r="C25" s="8" t="s">
        <v>4980</v>
      </c>
      <c r="D25" s="8" t="s">
        <v>4981</v>
      </c>
      <c r="E25" s="8" t="s">
        <v>41</v>
      </c>
      <c r="F25" s="8" t="s">
        <v>132</v>
      </c>
      <c r="G25" s="8" t="s">
        <v>1074</v>
      </c>
      <c r="H25" s="7" t="s">
        <v>42</v>
      </c>
      <c r="I25" s="7"/>
      <c r="J25" s="8" t="s">
        <v>4948</v>
      </c>
    </row>
    <row r="26" spans="1:10" ht="40" customHeight="1">
      <c r="A26" s="4" t="s">
        <v>121</v>
      </c>
      <c r="B26" s="4" t="s">
        <v>134</v>
      </c>
      <c r="C26" s="4" t="s">
        <v>4982</v>
      </c>
      <c r="D26" s="4" t="s">
        <v>4983</v>
      </c>
      <c r="E26" s="4" t="s">
        <v>41</v>
      </c>
      <c r="F26" s="4" t="s">
        <v>132</v>
      </c>
      <c r="G26" s="4" t="s">
        <v>1074</v>
      </c>
      <c r="H26" s="7" t="s">
        <v>42</v>
      </c>
      <c r="I26" s="7"/>
      <c r="J26" s="4" t="s">
        <v>4948</v>
      </c>
    </row>
    <row r="27" spans="1:10" ht="40" customHeight="1">
      <c r="A27" s="8" t="s">
        <v>121</v>
      </c>
      <c r="B27" s="8" t="s">
        <v>134</v>
      </c>
      <c r="C27" s="8" t="s">
        <v>4984</v>
      </c>
      <c r="D27" s="8" t="s">
        <v>4985</v>
      </c>
      <c r="E27" s="8" t="s">
        <v>41</v>
      </c>
      <c r="F27" s="8" t="s">
        <v>132</v>
      </c>
      <c r="G27" s="8" t="s">
        <v>1074</v>
      </c>
      <c r="H27" s="7" t="s">
        <v>42</v>
      </c>
      <c r="I27" s="7"/>
      <c r="J27" s="8" t="s">
        <v>4948</v>
      </c>
    </row>
    <row r="28" spans="1:10" ht="40" customHeight="1">
      <c r="A28" s="4" t="s">
        <v>121</v>
      </c>
      <c r="B28" s="4" t="s">
        <v>134</v>
      </c>
      <c r="C28" s="4" t="s">
        <v>4986</v>
      </c>
      <c r="D28" s="4" t="s">
        <v>4987</v>
      </c>
      <c r="E28" s="4" t="s">
        <v>41</v>
      </c>
      <c r="F28" s="4" t="s">
        <v>132</v>
      </c>
      <c r="G28" s="4" t="s">
        <v>1074</v>
      </c>
      <c r="H28" s="7" t="s">
        <v>42</v>
      </c>
      <c r="I28" s="7"/>
      <c r="J28" s="4" t="s">
        <v>4948</v>
      </c>
    </row>
    <row r="29" spans="1:10" ht="40" customHeight="1">
      <c r="A29" s="8" t="s">
        <v>121</v>
      </c>
      <c r="B29" s="8" t="s">
        <v>134</v>
      </c>
      <c r="C29" s="8" t="s">
        <v>4988</v>
      </c>
      <c r="D29" s="8" t="s">
        <v>4989</v>
      </c>
      <c r="E29" s="8" t="s">
        <v>41</v>
      </c>
      <c r="F29" s="8" t="s">
        <v>132</v>
      </c>
      <c r="G29" s="8" t="s">
        <v>1074</v>
      </c>
      <c r="H29" s="7" t="s">
        <v>42</v>
      </c>
      <c r="I29" s="7"/>
      <c r="J29" s="8" t="s">
        <v>4948</v>
      </c>
    </row>
    <row r="30" spans="1:10" ht="40" customHeight="1">
      <c r="A30" s="4" t="s">
        <v>136</v>
      </c>
      <c r="B30" s="4" t="s">
        <v>145</v>
      </c>
      <c r="C30" s="4" t="s">
        <v>4990</v>
      </c>
      <c r="D30" s="4" t="s">
        <v>4969</v>
      </c>
      <c r="E30" s="4" t="s">
        <v>41</v>
      </c>
      <c r="F30" s="4" t="s">
        <v>144</v>
      </c>
      <c r="G30" s="4" t="s">
        <v>1135</v>
      </c>
      <c r="H30" s="7" t="s">
        <v>42</v>
      </c>
      <c r="I30" s="7"/>
      <c r="J30" s="4" t="s">
        <v>4948</v>
      </c>
    </row>
    <row r="31" spans="1:10" ht="40" customHeight="1">
      <c r="A31" s="8" t="s">
        <v>136</v>
      </c>
      <c r="B31" s="8" t="s">
        <v>145</v>
      </c>
      <c r="C31" s="8" t="s">
        <v>4991</v>
      </c>
      <c r="D31" s="8" t="s">
        <v>4971</v>
      </c>
      <c r="E31" s="8" t="s">
        <v>41</v>
      </c>
      <c r="F31" s="8" t="s">
        <v>144</v>
      </c>
      <c r="G31" s="8" t="s">
        <v>1135</v>
      </c>
      <c r="H31" s="7" t="s">
        <v>42</v>
      </c>
      <c r="I31" s="7"/>
      <c r="J31" s="8" t="s">
        <v>4948</v>
      </c>
    </row>
    <row r="32" spans="1:10" ht="40" customHeight="1">
      <c r="A32" s="4" t="s">
        <v>136</v>
      </c>
      <c r="B32" s="4" t="s">
        <v>145</v>
      </c>
      <c r="C32" s="4" t="s">
        <v>4992</v>
      </c>
      <c r="D32" s="4" t="s">
        <v>4993</v>
      </c>
      <c r="E32" s="4" t="s">
        <v>41</v>
      </c>
      <c r="F32" s="4" t="s">
        <v>144</v>
      </c>
      <c r="G32" s="4" t="s">
        <v>1135</v>
      </c>
      <c r="H32" s="7" t="s">
        <v>42</v>
      </c>
      <c r="I32" s="7"/>
      <c r="J32" s="4" t="s">
        <v>4948</v>
      </c>
    </row>
    <row r="33" spans="1:10" ht="40" customHeight="1">
      <c r="A33" s="8" t="s">
        <v>136</v>
      </c>
      <c r="B33" s="8" t="s">
        <v>145</v>
      </c>
      <c r="C33" s="8" t="s">
        <v>4994</v>
      </c>
      <c r="D33" s="8" t="s">
        <v>4995</v>
      </c>
      <c r="E33" s="8" t="s">
        <v>41</v>
      </c>
      <c r="F33" s="8" t="s">
        <v>144</v>
      </c>
      <c r="G33" s="8" t="s">
        <v>1135</v>
      </c>
      <c r="H33" s="7" t="s">
        <v>42</v>
      </c>
      <c r="I33" s="7"/>
      <c r="J33" s="8" t="s">
        <v>4948</v>
      </c>
    </row>
    <row r="34" spans="1:10" ht="40" customHeight="1">
      <c r="A34" s="4" t="s">
        <v>136</v>
      </c>
      <c r="B34" s="4" t="s">
        <v>145</v>
      </c>
      <c r="C34" s="4" t="s">
        <v>4996</v>
      </c>
      <c r="D34" s="4" t="s">
        <v>4973</v>
      </c>
      <c r="E34" s="4" t="s">
        <v>41</v>
      </c>
      <c r="F34" s="4" t="s">
        <v>144</v>
      </c>
      <c r="G34" s="4" t="s">
        <v>1135</v>
      </c>
      <c r="H34" s="7" t="s">
        <v>42</v>
      </c>
      <c r="I34" s="7"/>
      <c r="J34" s="4" t="s">
        <v>4948</v>
      </c>
    </row>
    <row r="35" spans="1:10" ht="40" customHeight="1">
      <c r="A35" s="8" t="s">
        <v>136</v>
      </c>
      <c r="B35" s="8" t="s">
        <v>145</v>
      </c>
      <c r="C35" s="8" t="s">
        <v>4997</v>
      </c>
      <c r="D35" s="8" t="s">
        <v>4975</v>
      </c>
      <c r="E35" s="8" t="s">
        <v>41</v>
      </c>
      <c r="F35" s="8" t="s">
        <v>144</v>
      </c>
      <c r="G35" s="8" t="s">
        <v>1135</v>
      </c>
      <c r="H35" s="7" t="s">
        <v>42</v>
      </c>
      <c r="I35" s="7"/>
      <c r="J35" s="8" t="s">
        <v>4948</v>
      </c>
    </row>
    <row r="36" spans="1:10" ht="40" customHeight="1">
      <c r="A36" s="4" t="s">
        <v>136</v>
      </c>
      <c r="B36" s="4" t="s">
        <v>145</v>
      </c>
      <c r="C36" s="4" t="s">
        <v>4998</v>
      </c>
      <c r="D36" s="4" t="s">
        <v>4977</v>
      </c>
      <c r="E36" s="4" t="s">
        <v>41</v>
      </c>
      <c r="F36" s="4" t="s">
        <v>144</v>
      </c>
      <c r="G36" s="4" t="s">
        <v>1135</v>
      </c>
      <c r="H36" s="7" t="s">
        <v>42</v>
      </c>
      <c r="I36" s="7"/>
      <c r="J36" s="4" t="s">
        <v>4948</v>
      </c>
    </row>
    <row r="37" spans="1:10" ht="54" customHeight="1">
      <c r="A37" s="8" t="s">
        <v>147</v>
      </c>
      <c r="B37" s="8" t="s">
        <v>148</v>
      </c>
      <c r="C37" s="8" t="s">
        <v>4999</v>
      </c>
      <c r="D37" s="8" t="s">
        <v>150</v>
      </c>
      <c r="E37" s="8" t="s">
        <v>41</v>
      </c>
      <c r="F37" s="8" t="s">
        <v>157</v>
      </c>
      <c r="G37" s="8" t="s">
        <v>1152</v>
      </c>
      <c r="H37" s="7" t="s">
        <v>42</v>
      </c>
      <c r="I37" s="7"/>
      <c r="J37" s="8" t="s">
        <v>4948</v>
      </c>
    </row>
    <row r="38" spans="1:10" ht="40" customHeight="1">
      <c r="A38" s="4" t="s">
        <v>163</v>
      </c>
      <c r="B38" s="4" t="s">
        <v>164</v>
      </c>
      <c r="C38" s="4" t="s">
        <v>5000</v>
      </c>
      <c r="D38" s="4" t="s">
        <v>166</v>
      </c>
      <c r="E38" s="4" t="s">
        <v>41</v>
      </c>
      <c r="F38" s="4" t="s">
        <v>170</v>
      </c>
      <c r="G38" s="4" t="s">
        <v>1180</v>
      </c>
      <c r="H38" s="7" t="s">
        <v>42</v>
      </c>
      <c r="I38" s="7"/>
      <c r="J38" s="4" t="s">
        <v>4948</v>
      </c>
    </row>
    <row r="39" spans="1:10" ht="40" customHeight="1">
      <c r="A39" s="8" t="s">
        <v>173</v>
      </c>
      <c r="B39" s="8" t="s">
        <v>174</v>
      </c>
      <c r="C39" s="8" t="s">
        <v>5001</v>
      </c>
      <c r="D39" s="8" t="s">
        <v>5002</v>
      </c>
      <c r="E39" s="8" t="s">
        <v>41</v>
      </c>
      <c r="F39" s="8" t="s">
        <v>182</v>
      </c>
      <c r="G39" s="8" t="s">
        <v>1194</v>
      </c>
      <c r="H39" s="7" t="s">
        <v>42</v>
      </c>
      <c r="I39" s="7"/>
      <c r="J39" s="8" t="s">
        <v>4948</v>
      </c>
    </row>
    <row r="40" spans="1:10" ht="40" customHeight="1">
      <c r="A40" s="4" t="s">
        <v>173</v>
      </c>
      <c r="B40" s="4" t="s">
        <v>174</v>
      </c>
      <c r="C40" s="4" t="s">
        <v>5003</v>
      </c>
      <c r="D40" s="4" t="s">
        <v>5004</v>
      </c>
      <c r="E40" s="4" t="s">
        <v>41</v>
      </c>
      <c r="F40" s="4" t="s">
        <v>182</v>
      </c>
      <c r="G40" s="4" t="s">
        <v>1194</v>
      </c>
      <c r="H40" s="7" t="s">
        <v>42</v>
      </c>
      <c r="I40" s="7"/>
      <c r="J40" s="4" t="s">
        <v>4948</v>
      </c>
    </row>
    <row r="41" spans="1:10" ht="40" customHeight="1">
      <c r="A41" s="8" t="s">
        <v>173</v>
      </c>
      <c r="B41" s="8" t="s">
        <v>174</v>
      </c>
      <c r="C41" s="8" t="s">
        <v>5005</v>
      </c>
      <c r="D41" s="8" t="s">
        <v>5006</v>
      </c>
      <c r="E41" s="8" t="s">
        <v>41</v>
      </c>
      <c r="F41" s="8" t="s">
        <v>182</v>
      </c>
      <c r="G41" s="8" t="s">
        <v>1194</v>
      </c>
      <c r="H41" s="7" t="s">
        <v>42</v>
      </c>
      <c r="I41" s="7"/>
      <c r="J41" s="8" t="s">
        <v>4948</v>
      </c>
    </row>
    <row r="42" spans="1:10" ht="40" customHeight="1">
      <c r="A42" s="4" t="s">
        <v>173</v>
      </c>
      <c r="B42" s="4" t="s">
        <v>174</v>
      </c>
      <c r="C42" s="4" t="s">
        <v>5007</v>
      </c>
      <c r="D42" s="4" t="s">
        <v>5008</v>
      </c>
      <c r="E42" s="4" t="s">
        <v>41</v>
      </c>
      <c r="F42" s="4" t="s">
        <v>182</v>
      </c>
      <c r="G42" s="4" t="s">
        <v>1194</v>
      </c>
      <c r="H42" s="7" t="s">
        <v>42</v>
      </c>
      <c r="I42" s="7"/>
      <c r="J42" s="4" t="s">
        <v>4948</v>
      </c>
    </row>
    <row r="43" spans="1:10" ht="40" customHeight="1">
      <c r="A43" s="8" t="s">
        <v>173</v>
      </c>
      <c r="B43" s="8" t="s">
        <v>174</v>
      </c>
      <c r="C43" s="8" t="s">
        <v>5009</v>
      </c>
      <c r="D43" s="8" t="s">
        <v>5010</v>
      </c>
      <c r="E43" s="8" t="s">
        <v>41</v>
      </c>
      <c r="F43" s="8" t="s">
        <v>182</v>
      </c>
      <c r="G43" s="8" t="s">
        <v>1194</v>
      </c>
      <c r="H43" s="7" t="s">
        <v>42</v>
      </c>
      <c r="I43" s="7"/>
      <c r="J43" s="8" t="s">
        <v>4948</v>
      </c>
    </row>
    <row r="44" spans="1:10" ht="40" customHeight="1">
      <c r="A44" s="4" t="s">
        <v>186</v>
      </c>
      <c r="B44" s="4" t="s">
        <v>187</v>
      </c>
      <c r="C44" s="4" t="s">
        <v>5011</v>
      </c>
      <c r="D44" s="4" t="s">
        <v>5012</v>
      </c>
      <c r="E44" s="4" t="s">
        <v>41</v>
      </c>
      <c r="F44" s="4" t="s">
        <v>195</v>
      </c>
      <c r="G44" s="4" t="s">
        <v>1238</v>
      </c>
      <c r="H44" s="7" t="s">
        <v>42</v>
      </c>
      <c r="I44" s="7"/>
      <c r="J44" s="4" t="s">
        <v>4948</v>
      </c>
    </row>
    <row r="45" spans="1:10" ht="40" customHeight="1">
      <c r="A45" s="8" t="s">
        <v>186</v>
      </c>
      <c r="B45" s="8" t="s">
        <v>187</v>
      </c>
      <c r="C45" s="8" t="s">
        <v>5013</v>
      </c>
      <c r="D45" s="8" t="s">
        <v>5014</v>
      </c>
      <c r="E45" s="8" t="s">
        <v>41</v>
      </c>
      <c r="F45" s="8" t="s">
        <v>195</v>
      </c>
      <c r="G45" s="8" t="s">
        <v>1238</v>
      </c>
      <c r="H45" s="7" t="s">
        <v>42</v>
      </c>
      <c r="I45" s="7"/>
      <c r="J45" s="8" t="s">
        <v>4948</v>
      </c>
    </row>
    <row r="46" spans="1:10" ht="54" customHeight="1">
      <c r="A46" s="4" t="s">
        <v>186</v>
      </c>
      <c r="B46" s="4" t="s">
        <v>187</v>
      </c>
      <c r="C46" s="4" t="s">
        <v>5015</v>
      </c>
      <c r="D46" s="4" t="s">
        <v>5016</v>
      </c>
      <c r="E46" s="4" t="s">
        <v>41</v>
      </c>
      <c r="F46" s="4" t="s">
        <v>195</v>
      </c>
      <c r="G46" s="4" t="s">
        <v>1238</v>
      </c>
      <c r="H46" s="7" t="s">
        <v>42</v>
      </c>
      <c r="I46" s="7"/>
      <c r="J46" s="4" t="s">
        <v>4948</v>
      </c>
    </row>
    <row r="47" spans="1:10" ht="40" customHeight="1">
      <c r="A47" s="8" t="s">
        <v>186</v>
      </c>
      <c r="B47" s="8" t="s">
        <v>187</v>
      </c>
      <c r="C47" s="8" t="s">
        <v>5017</v>
      </c>
      <c r="D47" s="8" t="s">
        <v>5018</v>
      </c>
      <c r="E47" s="8" t="s">
        <v>41</v>
      </c>
      <c r="F47" s="8" t="s">
        <v>195</v>
      </c>
      <c r="G47" s="8" t="s">
        <v>1238</v>
      </c>
      <c r="H47" s="7" t="s">
        <v>42</v>
      </c>
      <c r="I47" s="7"/>
      <c r="J47" s="8" t="s">
        <v>4948</v>
      </c>
    </row>
    <row r="48" spans="1:10" ht="40" customHeight="1">
      <c r="A48" s="4" t="s">
        <v>186</v>
      </c>
      <c r="B48" s="4" t="s">
        <v>187</v>
      </c>
      <c r="C48" s="4" t="s">
        <v>5019</v>
      </c>
      <c r="D48" s="4" t="s">
        <v>5020</v>
      </c>
      <c r="E48" s="4" t="s">
        <v>41</v>
      </c>
      <c r="F48" s="4" t="s">
        <v>195</v>
      </c>
      <c r="G48" s="4" t="s">
        <v>1238</v>
      </c>
      <c r="H48" s="7" t="s">
        <v>42</v>
      </c>
      <c r="I48" s="7"/>
      <c r="J48" s="4" t="s">
        <v>4948</v>
      </c>
    </row>
    <row r="49" spans="1:10" ht="40" customHeight="1">
      <c r="A49" s="8" t="s">
        <v>186</v>
      </c>
      <c r="B49" s="8" t="s">
        <v>187</v>
      </c>
      <c r="C49" s="8" t="s">
        <v>5021</v>
      </c>
      <c r="D49" s="8" t="s">
        <v>5022</v>
      </c>
      <c r="E49" s="8" t="s">
        <v>41</v>
      </c>
      <c r="F49" s="8" t="s">
        <v>195</v>
      </c>
      <c r="G49" s="8" t="s">
        <v>1238</v>
      </c>
      <c r="H49" s="7" t="s">
        <v>42</v>
      </c>
      <c r="I49" s="7"/>
      <c r="J49" s="8" t="s">
        <v>4948</v>
      </c>
    </row>
    <row r="50" spans="1:10" ht="40" customHeight="1">
      <c r="A50" s="4" t="s">
        <v>186</v>
      </c>
      <c r="B50" s="4" t="s">
        <v>187</v>
      </c>
      <c r="C50" s="4" t="s">
        <v>5023</v>
      </c>
      <c r="D50" s="4" t="s">
        <v>5024</v>
      </c>
      <c r="E50" s="4" t="s">
        <v>41</v>
      </c>
      <c r="F50" s="4" t="s">
        <v>195</v>
      </c>
      <c r="G50" s="4" t="s">
        <v>1238</v>
      </c>
      <c r="H50" s="7" t="s">
        <v>42</v>
      </c>
      <c r="I50" s="7"/>
      <c r="J50" s="4" t="s">
        <v>4948</v>
      </c>
    </row>
    <row r="51" spans="1:10" ht="40" customHeight="1">
      <c r="A51" s="8" t="s">
        <v>186</v>
      </c>
      <c r="B51" s="8" t="s">
        <v>187</v>
      </c>
      <c r="C51" s="8" t="s">
        <v>5025</v>
      </c>
      <c r="D51" s="8" t="s">
        <v>5026</v>
      </c>
      <c r="E51" s="8" t="s">
        <v>41</v>
      </c>
      <c r="F51" s="8" t="s">
        <v>195</v>
      </c>
      <c r="G51" s="8" t="s">
        <v>1238</v>
      </c>
      <c r="H51" s="7" t="s">
        <v>42</v>
      </c>
      <c r="I51" s="7"/>
      <c r="J51" s="8" t="s">
        <v>4948</v>
      </c>
    </row>
    <row r="52" spans="1:10" ht="40" customHeight="1">
      <c r="A52" s="4" t="s">
        <v>186</v>
      </c>
      <c r="B52" s="4" t="s">
        <v>187</v>
      </c>
      <c r="C52" s="4" t="s">
        <v>5027</v>
      </c>
      <c r="D52" s="4" t="s">
        <v>5028</v>
      </c>
      <c r="E52" s="4" t="s">
        <v>41</v>
      </c>
      <c r="F52" s="4" t="s">
        <v>195</v>
      </c>
      <c r="G52" s="4" t="s">
        <v>1238</v>
      </c>
      <c r="H52" s="7" t="s">
        <v>42</v>
      </c>
      <c r="I52" s="7"/>
      <c r="J52" s="4" t="s">
        <v>4948</v>
      </c>
    </row>
    <row r="53" spans="1:10" ht="40" customHeight="1">
      <c r="A53" s="8" t="s">
        <v>186</v>
      </c>
      <c r="B53" s="8" t="s">
        <v>187</v>
      </c>
      <c r="C53" s="8" t="s">
        <v>5029</v>
      </c>
      <c r="D53" s="8" t="s">
        <v>5030</v>
      </c>
      <c r="E53" s="8" t="s">
        <v>41</v>
      </c>
      <c r="F53" s="8" t="s">
        <v>195</v>
      </c>
      <c r="G53" s="8" t="s">
        <v>1238</v>
      </c>
      <c r="H53" s="7" t="s">
        <v>42</v>
      </c>
      <c r="I53" s="7"/>
      <c r="J53" s="8" t="s">
        <v>4948</v>
      </c>
    </row>
    <row r="54" spans="1:10" ht="40" customHeight="1">
      <c r="A54" s="4" t="s">
        <v>186</v>
      </c>
      <c r="B54" s="4" t="s">
        <v>187</v>
      </c>
      <c r="C54" s="4" t="s">
        <v>5031</v>
      </c>
      <c r="D54" s="4" t="s">
        <v>5032</v>
      </c>
      <c r="E54" s="4" t="s">
        <v>41</v>
      </c>
      <c r="F54" s="4" t="s">
        <v>195</v>
      </c>
      <c r="G54" s="4" t="s">
        <v>1238</v>
      </c>
      <c r="H54" s="7" t="s">
        <v>42</v>
      </c>
      <c r="I54" s="7"/>
      <c r="J54" s="4" t="s">
        <v>4948</v>
      </c>
    </row>
    <row r="55" spans="1:10" ht="40" customHeight="1">
      <c r="A55" s="8" t="s">
        <v>186</v>
      </c>
      <c r="B55" s="8" t="s">
        <v>187</v>
      </c>
      <c r="C55" s="8" t="s">
        <v>5033</v>
      </c>
      <c r="D55" s="8" t="s">
        <v>5034</v>
      </c>
      <c r="E55" s="8" t="s">
        <v>41</v>
      </c>
      <c r="F55" s="8" t="s">
        <v>195</v>
      </c>
      <c r="G55" s="8" t="s">
        <v>1238</v>
      </c>
      <c r="H55" s="7" t="s">
        <v>42</v>
      </c>
      <c r="I55" s="7"/>
      <c r="J55" s="8" t="s">
        <v>4948</v>
      </c>
    </row>
    <row r="56" spans="1:10" ht="40" customHeight="1">
      <c r="A56" s="4" t="s">
        <v>186</v>
      </c>
      <c r="B56" s="4" t="s">
        <v>187</v>
      </c>
      <c r="C56" s="4" t="s">
        <v>5035</v>
      </c>
      <c r="D56" s="4" t="s">
        <v>5036</v>
      </c>
      <c r="E56" s="4" t="s">
        <v>41</v>
      </c>
      <c r="F56" s="4" t="s">
        <v>195</v>
      </c>
      <c r="G56" s="4" t="s">
        <v>1238</v>
      </c>
      <c r="H56" s="7" t="s">
        <v>42</v>
      </c>
      <c r="I56" s="7"/>
      <c r="J56" s="4" t="s">
        <v>4948</v>
      </c>
    </row>
    <row r="57" spans="1:10" ht="54" customHeight="1">
      <c r="A57" s="8" t="s">
        <v>186</v>
      </c>
      <c r="B57" s="8" t="s">
        <v>187</v>
      </c>
      <c r="C57" s="8" t="s">
        <v>5037</v>
      </c>
      <c r="D57" s="8" t="s">
        <v>5038</v>
      </c>
      <c r="E57" s="8" t="s">
        <v>41</v>
      </c>
      <c r="F57" s="8" t="s">
        <v>195</v>
      </c>
      <c r="G57" s="8" t="s">
        <v>1238</v>
      </c>
      <c r="H57" s="7" t="s">
        <v>42</v>
      </c>
      <c r="I57" s="7"/>
      <c r="J57" s="8" t="s">
        <v>4948</v>
      </c>
    </row>
    <row r="58" spans="1:10" ht="40" customHeight="1">
      <c r="A58" s="4" t="s">
        <v>186</v>
      </c>
      <c r="B58" s="4" t="s">
        <v>187</v>
      </c>
      <c r="C58" s="4" t="s">
        <v>5039</v>
      </c>
      <c r="D58" s="4" t="s">
        <v>5040</v>
      </c>
      <c r="E58" s="4" t="s">
        <v>41</v>
      </c>
      <c r="F58" s="4" t="s">
        <v>195</v>
      </c>
      <c r="G58" s="4" t="s">
        <v>1238</v>
      </c>
      <c r="H58" s="7" t="s">
        <v>42</v>
      </c>
      <c r="I58" s="7"/>
      <c r="J58" s="4" t="s">
        <v>4948</v>
      </c>
    </row>
    <row r="59" spans="1:10" ht="40" customHeight="1">
      <c r="A59" s="8" t="s">
        <v>186</v>
      </c>
      <c r="B59" s="8" t="s">
        <v>187</v>
      </c>
      <c r="C59" s="8" t="s">
        <v>5041</v>
      </c>
      <c r="D59" s="8" t="s">
        <v>5042</v>
      </c>
      <c r="E59" s="8" t="s">
        <v>41</v>
      </c>
      <c r="F59" s="8" t="s">
        <v>195</v>
      </c>
      <c r="G59" s="8" t="s">
        <v>1238</v>
      </c>
      <c r="H59" s="7" t="s">
        <v>42</v>
      </c>
      <c r="I59" s="7"/>
      <c r="J59" s="8" t="s">
        <v>4948</v>
      </c>
    </row>
    <row r="60" spans="1:10" ht="40" customHeight="1">
      <c r="A60" s="4" t="s">
        <v>186</v>
      </c>
      <c r="B60" s="4" t="s">
        <v>187</v>
      </c>
      <c r="C60" s="4" t="s">
        <v>5043</v>
      </c>
      <c r="D60" s="4" t="s">
        <v>5044</v>
      </c>
      <c r="E60" s="4" t="s">
        <v>41</v>
      </c>
      <c r="F60" s="4" t="s">
        <v>195</v>
      </c>
      <c r="G60" s="4" t="s">
        <v>1238</v>
      </c>
      <c r="H60" s="7" t="s">
        <v>42</v>
      </c>
      <c r="I60" s="7"/>
      <c r="J60" s="4" t="s">
        <v>4948</v>
      </c>
    </row>
    <row r="61" spans="1:10" ht="40" customHeight="1">
      <c r="A61" s="8" t="s">
        <v>186</v>
      </c>
      <c r="B61" s="8" t="s">
        <v>187</v>
      </c>
      <c r="C61" s="8" t="s">
        <v>5045</v>
      </c>
      <c r="D61" s="8" t="s">
        <v>5046</v>
      </c>
      <c r="E61" s="8" t="s">
        <v>41</v>
      </c>
      <c r="F61" s="8" t="s">
        <v>195</v>
      </c>
      <c r="G61" s="8" t="s">
        <v>1238</v>
      </c>
      <c r="H61" s="7" t="s">
        <v>42</v>
      </c>
      <c r="I61" s="7"/>
      <c r="J61" s="8" t="s">
        <v>4948</v>
      </c>
    </row>
    <row r="62" spans="1:10" ht="40" customHeight="1">
      <c r="A62" s="4" t="s">
        <v>186</v>
      </c>
      <c r="B62" s="4" t="s">
        <v>187</v>
      </c>
      <c r="C62" s="4" t="s">
        <v>5047</v>
      </c>
      <c r="D62" s="4" t="s">
        <v>5048</v>
      </c>
      <c r="E62" s="4" t="s">
        <v>41</v>
      </c>
      <c r="F62" s="4" t="s">
        <v>195</v>
      </c>
      <c r="G62" s="4" t="s">
        <v>1238</v>
      </c>
      <c r="H62" s="7" t="s">
        <v>42</v>
      </c>
      <c r="I62" s="7"/>
      <c r="J62" s="4" t="s">
        <v>4948</v>
      </c>
    </row>
    <row r="63" spans="1:10" ht="40" customHeight="1">
      <c r="A63" s="8" t="s">
        <v>186</v>
      </c>
      <c r="B63" s="8" t="s">
        <v>187</v>
      </c>
      <c r="C63" s="8" t="s">
        <v>5049</v>
      </c>
      <c r="D63" s="8" t="s">
        <v>5050</v>
      </c>
      <c r="E63" s="8" t="s">
        <v>41</v>
      </c>
      <c r="F63" s="8" t="s">
        <v>195</v>
      </c>
      <c r="G63" s="8" t="s">
        <v>1238</v>
      </c>
      <c r="H63" s="7" t="s">
        <v>42</v>
      </c>
      <c r="I63" s="7"/>
      <c r="J63" s="8" t="s">
        <v>4948</v>
      </c>
    </row>
    <row r="64" spans="1:10" ht="40" customHeight="1">
      <c r="A64" s="4" t="s">
        <v>186</v>
      </c>
      <c r="B64" s="4" t="s">
        <v>187</v>
      </c>
      <c r="C64" s="4" t="s">
        <v>5051</v>
      </c>
      <c r="D64" s="4" t="s">
        <v>5052</v>
      </c>
      <c r="E64" s="4" t="s">
        <v>41</v>
      </c>
      <c r="F64" s="4" t="s">
        <v>195</v>
      </c>
      <c r="G64" s="4" t="s">
        <v>1238</v>
      </c>
      <c r="H64" s="7" t="s">
        <v>42</v>
      </c>
      <c r="I64" s="7"/>
      <c r="J64" s="4" t="s">
        <v>4948</v>
      </c>
    </row>
    <row r="65" spans="1:10" ht="40" customHeight="1">
      <c r="A65" s="8" t="s">
        <v>186</v>
      </c>
      <c r="B65" s="8" t="s">
        <v>187</v>
      </c>
      <c r="C65" s="8" t="s">
        <v>5053</v>
      </c>
      <c r="D65" s="8" t="s">
        <v>5054</v>
      </c>
      <c r="E65" s="8" t="s">
        <v>41</v>
      </c>
      <c r="F65" s="8" t="s">
        <v>195</v>
      </c>
      <c r="G65" s="8" t="s">
        <v>1238</v>
      </c>
      <c r="H65" s="7" t="s">
        <v>42</v>
      </c>
      <c r="I65" s="7"/>
      <c r="J65" s="8" t="s">
        <v>4948</v>
      </c>
    </row>
    <row r="66" spans="1:10" ht="40" customHeight="1">
      <c r="A66" s="4" t="s">
        <v>186</v>
      </c>
      <c r="B66" s="4" t="s">
        <v>187</v>
      </c>
      <c r="C66" s="4" t="s">
        <v>5055</v>
      </c>
      <c r="D66" s="4" t="s">
        <v>5056</v>
      </c>
      <c r="E66" s="4" t="s">
        <v>41</v>
      </c>
      <c r="F66" s="4" t="s">
        <v>195</v>
      </c>
      <c r="G66" s="4" t="s">
        <v>1238</v>
      </c>
      <c r="H66" s="7" t="s">
        <v>42</v>
      </c>
      <c r="I66" s="7"/>
      <c r="J66" s="4" t="s">
        <v>4948</v>
      </c>
    </row>
    <row r="67" spans="1:10" ht="40" customHeight="1">
      <c r="A67" s="8" t="s">
        <v>186</v>
      </c>
      <c r="B67" s="8" t="s">
        <v>187</v>
      </c>
      <c r="C67" s="8" t="s">
        <v>5057</v>
      </c>
      <c r="D67" s="8" t="s">
        <v>5058</v>
      </c>
      <c r="E67" s="8" t="s">
        <v>41</v>
      </c>
      <c r="F67" s="8" t="s">
        <v>195</v>
      </c>
      <c r="G67" s="8" t="s">
        <v>1238</v>
      </c>
      <c r="H67" s="7" t="s">
        <v>42</v>
      </c>
      <c r="I67" s="7"/>
      <c r="J67" s="8" t="s">
        <v>4948</v>
      </c>
    </row>
    <row r="68" spans="1:10" ht="40" customHeight="1">
      <c r="A68" s="4" t="s">
        <v>186</v>
      </c>
      <c r="B68" s="4" t="s">
        <v>187</v>
      </c>
      <c r="C68" s="4" t="s">
        <v>5059</v>
      </c>
      <c r="D68" s="4" t="s">
        <v>5060</v>
      </c>
      <c r="E68" s="4" t="s">
        <v>41</v>
      </c>
      <c r="F68" s="4" t="s">
        <v>195</v>
      </c>
      <c r="G68" s="4" t="s">
        <v>1238</v>
      </c>
      <c r="H68" s="7" t="s">
        <v>42</v>
      </c>
      <c r="I68" s="7"/>
      <c r="J68" s="4" t="s">
        <v>4948</v>
      </c>
    </row>
    <row r="69" spans="1:10" ht="40" customHeight="1">
      <c r="A69" s="8" t="s">
        <v>186</v>
      </c>
      <c r="B69" s="8" t="s">
        <v>187</v>
      </c>
      <c r="C69" s="8" t="s">
        <v>5061</v>
      </c>
      <c r="D69" s="8" t="s">
        <v>5062</v>
      </c>
      <c r="E69" s="8" t="s">
        <v>41</v>
      </c>
      <c r="F69" s="8" t="s">
        <v>195</v>
      </c>
      <c r="G69" s="8" t="s">
        <v>1238</v>
      </c>
      <c r="H69" s="7" t="s">
        <v>42</v>
      </c>
      <c r="I69" s="7"/>
      <c r="J69" s="8" t="s">
        <v>4948</v>
      </c>
    </row>
    <row r="70" spans="1:10" ht="82" customHeight="1">
      <c r="A70" s="4" t="s">
        <v>198</v>
      </c>
      <c r="B70" s="4" t="s">
        <v>199</v>
      </c>
      <c r="C70" s="4" t="s">
        <v>5063</v>
      </c>
      <c r="D70" s="4" t="s">
        <v>5064</v>
      </c>
      <c r="E70" s="4" t="s">
        <v>41</v>
      </c>
      <c r="F70" s="4" t="s">
        <v>207</v>
      </c>
      <c r="G70" s="4" t="s">
        <v>1292</v>
      </c>
      <c r="H70" s="7" t="s">
        <v>42</v>
      </c>
      <c r="I70" s="7"/>
      <c r="J70" s="4" t="s">
        <v>4948</v>
      </c>
    </row>
    <row r="71" spans="1:10" ht="82" customHeight="1">
      <c r="A71" s="8" t="s">
        <v>198</v>
      </c>
      <c r="B71" s="8" t="s">
        <v>199</v>
      </c>
      <c r="C71" s="8" t="s">
        <v>5065</v>
      </c>
      <c r="D71" s="8" t="s">
        <v>5066</v>
      </c>
      <c r="E71" s="8" t="s">
        <v>41</v>
      </c>
      <c r="F71" s="8" t="s">
        <v>207</v>
      </c>
      <c r="G71" s="8" t="s">
        <v>1292</v>
      </c>
      <c r="H71" s="7" t="s">
        <v>42</v>
      </c>
      <c r="I71" s="7"/>
      <c r="J71" s="8" t="s">
        <v>4948</v>
      </c>
    </row>
    <row r="72" spans="1:10" ht="82" customHeight="1">
      <c r="A72" s="4" t="s">
        <v>198</v>
      </c>
      <c r="B72" s="4" t="s">
        <v>199</v>
      </c>
      <c r="C72" s="4" t="s">
        <v>5067</v>
      </c>
      <c r="D72" s="4" t="s">
        <v>5068</v>
      </c>
      <c r="E72" s="4" t="s">
        <v>41</v>
      </c>
      <c r="F72" s="4" t="s">
        <v>207</v>
      </c>
      <c r="G72" s="4" t="s">
        <v>1292</v>
      </c>
      <c r="H72" s="7" t="s">
        <v>42</v>
      </c>
      <c r="I72" s="7"/>
      <c r="J72" s="4" t="s">
        <v>4948</v>
      </c>
    </row>
    <row r="73" spans="1:10" ht="82" customHeight="1">
      <c r="A73" s="8" t="s">
        <v>198</v>
      </c>
      <c r="B73" s="8" t="s">
        <v>199</v>
      </c>
      <c r="C73" s="8" t="s">
        <v>5069</v>
      </c>
      <c r="D73" s="8" t="s">
        <v>5070</v>
      </c>
      <c r="E73" s="8" t="s">
        <v>41</v>
      </c>
      <c r="F73" s="8" t="s">
        <v>207</v>
      </c>
      <c r="G73" s="8" t="s">
        <v>1292</v>
      </c>
      <c r="H73" s="7" t="s">
        <v>42</v>
      </c>
      <c r="I73" s="7"/>
      <c r="J73" s="8" t="s">
        <v>4948</v>
      </c>
    </row>
    <row r="74" spans="1:10" ht="82" customHeight="1">
      <c r="A74" s="4" t="s">
        <v>198</v>
      </c>
      <c r="B74" s="4" t="s">
        <v>199</v>
      </c>
      <c r="C74" s="4" t="s">
        <v>5071</v>
      </c>
      <c r="D74" s="4" t="s">
        <v>5072</v>
      </c>
      <c r="E74" s="4" t="s">
        <v>41</v>
      </c>
      <c r="F74" s="4" t="s">
        <v>207</v>
      </c>
      <c r="G74" s="4" t="s">
        <v>1292</v>
      </c>
      <c r="H74" s="7" t="s">
        <v>42</v>
      </c>
      <c r="I74" s="7"/>
      <c r="J74" s="4" t="s">
        <v>4948</v>
      </c>
    </row>
    <row r="75" spans="1:10" ht="82" customHeight="1">
      <c r="A75" s="8" t="s">
        <v>198</v>
      </c>
      <c r="B75" s="8" t="s">
        <v>199</v>
      </c>
      <c r="C75" s="8" t="s">
        <v>5073</v>
      </c>
      <c r="D75" s="8" t="s">
        <v>5074</v>
      </c>
      <c r="E75" s="8" t="s">
        <v>41</v>
      </c>
      <c r="F75" s="8" t="s">
        <v>207</v>
      </c>
      <c r="G75" s="8" t="s">
        <v>1292</v>
      </c>
      <c r="H75" s="7" t="s">
        <v>42</v>
      </c>
      <c r="I75" s="7"/>
      <c r="J75" s="8" t="s">
        <v>4948</v>
      </c>
    </row>
    <row r="76" spans="1:10" ht="82" customHeight="1">
      <c r="A76" s="4" t="s">
        <v>198</v>
      </c>
      <c r="B76" s="4" t="s">
        <v>199</v>
      </c>
      <c r="C76" s="4" t="s">
        <v>5075</v>
      </c>
      <c r="D76" s="4" t="s">
        <v>5076</v>
      </c>
      <c r="E76" s="4" t="s">
        <v>41</v>
      </c>
      <c r="F76" s="4" t="s">
        <v>207</v>
      </c>
      <c r="G76" s="4" t="s">
        <v>1292</v>
      </c>
      <c r="H76" s="7" t="s">
        <v>42</v>
      </c>
      <c r="I76" s="7"/>
      <c r="J76" s="4" t="s">
        <v>4948</v>
      </c>
    </row>
    <row r="77" spans="1:10" ht="82" customHeight="1">
      <c r="A77" s="8" t="s">
        <v>198</v>
      </c>
      <c r="B77" s="8" t="s">
        <v>199</v>
      </c>
      <c r="C77" s="8" t="s">
        <v>5077</v>
      </c>
      <c r="D77" s="8" t="s">
        <v>5078</v>
      </c>
      <c r="E77" s="8" t="s">
        <v>41</v>
      </c>
      <c r="F77" s="8" t="s">
        <v>207</v>
      </c>
      <c r="G77" s="8" t="s">
        <v>1292</v>
      </c>
      <c r="H77" s="7" t="s">
        <v>42</v>
      </c>
      <c r="I77" s="7"/>
      <c r="J77" s="8" t="s">
        <v>4948</v>
      </c>
    </row>
    <row r="78" spans="1:10" ht="82" customHeight="1">
      <c r="A78" s="4" t="s">
        <v>198</v>
      </c>
      <c r="B78" s="4" t="s">
        <v>199</v>
      </c>
      <c r="C78" s="4" t="s">
        <v>5079</v>
      </c>
      <c r="D78" s="4" t="s">
        <v>5080</v>
      </c>
      <c r="E78" s="4" t="s">
        <v>41</v>
      </c>
      <c r="F78" s="4" t="s">
        <v>207</v>
      </c>
      <c r="G78" s="4" t="s">
        <v>1292</v>
      </c>
      <c r="H78" s="7" t="s">
        <v>42</v>
      </c>
      <c r="I78" s="7"/>
      <c r="J78" s="4" t="s">
        <v>4948</v>
      </c>
    </row>
    <row r="79" spans="1:10" ht="82" customHeight="1">
      <c r="A79" s="8" t="s">
        <v>198</v>
      </c>
      <c r="B79" s="8" t="s">
        <v>199</v>
      </c>
      <c r="C79" s="8" t="s">
        <v>5081</v>
      </c>
      <c r="D79" s="8" t="s">
        <v>5082</v>
      </c>
      <c r="E79" s="8" t="s">
        <v>41</v>
      </c>
      <c r="F79" s="8" t="s">
        <v>207</v>
      </c>
      <c r="G79" s="8" t="s">
        <v>1292</v>
      </c>
      <c r="H79" s="7" t="s">
        <v>42</v>
      </c>
      <c r="I79" s="7"/>
      <c r="J79" s="8" t="s">
        <v>4948</v>
      </c>
    </row>
    <row r="80" spans="1:10" ht="82" customHeight="1">
      <c r="A80" s="4" t="s">
        <v>198</v>
      </c>
      <c r="B80" s="4" t="s">
        <v>199</v>
      </c>
      <c r="C80" s="4" t="s">
        <v>5083</v>
      </c>
      <c r="D80" s="4" t="s">
        <v>5084</v>
      </c>
      <c r="E80" s="4" t="s">
        <v>41</v>
      </c>
      <c r="F80" s="4" t="s">
        <v>207</v>
      </c>
      <c r="G80" s="4" t="s">
        <v>1292</v>
      </c>
      <c r="H80" s="7" t="s">
        <v>42</v>
      </c>
      <c r="I80" s="7"/>
      <c r="J80" s="4" t="s">
        <v>4948</v>
      </c>
    </row>
    <row r="81" spans="1:10" ht="82" customHeight="1">
      <c r="A81" s="8" t="s">
        <v>198</v>
      </c>
      <c r="B81" s="8" t="s">
        <v>199</v>
      </c>
      <c r="C81" s="8" t="s">
        <v>5085</v>
      </c>
      <c r="D81" s="8" t="s">
        <v>5086</v>
      </c>
      <c r="E81" s="8" t="s">
        <v>41</v>
      </c>
      <c r="F81" s="8" t="s">
        <v>207</v>
      </c>
      <c r="G81" s="8" t="s">
        <v>1292</v>
      </c>
      <c r="H81" s="7" t="s">
        <v>42</v>
      </c>
      <c r="I81" s="7"/>
      <c r="J81" s="8" t="s">
        <v>4948</v>
      </c>
    </row>
    <row r="82" spans="1:10" ht="82" customHeight="1">
      <c r="A82" s="4" t="s">
        <v>198</v>
      </c>
      <c r="B82" s="4" t="s">
        <v>199</v>
      </c>
      <c r="C82" s="4" t="s">
        <v>5087</v>
      </c>
      <c r="D82" s="4" t="s">
        <v>5088</v>
      </c>
      <c r="E82" s="4" t="s">
        <v>41</v>
      </c>
      <c r="F82" s="4" t="s">
        <v>207</v>
      </c>
      <c r="G82" s="4" t="s">
        <v>1292</v>
      </c>
      <c r="H82" s="7" t="s">
        <v>42</v>
      </c>
      <c r="I82" s="7"/>
      <c r="J82" s="4" t="s">
        <v>4948</v>
      </c>
    </row>
    <row r="83" spans="1:10" ht="82" customHeight="1">
      <c r="A83" s="8" t="s">
        <v>198</v>
      </c>
      <c r="B83" s="8" t="s">
        <v>199</v>
      </c>
      <c r="C83" s="8" t="s">
        <v>5089</v>
      </c>
      <c r="D83" s="8" t="s">
        <v>5090</v>
      </c>
      <c r="E83" s="8" t="s">
        <v>41</v>
      </c>
      <c r="F83" s="8" t="s">
        <v>207</v>
      </c>
      <c r="G83" s="8" t="s">
        <v>1292</v>
      </c>
      <c r="H83" s="7" t="s">
        <v>42</v>
      </c>
      <c r="I83" s="7"/>
      <c r="J83" s="8" t="s">
        <v>4948</v>
      </c>
    </row>
    <row r="84" spans="1:10" ht="82" customHeight="1">
      <c r="A84" s="4" t="s">
        <v>198</v>
      </c>
      <c r="B84" s="4" t="s">
        <v>199</v>
      </c>
      <c r="C84" s="4" t="s">
        <v>5091</v>
      </c>
      <c r="D84" s="4" t="s">
        <v>5092</v>
      </c>
      <c r="E84" s="4" t="s">
        <v>41</v>
      </c>
      <c r="F84" s="4" t="s">
        <v>207</v>
      </c>
      <c r="G84" s="4" t="s">
        <v>1292</v>
      </c>
      <c r="H84" s="7" t="s">
        <v>42</v>
      </c>
      <c r="I84" s="7"/>
      <c r="J84" s="4" t="s">
        <v>4948</v>
      </c>
    </row>
    <row r="85" spans="1:10" ht="82" customHeight="1">
      <c r="A85" s="8" t="s">
        <v>198</v>
      </c>
      <c r="B85" s="8" t="s">
        <v>199</v>
      </c>
      <c r="C85" s="8" t="s">
        <v>5093</v>
      </c>
      <c r="D85" s="8" t="s">
        <v>5094</v>
      </c>
      <c r="E85" s="8" t="s">
        <v>41</v>
      </c>
      <c r="F85" s="8" t="s">
        <v>207</v>
      </c>
      <c r="G85" s="8" t="s">
        <v>1292</v>
      </c>
      <c r="H85" s="7" t="s">
        <v>42</v>
      </c>
      <c r="I85" s="7"/>
      <c r="J85" s="8" t="s">
        <v>4948</v>
      </c>
    </row>
    <row r="86" spans="1:10" ht="82" customHeight="1">
      <c r="A86" s="4" t="s">
        <v>198</v>
      </c>
      <c r="B86" s="4" t="s">
        <v>199</v>
      </c>
      <c r="C86" s="4" t="s">
        <v>5095</v>
      </c>
      <c r="D86" s="4" t="s">
        <v>5096</v>
      </c>
      <c r="E86" s="4" t="s">
        <v>41</v>
      </c>
      <c r="F86" s="4" t="s">
        <v>207</v>
      </c>
      <c r="G86" s="4" t="s">
        <v>1292</v>
      </c>
      <c r="H86" s="7" t="s">
        <v>42</v>
      </c>
      <c r="I86" s="7"/>
      <c r="J86" s="4" t="s">
        <v>4948</v>
      </c>
    </row>
    <row r="87" spans="1:10" ht="82" customHeight="1">
      <c r="A87" s="8" t="s">
        <v>198</v>
      </c>
      <c r="B87" s="8" t="s">
        <v>199</v>
      </c>
      <c r="C87" s="8" t="s">
        <v>5097</v>
      </c>
      <c r="D87" s="8" t="s">
        <v>5098</v>
      </c>
      <c r="E87" s="8" t="s">
        <v>41</v>
      </c>
      <c r="F87" s="8" t="s">
        <v>207</v>
      </c>
      <c r="G87" s="8" t="s">
        <v>1292</v>
      </c>
      <c r="H87" s="7" t="s">
        <v>42</v>
      </c>
      <c r="I87" s="7"/>
      <c r="J87" s="8" t="s">
        <v>4948</v>
      </c>
    </row>
    <row r="88" spans="1:10" ht="40" customHeight="1">
      <c r="A88" s="4" t="s">
        <v>211</v>
      </c>
      <c r="B88" s="4" t="s">
        <v>212</v>
      </c>
      <c r="C88" s="4" t="s">
        <v>5099</v>
      </c>
      <c r="D88" s="4" t="s">
        <v>5100</v>
      </c>
      <c r="E88" s="4" t="s">
        <v>41</v>
      </c>
      <c r="F88" s="4" t="s">
        <v>218</v>
      </c>
      <c r="G88" s="4" t="s">
        <v>1350</v>
      </c>
      <c r="H88" s="7" t="s">
        <v>42</v>
      </c>
      <c r="I88" s="7"/>
      <c r="J88" s="4" t="s">
        <v>4948</v>
      </c>
    </row>
    <row r="89" spans="1:10" ht="40" customHeight="1">
      <c r="A89" s="8" t="s">
        <v>211</v>
      </c>
      <c r="B89" s="8" t="s">
        <v>212</v>
      </c>
      <c r="C89" s="8" t="s">
        <v>5101</v>
      </c>
      <c r="D89" s="8" t="s">
        <v>5102</v>
      </c>
      <c r="E89" s="8" t="s">
        <v>41</v>
      </c>
      <c r="F89" s="8" t="s">
        <v>218</v>
      </c>
      <c r="G89" s="8" t="s">
        <v>1350</v>
      </c>
      <c r="H89" s="7" t="s">
        <v>42</v>
      </c>
      <c r="I89" s="7"/>
      <c r="J89" s="8" t="s">
        <v>4948</v>
      </c>
    </row>
    <row r="90" spans="1:10" ht="40" customHeight="1">
      <c r="A90" s="4" t="s">
        <v>211</v>
      </c>
      <c r="B90" s="4" t="s">
        <v>212</v>
      </c>
      <c r="C90" s="4" t="s">
        <v>5103</v>
      </c>
      <c r="D90" s="4" t="s">
        <v>5104</v>
      </c>
      <c r="E90" s="4" t="s">
        <v>41</v>
      </c>
      <c r="F90" s="4" t="s">
        <v>218</v>
      </c>
      <c r="G90" s="4" t="s">
        <v>1350</v>
      </c>
      <c r="H90" s="7" t="s">
        <v>42</v>
      </c>
      <c r="I90" s="7"/>
      <c r="J90" s="4" t="s">
        <v>4948</v>
      </c>
    </row>
    <row r="91" spans="1:10" ht="40" customHeight="1">
      <c r="A91" s="8" t="s">
        <v>211</v>
      </c>
      <c r="B91" s="8" t="s">
        <v>212</v>
      </c>
      <c r="C91" s="8" t="s">
        <v>5105</v>
      </c>
      <c r="D91" s="8" t="s">
        <v>5106</v>
      </c>
      <c r="E91" s="8" t="s">
        <v>41</v>
      </c>
      <c r="F91" s="8" t="s">
        <v>218</v>
      </c>
      <c r="G91" s="8" t="s">
        <v>1350</v>
      </c>
      <c r="H91" s="7" t="s">
        <v>42</v>
      </c>
      <c r="I91" s="7"/>
      <c r="J91" s="8" t="s">
        <v>4948</v>
      </c>
    </row>
    <row r="92" spans="1:10" ht="40" customHeight="1">
      <c r="A92" s="4" t="s">
        <v>211</v>
      </c>
      <c r="B92" s="4" t="s">
        <v>212</v>
      </c>
      <c r="C92" s="4" t="s">
        <v>5107</v>
      </c>
      <c r="D92" s="4" t="s">
        <v>5108</v>
      </c>
      <c r="E92" s="4" t="s">
        <v>41</v>
      </c>
      <c r="F92" s="4" t="s">
        <v>218</v>
      </c>
      <c r="G92" s="4" t="s">
        <v>1350</v>
      </c>
      <c r="H92" s="7" t="s">
        <v>42</v>
      </c>
      <c r="I92" s="7"/>
      <c r="J92" s="4" t="s">
        <v>4948</v>
      </c>
    </row>
    <row r="93" spans="1:10" ht="40" customHeight="1">
      <c r="A93" s="8" t="s">
        <v>211</v>
      </c>
      <c r="B93" s="8" t="s">
        <v>212</v>
      </c>
      <c r="C93" s="8" t="s">
        <v>5109</v>
      </c>
      <c r="D93" s="8" t="s">
        <v>5110</v>
      </c>
      <c r="E93" s="8" t="s">
        <v>41</v>
      </c>
      <c r="F93" s="8" t="s">
        <v>218</v>
      </c>
      <c r="G93" s="8" t="s">
        <v>1350</v>
      </c>
      <c r="H93" s="7" t="s">
        <v>42</v>
      </c>
      <c r="I93" s="7"/>
      <c r="J93" s="8" t="s">
        <v>4948</v>
      </c>
    </row>
    <row r="94" spans="1:10" ht="40" customHeight="1">
      <c r="A94" s="4" t="s">
        <v>211</v>
      </c>
      <c r="B94" s="4" t="s">
        <v>212</v>
      </c>
      <c r="C94" s="4" t="s">
        <v>5111</v>
      </c>
      <c r="D94" s="4" t="s">
        <v>5112</v>
      </c>
      <c r="E94" s="4" t="s">
        <v>41</v>
      </c>
      <c r="F94" s="4" t="s">
        <v>218</v>
      </c>
      <c r="G94" s="4" t="s">
        <v>1350</v>
      </c>
      <c r="H94" s="7" t="s">
        <v>42</v>
      </c>
      <c r="I94" s="7"/>
      <c r="J94" s="4" t="s">
        <v>4948</v>
      </c>
    </row>
    <row r="95" spans="1:10" ht="54" customHeight="1">
      <c r="A95" s="8" t="s">
        <v>221</v>
      </c>
      <c r="B95" s="8" t="s">
        <v>222</v>
      </c>
      <c r="C95" s="8" t="s">
        <v>5113</v>
      </c>
      <c r="D95" s="8" t="s">
        <v>5114</v>
      </c>
      <c r="E95" s="8" t="s">
        <v>41</v>
      </c>
      <c r="F95" s="8" t="s">
        <v>228</v>
      </c>
      <c r="G95" s="8" t="s">
        <v>1373</v>
      </c>
      <c r="H95" s="7" t="s">
        <v>42</v>
      </c>
      <c r="I95" s="7"/>
      <c r="J95" s="8" t="s">
        <v>4948</v>
      </c>
    </row>
    <row r="96" spans="1:10" ht="40" customHeight="1">
      <c r="A96" s="4" t="s">
        <v>221</v>
      </c>
      <c r="B96" s="4" t="s">
        <v>222</v>
      </c>
      <c r="C96" s="4" t="s">
        <v>5115</v>
      </c>
      <c r="D96" s="4" t="s">
        <v>5116</v>
      </c>
      <c r="E96" s="4" t="s">
        <v>41</v>
      </c>
      <c r="F96" s="4" t="s">
        <v>228</v>
      </c>
      <c r="G96" s="4" t="s">
        <v>1373</v>
      </c>
      <c r="H96" s="7" t="s">
        <v>42</v>
      </c>
      <c r="I96" s="7"/>
      <c r="J96" s="4" t="s">
        <v>4948</v>
      </c>
    </row>
    <row r="97" spans="1:10" ht="40" customHeight="1">
      <c r="A97" s="8" t="s">
        <v>221</v>
      </c>
      <c r="B97" s="8" t="s">
        <v>222</v>
      </c>
      <c r="C97" s="8" t="s">
        <v>5117</v>
      </c>
      <c r="D97" s="8" t="s">
        <v>5118</v>
      </c>
      <c r="E97" s="8" t="s">
        <v>41</v>
      </c>
      <c r="F97" s="8" t="s">
        <v>228</v>
      </c>
      <c r="G97" s="8" t="s">
        <v>1373</v>
      </c>
      <c r="H97" s="7" t="s">
        <v>42</v>
      </c>
      <c r="I97" s="7"/>
      <c r="J97" s="8" t="s">
        <v>4948</v>
      </c>
    </row>
    <row r="98" spans="1:10" ht="40" customHeight="1">
      <c r="A98" s="4" t="s">
        <v>221</v>
      </c>
      <c r="B98" s="4" t="s">
        <v>222</v>
      </c>
      <c r="C98" s="4" t="s">
        <v>5119</v>
      </c>
      <c r="D98" s="4" t="s">
        <v>5120</v>
      </c>
      <c r="E98" s="4" t="s">
        <v>41</v>
      </c>
      <c r="F98" s="4" t="s">
        <v>228</v>
      </c>
      <c r="G98" s="4" t="s">
        <v>1373</v>
      </c>
      <c r="H98" s="7" t="s">
        <v>42</v>
      </c>
      <c r="I98" s="7"/>
      <c r="J98" s="4" t="s">
        <v>4948</v>
      </c>
    </row>
    <row r="99" spans="1:10" ht="40" customHeight="1">
      <c r="A99" s="8" t="s">
        <v>221</v>
      </c>
      <c r="B99" s="8" t="s">
        <v>222</v>
      </c>
      <c r="C99" s="8" t="s">
        <v>5121</v>
      </c>
      <c r="D99" s="8" t="s">
        <v>5122</v>
      </c>
      <c r="E99" s="8" t="s">
        <v>41</v>
      </c>
      <c r="F99" s="8" t="s">
        <v>228</v>
      </c>
      <c r="G99" s="8" t="s">
        <v>1373</v>
      </c>
      <c r="H99" s="7" t="s">
        <v>42</v>
      </c>
      <c r="I99" s="7"/>
      <c r="J99" s="8" t="s">
        <v>4948</v>
      </c>
    </row>
    <row r="100" spans="1:10" ht="40" customHeight="1">
      <c r="A100" s="4" t="s">
        <v>221</v>
      </c>
      <c r="B100" s="4" t="s">
        <v>222</v>
      </c>
      <c r="C100" s="4" t="s">
        <v>5123</v>
      </c>
      <c r="D100" s="4" t="s">
        <v>5124</v>
      </c>
      <c r="E100" s="4" t="s">
        <v>41</v>
      </c>
      <c r="F100" s="4" t="s">
        <v>228</v>
      </c>
      <c r="G100" s="4" t="s">
        <v>1373</v>
      </c>
      <c r="H100" s="7" t="s">
        <v>42</v>
      </c>
      <c r="I100" s="7"/>
      <c r="J100" s="4" t="s">
        <v>4948</v>
      </c>
    </row>
    <row r="101" spans="1:10" ht="40" customHeight="1">
      <c r="A101" s="8" t="s">
        <v>221</v>
      </c>
      <c r="B101" s="8" t="s">
        <v>222</v>
      </c>
      <c r="C101" s="8" t="s">
        <v>5125</v>
      </c>
      <c r="D101" s="8" t="s">
        <v>5126</v>
      </c>
      <c r="E101" s="8" t="s">
        <v>41</v>
      </c>
      <c r="F101" s="8" t="s">
        <v>228</v>
      </c>
      <c r="G101" s="8" t="s">
        <v>1373</v>
      </c>
      <c r="H101" s="7" t="s">
        <v>42</v>
      </c>
      <c r="I101" s="7"/>
      <c r="J101" s="8" t="s">
        <v>4948</v>
      </c>
    </row>
    <row r="102" spans="1:10" ht="40" customHeight="1">
      <c r="A102" s="4" t="s">
        <v>221</v>
      </c>
      <c r="B102" s="4" t="s">
        <v>222</v>
      </c>
      <c r="C102" s="4" t="s">
        <v>5127</v>
      </c>
      <c r="D102" s="4" t="s">
        <v>5128</v>
      </c>
      <c r="E102" s="4" t="s">
        <v>41</v>
      </c>
      <c r="F102" s="4" t="s">
        <v>228</v>
      </c>
      <c r="G102" s="4" t="s">
        <v>1373</v>
      </c>
      <c r="H102" s="7" t="s">
        <v>42</v>
      </c>
      <c r="I102" s="7"/>
      <c r="J102" s="4" t="s">
        <v>4948</v>
      </c>
    </row>
    <row r="103" spans="1:10" ht="40" customHeight="1">
      <c r="A103" s="8" t="s">
        <v>221</v>
      </c>
      <c r="B103" s="8" t="s">
        <v>222</v>
      </c>
      <c r="C103" s="8" t="s">
        <v>5129</v>
      </c>
      <c r="D103" s="8" t="s">
        <v>5130</v>
      </c>
      <c r="E103" s="8" t="s">
        <v>41</v>
      </c>
      <c r="F103" s="8" t="s">
        <v>228</v>
      </c>
      <c r="G103" s="8" t="s">
        <v>1373</v>
      </c>
      <c r="H103" s="7" t="s">
        <v>42</v>
      </c>
      <c r="I103" s="7"/>
      <c r="J103" s="8" t="s">
        <v>4948</v>
      </c>
    </row>
    <row r="104" spans="1:10" ht="40" customHeight="1">
      <c r="A104" s="4" t="s">
        <v>221</v>
      </c>
      <c r="B104" s="4" t="s">
        <v>222</v>
      </c>
      <c r="C104" s="4" t="s">
        <v>5131</v>
      </c>
      <c r="D104" s="4" t="s">
        <v>5132</v>
      </c>
      <c r="E104" s="4" t="s">
        <v>41</v>
      </c>
      <c r="F104" s="4" t="s">
        <v>228</v>
      </c>
      <c r="G104" s="4" t="s">
        <v>1373</v>
      </c>
      <c r="H104" s="7" t="s">
        <v>42</v>
      </c>
      <c r="I104" s="7"/>
      <c r="J104" s="4" t="s">
        <v>4948</v>
      </c>
    </row>
    <row r="105" spans="1:10" ht="40" customHeight="1">
      <c r="A105" s="8" t="s">
        <v>221</v>
      </c>
      <c r="B105" s="8" t="s">
        <v>222</v>
      </c>
      <c r="C105" s="8" t="s">
        <v>5133</v>
      </c>
      <c r="D105" s="8" t="s">
        <v>5134</v>
      </c>
      <c r="E105" s="8" t="s">
        <v>41</v>
      </c>
      <c r="F105" s="8" t="s">
        <v>228</v>
      </c>
      <c r="G105" s="8" t="s">
        <v>1373</v>
      </c>
      <c r="H105" s="7" t="s">
        <v>42</v>
      </c>
      <c r="I105" s="7"/>
      <c r="J105" s="8" t="s">
        <v>4948</v>
      </c>
    </row>
    <row r="106" spans="1:10" ht="40" customHeight="1">
      <c r="A106" s="4" t="s">
        <v>221</v>
      </c>
      <c r="B106" s="4" t="s">
        <v>222</v>
      </c>
      <c r="C106" s="4" t="s">
        <v>5135</v>
      </c>
      <c r="D106" s="4" t="s">
        <v>5136</v>
      </c>
      <c r="E106" s="4" t="s">
        <v>41</v>
      </c>
      <c r="F106" s="4" t="s">
        <v>228</v>
      </c>
      <c r="G106" s="4" t="s">
        <v>1373</v>
      </c>
      <c r="H106" s="7" t="s">
        <v>42</v>
      </c>
      <c r="I106" s="7"/>
      <c r="J106" s="4" t="s">
        <v>4948</v>
      </c>
    </row>
    <row r="107" spans="1:10" ht="40" customHeight="1">
      <c r="A107" s="8" t="s">
        <v>221</v>
      </c>
      <c r="B107" s="8" t="s">
        <v>222</v>
      </c>
      <c r="C107" s="8" t="s">
        <v>5137</v>
      </c>
      <c r="D107" s="8" t="s">
        <v>5138</v>
      </c>
      <c r="E107" s="8" t="s">
        <v>5138</v>
      </c>
      <c r="F107" s="8" t="s">
        <v>228</v>
      </c>
      <c r="G107" s="8" t="s">
        <v>1373</v>
      </c>
      <c r="H107" s="7" t="s">
        <v>42</v>
      </c>
      <c r="I107" s="7"/>
      <c r="J107" s="8" t="s">
        <v>1002</v>
      </c>
    </row>
    <row r="108" spans="1:10" ht="54" customHeight="1">
      <c r="A108" s="4" t="s">
        <v>221</v>
      </c>
      <c r="B108" s="4" t="s">
        <v>222</v>
      </c>
      <c r="C108" s="4" t="s">
        <v>5139</v>
      </c>
      <c r="D108" s="4" t="s">
        <v>5140</v>
      </c>
      <c r="E108" s="4" t="s">
        <v>5138</v>
      </c>
      <c r="F108" s="4" t="s">
        <v>228</v>
      </c>
      <c r="G108" s="4" t="s">
        <v>1373</v>
      </c>
      <c r="H108" s="7" t="s">
        <v>42</v>
      </c>
      <c r="I108" s="7"/>
      <c r="J108" s="4" t="s">
        <v>4948</v>
      </c>
    </row>
    <row r="109" spans="1:10" ht="40" customHeight="1">
      <c r="A109" s="8" t="s">
        <v>221</v>
      </c>
      <c r="B109" s="8" t="s">
        <v>222</v>
      </c>
      <c r="C109" s="8" t="s">
        <v>5141</v>
      </c>
      <c r="D109" s="8" t="s">
        <v>5142</v>
      </c>
      <c r="E109" s="8" t="s">
        <v>5138</v>
      </c>
      <c r="F109" s="8" t="s">
        <v>228</v>
      </c>
      <c r="G109" s="8" t="s">
        <v>1373</v>
      </c>
      <c r="H109" s="7" t="s">
        <v>42</v>
      </c>
      <c r="I109" s="7"/>
      <c r="J109" s="8" t="s">
        <v>4948</v>
      </c>
    </row>
    <row r="110" spans="1:10" ht="96" customHeight="1">
      <c r="A110" s="4" t="s">
        <v>221</v>
      </c>
      <c r="B110" s="4" t="s">
        <v>222</v>
      </c>
      <c r="C110" s="4" t="s">
        <v>5143</v>
      </c>
      <c r="D110" s="4" t="s">
        <v>5144</v>
      </c>
      <c r="E110" s="4" t="s">
        <v>5138</v>
      </c>
      <c r="F110" s="4" t="s">
        <v>228</v>
      </c>
      <c r="G110" s="4" t="s">
        <v>1373</v>
      </c>
      <c r="H110" s="7" t="s">
        <v>42</v>
      </c>
      <c r="I110" s="7"/>
      <c r="J110" s="4" t="s">
        <v>4948</v>
      </c>
    </row>
    <row r="111" spans="1:10" ht="68" customHeight="1">
      <c r="A111" s="8" t="s">
        <v>221</v>
      </c>
      <c r="B111" s="8" t="s">
        <v>222</v>
      </c>
      <c r="C111" s="8" t="s">
        <v>5145</v>
      </c>
      <c r="D111" s="8" t="s">
        <v>5146</v>
      </c>
      <c r="E111" s="8" t="s">
        <v>5138</v>
      </c>
      <c r="F111" s="8" t="s">
        <v>228</v>
      </c>
      <c r="G111" s="8" t="s">
        <v>1373</v>
      </c>
      <c r="H111" s="7" t="s">
        <v>42</v>
      </c>
      <c r="I111" s="7"/>
      <c r="J111" s="8" t="s">
        <v>4948</v>
      </c>
    </row>
    <row r="112" spans="1:10" ht="54" customHeight="1">
      <c r="A112" s="4" t="s">
        <v>231</v>
      </c>
      <c r="B112" s="4" t="s">
        <v>232</v>
      </c>
      <c r="C112" s="4" t="s">
        <v>5147</v>
      </c>
      <c r="D112" s="4" t="s">
        <v>5148</v>
      </c>
      <c r="E112" s="4" t="s">
        <v>5148</v>
      </c>
      <c r="F112" s="4" t="s">
        <v>237</v>
      </c>
      <c r="G112" s="4" t="s">
        <v>1390</v>
      </c>
      <c r="H112" s="7" t="s">
        <v>42</v>
      </c>
      <c r="I112" s="7"/>
      <c r="J112" s="4" t="s">
        <v>1002</v>
      </c>
    </row>
    <row r="113" spans="1:10" ht="54" customHeight="1">
      <c r="A113" s="8" t="s">
        <v>231</v>
      </c>
      <c r="B113" s="8" t="s">
        <v>232</v>
      </c>
      <c r="C113" s="8" t="s">
        <v>5149</v>
      </c>
      <c r="D113" s="8" t="s">
        <v>5150</v>
      </c>
      <c r="E113" s="8" t="s">
        <v>5148</v>
      </c>
      <c r="F113" s="8" t="s">
        <v>237</v>
      </c>
      <c r="G113" s="8" t="s">
        <v>1390</v>
      </c>
      <c r="H113" s="7" t="s">
        <v>42</v>
      </c>
      <c r="I113" s="7"/>
      <c r="J113" s="8" t="s">
        <v>4948</v>
      </c>
    </row>
    <row r="114" spans="1:10" ht="54" customHeight="1">
      <c r="A114" s="4" t="s">
        <v>231</v>
      </c>
      <c r="B114" s="4" t="s">
        <v>232</v>
      </c>
      <c r="C114" s="4" t="s">
        <v>5151</v>
      </c>
      <c r="D114" s="4" t="s">
        <v>5152</v>
      </c>
      <c r="E114" s="4" t="s">
        <v>5148</v>
      </c>
      <c r="F114" s="4" t="s">
        <v>237</v>
      </c>
      <c r="G114" s="4" t="s">
        <v>1390</v>
      </c>
      <c r="H114" s="7" t="s">
        <v>42</v>
      </c>
      <c r="I114" s="7"/>
      <c r="J114" s="4" t="s">
        <v>4948</v>
      </c>
    </row>
    <row r="115" spans="1:10" ht="54" customHeight="1">
      <c r="A115" s="8" t="s">
        <v>231</v>
      </c>
      <c r="B115" s="8" t="s">
        <v>232</v>
      </c>
      <c r="C115" s="8" t="s">
        <v>5153</v>
      </c>
      <c r="D115" s="8" t="s">
        <v>5154</v>
      </c>
      <c r="E115" s="8" t="s">
        <v>5148</v>
      </c>
      <c r="F115" s="8" t="s">
        <v>237</v>
      </c>
      <c r="G115" s="8" t="s">
        <v>1390</v>
      </c>
      <c r="H115" s="7" t="s">
        <v>42</v>
      </c>
      <c r="I115" s="7"/>
      <c r="J115" s="8" t="s">
        <v>4948</v>
      </c>
    </row>
    <row r="116" spans="1:10" ht="54" customHeight="1">
      <c r="A116" s="4" t="s">
        <v>231</v>
      </c>
      <c r="B116" s="4" t="s">
        <v>232</v>
      </c>
      <c r="C116" s="4" t="s">
        <v>5155</v>
      </c>
      <c r="D116" s="4" t="s">
        <v>5156</v>
      </c>
      <c r="E116" s="4" t="s">
        <v>5148</v>
      </c>
      <c r="F116" s="4" t="s">
        <v>237</v>
      </c>
      <c r="G116" s="4" t="s">
        <v>1390</v>
      </c>
      <c r="H116" s="7" t="s">
        <v>42</v>
      </c>
      <c r="I116" s="7"/>
      <c r="J116" s="4" t="s">
        <v>4948</v>
      </c>
    </row>
    <row r="117" spans="1:10" ht="54" customHeight="1">
      <c r="A117" s="8" t="s">
        <v>231</v>
      </c>
      <c r="B117" s="8" t="s">
        <v>232</v>
      </c>
      <c r="C117" s="8" t="s">
        <v>5157</v>
      </c>
      <c r="D117" s="8" t="s">
        <v>5158</v>
      </c>
      <c r="E117" s="8" t="s">
        <v>5148</v>
      </c>
      <c r="F117" s="8" t="s">
        <v>237</v>
      </c>
      <c r="G117" s="8" t="s">
        <v>1390</v>
      </c>
      <c r="H117" s="7" t="s">
        <v>42</v>
      </c>
      <c r="I117" s="7"/>
      <c r="J117" s="8" t="s">
        <v>4948</v>
      </c>
    </row>
    <row r="118" spans="1:10" ht="54" customHeight="1">
      <c r="A118" s="4" t="s">
        <v>231</v>
      </c>
      <c r="B118" s="4" t="s">
        <v>232</v>
      </c>
      <c r="C118" s="4" t="s">
        <v>5159</v>
      </c>
      <c r="D118" s="4" t="s">
        <v>5160</v>
      </c>
      <c r="E118" s="4" t="s">
        <v>5160</v>
      </c>
      <c r="F118" s="4" t="s">
        <v>237</v>
      </c>
      <c r="G118" s="4" t="s">
        <v>1390</v>
      </c>
      <c r="H118" s="7" t="s">
        <v>42</v>
      </c>
      <c r="I118" s="7"/>
      <c r="J118" s="4" t="s">
        <v>1002</v>
      </c>
    </row>
    <row r="119" spans="1:10" ht="54" customHeight="1">
      <c r="A119" s="8" t="s">
        <v>231</v>
      </c>
      <c r="B119" s="8" t="s">
        <v>232</v>
      </c>
      <c r="C119" s="8" t="s">
        <v>5161</v>
      </c>
      <c r="D119" s="8" t="s">
        <v>5162</v>
      </c>
      <c r="E119" s="8" t="s">
        <v>5160</v>
      </c>
      <c r="F119" s="8" t="s">
        <v>237</v>
      </c>
      <c r="G119" s="8" t="s">
        <v>1390</v>
      </c>
      <c r="H119" s="7" t="s">
        <v>42</v>
      </c>
      <c r="I119" s="7"/>
      <c r="J119" s="8" t="s">
        <v>4948</v>
      </c>
    </row>
    <row r="120" spans="1:10" ht="54" customHeight="1">
      <c r="A120" s="4" t="s">
        <v>231</v>
      </c>
      <c r="B120" s="4" t="s">
        <v>232</v>
      </c>
      <c r="C120" s="4" t="s">
        <v>5163</v>
      </c>
      <c r="D120" s="4" t="s">
        <v>5164</v>
      </c>
      <c r="E120" s="4" t="s">
        <v>5160</v>
      </c>
      <c r="F120" s="4" t="s">
        <v>237</v>
      </c>
      <c r="G120" s="4" t="s">
        <v>1390</v>
      </c>
      <c r="H120" s="7" t="s">
        <v>42</v>
      </c>
      <c r="I120" s="7"/>
      <c r="J120" s="4" t="s">
        <v>4948</v>
      </c>
    </row>
    <row r="121" spans="1:10" ht="54" customHeight="1">
      <c r="A121" s="8" t="s">
        <v>231</v>
      </c>
      <c r="B121" s="8" t="s">
        <v>232</v>
      </c>
      <c r="C121" s="8" t="s">
        <v>5165</v>
      </c>
      <c r="D121" s="8" t="s">
        <v>5166</v>
      </c>
      <c r="E121" s="8" t="s">
        <v>5160</v>
      </c>
      <c r="F121" s="8" t="s">
        <v>237</v>
      </c>
      <c r="G121" s="8" t="s">
        <v>1390</v>
      </c>
      <c r="H121" s="7" t="s">
        <v>42</v>
      </c>
      <c r="I121" s="7"/>
      <c r="J121" s="8" t="s">
        <v>4948</v>
      </c>
    </row>
    <row r="122" spans="1:10" ht="54" customHeight="1">
      <c r="A122" s="4" t="s">
        <v>231</v>
      </c>
      <c r="B122" s="4" t="s">
        <v>232</v>
      </c>
      <c r="C122" s="4" t="s">
        <v>5167</v>
      </c>
      <c r="D122" s="4" t="s">
        <v>5168</v>
      </c>
      <c r="E122" s="4" t="s">
        <v>5160</v>
      </c>
      <c r="F122" s="4" t="s">
        <v>237</v>
      </c>
      <c r="G122" s="4" t="s">
        <v>1390</v>
      </c>
      <c r="H122" s="7" t="s">
        <v>42</v>
      </c>
      <c r="I122" s="7"/>
      <c r="J122" s="4" t="s">
        <v>4948</v>
      </c>
    </row>
    <row r="123" spans="1:10" ht="54" customHeight="1">
      <c r="A123" s="8" t="s">
        <v>231</v>
      </c>
      <c r="B123" s="8" t="s">
        <v>232</v>
      </c>
      <c r="C123" s="8" t="s">
        <v>5169</v>
      </c>
      <c r="D123" s="8" t="s">
        <v>5170</v>
      </c>
      <c r="E123" s="8" t="s">
        <v>5160</v>
      </c>
      <c r="F123" s="8" t="s">
        <v>237</v>
      </c>
      <c r="G123" s="8" t="s">
        <v>1390</v>
      </c>
      <c r="H123" s="7" t="s">
        <v>42</v>
      </c>
      <c r="I123" s="7"/>
      <c r="J123" s="8" t="s">
        <v>4948</v>
      </c>
    </row>
    <row r="124" spans="1:10" ht="54" customHeight="1">
      <c r="A124" s="4" t="s">
        <v>231</v>
      </c>
      <c r="B124" s="4" t="s">
        <v>232</v>
      </c>
      <c r="C124" s="4" t="s">
        <v>5171</v>
      </c>
      <c r="D124" s="4" t="s">
        <v>5172</v>
      </c>
      <c r="E124" s="4" t="s">
        <v>5160</v>
      </c>
      <c r="F124" s="4" t="s">
        <v>237</v>
      </c>
      <c r="G124" s="4" t="s">
        <v>1390</v>
      </c>
      <c r="H124" s="7" t="s">
        <v>42</v>
      </c>
      <c r="I124" s="7"/>
      <c r="J124" s="4" t="s">
        <v>4948</v>
      </c>
    </row>
    <row r="125" spans="1:10" ht="54" customHeight="1">
      <c r="A125" s="8" t="s">
        <v>231</v>
      </c>
      <c r="B125" s="8" t="s">
        <v>232</v>
      </c>
      <c r="C125" s="8" t="s">
        <v>5173</v>
      </c>
      <c r="D125" s="8" t="s">
        <v>5174</v>
      </c>
      <c r="E125" s="8" t="s">
        <v>5160</v>
      </c>
      <c r="F125" s="8" t="s">
        <v>237</v>
      </c>
      <c r="G125" s="8" t="s">
        <v>1390</v>
      </c>
      <c r="H125" s="7" t="s">
        <v>42</v>
      </c>
      <c r="I125" s="7"/>
      <c r="J125" s="8" t="s">
        <v>4948</v>
      </c>
    </row>
    <row r="126" spans="1:10" ht="54" customHeight="1">
      <c r="A126" s="4" t="s">
        <v>231</v>
      </c>
      <c r="B126" s="4" t="s">
        <v>232</v>
      </c>
      <c r="C126" s="4" t="s">
        <v>5175</v>
      </c>
      <c r="D126" s="4" t="s">
        <v>5176</v>
      </c>
      <c r="E126" s="4" t="s">
        <v>5176</v>
      </c>
      <c r="F126" s="4" t="s">
        <v>237</v>
      </c>
      <c r="G126" s="4" t="s">
        <v>1390</v>
      </c>
      <c r="H126" s="7" t="s">
        <v>42</v>
      </c>
      <c r="I126" s="7"/>
      <c r="J126" s="4" t="s">
        <v>1002</v>
      </c>
    </row>
    <row r="127" spans="1:10" ht="54" customHeight="1">
      <c r="A127" s="8" t="s">
        <v>231</v>
      </c>
      <c r="B127" s="8" t="s">
        <v>232</v>
      </c>
      <c r="C127" s="8" t="s">
        <v>5177</v>
      </c>
      <c r="D127" s="8" t="s">
        <v>5178</v>
      </c>
      <c r="E127" s="8" t="s">
        <v>5176</v>
      </c>
      <c r="F127" s="8" t="s">
        <v>237</v>
      </c>
      <c r="G127" s="8" t="s">
        <v>1390</v>
      </c>
      <c r="H127" s="7" t="s">
        <v>42</v>
      </c>
      <c r="I127" s="7"/>
      <c r="J127" s="8" t="s">
        <v>4948</v>
      </c>
    </row>
    <row r="128" spans="1:10" ht="54" customHeight="1">
      <c r="A128" s="4" t="s">
        <v>231</v>
      </c>
      <c r="B128" s="4" t="s">
        <v>232</v>
      </c>
      <c r="C128" s="4" t="s">
        <v>5179</v>
      </c>
      <c r="D128" s="4" t="s">
        <v>5180</v>
      </c>
      <c r="E128" s="4" t="s">
        <v>5176</v>
      </c>
      <c r="F128" s="4" t="s">
        <v>237</v>
      </c>
      <c r="G128" s="4" t="s">
        <v>1390</v>
      </c>
      <c r="H128" s="7" t="s">
        <v>42</v>
      </c>
      <c r="I128" s="7"/>
      <c r="J128" s="4" t="s">
        <v>4948</v>
      </c>
    </row>
    <row r="129" spans="1:10" ht="54" customHeight="1">
      <c r="A129" s="8" t="s">
        <v>231</v>
      </c>
      <c r="B129" s="8" t="s">
        <v>232</v>
      </c>
      <c r="C129" s="8" t="s">
        <v>5181</v>
      </c>
      <c r="D129" s="8" t="s">
        <v>5182</v>
      </c>
      <c r="E129" s="8" t="s">
        <v>5176</v>
      </c>
      <c r="F129" s="8" t="s">
        <v>237</v>
      </c>
      <c r="G129" s="8" t="s">
        <v>1390</v>
      </c>
      <c r="H129" s="7" t="s">
        <v>42</v>
      </c>
      <c r="I129" s="7"/>
      <c r="J129" s="8" t="s">
        <v>4948</v>
      </c>
    </row>
    <row r="130" spans="1:10" ht="54" customHeight="1">
      <c r="A130" s="4" t="s">
        <v>231</v>
      </c>
      <c r="B130" s="4" t="s">
        <v>232</v>
      </c>
      <c r="C130" s="4" t="s">
        <v>5183</v>
      </c>
      <c r="D130" s="4" t="s">
        <v>5184</v>
      </c>
      <c r="E130" s="4" t="s">
        <v>5176</v>
      </c>
      <c r="F130" s="4" t="s">
        <v>237</v>
      </c>
      <c r="G130" s="4" t="s">
        <v>1390</v>
      </c>
      <c r="H130" s="7" t="s">
        <v>42</v>
      </c>
      <c r="I130" s="7"/>
      <c r="J130" s="4" t="s">
        <v>4948</v>
      </c>
    </row>
    <row r="131" spans="1:10" ht="40" customHeight="1">
      <c r="A131" s="8" t="s">
        <v>240</v>
      </c>
      <c r="B131" s="8" t="s">
        <v>241</v>
      </c>
      <c r="C131" s="8" t="s">
        <v>5185</v>
      </c>
      <c r="D131" s="8" t="s">
        <v>5186</v>
      </c>
      <c r="E131" s="8" t="s">
        <v>41</v>
      </c>
      <c r="F131" s="8" t="s">
        <v>246</v>
      </c>
      <c r="G131" s="8" t="s">
        <v>1422</v>
      </c>
      <c r="H131" s="7" t="s">
        <v>42</v>
      </c>
      <c r="I131" s="7"/>
      <c r="J131" s="8" t="s">
        <v>4948</v>
      </c>
    </row>
    <row r="132" spans="1:10" ht="40" customHeight="1">
      <c r="A132" s="4" t="s">
        <v>240</v>
      </c>
      <c r="B132" s="4" t="s">
        <v>241</v>
      </c>
      <c r="C132" s="4" t="s">
        <v>5187</v>
      </c>
      <c r="D132" s="4" t="s">
        <v>5188</v>
      </c>
      <c r="E132" s="4" t="s">
        <v>41</v>
      </c>
      <c r="F132" s="4" t="s">
        <v>246</v>
      </c>
      <c r="G132" s="4" t="s">
        <v>1422</v>
      </c>
      <c r="H132" s="7" t="s">
        <v>42</v>
      </c>
      <c r="I132" s="7"/>
      <c r="J132" s="4" t="s">
        <v>4948</v>
      </c>
    </row>
    <row r="133" spans="1:10" ht="40" customHeight="1">
      <c r="A133" s="8" t="s">
        <v>240</v>
      </c>
      <c r="B133" s="8" t="s">
        <v>241</v>
      </c>
      <c r="C133" s="8" t="s">
        <v>5189</v>
      </c>
      <c r="D133" s="8" t="s">
        <v>5190</v>
      </c>
      <c r="E133" s="8" t="s">
        <v>41</v>
      </c>
      <c r="F133" s="8" t="s">
        <v>246</v>
      </c>
      <c r="G133" s="8" t="s">
        <v>1422</v>
      </c>
      <c r="H133" s="7" t="s">
        <v>42</v>
      </c>
      <c r="I133" s="7"/>
      <c r="J133" s="8" t="s">
        <v>4948</v>
      </c>
    </row>
    <row r="134" spans="1:10" ht="40" customHeight="1">
      <c r="A134" s="4" t="s">
        <v>240</v>
      </c>
      <c r="B134" s="4" t="s">
        <v>241</v>
      </c>
      <c r="C134" s="4" t="s">
        <v>5191</v>
      </c>
      <c r="D134" s="4" t="s">
        <v>5192</v>
      </c>
      <c r="E134" s="4" t="s">
        <v>41</v>
      </c>
      <c r="F134" s="4" t="s">
        <v>246</v>
      </c>
      <c r="G134" s="4" t="s">
        <v>1422</v>
      </c>
      <c r="H134" s="7" t="s">
        <v>42</v>
      </c>
      <c r="I134" s="7"/>
      <c r="J134" s="4" t="s">
        <v>4948</v>
      </c>
    </row>
    <row r="135" spans="1:10" ht="40" customHeight="1">
      <c r="A135" s="8" t="s">
        <v>240</v>
      </c>
      <c r="B135" s="8" t="s">
        <v>241</v>
      </c>
      <c r="C135" s="8" t="s">
        <v>5193</v>
      </c>
      <c r="D135" s="8" t="s">
        <v>5194</v>
      </c>
      <c r="E135" s="8" t="s">
        <v>41</v>
      </c>
      <c r="F135" s="8" t="s">
        <v>246</v>
      </c>
      <c r="G135" s="8" t="s">
        <v>1422</v>
      </c>
      <c r="H135" s="7" t="s">
        <v>42</v>
      </c>
      <c r="I135" s="7"/>
      <c r="J135" s="8" t="s">
        <v>4948</v>
      </c>
    </row>
    <row r="136" spans="1:10" ht="40" customHeight="1">
      <c r="A136" s="4" t="s">
        <v>240</v>
      </c>
      <c r="B136" s="4" t="s">
        <v>241</v>
      </c>
      <c r="C136" s="4" t="s">
        <v>5195</v>
      </c>
      <c r="D136" s="4" t="s">
        <v>5196</v>
      </c>
      <c r="E136" s="4" t="s">
        <v>41</v>
      </c>
      <c r="F136" s="4" t="s">
        <v>246</v>
      </c>
      <c r="G136" s="4" t="s">
        <v>1422</v>
      </c>
      <c r="H136" s="7" t="s">
        <v>42</v>
      </c>
      <c r="I136" s="7"/>
      <c r="J136" s="4" t="s">
        <v>4948</v>
      </c>
    </row>
    <row r="137" spans="1:10" ht="40" customHeight="1">
      <c r="A137" s="8" t="s">
        <v>240</v>
      </c>
      <c r="B137" s="8" t="s">
        <v>241</v>
      </c>
      <c r="C137" s="8" t="s">
        <v>5197</v>
      </c>
      <c r="D137" s="8" t="s">
        <v>5198</v>
      </c>
      <c r="E137" s="8" t="s">
        <v>41</v>
      </c>
      <c r="F137" s="8" t="s">
        <v>246</v>
      </c>
      <c r="G137" s="8" t="s">
        <v>1422</v>
      </c>
      <c r="H137" s="7" t="s">
        <v>42</v>
      </c>
      <c r="I137" s="7"/>
      <c r="J137" s="8" t="s">
        <v>4948</v>
      </c>
    </row>
    <row r="138" spans="1:10" ht="40" customHeight="1">
      <c r="A138" s="4" t="s">
        <v>240</v>
      </c>
      <c r="B138" s="4" t="s">
        <v>241</v>
      </c>
      <c r="C138" s="4" t="s">
        <v>5199</v>
      </c>
      <c r="D138" s="4" t="s">
        <v>5200</v>
      </c>
      <c r="E138" s="4" t="s">
        <v>41</v>
      </c>
      <c r="F138" s="4" t="s">
        <v>246</v>
      </c>
      <c r="G138" s="4" t="s">
        <v>1422</v>
      </c>
      <c r="H138" s="7" t="s">
        <v>42</v>
      </c>
      <c r="I138" s="7"/>
      <c r="J138" s="4" t="s">
        <v>4948</v>
      </c>
    </row>
    <row r="139" spans="1:10" ht="40" customHeight="1">
      <c r="A139" s="8" t="s">
        <v>249</v>
      </c>
      <c r="B139" s="8" t="s">
        <v>250</v>
      </c>
      <c r="C139" s="8" t="s">
        <v>5201</v>
      </c>
      <c r="D139" s="8" t="s">
        <v>5202</v>
      </c>
      <c r="E139" s="8" t="s">
        <v>41</v>
      </c>
      <c r="F139" s="8" t="s">
        <v>256</v>
      </c>
      <c r="G139" s="8" t="s">
        <v>1436</v>
      </c>
      <c r="H139" s="7" t="s">
        <v>42</v>
      </c>
      <c r="I139" s="7"/>
      <c r="J139" s="8" t="s">
        <v>4948</v>
      </c>
    </row>
    <row r="140" spans="1:10" ht="40" customHeight="1">
      <c r="A140" s="4" t="s">
        <v>249</v>
      </c>
      <c r="B140" s="4" t="s">
        <v>250</v>
      </c>
      <c r="C140" s="4" t="s">
        <v>5203</v>
      </c>
      <c r="D140" s="4" t="s">
        <v>5204</v>
      </c>
      <c r="E140" s="4" t="s">
        <v>41</v>
      </c>
      <c r="F140" s="4" t="s">
        <v>256</v>
      </c>
      <c r="G140" s="4" t="s">
        <v>1436</v>
      </c>
      <c r="H140" s="7" t="s">
        <v>42</v>
      </c>
      <c r="I140" s="7"/>
      <c r="J140" s="4" t="s">
        <v>4948</v>
      </c>
    </row>
    <row r="141" spans="1:10" ht="40" customHeight="1">
      <c r="A141" s="8" t="s">
        <v>249</v>
      </c>
      <c r="B141" s="8" t="s">
        <v>250</v>
      </c>
      <c r="C141" s="8" t="s">
        <v>5205</v>
      </c>
      <c r="D141" s="8" t="s">
        <v>5206</v>
      </c>
      <c r="E141" s="8" t="s">
        <v>41</v>
      </c>
      <c r="F141" s="8" t="s">
        <v>256</v>
      </c>
      <c r="G141" s="8" t="s">
        <v>1436</v>
      </c>
      <c r="H141" s="7" t="s">
        <v>42</v>
      </c>
      <c r="I141" s="7"/>
      <c r="J141" s="8" t="s">
        <v>4948</v>
      </c>
    </row>
    <row r="142" spans="1:10" ht="40" customHeight="1">
      <c r="A142" s="4" t="s">
        <v>249</v>
      </c>
      <c r="B142" s="4" t="s">
        <v>250</v>
      </c>
      <c r="C142" s="4" t="s">
        <v>5207</v>
      </c>
      <c r="D142" s="4" t="s">
        <v>5208</v>
      </c>
      <c r="E142" s="4" t="s">
        <v>41</v>
      </c>
      <c r="F142" s="4" t="s">
        <v>256</v>
      </c>
      <c r="G142" s="4" t="s">
        <v>1436</v>
      </c>
      <c r="H142" s="7" t="s">
        <v>42</v>
      </c>
      <c r="I142" s="7"/>
      <c r="J142" s="4" t="s">
        <v>4948</v>
      </c>
    </row>
    <row r="143" spans="1:10" ht="54" customHeight="1">
      <c r="A143" s="8" t="s">
        <v>249</v>
      </c>
      <c r="B143" s="8" t="s">
        <v>250</v>
      </c>
      <c r="C143" s="8" t="s">
        <v>5209</v>
      </c>
      <c r="D143" s="8" t="s">
        <v>5210</v>
      </c>
      <c r="E143" s="8" t="s">
        <v>41</v>
      </c>
      <c r="F143" s="8" t="s">
        <v>256</v>
      </c>
      <c r="G143" s="8" t="s">
        <v>1436</v>
      </c>
      <c r="H143" s="7" t="s">
        <v>42</v>
      </c>
      <c r="I143" s="7"/>
      <c r="J143" s="8" t="s">
        <v>4948</v>
      </c>
    </row>
    <row r="144" spans="1:10" ht="40" customHeight="1">
      <c r="A144" s="4" t="s">
        <v>249</v>
      </c>
      <c r="B144" s="4" t="s">
        <v>250</v>
      </c>
      <c r="C144" s="4" t="s">
        <v>5211</v>
      </c>
      <c r="D144" s="4" t="s">
        <v>5212</v>
      </c>
      <c r="E144" s="4" t="s">
        <v>41</v>
      </c>
      <c r="F144" s="4" t="s">
        <v>256</v>
      </c>
      <c r="G144" s="4" t="s">
        <v>1436</v>
      </c>
      <c r="H144" s="7" t="s">
        <v>42</v>
      </c>
      <c r="I144" s="7"/>
      <c r="J144" s="4" t="s">
        <v>4948</v>
      </c>
    </row>
    <row r="145" spans="1:10" ht="40" customHeight="1">
      <c r="A145" s="8" t="s">
        <v>260</v>
      </c>
      <c r="B145" s="8" t="s">
        <v>261</v>
      </c>
      <c r="C145" s="8" t="s">
        <v>5213</v>
      </c>
      <c r="D145" s="8" t="s">
        <v>5214</v>
      </c>
      <c r="E145" s="8" t="s">
        <v>41</v>
      </c>
      <c r="F145" s="8" t="s">
        <v>267</v>
      </c>
      <c r="G145" s="8" t="s">
        <v>1493</v>
      </c>
      <c r="H145" s="7" t="s">
        <v>42</v>
      </c>
      <c r="I145" s="7"/>
      <c r="J145" s="8" t="s">
        <v>4948</v>
      </c>
    </row>
    <row r="146" spans="1:10" ht="40" customHeight="1">
      <c r="A146" s="4" t="s">
        <v>260</v>
      </c>
      <c r="B146" s="4" t="s">
        <v>261</v>
      </c>
      <c r="C146" s="4" t="s">
        <v>5215</v>
      </c>
      <c r="D146" s="4" t="s">
        <v>5216</v>
      </c>
      <c r="E146" s="4" t="s">
        <v>41</v>
      </c>
      <c r="F146" s="4" t="s">
        <v>267</v>
      </c>
      <c r="G146" s="4" t="s">
        <v>1493</v>
      </c>
      <c r="H146" s="7" t="s">
        <v>42</v>
      </c>
      <c r="I146" s="7"/>
      <c r="J146" s="4" t="s">
        <v>4948</v>
      </c>
    </row>
    <row r="147" spans="1:10" ht="40" customHeight="1">
      <c r="A147" s="8" t="s">
        <v>260</v>
      </c>
      <c r="B147" s="8" t="s">
        <v>261</v>
      </c>
      <c r="C147" s="8" t="s">
        <v>5217</v>
      </c>
      <c r="D147" s="8" t="s">
        <v>5218</v>
      </c>
      <c r="E147" s="8" t="s">
        <v>41</v>
      </c>
      <c r="F147" s="8" t="s">
        <v>267</v>
      </c>
      <c r="G147" s="8" t="s">
        <v>1493</v>
      </c>
      <c r="H147" s="7" t="s">
        <v>42</v>
      </c>
      <c r="I147" s="7"/>
      <c r="J147" s="8" t="s">
        <v>4948</v>
      </c>
    </row>
    <row r="148" spans="1:10" ht="40" customHeight="1">
      <c r="A148" s="4" t="s">
        <v>260</v>
      </c>
      <c r="B148" s="4" t="s">
        <v>261</v>
      </c>
      <c r="C148" s="4" t="s">
        <v>5219</v>
      </c>
      <c r="D148" s="4" t="s">
        <v>5220</v>
      </c>
      <c r="E148" s="4" t="s">
        <v>41</v>
      </c>
      <c r="F148" s="4" t="s">
        <v>267</v>
      </c>
      <c r="G148" s="4" t="s">
        <v>1493</v>
      </c>
      <c r="H148" s="7" t="s">
        <v>42</v>
      </c>
      <c r="I148" s="7"/>
      <c r="J148" s="4" t="s">
        <v>4948</v>
      </c>
    </row>
    <row r="149" spans="1:10" ht="40" customHeight="1">
      <c r="A149" s="8" t="s">
        <v>260</v>
      </c>
      <c r="B149" s="8" t="s">
        <v>261</v>
      </c>
      <c r="C149" s="8" t="s">
        <v>5221</v>
      </c>
      <c r="D149" s="8" t="s">
        <v>5222</v>
      </c>
      <c r="E149" s="8" t="s">
        <v>41</v>
      </c>
      <c r="F149" s="8" t="s">
        <v>267</v>
      </c>
      <c r="G149" s="8" t="s">
        <v>1493</v>
      </c>
      <c r="H149" s="7" t="s">
        <v>42</v>
      </c>
      <c r="I149" s="7"/>
      <c r="J149" s="8" t="s">
        <v>4948</v>
      </c>
    </row>
    <row r="150" spans="1:10" ht="40" customHeight="1">
      <c r="A150" s="4" t="s">
        <v>260</v>
      </c>
      <c r="B150" s="4" t="s">
        <v>261</v>
      </c>
      <c r="C150" s="4" t="s">
        <v>5223</v>
      </c>
      <c r="D150" s="4" t="s">
        <v>5224</v>
      </c>
      <c r="E150" s="4" t="s">
        <v>41</v>
      </c>
      <c r="F150" s="4" t="s">
        <v>267</v>
      </c>
      <c r="G150" s="4" t="s">
        <v>1493</v>
      </c>
      <c r="H150" s="7" t="s">
        <v>42</v>
      </c>
      <c r="I150" s="7"/>
      <c r="J150" s="4" t="s">
        <v>4948</v>
      </c>
    </row>
    <row r="151" spans="1:10" ht="40" customHeight="1">
      <c r="A151" s="8" t="s">
        <v>260</v>
      </c>
      <c r="B151" s="8" t="s">
        <v>261</v>
      </c>
      <c r="C151" s="8" t="s">
        <v>5225</v>
      </c>
      <c r="D151" s="8" t="s">
        <v>5226</v>
      </c>
      <c r="E151" s="8" t="s">
        <v>41</v>
      </c>
      <c r="F151" s="8" t="s">
        <v>267</v>
      </c>
      <c r="G151" s="8" t="s">
        <v>1493</v>
      </c>
      <c r="H151" s="7" t="s">
        <v>42</v>
      </c>
      <c r="I151" s="7"/>
      <c r="J151" s="8" t="s">
        <v>4948</v>
      </c>
    </row>
    <row r="152" spans="1:10" ht="40" customHeight="1">
      <c r="A152" s="4" t="s">
        <v>260</v>
      </c>
      <c r="B152" s="4" t="s">
        <v>261</v>
      </c>
      <c r="C152" s="4" t="s">
        <v>5227</v>
      </c>
      <c r="D152" s="4" t="s">
        <v>5228</v>
      </c>
      <c r="E152" s="4" t="s">
        <v>41</v>
      </c>
      <c r="F152" s="4" t="s">
        <v>267</v>
      </c>
      <c r="G152" s="4" t="s">
        <v>1493</v>
      </c>
      <c r="H152" s="7" t="s">
        <v>42</v>
      </c>
      <c r="I152" s="7"/>
      <c r="J152" s="4" t="s">
        <v>4948</v>
      </c>
    </row>
    <row r="153" spans="1:10" ht="40" customHeight="1">
      <c r="A153" s="8" t="s">
        <v>260</v>
      </c>
      <c r="B153" s="8" t="s">
        <v>261</v>
      </c>
      <c r="C153" s="8" t="s">
        <v>5229</v>
      </c>
      <c r="D153" s="8" t="s">
        <v>5230</v>
      </c>
      <c r="E153" s="8" t="s">
        <v>41</v>
      </c>
      <c r="F153" s="8" t="s">
        <v>267</v>
      </c>
      <c r="G153" s="8" t="s">
        <v>1493</v>
      </c>
      <c r="H153" s="7" t="s">
        <v>42</v>
      </c>
      <c r="I153" s="7"/>
      <c r="J153" s="8" t="s">
        <v>4948</v>
      </c>
    </row>
    <row r="154" spans="1:10" ht="40" customHeight="1">
      <c r="A154" s="4" t="s">
        <v>260</v>
      </c>
      <c r="B154" s="4" t="s">
        <v>261</v>
      </c>
      <c r="C154" s="4" t="s">
        <v>5231</v>
      </c>
      <c r="D154" s="4" t="s">
        <v>5232</v>
      </c>
      <c r="E154" s="4" t="s">
        <v>41</v>
      </c>
      <c r="F154" s="4" t="s">
        <v>267</v>
      </c>
      <c r="G154" s="4" t="s">
        <v>1493</v>
      </c>
      <c r="H154" s="7" t="s">
        <v>42</v>
      </c>
      <c r="I154" s="7"/>
      <c r="J154" s="4" t="s">
        <v>4948</v>
      </c>
    </row>
    <row r="155" spans="1:10" ht="82" customHeight="1">
      <c r="A155" s="8" t="s">
        <v>270</v>
      </c>
      <c r="B155" s="8" t="s">
        <v>271</v>
      </c>
      <c r="C155" s="8" t="s">
        <v>5233</v>
      </c>
      <c r="D155" s="8" t="s">
        <v>5234</v>
      </c>
      <c r="E155" s="8" t="s">
        <v>41</v>
      </c>
      <c r="F155" s="8" t="s">
        <v>277</v>
      </c>
      <c r="G155" s="8" t="s">
        <v>1528</v>
      </c>
      <c r="H155" s="7" t="s">
        <v>42</v>
      </c>
      <c r="I155" s="7"/>
      <c r="J155" s="8" t="s">
        <v>4948</v>
      </c>
    </row>
    <row r="156" spans="1:10" ht="82" customHeight="1">
      <c r="A156" s="4" t="s">
        <v>270</v>
      </c>
      <c r="B156" s="4" t="s">
        <v>271</v>
      </c>
      <c r="C156" s="4" t="s">
        <v>5235</v>
      </c>
      <c r="D156" s="4" t="s">
        <v>5236</v>
      </c>
      <c r="E156" s="4" t="s">
        <v>41</v>
      </c>
      <c r="F156" s="4" t="s">
        <v>277</v>
      </c>
      <c r="G156" s="4" t="s">
        <v>1528</v>
      </c>
      <c r="H156" s="7" t="s">
        <v>42</v>
      </c>
      <c r="I156" s="7"/>
      <c r="J156" s="4" t="s">
        <v>4948</v>
      </c>
    </row>
    <row r="157" spans="1:10" ht="82" customHeight="1">
      <c r="A157" s="8" t="s">
        <v>270</v>
      </c>
      <c r="B157" s="8" t="s">
        <v>271</v>
      </c>
      <c r="C157" s="8" t="s">
        <v>5237</v>
      </c>
      <c r="D157" s="8" t="s">
        <v>5238</v>
      </c>
      <c r="E157" s="8" t="s">
        <v>41</v>
      </c>
      <c r="F157" s="8" t="s">
        <v>277</v>
      </c>
      <c r="G157" s="8" t="s">
        <v>1528</v>
      </c>
      <c r="H157" s="7" t="s">
        <v>42</v>
      </c>
      <c r="I157" s="7"/>
      <c r="J157" s="8" t="s">
        <v>4948</v>
      </c>
    </row>
    <row r="158" spans="1:10" ht="82" customHeight="1">
      <c r="A158" s="4" t="s">
        <v>270</v>
      </c>
      <c r="B158" s="4" t="s">
        <v>271</v>
      </c>
      <c r="C158" s="4" t="s">
        <v>5239</v>
      </c>
      <c r="D158" s="4" t="s">
        <v>5240</v>
      </c>
      <c r="E158" s="4" t="s">
        <v>41</v>
      </c>
      <c r="F158" s="4" t="s">
        <v>277</v>
      </c>
      <c r="G158" s="4" t="s">
        <v>1528</v>
      </c>
      <c r="H158" s="7" t="s">
        <v>42</v>
      </c>
      <c r="I158" s="7"/>
      <c r="J158" s="4" t="s">
        <v>4948</v>
      </c>
    </row>
    <row r="159" spans="1:10" ht="82" customHeight="1">
      <c r="A159" s="8" t="s">
        <v>270</v>
      </c>
      <c r="B159" s="8" t="s">
        <v>271</v>
      </c>
      <c r="C159" s="8" t="s">
        <v>5241</v>
      </c>
      <c r="D159" s="8" t="s">
        <v>5242</v>
      </c>
      <c r="E159" s="8" t="s">
        <v>41</v>
      </c>
      <c r="F159" s="8" t="s">
        <v>277</v>
      </c>
      <c r="G159" s="8" t="s">
        <v>1528</v>
      </c>
      <c r="H159" s="7" t="s">
        <v>42</v>
      </c>
      <c r="I159" s="7"/>
      <c r="J159" s="8" t="s">
        <v>4948</v>
      </c>
    </row>
    <row r="160" spans="1:10" ht="82" customHeight="1">
      <c r="A160" s="4" t="s">
        <v>270</v>
      </c>
      <c r="B160" s="4" t="s">
        <v>271</v>
      </c>
      <c r="C160" s="4" t="s">
        <v>5243</v>
      </c>
      <c r="D160" s="4" t="s">
        <v>5244</v>
      </c>
      <c r="E160" s="4" t="s">
        <v>41</v>
      </c>
      <c r="F160" s="4" t="s">
        <v>277</v>
      </c>
      <c r="G160" s="4" t="s">
        <v>1528</v>
      </c>
      <c r="H160" s="7" t="s">
        <v>42</v>
      </c>
      <c r="I160" s="7"/>
      <c r="J160" s="4" t="s">
        <v>4948</v>
      </c>
    </row>
    <row r="161" spans="1:10" ht="82" customHeight="1">
      <c r="A161" s="8" t="s">
        <v>270</v>
      </c>
      <c r="B161" s="8" t="s">
        <v>271</v>
      </c>
      <c r="C161" s="8" t="s">
        <v>5245</v>
      </c>
      <c r="D161" s="8" t="s">
        <v>5246</v>
      </c>
      <c r="E161" s="8" t="s">
        <v>41</v>
      </c>
      <c r="F161" s="8" t="s">
        <v>277</v>
      </c>
      <c r="G161" s="8" t="s">
        <v>1528</v>
      </c>
      <c r="H161" s="7" t="s">
        <v>42</v>
      </c>
      <c r="I161" s="7"/>
      <c r="J161" s="8" t="s">
        <v>4948</v>
      </c>
    </row>
    <row r="162" spans="1:10" ht="40" customHeight="1">
      <c r="A162" s="4" t="s">
        <v>280</v>
      </c>
      <c r="B162" s="4" t="s">
        <v>281</v>
      </c>
      <c r="C162" s="4" t="s">
        <v>5247</v>
      </c>
      <c r="D162" s="4" t="s">
        <v>5248</v>
      </c>
      <c r="E162" s="4" t="s">
        <v>5248</v>
      </c>
      <c r="F162" s="4" t="s">
        <v>288</v>
      </c>
      <c r="G162" s="4" t="s">
        <v>1548</v>
      </c>
      <c r="H162" s="7" t="s">
        <v>42</v>
      </c>
      <c r="I162" s="7"/>
      <c r="J162" s="4" t="s">
        <v>1002</v>
      </c>
    </row>
    <row r="163" spans="1:10" ht="40" customHeight="1">
      <c r="A163" s="8" t="s">
        <v>280</v>
      </c>
      <c r="B163" s="8" t="s">
        <v>281</v>
      </c>
      <c r="C163" s="8" t="s">
        <v>5249</v>
      </c>
      <c r="D163" s="8" t="s">
        <v>5250</v>
      </c>
      <c r="E163" s="8" t="s">
        <v>5248</v>
      </c>
      <c r="F163" s="8" t="s">
        <v>288</v>
      </c>
      <c r="G163" s="8" t="s">
        <v>1548</v>
      </c>
      <c r="H163" s="7" t="s">
        <v>42</v>
      </c>
      <c r="I163" s="7"/>
      <c r="J163" s="8" t="s">
        <v>4948</v>
      </c>
    </row>
    <row r="164" spans="1:10" ht="40" customHeight="1">
      <c r="A164" s="4" t="s">
        <v>280</v>
      </c>
      <c r="B164" s="4" t="s">
        <v>281</v>
      </c>
      <c r="C164" s="4" t="s">
        <v>5251</v>
      </c>
      <c r="D164" s="4" t="s">
        <v>5252</v>
      </c>
      <c r="E164" s="4" t="s">
        <v>5248</v>
      </c>
      <c r="F164" s="4" t="s">
        <v>288</v>
      </c>
      <c r="G164" s="4" t="s">
        <v>1548</v>
      </c>
      <c r="H164" s="7" t="s">
        <v>42</v>
      </c>
      <c r="I164" s="7"/>
      <c r="J164" s="4" t="s">
        <v>4948</v>
      </c>
    </row>
    <row r="165" spans="1:10" ht="40" customHeight="1">
      <c r="A165" s="8" t="s">
        <v>280</v>
      </c>
      <c r="B165" s="8" t="s">
        <v>281</v>
      </c>
      <c r="C165" s="8" t="s">
        <v>5253</v>
      </c>
      <c r="D165" s="8" t="s">
        <v>5254</v>
      </c>
      <c r="E165" s="8" t="s">
        <v>5248</v>
      </c>
      <c r="F165" s="8" t="s">
        <v>288</v>
      </c>
      <c r="G165" s="8" t="s">
        <v>1548</v>
      </c>
      <c r="H165" s="7" t="s">
        <v>42</v>
      </c>
      <c r="I165" s="7"/>
      <c r="J165" s="8" t="s">
        <v>4948</v>
      </c>
    </row>
    <row r="166" spans="1:10" ht="40" customHeight="1">
      <c r="A166" s="4" t="s">
        <v>280</v>
      </c>
      <c r="B166" s="4" t="s">
        <v>281</v>
      </c>
      <c r="C166" s="4" t="s">
        <v>5255</v>
      </c>
      <c r="D166" s="4" t="s">
        <v>5256</v>
      </c>
      <c r="E166" s="4" t="s">
        <v>5248</v>
      </c>
      <c r="F166" s="4" t="s">
        <v>288</v>
      </c>
      <c r="G166" s="4" t="s">
        <v>1548</v>
      </c>
      <c r="H166" s="7" t="s">
        <v>42</v>
      </c>
      <c r="I166" s="7"/>
      <c r="J166" s="4" t="s">
        <v>4948</v>
      </c>
    </row>
    <row r="167" spans="1:10" ht="40" customHeight="1">
      <c r="A167" s="8" t="s">
        <v>280</v>
      </c>
      <c r="B167" s="8" t="s">
        <v>281</v>
      </c>
      <c r="C167" s="8" t="s">
        <v>5257</v>
      </c>
      <c r="D167" s="8" t="s">
        <v>5258</v>
      </c>
      <c r="E167" s="8" t="s">
        <v>5258</v>
      </c>
      <c r="F167" s="8" t="s">
        <v>288</v>
      </c>
      <c r="G167" s="8" t="s">
        <v>1548</v>
      </c>
      <c r="H167" s="7" t="s">
        <v>42</v>
      </c>
      <c r="I167" s="7"/>
      <c r="J167" s="8" t="s">
        <v>1002</v>
      </c>
    </row>
    <row r="168" spans="1:10" ht="40" customHeight="1">
      <c r="A168" s="4" t="s">
        <v>280</v>
      </c>
      <c r="B168" s="4" t="s">
        <v>281</v>
      </c>
      <c r="C168" s="4" t="s">
        <v>5259</v>
      </c>
      <c r="D168" s="4" t="s">
        <v>5260</v>
      </c>
      <c r="E168" s="4" t="s">
        <v>5258</v>
      </c>
      <c r="F168" s="4" t="s">
        <v>288</v>
      </c>
      <c r="G168" s="4" t="s">
        <v>1548</v>
      </c>
      <c r="H168" s="7" t="s">
        <v>42</v>
      </c>
      <c r="I168" s="7"/>
      <c r="J168" s="4" t="s">
        <v>4948</v>
      </c>
    </row>
    <row r="169" spans="1:10" ht="40" customHeight="1">
      <c r="A169" s="8" t="s">
        <v>280</v>
      </c>
      <c r="B169" s="8" t="s">
        <v>281</v>
      </c>
      <c r="C169" s="8" t="s">
        <v>5261</v>
      </c>
      <c r="D169" s="8" t="s">
        <v>5262</v>
      </c>
      <c r="E169" s="8" t="s">
        <v>5258</v>
      </c>
      <c r="F169" s="8" t="s">
        <v>288</v>
      </c>
      <c r="G169" s="8" t="s">
        <v>1548</v>
      </c>
      <c r="H169" s="7" t="s">
        <v>42</v>
      </c>
      <c r="I169" s="7"/>
      <c r="J169" s="8" t="s">
        <v>4948</v>
      </c>
    </row>
    <row r="170" spans="1:10" ht="40" customHeight="1">
      <c r="A170" s="4" t="s">
        <v>280</v>
      </c>
      <c r="B170" s="4" t="s">
        <v>281</v>
      </c>
      <c r="C170" s="4" t="s">
        <v>5263</v>
      </c>
      <c r="D170" s="4" t="s">
        <v>5264</v>
      </c>
      <c r="E170" s="4" t="s">
        <v>5258</v>
      </c>
      <c r="F170" s="4" t="s">
        <v>288</v>
      </c>
      <c r="G170" s="4" t="s">
        <v>1548</v>
      </c>
      <c r="H170" s="7" t="s">
        <v>42</v>
      </c>
      <c r="I170" s="7"/>
      <c r="J170" s="4" t="s">
        <v>4948</v>
      </c>
    </row>
    <row r="171" spans="1:10" ht="40" customHeight="1">
      <c r="A171" s="8" t="s">
        <v>280</v>
      </c>
      <c r="B171" s="8" t="s">
        <v>281</v>
      </c>
      <c r="C171" s="8" t="s">
        <v>5265</v>
      </c>
      <c r="D171" s="8" t="s">
        <v>5266</v>
      </c>
      <c r="E171" s="8" t="s">
        <v>5266</v>
      </c>
      <c r="F171" s="8" t="s">
        <v>288</v>
      </c>
      <c r="G171" s="8" t="s">
        <v>1548</v>
      </c>
      <c r="H171" s="7" t="s">
        <v>42</v>
      </c>
      <c r="I171" s="7"/>
      <c r="J171" s="8" t="s">
        <v>1002</v>
      </c>
    </row>
    <row r="172" spans="1:10" ht="40" customHeight="1">
      <c r="A172" s="4" t="s">
        <v>280</v>
      </c>
      <c r="B172" s="4" t="s">
        <v>281</v>
      </c>
      <c r="C172" s="4" t="s">
        <v>5267</v>
      </c>
      <c r="D172" s="4" t="s">
        <v>5268</v>
      </c>
      <c r="E172" s="4" t="s">
        <v>5266</v>
      </c>
      <c r="F172" s="4" t="s">
        <v>288</v>
      </c>
      <c r="G172" s="4" t="s">
        <v>1548</v>
      </c>
      <c r="H172" s="7" t="s">
        <v>42</v>
      </c>
      <c r="I172" s="7"/>
      <c r="J172" s="4" t="s">
        <v>4948</v>
      </c>
    </row>
    <row r="173" spans="1:10" ht="40" customHeight="1">
      <c r="A173" s="8" t="s">
        <v>280</v>
      </c>
      <c r="B173" s="8" t="s">
        <v>281</v>
      </c>
      <c r="C173" s="8" t="s">
        <v>5269</v>
      </c>
      <c r="D173" s="8" t="s">
        <v>5270</v>
      </c>
      <c r="E173" s="8" t="s">
        <v>5266</v>
      </c>
      <c r="F173" s="8" t="s">
        <v>288</v>
      </c>
      <c r="G173" s="8" t="s">
        <v>1548</v>
      </c>
      <c r="H173" s="7" t="s">
        <v>42</v>
      </c>
      <c r="I173" s="7"/>
      <c r="J173" s="8" t="s">
        <v>4948</v>
      </c>
    </row>
    <row r="174" spans="1:10" ht="40" customHeight="1">
      <c r="A174" s="4" t="s">
        <v>280</v>
      </c>
      <c r="B174" s="4" t="s">
        <v>281</v>
      </c>
      <c r="C174" s="4" t="s">
        <v>5271</v>
      </c>
      <c r="D174" s="4" t="s">
        <v>5272</v>
      </c>
      <c r="E174" s="4" t="s">
        <v>5266</v>
      </c>
      <c r="F174" s="4" t="s">
        <v>288</v>
      </c>
      <c r="G174" s="4" t="s">
        <v>1548</v>
      </c>
      <c r="H174" s="7" t="s">
        <v>42</v>
      </c>
      <c r="I174" s="7"/>
      <c r="J174" s="4" t="s">
        <v>4948</v>
      </c>
    </row>
    <row r="175" spans="1:10" ht="40" customHeight="1">
      <c r="A175" s="8" t="s">
        <v>280</v>
      </c>
      <c r="B175" s="8" t="s">
        <v>281</v>
      </c>
      <c r="C175" s="8" t="s">
        <v>5273</v>
      </c>
      <c r="D175" s="8" t="s">
        <v>5274</v>
      </c>
      <c r="E175" s="8" t="s">
        <v>5266</v>
      </c>
      <c r="F175" s="8" t="s">
        <v>288</v>
      </c>
      <c r="G175" s="8" t="s">
        <v>1548</v>
      </c>
      <c r="H175" s="7" t="s">
        <v>42</v>
      </c>
      <c r="I175" s="7"/>
      <c r="J175" s="8" t="s">
        <v>4948</v>
      </c>
    </row>
    <row r="176" spans="1:10" ht="40" customHeight="1">
      <c r="A176" s="4" t="s">
        <v>291</v>
      </c>
      <c r="B176" s="4" t="s">
        <v>292</v>
      </c>
      <c r="C176" s="4" t="s">
        <v>5275</v>
      </c>
      <c r="D176" s="4" t="s">
        <v>5276</v>
      </c>
      <c r="E176" s="4" t="s">
        <v>5276</v>
      </c>
      <c r="F176" s="4" t="s">
        <v>296</v>
      </c>
      <c r="G176" s="4" t="s">
        <v>1556</v>
      </c>
      <c r="H176" s="7" t="s">
        <v>42</v>
      </c>
      <c r="I176" s="7"/>
      <c r="J176" s="4" t="s">
        <v>1002</v>
      </c>
    </row>
    <row r="177" spans="1:10" ht="40" customHeight="1">
      <c r="A177" s="8" t="s">
        <v>291</v>
      </c>
      <c r="B177" s="8" t="s">
        <v>292</v>
      </c>
      <c r="C177" s="8" t="s">
        <v>5277</v>
      </c>
      <c r="D177" s="8" t="s">
        <v>5278</v>
      </c>
      <c r="E177" s="8" t="s">
        <v>5276</v>
      </c>
      <c r="F177" s="8" t="s">
        <v>296</v>
      </c>
      <c r="G177" s="8" t="s">
        <v>1556</v>
      </c>
      <c r="H177" s="7" t="s">
        <v>42</v>
      </c>
      <c r="I177" s="7"/>
      <c r="J177" s="8" t="s">
        <v>4948</v>
      </c>
    </row>
    <row r="178" spans="1:10" ht="40" customHeight="1">
      <c r="A178" s="4" t="s">
        <v>291</v>
      </c>
      <c r="B178" s="4" t="s">
        <v>292</v>
      </c>
      <c r="C178" s="4" t="s">
        <v>5279</v>
      </c>
      <c r="D178" s="4" t="s">
        <v>5280</v>
      </c>
      <c r="E178" s="4" t="s">
        <v>5276</v>
      </c>
      <c r="F178" s="4" t="s">
        <v>296</v>
      </c>
      <c r="G178" s="4" t="s">
        <v>1556</v>
      </c>
      <c r="H178" s="7" t="s">
        <v>42</v>
      </c>
      <c r="I178" s="7"/>
      <c r="J178" s="4" t="s">
        <v>4948</v>
      </c>
    </row>
    <row r="179" spans="1:10" ht="40" customHeight="1">
      <c r="A179" s="8" t="s">
        <v>291</v>
      </c>
      <c r="B179" s="8" t="s">
        <v>292</v>
      </c>
      <c r="C179" s="8" t="s">
        <v>5281</v>
      </c>
      <c r="D179" s="8" t="s">
        <v>5282</v>
      </c>
      <c r="E179" s="8" t="s">
        <v>5276</v>
      </c>
      <c r="F179" s="8" t="s">
        <v>296</v>
      </c>
      <c r="G179" s="8" t="s">
        <v>1556</v>
      </c>
      <c r="H179" s="7" t="s">
        <v>42</v>
      </c>
      <c r="I179" s="7"/>
      <c r="J179" s="8" t="s">
        <v>4948</v>
      </c>
    </row>
    <row r="180" spans="1:10" ht="40" customHeight="1">
      <c r="A180" s="4" t="s">
        <v>291</v>
      </c>
      <c r="B180" s="4" t="s">
        <v>292</v>
      </c>
      <c r="C180" s="4" t="s">
        <v>5283</v>
      </c>
      <c r="D180" s="4" t="s">
        <v>5284</v>
      </c>
      <c r="E180" s="4" t="s">
        <v>5276</v>
      </c>
      <c r="F180" s="4" t="s">
        <v>296</v>
      </c>
      <c r="G180" s="4" t="s">
        <v>1556</v>
      </c>
      <c r="H180" s="7" t="s">
        <v>42</v>
      </c>
      <c r="I180" s="7"/>
      <c r="J180" s="4" t="s">
        <v>4948</v>
      </c>
    </row>
    <row r="181" spans="1:10" ht="40" customHeight="1">
      <c r="A181" s="8" t="s">
        <v>291</v>
      </c>
      <c r="B181" s="8" t="s">
        <v>292</v>
      </c>
      <c r="C181" s="8" t="s">
        <v>5285</v>
      </c>
      <c r="D181" s="8" t="s">
        <v>5286</v>
      </c>
      <c r="E181" s="8" t="s">
        <v>5276</v>
      </c>
      <c r="F181" s="8" t="s">
        <v>296</v>
      </c>
      <c r="G181" s="8" t="s">
        <v>1556</v>
      </c>
      <c r="H181" s="7" t="s">
        <v>42</v>
      </c>
      <c r="I181" s="7"/>
      <c r="J181" s="8" t="s">
        <v>4948</v>
      </c>
    </row>
    <row r="182" spans="1:10" ht="40" customHeight="1">
      <c r="A182" s="4" t="s">
        <v>291</v>
      </c>
      <c r="B182" s="4" t="s">
        <v>292</v>
      </c>
      <c r="C182" s="4" t="s">
        <v>5287</v>
      </c>
      <c r="D182" s="4" t="s">
        <v>5288</v>
      </c>
      <c r="E182" s="4" t="s">
        <v>5288</v>
      </c>
      <c r="F182" s="4" t="s">
        <v>296</v>
      </c>
      <c r="G182" s="4" t="s">
        <v>1556</v>
      </c>
      <c r="H182" s="7" t="s">
        <v>42</v>
      </c>
      <c r="I182" s="7"/>
      <c r="J182" s="4" t="s">
        <v>1002</v>
      </c>
    </row>
    <row r="183" spans="1:10" ht="40" customHeight="1">
      <c r="A183" s="8" t="s">
        <v>291</v>
      </c>
      <c r="B183" s="8" t="s">
        <v>292</v>
      </c>
      <c r="C183" s="8" t="s">
        <v>5289</v>
      </c>
      <c r="D183" s="8" t="s">
        <v>5290</v>
      </c>
      <c r="E183" s="8" t="s">
        <v>5288</v>
      </c>
      <c r="F183" s="8" t="s">
        <v>296</v>
      </c>
      <c r="G183" s="8" t="s">
        <v>1556</v>
      </c>
      <c r="H183" s="7" t="s">
        <v>42</v>
      </c>
      <c r="I183" s="7"/>
      <c r="J183" s="8" t="s">
        <v>4948</v>
      </c>
    </row>
    <row r="184" spans="1:10" ht="40" customHeight="1">
      <c r="A184" s="4" t="s">
        <v>291</v>
      </c>
      <c r="B184" s="4" t="s">
        <v>292</v>
      </c>
      <c r="C184" s="4" t="s">
        <v>5291</v>
      </c>
      <c r="D184" s="4" t="s">
        <v>5292</v>
      </c>
      <c r="E184" s="4" t="s">
        <v>5288</v>
      </c>
      <c r="F184" s="4" t="s">
        <v>296</v>
      </c>
      <c r="G184" s="4" t="s">
        <v>1556</v>
      </c>
      <c r="H184" s="7" t="s">
        <v>42</v>
      </c>
      <c r="I184" s="7"/>
      <c r="J184" s="4" t="s">
        <v>4948</v>
      </c>
    </row>
    <row r="185" spans="1:10" ht="40" customHeight="1">
      <c r="A185" s="8" t="s">
        <v>291</v>
      </c>
      <c r="B185" s="8" t="s">
        <v>292</v>
      </c>
      <c r="C185" s="8" t="s">
        <v>5293</v>
      </c>
      <c r="D185" s="8" t="s">
        <v>5294</v>
      </c>
      <c r="E185" s="8" t="s">
        <v>5288</v>
      </c>
      <c r="F185" s="8" t="s">
        <v>296</v>
      </c>
      <c r="G185" s="8" t="s">
        <v>1556</v>
      </c>
      <c r="H185" s="7" t="s">
        <v>42</v>
      </c>
      <c r="I185" s="7"/>
      <c r="J185" s="8" t="s">
        <v>4948</v>
      </c>
    </row>
    <row r="186" spans="1:10" ht="40" customHeight="1">
      <c r="A186" s="4" t="s">
        <v>291</v>
      </c>
      <c r="B186" s="4" t="s">
        <v>292</v>
      </c>
      <c r="C186" s="4" t="s">
        <v>5295</v>
      </c>
      <c r="D186" s="4" t="s">
        <v>5296</v>
      </c>
      <c r="E186" s="4" t="s">
        <v>5296</v>
      </c>
      <c r="F186" s="4" t="s">
        <v>296</v>
      </c>
      <c r="G186" s="4" t="s">
        <v>1556</v>
      </c>
      <c r="H186" s="7" t="s">
        <v>42</v>
      </c>
      <c r="I186" s="7"/>
      <c r="J186" s="4" t="s">
        <v>1002</v>
      </c>
    </row>
    <row r="187" spans="1:10" ht="40" customHeight="1">
      <c r="A187" s="8" t="s">
        <v>291</v>
      </c>
      <c r="B187" s="8" t="s">
        <v>292</v>
      </c>
      <c r="C187" s="8" t="s">
        <v>5297</v>
      </c>
      <c r="D187" s="8" t="s">
        <v>5298</v>
      </c>
      <c r="E187" s="8" t="s">
        <v>5296</v>
      </c>
      <c r="F187" s="8" t="s">
        <v>296</v>
      </c>
      <c r="G187" s="8" t="s">
        <v>1556</v>
      </c>
      <c r="H187" s="7" t="s">
        <v>42</v>
      </c>
      <c r="I187" s="7"/>
      <c r="J187" s="8" t="s">
        <v>4948</v>
      </c>
    </row>
    <row r="188" spans="1:10" ht="40" customHeight="1">
      <c r="A188" s="4" t="s">
        <v>291</v>
      </c>
      <c r="B188" s="4" t="s">
        <v>292</v>
      </c>
      <c r="C188" s="4" t="s">
        <v>5299</v>
      </c>
      <c r="D188" s="4" t="s">
        <v>5300</v>
      </c>
      <c r="E188" s="4" t="s">
        <v>5296</v>
      </c>
      <c r="F188" s="4" t="s">
        <v>296</v>
      </c>
      <c r="G188" s="4" t="s">
        <v>1556</v>
      </c>
      <c r="H188" s="7" t="s">
        <v>42</v>
      </c>
      <c r="I188" s="7"/>
      <c r="J188" s="4" t="s">
        <v>4948</v>
      </c>
    </row>
    <row r="189" spans="1:10" ht="40" customHeight="1">
      <c r="A189" s="8" t="s">
        <v>299</v>
      </c>
      <c r="B189" s="8" t="s">
        <v>300</v>
      </c>
      <c r="C189" s="8" t="s">
        <v>5301</v>
      </c>
      <c r="D189" s="8" t="s">
        <v>5302</v>
      </c>
      <c r="E189" s="8" t="s">
        <v>41</v>
      </c>
      <c r="F189" s="8" t="s">
        <v>305</v>
      </c>
      <c r="G189" s="8" t="s">
        <v>1585</v>
      </c>
      <c r="H189" s="7" t="s">
        <v>42</v>
      </c>
      <c r="I189" s="7"/>
      <c r="J189" s="8" t="s">
        <v>4948</v>
      </c>
    </row>
    <row r="190" spans="1:10" ht="40" customHeight="1">
      <c r="A190" s="4" t="s">
        <v>308</v>
      </c>
      <c r="B190" s="4" t="s">
        <v>309</v>
      </c>
      <c r="C190" s="4" t="s">
        <v>5303</v>
      </c>
      <c r="D190" s="4" t="s">
        <v>5304</v>
      </c>
      <c r="E190" s="4" t="s">
        <v>41</v>
      </c>
      <c r="F190" s="4" t="s">
        <v>315</v>
      </c>
      <c r="G190" s="4" t="s">
        <v>1593</v>
      </c>
      <c r="H190" s="7" t="s">
        <v>42</v>
      </c>
      <c r="I190" s="7"/>
      <c r="J190" s="4" t="s">
        <v>4948</v>
      </c>
    </row>
    <row r="191" spans="1:10" ht="40" customHeight="1">
      <c r="A191" s="8" t="s">
        <v>308</v>
      </c>
      <c r="B191" s="8" t="s">
        <v>309</v>
      </c>
      <c r="C191" s="8" t="s">
        <v>5305</v>
      </c>
      <c r="D191" s="8" t="s">
        <v>5306</v>
      </c>
      <c r="E191" s="8" t="s">
        <v>41</v>
      </c>
      <c r="F191" s="8" t="s">
        <v>315</v>
      </c>
      <c r="G191" s="8" t="s">
        <v>1593</v>
      </c>
      <c r="H191" s="7" t="s">
        <v>42</v>
      </c>
      <c r="I191" s="7"/>
      <c r="J191" s="8" t="s">
        <v>4948</v>
      </c>
    </row>
    <row r="192" spans="1:10" ht="40" customHeight="1">
      <c r="A192" s="4" t="s">
        <v>308</v>
      </c>
      <c r="B192" s="4" t="s">
        <v>309</v>
      </c>
      <c r="C192" s="4" t="s">
        <v>5307</v>
      </c>
      <c r="D192" s="4" t="s">
        <v>5308</v>
      </c>
      <c r="E192" s="4" t="s">
        <v>41</v>
      </c>
      <c r="F192" s="4" t="s">
        <v>315</v>
      </c>
      <c r="G192" s="4" t="s">
        <v>1593</v>
      </c>
      <c r="H192" s="7" t="s">
        <v>42</v>
      </c>
      <c r="I192" s="7"/>
      <c r="J192" s="4" t="s">
        <v>4948</v>
      </c>
    </row>
    <row r="193" spans="1:10" ht="54" customHeight="1">
      <c r="A193" s="8" t="s">
        <v>318</v>
      </c>
      <c r="B193" s="8" t="s">
        <v>319</v>
      </c>
      <c r="C193" s="8" t="s">
        <v>5309</v>
      </c>
      <c r="D193" s="8" t="s">
        <v>5310</v>
      </c>
      <c r="E193" s="8" t="s">
        <v>41</v>
      </c>
      <c r="F193" s="8" t="s">
        <v>323</v>
      </c>
      <c r="G193" s="8" t="s">
        <v>1598</v>
      </c>
      <c r="H193" s="7" t="s">
        <v>42</v>
      </c>
      <c r="I193" s="7"/>
      <c r="J193" s="8" t="s">
        <v>4948</v>
      </c>
    </row>
    <row r="194" spans="1:10" ht="54" customHeight="1">
      <c r="A194" s="4" t="s">
        <v>318</v>
      </c>
      <c r="B194" s="4" t="s">
        <v>319</v>
      </c>
      <c r="C194" s="4" t="s">
        <v>5311</v>
      </c>
      <c r="D194" s="4" t="s">
        <v>5312</v>
      </c>
      <c r="E194" s="4" t="s">
        <v>41</v>
      </c>
      <c r="F194" s="4" t="s">
        <v>323</v>
      </c>
      <c r="G194" s="4" t="s">
        <v>1598</v>
      </c>
      <c r="H194" s="7" t="s">
        <v>42</v>
      </c>
      <c r="I194" s="7"/>
      <c r="J194" s="4" t="s">
        <v>4948</v>
      </c>
    </row>
    <row r="195" spans="1:10" ht="54" customHeight="1">
      <c r="A195" s="8" t="s">
        <v>318</v>
      </c>
      <c r="B195" s="8" t="s">
        <v>319</v>
      </c>
      <c r="C195" s="8" t="s">
        <v>5313</v>
      </c>
      <c r="D195" s="8" t="s">
        <v>5314</v>
      </c>
      <c r="E195" s="8" t="s">
        <v>41</v>
      </c>
      <c r="F195" s="8" t="s">
        <v>323</v>
      </c>
      <c r="G195" s="8" t="s">
        <v>1598</v>
      </c>
      <c r="H195" s="7" t="s">
        <v>42</v>
      </c>
      <c r="I195" s="7"/>
      <c r="J195" s="8" t="s">
        <v>4948</v>
      </c>
    </row>
    <row r="196" spans="1:10" ht="54" customHeight="1">
      <c r="A196" s="4" t="s">
        <v>318</v>
      </c>
      <c r="B196" s="4" t="s">
        <v>319</v>
      </c>
      <c r="C196" s="4" t="s">
        <v>5315</v>
      </c>
      <c r="D196" s="4" t="s">
        <v>5316</v>
      </c>
      <c r="E196" s="4" t="s">
        <v>41</v>
      </c>
      <c r="F196" s="4" t="s">
        <v>323</v>
      </c>
      <c r="G196" s="4" t="s">
        <v>1598</v>
      </c>
      <c r="H196" s="7" t="s">
        <v>42</v>
      </c>
      <c r="I196" s="7"/>
      <c r="J196" s="4" t="s">
        <v>4948</v>
      </c>
    </row>
    <row r="197" spans="1:10" ht="54" customHeight="1">
      <c r="A197" s="8" t="s">
        <v>318</v>
      </c>
      <c r="B197" s="8" t="s">
        <v>319</v>
      </c>
      <c r="C197" s="8" t="s">
        <v>5317</v>
      </c>
      <c r="D197" s="8" t="s">
        <v>5318</v>
      </c>
      <c r="E197" s="8" t="s">
        <v>41</v>
      </c>
      <c r="F197" s="8" t="s">
        <v>323</v>
      </c>
      <c r="G197" s="8" t="s">
        <v>1598</v>
      </c>
      <c r="H197" s="7" t="s">
        <v>42</v>
      </c>
      <c r="I197" s="7"/>
      <c r="J197" s="8" t="s">
        <v>4948</v>
      </c>
    </row>
    <row r="198" spans="1:10" ht="54" customHeight="1">
      <c r="A198" s="4" t="s">
        <v>318</v>
      </c>
      <c r="B198" s="4" t="s">
        <v>319</v>
      </c>
      <c r="C198" s="4" t="s">
        <v>5319</v>
      </c>
      <c r="D198" s="4" t="s">
        <v>5320</v>
      </c>
      <c r="E198" s="4" t="s">
        <v>41</v>
      </c>
      <c r="F198" s="4" t="s">
        <v>323</v>
      </c>
      <c r="G198" s="4" t="s">
        <v>1598</v>
      </c>
      <c r="H198" s="7" t="s">
        <v>42</v>
      </c>
      <c r="I198" s="7"/>
      <c r="J198" s="4" t="s">
        <v>4948</v>
      </c>
    </row>
    <row r="199" spans="1:10" ht="54" customHeight="1">
      <c r="A199" s="8" t="s">
        <v>318</v>
      </c>
      <c r="B199" s="8" t="s">
        <v>319</v>
      </c>
      <c r="C199" s="8" t="s">
        <v>5321</v>
      </c>
      <c r="D199" s="8" t="s">
        <v>5322</v>
      </c>
      <c r="E199" s="8" t="s">
        <v>41</v>
      </c>
      <c r="F199" s="8" t="s">
        <v>323</v>
      </c>
      <c r="G199" s="8" t="s">
        <v>1598</v>
      </c>
      <c r="H199" s="7" t="s">
        <v>42</v>
      </c>
      <c r="I199" s="7"/>
      <c r="J199" s="8" t="s">
        <v>4948</v>
      </c>
    </row>
    <row r="200" spans="1:10" ht="54" customHeight="1">
      <c r="A200" s="4" t="s">
        <v>318</v>
      </c>
      <c r="B200" s="4" t="s">
        <v>319</v>
      </c>
      <c r="C200" s="4" t="s">
        <v>5323</v>
      </c>
      <c r="D200" s="4" t="s">
        <v>5324</v>
      </c>
      <c r="E200" s="4" t="s">
        <v>41</v>
      </c>
      <c r="F200" s="4" t="s">
        <v>323</v>
      </c>
      <c r="G200" s="4" t="s">
        <v>1598</v>
      </c>
      <c r="H200" s="7" t="s">
        <v>42</v>
      </c>
      <c r="I200" s="7"/>
      <c r="J200" s="4" t="s">
        <v>4948</v>
      </c>
    </row>
    <row r="201" spans="1:10" ht="54" customHeight="1">
      <c r="A201" s="8" t="s">
        <v>318</v>
      </c>
      <c r="B201" s="8" t="s">
        <v>319</v>
      </c>
      <c r="C201" s="8" t="s">
        <v>5325</v>
      </c>
      <c r="D201" s="8" t="s">
        <v>5326</v>
      </c>
      <c r="E201" s="8" t="s">
        <v>41</v>
      </c>
      <c r="F201" s="8" t="s">
        <v>323</v>
      </c>
      <c r="G201" s="8" t="s">
        <v>1598</v>
      </c>
      <c r="H201" s="7" t="s">
        <v>42</v>
      </c>
      <c r="I201" s="7"/>
      <c r="J201" s="8" t="s">
        <v>4948</v>
      </c>
    </row>
    <row r="202" spans="1:10" ht="54" customHeight="1">
      <c r="A202" s="4" t="s">
        <v>318</v>
      </c>
      <c r="B202" s="4" t="s">
        <v>319</v>
      </c>
      <c r="C202" s="4" t="s">
        <v>5327</v>
      </c>
      <c r="D202" s="4" t="s">
        <v>5328</v>
      </c>
      <c r="E202" s="4" t="s">
        <v>41</v>
      </c>
      <c r="F202" s="4" t="s">
        <v>323</v>
      </c>
      <c r="G202" s="4" t="s">
        <v>1598</v>
      </c>
      <c r="H202" s="7" t="s">
        <v>42</v>
      </c>
      <c r="I202" s="7"/>
      <c r="J202" s="4" t="s">
        <v>4948</v>
      </c>
    </row>
    <row r="203" spans="1:10" ht="54" customHeight="1">
      <c r="A203" s="8" t="s">
        <v>318</v>
      </c>
      <c r="B203" s="8" t="s">
        <v>319</v>
      </c>
      <c r="C203" s="8" t="s">
        <v>5329</v>
      </c>
      <c r="D203" s="8" t="s">
        <v>5330</v>
      </c>
      <c r="E203" s="8" t="s">
        <v>41</v>
      </c>
      <c r="F203" s="8" t="s">
        <v>323</v>
      </c>
      <c r="G203" s="8" t="s">
        <v>1598</v>
      </c>
      <c r="H203" s="7" t="s">
        <v>42</v>
      </c>
      <c r="I203" s="7"/>
      <c r="J203" s="8" t="s">
        <v>4948</v>
      </c>
    </row>
    <row r="204" spans="1:10" ht="54" customHeight="1">
      <c r="A204" s="4" t="s">
        <v>318</v>
      </c>
      <c r="B204" s="4" t="s">
        <v>319</v>
      </c>
      <c r="C204" s="4" t="s">
        <v>5331</v>
      </c>
      <c r="D204" s="4" t="s">
        <v>5332</v>
      </c>
      <c r="E204" s="4" t="s">
        <v>41</v>
      </c>
      <c r="F204" s="4" t="s">
        <v>323</v>
      </c>
      <c r="G204" s="4" t="s">
        <v>1598</v>
      </c>
      <c r="H204" s="7" t="s">
        <v>42</v>
      </c>
      <c r="I204" s="7"/>
      <c r="J204" s="4" t="s">
        <v>4948</v>
      </c>
    </row>
    <row r="205" spans="1:10" ht="54" customHeight="1">
      <c r="A205" s="8" t="s">
        <v>318</v>
      </c>
      <c r="B205" s="8" t="s">
        <v>319</v>
      </c>
      <c r="C205" s="8" t="s">
        <v>5333</v>
      </c>
      <c r="D205" s="8" t="s">
        <v>5334</v>
      </c>
      <c r="E205" s="8" t="s">
        <v>41</v>
      </c>
      <c r="F205" s="8" t="s">
        <v>323</v>
      </c>
      <c r="G205" s="8" t="s">
        <v>1598</v>
      </c>
      <c r="H205" s="7" t="s">
        <v>42</v>
      </c>
      <c r="I205" s="7"/>
      <c r="J205" s="8" t="s">
        <v>4948</v>
      </c>
    </row>
    <row r="206" spans="1:10" ht="54" customHeight="1">
      <c r="A206" s="4" t="s">
        <v>318</v>
      </c>
      <c r="B206" s="4" t="s">
        <v>319</v>
      </c>
      <c r="C206" s="4" t="s">
        <v>5335</v>
      </c>
      <c r="D206" s="4" t="s">
        <v>5336</v>
      </c>
      <c r="E206" s="4" t="s">
        <v>41</v>
      </c>
      <c r="F206" s="4" t="s">
        <v>323</v>
      </c>
      <c r="G206" s="4" t="s">
        <v>1598</v>
      </c>
      <c r="H206" s="7" t="s">
        <v>42</v>
      </c>
      <c r="I206" s="7"/>
      <c r="J206" s="4" t="s">
        <v>4948</v>
      </c>
    </row>
    <row r="207" spans="1:10" ht="54" customHeight="1">
      <c r="A207" s="8" t="s">
        <v>318</v>
      </c>
      <c r="B207" s="8" t="s">
        <v>319</v>
      </c>
      <c r="C207" s="8" t="s">
        <v>5337</v>
      </c>
      <c r="D207" s="8" t="s">
        <v>5338</v>
      </c>
      <c r="E207" s="8" t="s">
        <v>41</v>
      </c>
      <c r="F207" s="8" t="s">
        <v>323</v>
      </c>
      <c r="G207" s="8" t="s">
        <v>1598</v>
      </c>
      <c r="H207" s="7" t="s">
        <v>42</v>
      </c>
      <c r="I207" s="7"/>
      <c r="J207" s="8" t="s">
        <v>4948</v>
      </c>
    </row>
    <row r="208" spans="1:10" ht="54" customHeight="1">
      <c r="A208" s="4" t="s">
        <v>318</v>
      </c>
      <c r="B208" s="4" t="s">
        <v>319</v>
      </c>
      <c r="C208" s="4" t="s">
        <v>5339</v>
      </c>
      <c r="D208" s="4" t="s">
        <v>5340</v>
      </c>
      <c r="E208" s="4" t="s">
        <v>41</v>
      </c>
      <c r="F208" s="4" t="s">
        <v>323</v>
      </c>
      <c r="G208" s="4" t="s">
        <v>1598</v>
      </c>
      <c r="H208" s="7" t="s">
        <v>42</v>
      </c>
      <c r="I208" s="7"/>
      <c r="J208" s="4" t="s">
        <v>4948</v>
      </c>
    </row>
    <row r="209" spans="1:10" ht="54" customHeight="1">
      <c r="A209" s="8" t="s">
        <v>318</v>
      </c>
      <c r="B209" s="8" t="s">
        <v>319</v>
      </c>
      <c r="C209" s="8" t="s">
        <v>5341</v>
      </c>
      <c r="D209" s="8" t="s">
        <v>5342</v>
      </c>
      <c r="E209" s="8" t="s">
        <v>41</v>
      </c>
      <c r="F209" s="8" t="s">
        <v>323</v>
      </c>
      <c r="G209" s="8" t="s">
        <v>1598</v>
      </c>
      <c r="H209" s="7" t="s">
        <v>42</v>
      </c>
      <c r="I209" s="7"/>
      <c r="J209" s="8" t="s">
        <v>4948</v>
      </c>
    </row>
    <row r="210" spans="1:10" ht="54" customHeight="1">
      <c r="A210" s="4" t="s">
        <v>318</v>
      </c>
      <c r="B210" s="4" t="s">
        <v>319</v>
      </c>
      <c r="C210" s="4" t="s">
        <v>5343</v>
      </c>
      <c r="D210" s="4" t="s">
        <v>5344</v>
      </c>
      <c r="E210" s="4" t="s">
        <v>41</v>
      </c>
      <c r="F210" s="4" t="s">
        <v>323</v>
      </c>
      <c r="G210" s="4" t="s">
        <v>1598</v>
      </c>
      <c r="H210" s="7" t="s">
        <v>42</v>
      </c>
      <c r="I210" s="7"/>
      <c r="J210" s="4" t="s">
        <v>4948</v>
      </c>
    </row>
    <row r="211" spans="1:10" ht="54" customHeight="1">
      <c r="A211" s="8" t="s">
        <v>318</v>
      </c>
      <c r="B211" s="8" t="s">
        <v>319</v>
      </c>
      <c r="C211" s="8" t="s">
        <v>5345</v>
      </c>
      <c r="D211" s="8" t="s">
        <v>5346</v>
      </c>
      <c r="E211" s="8" t="s">
        <v>41</v>
      </c>
      <c r="F211" s="8" t="s">
        <v>323</v>
      </c>
      <c r="G211" s="8" t="s">
        <v>1598</v>
      </c>
      <c r="H211" s="7" t="s">
        <v>42</v>
      </c>
      <c r="I211" s="7"/>
      <c r="J211" s="8" t="s">
        <v>4948</v>
      </c>
    </row>
    <row r="212" spans="1:10" ht="54" customHeight="1">
      <c r="A212" s="4" t="s">
        <v>318</v>
      </c>
      <c r="B212" s="4" t="s">
        <v>319</v>
      </c>
      <c r="C212" s="4" t="s">
        <v>5347</v>
      </c>
      <c r="D212" s="4" t="s">
        <v>5348</v>
      </c>
      <c r="E212" s="4" t="s">
        <v>41</v>
      </c>
      <c r="F212" s="4" t="s">
        <v>323</v>
      </c>
      <c r="G212" s="4" t="s">
        <v>1598</v>
      </c>
      <c r="H212" s="7" t="s">
        <v>42</v>
      </c>
      <c r="I212" s="7"/>
      <c r="J212" s="4" t="s">
        <v>4948</v>
      </c>
    </row>
    <row r="213" spans="1:10" ht="54" customHeight="1">
      <c r="A213" s="8" t="s">
        <v>318</v>
      </c>
      <c r="B213" s="8" t="s">
        <v>319</v>
      </c>
      <c r="C213" s="8" t="s">
        <v>5349</v>
      </c>
      <c r="D213" s="8" t="s">
        <v>5350</v>
      </c>
      <c r="E213" s="8" t="s">
        <v>41</v>
      </c>
      <c r="F213" s="8" t="s">
        <v>323</v>
      </c>
      <c r="G213" s="8" t="s">
        <v>1598</v>
      </c>
      <c r="H213" s="7" t="s">
        <v>42</v>
      </c>
      <c r="I213" s="7"/>
      <c r="J213" s="8" t="s">
        <v>4948</v>
      </c>
    </row>
    <row r="214" spans="1:10" ht="54" customHeight="1">
      <c r="A214" s="4" t="s">
        <v>318</v>
      </c>
      <c r="B214" s="4" t="s">
        <v>319</v>
      </c>
      <c r="C214" s="4" t="s">
        <v>5351</v>
      </c>
      <c r="D214" s="4" t="s">
        <v>5352</v>
      </c>
      <c r="E214" s="4" t="s">
        <v>41</v>
      </c>
      <c r="F214" s="4" t="s">
        <v>323</v>
      </c>
      <c r="G214" s="4" t="s">
        <v>1598</v>
      </c>
      <c r="H214" s="7" t="s">
        <v>42</v>
      </c>
      <c r="I214" s="7"/>
      <c r="J214" s="4" t="s">
        <v>4948</v>
      </c>
    </row>
    <row r="215" spans="1:10" ht="54" customHeight="1">
      <c r="A215" s="8" t="s">
        <v>318</v>
      </c>
      <c r="B215" s="8" t="s">
        <v>319</v>
      </c>
      <c r="C215" s="8" t="s">
        <v>5353</v>
      </c>
      <c r="D215" s="8" t="s">
        <v>5354</v>
      </c>
      <c r="E215" s="8" t="s">
        <v>41</v>
      </c>
      <c r="F215" s="8" t="s">
        <v>323</v>
      </c>
      <c r="G215" s="8" t="s">
        <v>1598</v>
      </c>
      <c r="H215" s="7" t="s">
        <v>42</v>
      </c>
      <c r="I215" s="7"/>
      <c r="J215" s="8" t="s">
        <v>4948</v>
      </c>
    </row>
    <row r="216" spans="1:10" ht="54" customHeight="1">
      <c r="A216" s="4" t="s">
        <v>318</v>
      </c>
      <c r="B216" s="4" t="s">
        <v>319</v>
      </c>
      <c r="C216" s="4" t="s">
        <v>5355</v>
      </c>
      <c r="D216" s="4" t="s">
        <v>5356</v>
      </c>
      <c r="E216" s="4" t="s">
        <v>41</v>
      </c>
      <c r="F216" s="4" t="s">
        <v>323</v>
      </c>
      <c r="G216" s="4" t="s">
        <v>1598</v>
      </c>
      <c r="H216" s="7" t="s">
        <v>42</v>
      </c>
      <c r="I216" s="7"/>
      <c r="J216" s="4" t="s">
        <v>4948</v>
      </c>
    </row>
    <row r="217" spans="1:10" ht="54" customHeight="1">
      <c r="A217" s="8" t="s">
        <v>318</v>
      </c>
      <c r="B217" s="8" t="s">
        <v>319</v>
      </c>
      <c r="C217" s="8" t="s">
        <v>5357</v>
      </c>
      <c r="D217" s="8" t="s">
        <v>5358</v>
      </c>
      <c r="E217" s="8" t="s">
        <v>41</v>
      </c>
      <c r="F217" s="8" t="s">
        <v>323</v>
      </c>
      <c r="G217" s="8" t="s">
        <v>1598</v>
      </c>
      <c r="H217" s="7" t="s">
        <v>42</v>
      </c>
      <c r="I217" s="7"/>
      <c r="J217" s="8" t="s">
        <v>4948</v>
      </c>
    </row>
    <row r="218" spans="1:10" ht="54" customHeight="1">
      <c r="A218" s="4" t="s">
        <v>318</v>
      </c>
      <c r="B218" s="4" t="s">
        <v>319</v>
      </c>
      <c r="C218" s="4" t="s">
        <v>5359</v>
      </c>
      <c r="D218" s="4" t="s">
        <v>5360</v>
      </c>
      <c r="E218" s="4" t="s">
        <v>41</v>
      </c>
      <c r="F218" s="4" t="s">
        <v>323</v>
      </c>
      <c r="G218" s="4" t="s">
        <v>1598</v>
      </c>
      <c r="H218" s="7" t="s">
        <v>42</v>
      </c>
      <c r="I218" s="7"/>
      <c r="J218" s="4" t="s">
        <v>4948</v>
      </c>
    </row>
    <row r="219" spans="1:10" ht="54" customHeight="1">
      <c r="A219" s="8" t="s">
        <v>318</v>
      </c>
      <c r="B219" s="8" t="s">
        <v>319</v>
      </c>
      <c r="C219" s="8" t="s">
        <v>5361</v>
      </c>
      <c r="D219" s="8" t="s">
        <v>5362</v>
      </c>
      <c r="E219" s="8" t="s">
        <v>41</v>
      </c>
      <c r="F219" s="8" t="s">
        <v>323</v>
      </c>
      <c r="G219" s="8" t="s">
        <v>1598</v>
      </c>
      <c r="H219" s="7" t="s">
        <v>42</v>
      </c>
      <c r="I219" s="7"/>
      <c r="J219" s="8" t="s">
        <v>4948</v>
      </c>
    </row>
    <row r="220" spans="1:10" ht="40" customHeight="1">
      <c r="A220" s="4" t="s">
        <v>326</v>
      </c>
      <c r="B220" s="4" t="s">
        <v>327</v>
      </c>
      <c r="C220" s="4" t="s">
        <v>5363</v>
      </c>
      <c r="D220" s="4" t="s">
        <v>5364</v>
      </c>
      <c r="E220" s="4" t="s">
        <v>5364</v>
      </c>
      <c r="F220" s="4" t="s">
        <v>332</v>
      </c>
      <c r="G220" s="4" t="s">
        <v>1701</v>
      </c>
      <c r="H220" s="7" t="s">
        <v>42</v>
      </c>
      <c r="I220" s="7"/>
      <c r="J220" s="4" t="s">
        <v>1002</v>
      </c>
    </row>
    <row r="221" spans="1:10" ht="40" customHeight="1">
      <c r="A221" s="8" t="s">
        <v>326</v>
      </c>
      <c r="B221" s="8" t="s">
        <v>327</v>
      </c>
      <c r="C221" s="8" t="s">
        <v>5365</v>
      </c>
      <c r="D221" s="8" t="s">
        <v>5366</v>
      </c>
      <c r="E221" s="8" t="s">
        <v>5364</v>
      </c>
      <c r="F221" s="8" t="s">
        <v>332</v>
      </c>
      <c r="G221" s="8" t="s">
        <v>1701</v>
      </c>
      <c r="H221" s="7" t="s">
        <v>42</v>
      </c>
      <c r="I221" s="7"/>
      <c r="J221" s="8" t="s">
        <v>4948</v>
      </c>
    </row>
    <row r="222" spans="1:10" ht="40" customHeight="1">
      <c r="A222" s="4" t="s">
        <v>326</v>
      </c>
      <c r="B222" s="4" t="s">
        <v>327</v>
      </c>
      <c r="C222" s="4" t="s">
        <v>5367</v>
      </c>
      <c r="D222" s="4" t="s">
        <v>5368</v>
      </c>
      <c r="E222" s="4" t="s">
        <v>5364</v>
      </c>
      <c r="F222" s="4" t="s">
        <v>332</v>
      </c>
      <c r="G222" s="4" t="s">
        <v>1701</v>
      </c>
      <c r="H222" s="7" t="s">
        <v>42</v>
      </c>
      <c r="I222" s="7"/>
      <c r="J222" s="4" t="s">
        <v>4948</v>
      </c>
    </row>
    <row r="223" spans="1:10" ht="40" customHeight="1">
      <c r="A223" s="8" t="s">
        <v>326</v>
      </c>
      <c r="B223" s="8" t="s">
        <v>327</v>
      </c>
      <c r="C223" s="8" t="s">
        <v>5369</v>
      </c>
      <c r="D223" s="8" t="s">
        <v>5370</v>
      </c>
      <c r="E223" s="8" t="s">
        <v>5364</v>
      </c>
      <c r="F223" s="8" t="s">
        <v>332</v>
      </c>
      <c r="G223" s="8" t="s">
        <v>1701</v>
      </c>
      <c r="H223" s="7" t="s">
        <v>42</v>
      </c>
      <c r="I223" s="7"/>
      <c r="J223" s="8" t="s">
        <v>4948</v>
      </c>
    </row>
    <row r="224" spans="1:10" ht="40" customHeight="1">
      <c r="A224" s="4" t="s">
        <v>326</v>
      </c>
      <c r="B224" s="4" t="s">
        <v>327</v>
      </c>
      <c r="C224" s="4" t="s">
        <v>5371</v>
      </c>
      <c r="D224" s="4" t="s">
        <v>5372</v>
      </c>
      <c r="E224" s="4" t="s">
        <v>5364</v>
      </c>
      <c r="F224" s="4" t="s">
        <v>332</v>
      </c>
      <c r="G224" s="4" t="s">
        <v>1701</v>
      </c>
      <c r="H224" s="7" t="s">
        <v>42</v>
      </c>
      <c r="I224" s="7"/>
      <c r="J224" s="4" t="s">
        <v>4948</v>
      </c>
    </row>
    <row r="225" spans="1:10" ht="40" customHeight="1">
      <c r="A225" s="8" t="s">
        <v>326</v>
      </c>
      <c r="B225" s="8" t="s">
        <v>327</v>
      </c>
      <c r="C225" s="8" t="s">
        <v>5373</v>
      </c>
      <c r="D225" s="8" t="s">
        <v>5374</v>
      </c>
      <c r="E225" s="8" t="s">
        <v>5364</v>
      </c>
      <c r="F225" s="8" t="s">
        <v>332</v>
      </c>
      <c r="G225" s="8" t="s">
        <v>1701</v>
      </c>
      <c r="H225" s="7" t="s">
        <v>42</v>
      </c>
      <c r="I225" s="7"/>
      <c r="J225" s="8" t="s">
        <v>4948</v>
      </c>
    </row>
    <row r="226" spans="1:10" ht="40" customHeight="1">
      <c r="A226" s="4" t="s">
        <v>335</v>
      </c>
      <c r="B226" s="4" t="s">
        <v>336</v>
      </c>
      <c r="C226" s="4" t="s">
        <v>5375</v>
      </c>
      <c r="D226" s="4" t="s">
        <v>5376</v>
      </c>
      <c r="E226" s="4" t="s">
        <v>41</v>
      </c>
      <c r="F226" s="4" t="s">
        <v>341</v>
      </c>
      <c r="G226" s="4" t="s">
        <v>1724</v>
      </c>
      <c r="H226" s="7" t="s">
        <v>42</v>
      </c>
      <c r="I226" s="7"/>
      <c r="J226" s="4" t="s">
        <v>4948</v>
      </c>
    </row>
    <row r="227" spans="1:10" ht="40" customHeight="1">
      <c r="A227" s="8" t="s">
        <v>344</v>
      </c>
      <c r="B227" s="8" t="s">
        <v>345</v>
      </c>
      <c r="C227" s="8" t="s">
        <v>5377</v>
      </c>
      <c r="D227" s="8" t="s">
        <v>5378</v>
      </c>
      <c r="E227" s="8" t="s">
        <v>41</v>
      </c>
      <c r="F227" s="8" t="s">
        <v>350</v>
      </c>
      <c r="G227" s="8" t="s">
        <v>1729</v>
      </c>
      <c r="H227" s="7" t="s">
        <v>42</v>
      </c>
      <c r="I227" s="7"/>
      <c r="J227" s="8" t="s">
        <v>4948</v>
      </c>
    </row>
    <row r="228" spans="1:10" ht="40" customHeight="1">
      <c r="A228" s="4" t="s">
        <v>344</v>
      </c>
      <c r="B228" s="4" t="s">
        <v>345</v>
      </c>
      <c r="C228" s="4" t="s">
        <v>5379</v>
      </c>
      <c r="D228" s="4" t="s">
        <v>5380</v>
      </c>
      <c r="E228" s="4" t="s">
        <v>41</v>
      </c>
      <c r="F228" s="4" t="s">
        <v>350</v>
      </c>
      <c r="G228" s="4" t="s">
        <v>1729</v>
      </c>
      <c r="H228" s="7" t="s">
        <v>42</v>
      </c>
      <c r="I228" s="7"/>
      <c r="J228" s="4" t="s">
        <v>4948</v>
      </c>
    </row>
    <row r="229" spans="1:10" ht="40" customHeight="1">
      <c r="A229" s="8" t="s">
        <v>344</v>
      </c>
      <c r="B229" s="8" t="s">
        <v>345</v>
      </c>
      <c r="C229" s="8" t="s">
        <v>5381</v>
      </c>
      <c r="D229" s="8" t="s">
        <v>5382</v>
      </c>
      <c r="E229" s="8" t="s">
        <v>41</v>
      </c>
      <c r="F229" s="8" t="s">
        <v>350</v>
      </c>
      <c r="G229" s="8" t="s">
        <v>1729</v>
      </c>
      <c r="H229" s="7" t="s">
        <v>42</v>
      </c>
      <c r="I229" s="7"/>
      <c r="J229" s="8" t="s">
        <v>4948</v>
      </c>
    </row>
    <row r="230" spans="1:10" ht="40" customHeight="1">
      <c r="A230" s="4" t="s">
        <v>344</v>
      </c>
      <c r="B230" s="4" t="s">
        <v>345</v>
      </c>
      <c r="C230" s="4" t="s">
        <v>5383</v>
      </c>
      <c r="D230" s="4" t="s">
        <v>5384</v>
      </c>
      <c r="E230" s="4" t="s">
        <v>41</v>
      </c>
      <c r="F230" s="4" t="s">
        <v>350</v>
      </c>
      <c r="G230" s="4" t="s">
        <v>1729</v>
      </c>
      <c r="H230" s="7" t="s">
        <v>42</v>
      </c>
      <c r="I230" s="7"/>
      <c r="J230" s="4" t="s">
        <v>4948</v>
      </c>
    </row>
    <row r="231" spans="1:10" ht="40" customHeight="1">
      <c r="A231" s="8" t="s">
        <v>344</v>
      </c>
      <c r="B231" s="8" t="s">
        <v>345</v>
      </c>
      <c r="C231" s="8" t="s">
        <v>5385</v>
      </c>
      <c r="D231" s="8" t="s">
        <v>5386</v>
      </c>
      <c r="E231" s="8" t="s">
        <v>41</v>
      </c>
      <c r="F231" s="8" t="s">
        <v>350</v>
      </c>
      <c r="G231" s="8" t="s">
        <v>1729</v>
      </c>
      <c r="H231" s="7" t="s">
        <v>42</v>
      </c>
      <c r="I231" s="7"/>
      <c r="J231" s="8" t="s">
        <v>4948</v>
      </c>
    </row>
    <row r="232" spans="1:10" ht="40" customHeight="1">
      <c r="A232" s="4" t="s">
        <v>344</v>
      </c>
      <c r="B232" s="4" t="s">
        <v>345</v>
      </c>
      <c r="C232" s="4" t="s">
        <v>5387</v>
      </c>
      <c r="D232" s="4" t="s">
        <v>5388</v>
      </c>
      <c r="E232" s="4" t="s">
        <v>41</v>
      </c>
      <c r="F232" s="4" t="s">
        <v>350</v>
      </c>
      <c r="G232" s="4" t="s">
        <v>1729</v>
      </c>
      <c r="H232" s="7" t="s">
        <v>42</v>
      </c>
      <c r="I232" s="7"/>
      <c r="J232" s="4" t="s">
        <v>4948</v>
      </c>
    </row>
    <row r="233" spans="1:10" ht="40" customHeight="1">
      <c r="A233" s="8" t="s">
        <v>344</v>
      </c>
      <c r="B233" s="8" t="s">
        <v>345</v>
      </c>
      <c r="C233" s="8" t="s">
        <v>5389</v>
      </c>
      <c r="D233" s="8" t="s">
        <v>5390</v>
      </c>
      <c r="E233" s="8" t="s">
        <v>41</v>
      </c>
      <c r="F233" s="8" t="s">
        <v>350</v>
      </c>
      <c r="G233" s="8" t="s">
        <v>1729</v>
      </c>
      <c r="H233" s="7" t="s">
        <v>42</v>
      </c>
      <c r="I233" s="7"/>
      <c r="J233" s="8" t="s">
        <v>4948</v>
      </c>
    </row>
    <row r="234" spans="1:10" ht="40" customHeight="1">
      <c r="A234" s="4" t="s">
        <v>344</v>
      </c>
      <c r="B234" s="4" t="s">
        <v>345</v>
      </c>
      <c r="C234" s="4" t="s">
        <v>5391</v>
      </c>
      <c r="D234" s="4" t="s">
        <v>5392</v>
      </c>
      <c r="E234" s="4" t="s">
        <v>41</v>
      </c>
      <c r="F234" s="4" t="s">
        <v>350</v>
      </c>
      <c r="G234" s="4" t="s">
        <v>1729</v>
      </c>
      <c r="H234" s="7" t="s">
        <v>42</v>
      </c>
      <c r="I234" s="7"/>
      <c r="J234" s="4" t="s">
        <v>4948</v>
      </c>
    </row>
    <row r="235" spans="1:10" ht="40" customHeight="1">
      <c r="A235" s="8" t="s">
        <v>344</v>
      </c>
      <c r="B235" s="8" t="s">
        <v>345</v>
      </c>
      <c r="C235" s="8" t="s">
        <v>5393</v>
      </c>
      <c r="D235" s="8" t="s">
        <v>5394</v>
      </c>
      <c r="E235" s="8" t="s">
        <v>41</v>
      </c>
      <c r="F235" s="8" t="s">
        <v>350</v>
      </c>
      <c r="G235" s="8" t="s">
        <v>1729</v>
      </c>
      <c r="H235" s="7" t="s">
        <v>42</v>
      </c>
      <c r="I235" s="7"/>
      <c r="J235" s="8" t="s">
        <v>4948</v>
      </c>
    </row>
    <row r="236" spans="1:10" ht="40" customHeight="1">
      <c r="A236" s="4" t="s">
        <v>353</v>
      </c>
      <c r="B236" s="4" t="s">
        <v>354</v>
      </c>
      <c r="C236" s="4" t="s">
        <v>5395</v>
      </c>
      <c r="D236" s="4" t="s">
        <v>5396</v>
      </c>
      <c r="E236" s="4" t="s">
        <v>41</v>
      </c>
      <c r="F236" s="4" t="s">
        <v>358</v>
      </c>
      <c r="G236" s="4" t="s">
        <v>1755</v>
      </c>
      <c r="H236" s="7" t="s">
        <v>42</v>
      </c>
      <c r="I236" s="7"/>
      <c r="J236" s="4" t="s">
        <v>4948</v>
      </c>
    </row>
    <row r="237" spans="1:10" ht="40" customHeight="1">
      <c r="A237" s="8" t="s">
        <v>353</v>
      </c>
      <c r="B237" s="8" t="s">
        <v>354</v>
      </c>
      <c r="C237" s="8" t="s">
        <v>5397</v>
      </c>
      <c r="D237" s="8" t="s">
        <v>5398</v>
      </c>
      <c r="E237" s="8" t="s">
        <v>41</v>
      </c>
      <c r="F237" s="8" t="s">
        <v>358</v>
      </c>
      <c r="G237" s="8" t="s">
        <v>1755</v>
      </c>
      <c r="H237" s="7" t="s">
        <v>42</v>
      </c>
      <c r="I237" s="7"/>
      <c r="J237" s="8" t="s">
        <v>4948</v>
      </c>
    </row>
    <row r="238" spans="1:10" ht="40" customHeight="1">
      <c r="A238" s="4" t="s">
        <v>353</v>
      </c>
      <c r="B238" s="4" t="s">
        <v>354</v>
      </c>
      <c r="C238" s="4" t="s">
        <v>5399</v>
      </c>
      <c r="D238" s="4" t="s">
        <v>5400</v>
      </c>
      <c r="E238" s="4" t="s">
        <v>41</v>
      </c>
      <c r="F238" s="4" t="s">
        <v>358</v>
      </c>
      <c r="G238" s="4" t="s">
        <v>1755</v>
      </c>
      <c r="H238" s="7" t="s">
        <v>42</v>
      </c>
      <c r="I238" s="7"/>
      <c r="J238" s="4" t="s">
        <v>4948</v>
      </c>
    </row>
    <row r="239" spans="1:10" ht="40" customHeight="1">
      <c r="A239" s="8" t="s">
        <v>353</v>
      </c>
      <c r="B239" s="8" t="s">
        <v>354</v>
      </c>
      <c r="C239" s="8" t="s">
        <v>5401</v>
      </c>
      <c r="D239" s="8" t="s">
        <v>5402</v>
      </c>
      <c r="E239" s="8" t="s">
        <v>41</v>
      </c>
      <c r="F239" s="8" t="s">
        <v>358</v>
      </c>
      <c r="G239" s="8" t="s">
        <v>1755</v>
      </c>
      <c r="H239" s="7" t="s">
        <v>42</v>
      </c>
      <c r="I239" s="7"/>
      <c r="J239" s="8" t="s">
        <v>4948</v>
      </c>
    </row>
    <row r="240" spans="1:10" ht="40" customHeight="1">
      <c r="A240" s="4" t="s">
        <v>353</v>
      </c>
      <c r="B240" s="4" t="s">
        <v>354</v>
      </c>
      <c r="C240" s="4" t="s">
        <v>5403</v>
      </c>
      <c r="D240" s="4" t="s">
        <v>5404</v>
      </c>
      <c r="E240" s="4" t="s">
        <v>41</v>
      </c>
      <c r="F240" s="4" t="s">
        <v>358</v>
      </c>
      <c r="G240" s="4" t="s">
        <v>1755</v>
      </c>
      <c r="H240" s="7" t="s">
        <v>42</v>
      </c>
      <c r="I240" s="7"/>
      <c r="J240" s="4" t="s">
        <v>4948</v>
      </c>
    </row>
    <row r="241" spans="1:10" ht="40" customHeight="1">
      <c r="A241" s="8" t="s">
        <v>353</v>
      </c>
      <c r="B241" s="8" t="s">
        <v>354</v>
      </c>
      <c r="C241" s="8" t="s">
        <v>5405</v>
      </c>
      <c r="D241" s="8" t="s">
        <v>5406</v>
      </c>
      <c r="E241" s="8" t="s">
        <v>41</v>
      </c>
      <c r="F241" s="8" t="s">
        <v>358</v>
      </c>
      <c r="G241" s="8" t="s">
        <v>1755</v>
      </c>
      <c r="H241" s="7" t="s">
        <v>42</v>
      </c>
      <c r="I241" s="7"/>
      <c r="J241" s="8" t="s">
        <v>4948</v>
      </c>
    </row>
    <row r="242" spans="1:10" ht="40" customHeight="1">
      <c r="A242" s="4" t="s">
        <v>353</v>
      </c>
      <c r="B242" s="4" t="s">
        <v>354</v>
      </c>
      <c r="C242" s="4" t="s">
        <v>5407</v>
      </c>
      <c r="D242" s="4" t="s">
        <v>5408</v>
      </c>
      <c r="E242" s="4" t="s">
        <v>41</v>
      </c>
      <c r="F242" s="4" t="s">
        <v>358</v>
      </c>
      <c r="G242" s="4" t="s">
        <v>1755</v>
      </c>
      <c r="H242" s="7" t="s">
        <v>42</v>
      </c>
      <c r="I242" s="7"/>
      <c r="J242" s="4" t="s">
        <v>4948</v>
      </c>
    </row>
    <row r="243" spans="1:10" ht="40" customHeight="1">
      <c r="A243" s="8" t="s">
        <v>353</v>
      </c>
      <c r="B243" s="8" t="s">
        <v>354</v>
      </c>
      <c r="C243" s="8" t="s">
        <v>5409</v>
      </c>
      <c r="D243" s="8" t="s">
        <v>5410</v>
      </c>
      <c r="E243" s="8" t="s">
        <v>41</v>
      </c>
      <c r="F243" s="8" t="s">
        <v>358</v>
      </c>
      <c r="G243" s="8" t="s">
        <v>1755</v>
      </c>
      <c r="H243" s="7" t="s">
        <v>42</v>
      </c>
      <c r="I243" s="7"/>
      <c r="J243" s="8" t="s">
        <v>4948</v>
      </c>
    </row>
    <row r="244" spans="1:10" ht="40" customHeight="1">
      <c r="A244" s="4" t="s">
        <v>353</v>
      </c>
      <c r="B244" s="4" t="s">
        <v>354</v>
      </c>
      <c r="C244" s="4" t="s">
        <v>5411</v>
      </c>
      <c r="D244" s="4" t="s">
        <v>5412</v>
      </c>
      <c r="E244" s="4" t="s">
        <v>41</v>
      </c>
      <c r="F244" s="4" t="s">
        <v>358</v>
      </c>
      <c r="G244" s="4" t="s">
        <v>1755</v>
      </c>
      <c r="H244" s="7" t="s">
        <v>42</v>
      </c>
      <c r="I244" s="7"/>
      <c r="J244" s="4" t="s">
        <v>4948</v>
      </c>
    </row>
    <row r="245" spans="1:10" ht="40" customHeight="1">
      <c r="A245" s="8" t="s">
        <v>353</v>
      </c>
      <c r="B245" s="8" t="s">
        <v>354</v>
      </c>
      <c r="C245" s="8" t="s">
        <v>5413</v>
      </c>
      <c r="D245" s="8" t="s">
        <v>5414</v>
      </c>
      <c r="E245" s="8" t="s">
        <v>41</v>
      </c>
      <c r="F245" s="8" t="s">
        <v>358</v>
      </c>
      <c r="G245" s="8" t="s">
        <v>1755</v>
      </c>
      <c r="H245" s="7" t="s">
        <v>42</v>
      </c>
      <c r="I245" s="7"/>
      <c r="J245" s="8" t="s">
        <v>4948</v>
      </c>
    </row>
    <row r="246" spans="1:10" ht="40" customHeight="1">
      <c r="A246" s="4" t="s">
        <v>353</v>
      </c>
      <c r="B246" s="4" t="s">
        <v>354</v>
      </c>
      <c r="C246" s="4" t="s">
        <v>5415</v>
      </c>
      <c r="D246" s="4" t="s">
        <v>5416</v>
      </c>
      <c r="E246" s="4" t="s">
        <v>41</v>
      </c>
      <c r="F246" s="4" t="s">
        <v>358</v>
      </c>
      <c r="G246" s="4" t="s">
        <v>1755</v>
      </c>
      <c r="H246" s="7" t="s">
        <v>42</v>
      </c>
      <c r="I246" s="7"/>
      <c r="J246" s="4" t="s">
        <v>4948</v>
      </c>
    </row>
    <row r="247" spans="1:10" ht="40" customHeight="1">
      <c r="A247" s="8" t="s">
        <v>353</v>
      </c>
      <c r="B247" s="8" t="s">
        <v>354</v>
      </c>
      <c r="C247" s="8" t="s">
        <v>5417</v>
      </c>
      <c r="D247" s="8" t="s">
        <v>5418</v>
      </c>
      <c r="E247" s="8" t="s">
        <v>41</v>
      </c>
      <c r="F247" s="8" t="s">
        <v>358</v>
      </c>
      <c r="G247" s="8" t="s">
        <v>1755</v>
      </c>
      <c r="H247" s="7" t="s">
        <v>42</v>
      </c>
      <c r="I247" s="7"/>
      <c r="J247" s="8" t="s">
        <v>4948</v>
      </c>
    </row>
    <row r="248" spans="1:10" ht="40" customHeight="1">
      <c r="A248" s="4" t="s">
        <v>361</v>
      </c>
      <c r="B248" s="4" t="s">
        <v>362</v>
      </c>
      <c r="C248" s="4" t="s">
        <v>5419</v>
      </c>
      <c r="D248" s="4" t="s">
        <v>5420</v>
      </c>
      <c r="E248" s="4" t="s">
        <v>41</v>
      </c>
      <c r="F248" s="4" t="s">
        <v>365</v>
      </c>
      <c r="G248" s="4" t="s">
        <v>1799</v>
      </c>
      <c r="H248" s="7" t="s">
        <v>42</v>
      </c>
      <c r="I248" s="7"/>
      <c r="J248" s="4" t="s">
        <v>4948</v>
      </c>
    </row>
    <row r="249" spans="1:10" ht="40" customHeight="1">
      <c r="A249" s="8" t="s">
        <v>361</v>
      </c>
      <c r="B249" s="8" t="s">
        <v>362</v>
      </c>
      <c r="C249" s="8" t="s">
        <v>5421</v>
      </c>
      <c r="D249" s="8" t="s">
        <v>5422</v>
      </c>
      <c r="E249" s="8" t="s">
        <v>41</v>
      </c>
      <c r="F249" s="8" t="s">
        <v>365</v>
      </c>
      <c r="G249" s="8" t="s">
        <v>1799</v>
      </c>
      <c r="H249" s="7" t="s">
        <v>42</v>
      </c>
      <c r="I249" s="7"/>
      <c r="J249" s="8" t="s">
        <v>4948</v>
      </c>
    </row>
    <row r="250" spans="1:10" ht="40" customHeight="1">
      <c r="A250" s="4" t="s">
        <v>361</v>
      </c>
      <c r="B250" s="4" t="s">
        <v>362</v>
      </c>
      <c r="C250" s="4" t="s">
        <v>5423</v>
      </c>
      <c r="D250" s="4" t="s">
        <v>5424</v>
      </c>
      <c r="E250" s="4" t="s">
        <v>41</v>
      </c>
      <c r="F250" s="4" t="s">
        <v>365</v>
      </c>
      <c r="G250" s="4" t="s">
        <v>1799</v>
      </c>
      <c r="H250" s="7" t="s">
        <v>42</v>
      </c>
      <c r="I250" s="7"/>
      <c r="J250" s="4" t="s">
        <v>4948</v>
      </c>
    </row>
    <row r="251" spans="1:10" ht="40" customHeight="1">
      <c r="A251" s="8" t="s">
        <v>361</v>
      </c>
      <c r="B251" s="8" t="s">
        <v>362</v>
      </c>
      <c r="C251" s="8" t="s">
        <v>5425</v>
      </c>
      <c r="D251" s="8" t="s">
        <v>5426</v>
      </c>
      <c r="E251" s="8" t="s">
        <v>41</v>
      </c>
      <c r="F251" s="8" t="s">
        <v>365</v>
      </c>
      <c r="G251" s="8" t="s">
        <v>1799</v>
      </c>
      <c r="H251" s="7" t="s">
        <v>42</v>
      </c>
      <c r="I251" s="7"/>
      <c r="J251" s="8" t="s">
        <v>4948</v>
      </c>
    </row>
    <row r="252" spans="1:10" ht="40" customHeight="1">
      <c r="A252" s="4" t="s">
        <v>361</v>
      </c>
      <c r="B252" s="4" t="s">
        <v>362</v>
      </c>
      <c r="C252" s="4" t="s">
        <v>5427</v>
      </c>
      <c r="D252" s="4" t="s">
        <v>5428</v>
      </c>
      <c r="E252" s="4" t="s">
        <v>41</v>
      </c>
      <c r="F252" s="4" t="s">
        <v>365</v>
      </c>
      <c r="G252" s="4" t="s">
        <v>1799</v>
      </c>
      <c r="H252" s="7" t="s">
        <v>42</v>
      </c>
      <c r="I252" s="7"/>
      <c r="J252" s="4" t="s">
        <v>4948</v>
      </c>
    </row>
    <row r="253" spans="1:10" ht="40" customHeight="1">
      <c r="A253" s="8" t="s">
        <v>361</v>
      </c>
      <c r="B253" s="8" t="s">
        <v>362</v>
      </c>
      <c r="C253" s="8" t="s">
        <v>5429</v>
      </c>
      <c r="D253" s="8" t="s">
        <v>5430</v>
      </c>
      <c r="E253" s="8" t="s">
        <v>41</v>
      </c>
      <c r="F253" s="8" t="s">
        <v>365</v>
      </c>
      <c r="G253" s="8" t="s">
        <v>1799</v>
      </c>
      <c r="H253" s="7" t="s">
        <v>42</v>
      </c>
      <c r="I253" s="7"/>
      <c r="J253" s="8" t="s">
        <v>4948</v>
      </c>
    </row>
    <row r="254" spans="1:10" ht="40" customHeight="1">
      <c r="A254" s="4" t="s">
        <v>361</v>
      </c>
      <c r="B254" s="4" t="s">
        <v>362</v>
      </c>
      <c r="C254" s="4" t="s">
        <v>5431</v>
      </c>
      <c r="D254" s="4" t="s">
        <v>5432</v>
      </c>
      <c r="E254" s="4" t="s">
        <v>41</v>
      </c>
      <c r="F254" s="4" t="s">
        <v>365</v>
      </c>
      <c r="G254" s="4" t="s">
        <v>1799</v>
      </c>
      <c r="H254" s="7" t="s">
        <v>42</v>
      </c>
      <c r="I254" s="7"/>
      <c r="J254" s="4" t="s">
        <v>4948</v>
      </c>
    </row>
    <row r="255" spans="1:10" ht="40" customHeight="1">
      <c r="A255" s="8" t="s">
        <v>361</v>
      </c>
      <c r="B255" s="8" t="s">
        <v>362</v>
      </c>
      <c r="C255" s="8" t="s">
        <v>5433</v>
      </c>
      <c r="D255" s="8" t="s">
        <v>5434</v>
      </c>
      <c r="E255" s="8" t="s">
        <v>41</v>
      </c>
      <c r="F255" s="8" t="s">
        <v>365</v>
      </c>
      <c r="G255" s="8" t="s">
        <v>1799</v>
      </c>
      <c r="H255" s="7" t="s">
        <v>42</v>
      </c>
      <c r="I255" s="7"/>
      <c r="J255" s="8" t="s">
        <v>4948</v>
      </c>
    </row>
    <row r="256" spans="1:10" ht="40" customHeight="1">
      <c r="A256" s="4" t="s">
        <v>361</v>
      </c>
      <c r="B256" s="4" t="s">
        <v>362</v>
      </c>
      <c r="C256" s="4" t="s">
        <v>5435</v>
      </c>
      <c r="D256" s="4" t="s">
        <v>5436</v>
      </c>
      <c r="E256" s="4" t="s">
        <v>41</v>
      </c>
      <c r="F256" s="4" t="s">
        <v>365</v>
      </c>
      <c r="G256" s="4" t="s">
        <v>1799</v>
      </c>
      <c r="H256" s="7" t="s">
        <v>42</v>
      </c>
      <c r="I256" s="7"/>
      <c r="J256" s="4" t="s">
        <v>4948</v>
      </c>
    </row>
    <row r="257" spans="1:10" ht="40" customHeight="1">
      <c r="A257" s="8" t="s">
        <v>361</v>
      </c>
      <c r="B257" s="8" t="s">
        <v>362</v>
      </c>
      <c r="C257" s="8" t="s">
        <v>5437</v>
      </c>
      <c r="D257" s="8" t="s">
        <v>5438</v>
      </c>
      <c r="E257" s="8" t="s">
        <v>41</v>
      </c>
      <c r="F257" s="8" t="s">
        <v>365</v>
      </c>
      <c r="G257" s="8" t="s">
        <v>1799</v>
      </c>
      <c r="H257" s="7" t="s">
        <v>42</v>
      </c>
      <c r="I257" s="7"/>
      <c r="J257" s="8" t="s">
        <v>4948</v>
      </c>
    </row>
    <row r="258" spans="1:10" ht="40" customHeight="1">
      <c r="A258" s="4" t="s">
        <v>361</v>
      </c>
      <c r="B258" s="4" t="s">
        <v>362</v>
      </c>
      <c r="C258" s="4" t="s">
        <v>5439</v>
      </c>
      <c r="D258" s="4" t="s">
        <v>5440</v>
      </c>
      <c r="E258" s="4" t="s">
        <v>41</v>
      </c>
      <c r="F258" s="4" t="s">
        <v>365</v>
      </c>
      <c r="G258" s="4" t="s">
        <v>1799</v>
      </c>
      <c r="H258" s="7" t="s">
        <v>42</v>
      </c>
      <c r="I258" s="7"/>
      <c r="J258" s="4" t="s">
        <v>4948</v>
      </c>
    </row>
    <row r="259" spans="1:10" ht="40" customHeight="1">
      <c r="A259" s="8" t="s">
        <v>361</v>
      </c>
      <c r="B259" s="8" t="s">
        <v>362</v>
      </c>
      <c r="C259" s="8" t="s">
        <v>5441</v>
      </c>
      <c r="D259" s="8" t="s">
        <v>5442</v>
      </c>
      <c r="E259" s="8" t="s">
        <v>41</v>
      </c>
      <c r="F259" s="8" t="s">
        <v>365</v>
      </c>
      <c r="G259" s="8" t="s">
        <v>1799</v>
      </c>
      <c r="H259" s="7" t="s">
        <v>42</v>
      </c>
      <c r="I259" s="7"/>
      <c r="J259" s="8" t="s">
        <v>4948</v>
      </c>
    </row>
    <row r="260" spans="1:10" ht="40" customHeight="1">
      <c r="A260" s="4" t="s">
        <v>368</v>
      </c>
      <c r="B260" s="4" t="s">
        <v>369</v>
      </c>
      <c r="C260" s="4" t="s">
        <v>5443</v>
      </c>
      <c r="D260" s="4" t="s">
        <v>5444</v>
      </c>
      <c r="E260" s="4" t="s">
        <v>41</v>
      </c>
      <c r="F260" s="4" t="s">
        <v>375</v>
      </c>
      <c r="G260" s="4" t="s">
        <v>1819</v>
      </c>
      <c r="H260" s="7" t="s">
        <v>42</v>
      </c>
      <c r="I260" s="7"/>
      <c r="J260" s="4" t="s">
        <v>4948</v>
      </c>
    </row>
    <row r="261" spans="1:10" ht="40" customHeight="1">
      <c r="A261" s="8" t="s">
        <v>368</v>
      </c>
      <c r="B261" s="8" t="s">
        <v>369</v>
      </c>
      <c r="C261" s="8" t="s">
        <v>5445</v>
      </c>
      <c r="D261" s="8" t="s">
        <v>5446</v>
      </c>
      <c r="E261" s="8" t="s">
        <v>41</v>
      </c>
      <c r="F261" s="8" t="s">
        <v>375</v>
      </c>
      <c r="G261" s="8" t="s">
        <v>1819</v>
      </c>
      <c r="H261" s="7" t="s">
        <v>42</v>
      </c>
      <c r="I261" s="7"/>
      <c r="J261" s="8" t="s">
        <v>4948</v>
      </c>
    </row>
    <row r="262" spans="1:10" ht="40" customHeight="1">
      <c r="A262" s="4" t="s">
        <v>368</v>
      </c>
      <c r="B262" s="4" t="s">
        <v>369</v>
      </c>
      <c r="C262" s="4" t="s">
        <v>5447</v>
      </c>
      <c r="D262" s="4" t="s">
        <v>5448</v>
      </c>
      <c r="E262" s="4" t="s">
        <v>41</v>
      </c>
      <c r="F262" s="4" t="s">
        <v>375</v>
      </c>
      <c r="G262" s="4" t="s">
        <v>1819</v>
      </c>
      <c r="H262" s="7" t="s">
        <v>42</v>
      </c>
      <c r="I262" s="7"/>
      <c r="J262" s="4" t="s">
        <v>4948</v>
      </c>
    </row>
    <row r="263" spans="1:10" ht="40" customHeight="1">
      <c r="A263" s="8" t="s">
        <v>378</v>
      </c>
      <c r="B263" s="8" t="s">
        <v>379</v>
      </c>
      <c r="C263" s="8" t="s">
        <v>5449</v>
      </c>
      <c r="D263" s="8" t="s">
        <v>5450</v>
      </c>
      <c r="E263" s="8" t="s">
        <v>41</v>
      </c>
      <c r="F263" s="8" t="s">
        <v>384</v>
      </c>
      <c r="G263" s="8" t="s">
        <v>1829</v>
      </c>
      <c r="H263" s="7" t="s">
        <v>42</v>
      </c>
      <c r="I263" s="7"/>
      <c r="J263" s="8" t="s">
        <v>4948</v>
      </c>
    </row>
    <row r="264" spans="1:10" ht="40" customHeight="1">
      <c r="A264" s="4" t="s">
        <v>378</v>
      </c>
      <c r="B264" s="4" t="s">
        <v>379</v>
      </c>
      <c r="C264" s="4" t="s">
        <v>5451</v>
      </c>
      <c r="D264" s="4" t="s">
        <v>5452</v>
      </c>
      <c r="E264" s="4" t="s">
        <v>41</v>
      </c>
      <c r="F264" s="4" t="s">
        <v>384</v>
      </c>
      <c r="G264" s="4" t="s">
        <v>1829</v>
      </c>
      <c r="H264" s="7" t="s">
        <v>42</v>
      </c>
      <c r="I264" s="7"/>
      <c r="J264" s="4" t="s">
        <v>4948</v>
      </c>
    </row>
    <row r="265" spans="1:10" ht="40" customHeight="1">
      <c r="A265" s="8" t="s">
        <v>378</v>
      </c>
      <c r="B265" s="8" t="s">
        <v>379</v>
      </c>
      <c r="C265" s="8" t="s">
        <v>5453</v>
      </c>
      <c r="D265" s="8" t="s">
        <v>5454</v>
      </c>
      <c r="E265" s="8" t="s">
        <v>41</v>
      </c>
      <c r="F265" s="8" t="s">
        <v>384</v>
      </c>
      <c r="G265" s="8" t="s">
        <v>1829</v>
      </c>
      <c r="H265" s="7" t="s">
        <v>42</v>
      </c>
      <c r="I265" s="7"/>
      <c r="J265" s="8" t="s">
        <v>4948</v>
      </c>
    </row>
    <row r="266" spans="1:10" ht="40" customHeight="1">
      <c r="A266" s="4" t="s">
        <v>378</v>
      </c>
      <c r="B266" s="4" t="s">
        <v>379</v>
      </c>
      <c r="C266" s="4" t="s">
        <v>5455</v>
      </c>
      <c r="D266" s="4" t="s">
        <v>5456</v>
      </c>
      <c r="E266" s="4" t="s">
        <v>41</v>
      </c>
      <c r="F266" s="4" t="s">
        <v>384</v>
      </c>
      <c r="G266" s="4" t="s">
        <v>1829</v>
      </c>
      <c r="H266" s="7" t="s">
        <v>42</v>
      </c>
      <c r="I266" s="7"/>
      <c r="J266" s="4" t="s">
        <v>4948</v>
      </c>
    </row>
    <row r="267" spans="1:10" ht="40" customHeight="1">
      <c r="A267" s="8" t="s">
        <v>378</v>
      </c>
      <c r="B267" s="8" t="s">
        <v>379</v>
      </c>
      <c r="C267" s="8" t="s">
        <v>5457</v>
      </c>
      <c r="D267" s="8" t="s">
        <v>5458</v>
      </c>
      <c r="E267" s="8" t="s">
        <v>41</v>
      </c>
      <c r="F267" s="8" t="s">
        <v>384</v>
      </c>
      <c r="G267" s="8" t="s">
        <v>1829</v>
      </c>
      <c r="H267" s="7" t="s">
        <v>42</v>
      </c>
      <c r="I267" s="7"/>
      <c r="J267" s="8" t="s">
        <v>4948</v>
      </c>
    </row>
    <row r="268" spans="1:10" ht="40" customHeight="1">
      <c r="A268" s="4" t="s">
        <v>378</v>
      </c>
      <c r="B268" s="4" t="s">
        <v>379</v>
      </c>
      <c r="C268" s="4" t="s">
        <v>5459</v>
      </c>
      <c r="D268" s="4" t="s">
        <v>5460</v>
      </c>
      <c r="E268" s="4" t="s">
        <v>41</v>
      </c>
      <c r="F268" s="4" t="s">
        <v>384</v>
      </c>
      <c r="G268" s="4" t="s">
        <v>1829</v>
      </c>
      <c r="H268" s="7" t="s">
        <v>42</v>
      </c>
      <c r="I268" s="7"/>
      <c r="J268" s="4" t="s">
        <v>4948</v>
      </c>
    </row>
    <row r="269" spans="1:10" ht="40" customHeight="1">
      <c r="A269" s="8" t="s">
        <v>378</v>
      </c>
      <c r="B269" s="8" t="s">
        <v>379</v>
      </c>
      <c r="C269" s="8" t="s">
        <v>5461</v>
      </c>
      <c r="D269" s="8" t="s">
        <v>5462</v>
      </c>
      <c r="E269" s="8" t="s">
        <v>41</v>
      </c>
      <c r="F269" s="8" t="s">
        <v>384</v>
      </c>
      <c r="G269" s="8" t="s">
        <v>1829</v>
      </c>
      <c r="H269" s="7" t="s">
        <v>42</v>
      </c>
      <c r="I269" s="7"/>
      <c r="J269" s="8" t="s">
        <v>4948</v>
      </c>
    </row>
    <row r="270" spans="1:10" ht="40" customHeight="1">
      <c r="A270" s="4" t="s">
        <v>378</v>
      </c>
      <c r="B270" s="4" t="s">
        <v>379</v>
      </c>
      <c r="C270" s="4" t="s">
        <v>5463</v>
      </c>
      <c r="D270" s="4" t="s">
        <v>5464</v>
      </c>
      <c r="E270" s="4" t="s">
        <v>41</v>
      </c>
      <c r="F270" s="4" t="s">
        <v>384</v>
      </c>
      <c r="G270" s="4" t="s">
        <v>1829</v>
      </c>
      <c r="H270" s="7" t="s">
        <v>42</v>
      </c>
      <c r="I270" s="7"/>
      <c r="J270" s="4" t="s">
        <v>4948</v>
      </c>
    </row>
    <row r="271" spans="1:10" ht="40" customHeight="1">
      <c r="A271" s="8" t="s">
        <v>387</v>
      </c>
      <c r="B271" s="8" t="s">
        <v>388</v>
      </c>
      <c r="C271" s="8" t="s">
        <v>5465</v>
      </c>
      <c r="D271" s="8" t="s">
        <v>5466</v>
      </c>
      <c r="E271" s="8" t="s">
        <v>41</v>
      </c>
      <c r="F271" s="8" t="s">
        <v>391</v>
      </c>
      <c r="G271" s="8" t="s">
        <v>1857</v>
      </c>
      <c r="H271" s="7" t="s">
        <v>42</v>
      </c>
      <c r="I271" s="7"/>
      <c r="J271" s="8" t="s">
        <v>4948</v>
      </c>
    </row>
    <row r="272" spans="1:10" ht="40" customHeight="1">
      <c r="A272" s="4" t="s">
        <v>387</v>
      </c>
      <c r="B272" s="4" t="s">
        <v>388</v>
      </c>
      <c r="C272" s="4" t="s">
        <v>5467</v>
      </c>
      <c r="D272" s="4" t="s">
        <v>5468</v>
      </c>
      <c r="E272" s="4" t="s">
        <v>41</v>
      </c>
      <c r="F272" s="4" t="s">
        <v>391</v>
      </c>
      <c r="G272" s="4" t="s">
        <v>1857</v>
      </c>
      <c r="H272" s="7" t="s">
        <v>42</v>
      </c>
      <c r="I272" s="7"/>
      <c r="J272" s="4" t="s">
        <v>4948</v>
      </c>
    </row>
    <row r="273" spans="1:10" ht="68" customHeight="1">
      <c r="A273" s="8" t="s">
        <v>387</v>
      </c>
      <c r="B273" s="8" t="s">
        <v>388</v>
      </c>
      <c r="C273" s="8" t="s">
        <v>5469</v>
      </c>
      <c r="D273" s="8" t="s">
        <v>4967</v>
      </c>
      <c r="E273" s="8" t="s">
        <v>41</v>
      </c>
      <c r="F273" s="8" t="s">
        <v>391</v>
      </c>
      <c r="G273" s="8" t="s">
        <v>1857</v>
      </c>
      <c r="H273" s="7" t="s">
        <v>42</v>
      </c>
      <c r="I273" s="7"/>
      <c r="J273" s="8" t="s">
        <v>4948</v>
      </c>
    </row>
    <row r="274" spans="1:10" ht="40" customHeight="1">
      <c r="A274" s="4" t="s">
        <v>387</v>
      </c>
      <c r="B274" s="4" t="s">
        <v>388</v>
      </c>
      <c r="C274" s="4" t="s">
        <v>5470</v>
      </c>
      <c r="D274" s="4" t="s">
        <v>5471</v>
      </c>
      <c r="E274" s="4" t="s">
        <v>41</v>
      </c>
      <c r="F274" s="4" t="s">
        <v>391</v>
      </c>
      <c r="G274" s="4" t="s">
        <v>1857</v>
      </c>
      <c r="H274" s="7" t="s">
        <v>42</v>
      </c>
      <c r="I274" s="7"/>
      <c r="J274" s="4" t="s">
        <v>4948</v>
      </c>
    </row>
    <row r="275" spans="1:10" ht="40" customHeight="1">
      <c r="A275" s="8" t="s">
        <v>387</v>
      </c>
      <c r="B275" s="8" t="s">
        <v>388</v>
      </c>
      <c r="C275" s="8" t="s">
        <v>5472</v>
      </c>
      <c r="D275" s="8" t="s">
        <v>5473</v>
      </c>
      <c r="E275" s="8" t="s">
        <v>41</v>
      </c>
      <c r="F275" s="8" t="s">
        <v>391</v>
      </c>
      <c r="G275" s="8" t="s">
        <v>1857</v>
      </c>
      <c r="H275" s="7" t="s">
        <v>42</v>
      </c>
      <c r="I275" s="7"/>
      <c r="J275" s="8" t="s">
        <v>4948</v>
      </c>
    </row>
    <row r="276" spans="1:10" ht="54" customHeight="1">
      <c r="A276" s="4" t="s">
        <v>394</v>
      </c>
      <c r="B276" s="4" t="s">
        <v>395</v>
      </c>
      <c r="C276" s="4" t="s">
        <v>5474</v>
      </c>
      <c r="D276" s="4" t="s">
        <v>4969</v>
      </c>
      <c r="E276" s="4" t="s">
        <v>41</v>
      </c>
      <c r="F276" s="4" t="s">
        <v>399</v>
      </c>
      <c r="G276" s="4" t="s">
        <v>1883</v>
      </c>
      <c r="H276" s="7" t="s">
        <v>42</v>
      </c>
      <c r="I276" s="7"/>
      <c r="J276" s="4" t="s">
        <v>4948</v>
      </c>
    </row>
    <row r="277" spans="1:10" ht="54" customHeight="1">
      <c r="A277" s="8" t="s">
        <v>394</v>
      </c>
      <c r="B277" s="8" t="s">
        <v>395</v>
      </c>
      <c r="C277" s="8" t="s">
        <v>5475</v>
      </c>
      <c r="D277" s="8" t="s">
        <v>4971</v>
      </c>
      <c r="E277" s="8" t="s">
        <v>41</v>
      </c>
      <c r="F277" s="8" t="s">
        <v>399</v>
      </c>
      <c r="G277" s="8" t="s">
        <v>1883</v>
      </c>
      <c r="H277" s="7" t="s">
        <v>42</v>
      </c>
      <c r="I277" s="7"/>
      <c r="J277" s="8" t="s">
        <v>4948</v>
      </c>
    </row>
    <row r="278" spans="1:10" ht="54" customHeight="1">
      <c r="A278" s="4" t="s">
        <v>394</v>
      </c>
      <c r="B278" s="4" t="s">
        <v>395</v>
      </c>
      <c r="C278" s="4" t="s">
        <v>5476</v>
      </c>
      <c r="D278" s="4" t="s">
        <v>5477</v>
      </c>
      <c r="E278" s="4" t="s">
        <v>41</v>
      </c>
      <c r="F278" s="4" t="s">
        <v>399</v>
      </c>
      <c r="G278" s="4" t="s">
        <v>1883</v>
      </c>
      <c r="H278" s="7" t="s">
        <v>42</v>
      </c>
      <c r="I278" s="7"/>
      <c r="J278" s="4" t="s">
        <v>4948</v>
      </c>
    </row>
    <row r="279" spans="1:10" ht="54" customHeight="1">
      <c r="A279" s="8" t="s">
        <v>394</v>
      </c>
      <c r="B279" s="8" t="s">
        <v>395</v>
      </c>
      <c r="C279" s="8" t="s">
        <v>5478</v>
      </c>
      <c r="D279" s="8" t="s">
        <v>5479</v>
      </c>
      <c r="E279" s="8" t="s">
        <v>41</v>
      </c>
      <c r="F279" s="8" t="s">
        <v>399</v>
      </c>
      <c r="G279" s="8" t="s">
        <v>1883</v>
      </c>
      <c r="H279" s="7" t="s">
        <v>42</v>
      </c>
      <c r="I279" s="7"/>
      <c r="J279" s="8" t="s">
        <v>4948</v>
      </c>
    </row>
    <row r="280" spans="1:10" ht="54" customHeight="1">
      <c r="A280" s="4" t="s">
        <v>394</v>
      </c>
      <c r="B280" s="4" t="s">
        <v>395</v>
      </c>
      <c r="C280" s="4" t="s">
        <v>5480</v>
      </c>
      <c r="D280" s="4" t="s">
        <v>4975</v>
      </c>
      <c r="E280" s="4" t="s">
        <v>41</v>
      </c>
      <c r="F280" s="4" t="s">
        <v>399</v>
      </c>
      <c r="G280" s="4" t="s">
        <v>1883</v>
      </c>
      <c r="H280" s="7" t="s">
        <v>42</v>
      </c>
      <c r="I280" s="7"/>
      <c r="J280" s="4" t="s">
        <v>4948</v>
      </c>
    </row>
    <row r="281" spans="1:10" ht="54" customHeight="1">
      <c r="A281" s="8" t="s">
        <v>394</v>
      </c>
      <c r="B281" s="8" t="s">
        <v>395</v>
      </c>
      <c r="C281" s="8" t="s">
        <v>5481</v>
      </c>
      <c r="D281" s="8" t="s">
        <v>5482</v>
      </c>
      <c r="E281" s="8" t="s">
        <v>41</v>
      </c>
      <c r="F281" s="8" t="s">
        <v>399</v>
      </c>
      <c r="G281" s="8" t="s">
        <v>1883</v>
      </c>
      <c r="H281" s="7" t="s">
        <v>42</v>
      </c>
      <c r="I281" s="7"/>
      <c r="J281" s="8" t="s">
        <v>4948</v>
      </c>
    </row>
    <row r="282" spans="1:10" ht="54" customHeight="1">
      <c r="A282" s="4" t="s">
        <v>394</v>
      </c>
      <c r="B282" s="4" t="s">
        <v>395</v>
      </c>
      <c r="C282" s="4" t="s">
        <v>5483</v>
      </c>
      <c r="D282" s="4" t="s">
        <v>5484</v>
      </c>
      <c r="E282" s="4" t="s">
        <v>41</v>
      </c>
      <c r="F282" s="4" t="s">
        <v>399</v>
      </c>
      <c r="G282" s="4" t="s">
        <v>1883</v>
      </c>
      <c r="H282" s="7" t="s">
        <v>42</v>
      </c>
      <c r="I282" s="7"/>
      <c r="J282" s="4" t="s">
        <v>4948</v>
      </c>
    </row>
    <row r="283" spans="1:10" ht="54" customHeight="1">
      <c r="A283" s="8" t="s">
        <v>394</v>
      </c>
      <c r="B283" s="8" t="s">
        <v>395</v>
      </c>
      <c r="C283" s="8" t="s">
        <v>5485</v>
      </c>
      <c r="D283" s="8" t="s">
        <v>5486</v>
      </c>
      <c r="E283" s="8" t="s">
        <v>41</v>
      </c>
      <c r="F283" s="8" t="s">
        <v>399</v>
      </c>
      <c r="G283" s="8" t="s">
        <v>1883</v>
      </c>
      <c r="H283" s="7" t="s">
        <v>42</v>
      </c>
      <c r="I283" s="7"/>
      <c r="J283" s="8" t="s">
        <v>4948</v>
      </c>
    </row>
    <row r="284" spans="1:10" ht="40" customHeight="1">
      <c r="A284" s="4" t="s">
        <v>402</v>
      </c>
      <c r="B284" s="4" t="s">
        <v>403</v>
      </c>
      <c r="C284" s="4" t="s">
        <v>5487</v>
      </c>
      <c r="D284" s="4" t="s">
        <v>5488</v>
      </c>
      <c r="E284" s="4" t="s">
        <v>41</v>
      </c>
      <c r="F284" s="4" t="s">
        <v>408</v>
      </c>
      <c r="G284" s="4" t="s">
        <v>1894</v>
      </c>
      <c r="H284" s="7" t="s">
        <v>42</v>
      </c>
      <c r="I284" s="7"/>
      <c r="J284" s="4" t="s">
        <v>4948</v>
      </c>
    </row>
    <row r="285" spans="1:10" ht="110" customHeight="1">
      <c r="A285" s="8" t="s">
        <v>402</v>
      </c>
      <c r="B285" s="8" t="s">
        <v>403</v>
      </c>
      <c r="C285" s="8" t="s">
        <v>5489</v>
      </c>
      <c r="D285" s="8" t="s">
        <v>5490</v>
      </c>
      <c r="E285" s="8" t="s">
        <v>41</v>
      </c>
      <c r="F285" s="8" t="s">
        <v>408</v>
      </c>
      <c r="G285" s="8" t="s">
        <v>1894</v>
      </c>
      <c r="H285" s="7" t="s">
        <v>42</v>
      </c>
      <c r="I285" s="7"/>
      <c r="J285" s="8" t="s">
        <v>4948</v>
      </c>
    </row>
    <row r="286" spans="1:10" ht="110" customHeight="1">
      <c r="A286" s="4" t="s">
        <v>402</v>
      </c>
      <c r="B286" s="4" t="s">
        <v>403</v>
      </c>
      <c r="C286" s="4" t="s">
        <v>5491</v>
      </c>
      <c r="D286" s="4" t="s">
        <v>5492</v>
      </c>
      <c r="E286" s="4" t="s">
        <v>41</v>
      </c>
      <c r="F286" s="4" t="s">
        <v>408</v>
      </c>
      <c r="G286" s="4" t="s">
        <v>1894</v>
      </c>
      <c r="H286" s="7" t="s">
        <v>42</v>
      </c>
      <c r="I286" s="7"/>
      <c r="J286" s="4" t="s">
        <v>4948</v>
      </c>
    </row>
    <row r="287" spans="1:10" ht="40" customHeight="1">
      <c r="A287" s="8" t="s">
        <v>402</v>
      </c>
      <c r="B287" s="8" t="s">
        <v>403</v>
      </c>
      <c r="C287" s="8" t="s">
        <v>5493</v>
      </c>
      <c r="D287" s="8" t="s">
        <v>5494</v>
      </c>
      <c r="E287" s="8" t="s">
        <v>41</v>
      </c>
      <c r="F287" s="8" t="s">
        <v>408</v>
      </c>
      <c r="G287" s="8" t="s">
        <v>1894</v>
      </c>
      <c r="H287" s="7" t="s">
        <v>42</v>
      </c>
      <c r="I287" s="7"/>
      <c r="J287" s="8" t="s">
        <v>4948</v>
      </c>
    </row>
    <row r="288" spans="1:10" ht="40" customHeight="1">
      <c r="A288" s="4" t="s">
        <v>402</v>
      </c>
      <c r="B288" s="4" t="s">
        <v>403</v>
      </c>
      <c r="C288" s="4" t="s">
        <v>5495</v>
      </c>
      <c r="D288" s="4" t="s">
        <v>5496</v>
      </c>
      <c r="E288" s="4" t="s">
        <v>41</v>
      </c>
      <c r="F288" s="4" t="s">
        <v>408</v>
      </c>
      <c r="G288" s="4" t="s">
        <v>1894</v>
      </c>
      <c r="H288" s="7" t="s">
        <v>42</v>
      </c>
      <c r="I288" s="7"/>
      <c r="J288" s="4" t="s">
        <v>4948</v>
      </c>
    </row>
    <row r="289" spans="1:10" ht="68" customHeight="1">
      <c r="A289" s="8" t="s">
        <v>402</v>
      </c>
      <c r="B289" s="8" t="s">
        <v>403</v>
      </c>
      <c r="C289" s="8" t="s">
        <v>5497</v>
      </c>
      <c r="D289" s="8" t="s">
        <v>5498</v>
      </c>
      <c r="E289" s="8" t="s">
        <v>41</v>
      </c>
      <c r="F289" s="8" t="s">
        <v>408</v>
      </c>
      <c r="G289" s="8" t="s">
        <v>1894</v>
      </c>
      <c r="H289" s="7" t="s">
        <v>42</v>
      </c>
      <c r="I289" s="7"/>
      <c r="J289" s="8" t="s">
        <v>4948</v>
      </c>
    </row>
    <row r="290" spans="1:10" ht="40" customHeight="1">
      <c r="A290" s="4" t="s">
        <v>402</v>
      </c>
      <c r="B290" s="4" t="s">
        <v>403</v>
      </c>
      <c r="C290" s="4" t="s">
        <v>5499</v>
      </c>
      <c r="D290" s="4" t="s">
        <v>5500</v>
      </c>
      <c r="E290" s="4" t="s">
        <v>41</v>
      </c>
      <c r="F290" s="4" t="s">
        <v>408</v>
      </c>
      <c r="G290" s="4" t="s">
        <v>1894</v>
      </c>
      <c r="H290" s="7" t="s">
        <v>42</v>
      </c>
      <c r="I290" s="7"/>
      <c r="J290" s="4" t="s">
        <v>4948</v>
      </c>
    </row>
    <row r="291" spans="1:10" ht="54" customHeight="1">
      <c r="A291" s="8" t="s">
        <v>402</v>
      </c>
      <c r="B291" s="8" t="s">
        <v>403</v>
      </c>
      <c r="C291" s="8" t="s">
        <v>5501</v>
      </c>
      <c r="D291" s="8" t="s">
        <v>5502</v>
      </c>
      <c r="E291" s="8" t="s">
        <v>41</v>
      </c>
      <c r="F291" s="8" t="s">
        <v>408</v>
      </c>
      <c r="G291" s="8" t="s">
        <v>1894</v>
      </c>
      <c r="H291" s="7" t="s">
        <v>42</v>
      </c>
      <c r="I291" s="7"/>
      <c r="J291" s="8" t="s">
        <v>4948</v>
      </c>
    </row>
    <row r="292" spans="1:10" ht="40" customHeight="1">
      <c r="A292" s="4" t="s">
        <v>402</v>
      </c>
      <c r="B292" s="4" t="s">
        <v>403</v>
      </c>
      <c r="C292" s="4" t="s">
        <v>5503</v>
      </c>
      <c r="D292" s="4" t="s">
        <v>5504</v>
      </c>
      <c r="E292" s="4" t="s">
        <v>5504</v>
      </c>
      <c r="F292" s="4" t="s">
        <v>408</v>
      </c>
      <c r="G292" s="4" t="s">
        <v>1894</v>
      </c>
      <c r="H292" s="7" t="s">
        <v>42</v>
      </c>
      <c r="I292" s="7"/>
      <c r="J292" s="4" t="s">
        <v>1002</v>
      </c>
    </row>
    <row r="293" spans="1:10" ht="40" customHeight="1">
      <c r="A293" s="8" t="s">
        <v>402</v>
      </c>
      <c r="B293" s="8" t="s">
        <v>403</v>
      </c>
      <c r="C293" s="8" t="s">
        <v>5505</v>
      </c>
      <c r="D293" s="8" t="s">
        <v>5506</v>
      </c>
      <c r="E293" s="8" t="s">
        <v>5504</v>
      </c>
      <c r="F293" s="8" t="s">
        <v>408</v>
      </c>
      <c r="G293" s="8" t="s">
        <v>1894</v>
      </c>
      <c r="H293" s="7" t="s">
        <v>42</v>
      </c>
      <c r="I293" s="7"/>
      <c r="J293" s="8" t="s">
        <v>4948</v>
      </c>
    </row>
    <row r="294" spans="1:10" ht="40" customHeight="1">
      <c r="A294" s="4" t="s">
        <v>402</v>
      </c>
      <c r="B294" s="4" t="s">
        <v>403</v>
      </c>
      <c r="C294" s="4" t="s">
        <v>5507</v>
      </c>
      <c r="D294" s="4" t="s">
        <v>5508</v>
      </c>
      <c r="E294" s="4" t="s">
        <v>5504</v>
      </c>
      <c r="F294" s="4" t="s">
        <v>408</v>
      </c>
      <c r="G294" s="4" t="s">
        <v>1894</v>
      </c>
      <c r="H294" s="7" t="s">
        <v>42</v>
      </c>
      <c r="I294" s="7"/>
      <c r="J294" s="4" t="s">
        <v>4948</v>
      </c>
    </row>
    <row r="295" spans="1:10" ht="40" customHeight="1">
      <c r="A295" s="8" t="s">
        <v>402</v>
      </c>
      <c r="B295" s="8" t="s">
        <v>403</v>
      </c>
      <c r="C295" s="8" t="s">
        <v>5509</v>
      </c>
      <c r="D295" s="8" t="s">
        <v>5510</v>
      </c>
      <c r="E295" s="8" t="s">
        <v>5504</v>
      </c>
      <c r="F295" s="8" t="s">
        <v>408</v>
      </c>
      <c r="G295" s="8" t="s">
        <v>1894</v>
      </c>
      <c r="H295" s="7" t="s">
        <v>42</v>
      </c>
      <c r="I295" s="7"/>
      <c r="J295" s="8" t="s">
        <v>4948</v>
      </c>
    </row>
    <row r="296" spans="1:10" ht="40" customHeight="1">
      <c r="A296" s="4" t="s">
        <v>402</v>
      </c>
      <c r="B296" s="4" t="s">
        <v>403</v>
      </c>
      <c r="C296" s="4" t="s">
        <v>5511</v>
      </c>
      <c r="D296" s="4" t="s">
        <v>5512</v>
      </c>
      <c r="E296" s="4" t="s">
        <v>5504</v>
      </c>
      <c r="F296" s="4" t="s">
        <v>408</v>
      </c>
      <c r="G296" s="4" t="s">
        <v>1894</v>
      </c>
      <c r="H296" s="7" t="s">
        <v>42</v>
      </c>
      <c r="I296" s="7"/>
      <c r="J296" s="4" t="s">
        <v>4948</v>
      </c>
    </row>
    <row r="297" spans="1:10" ht="54" customHeight="1">
      <c r="A297" s="8" t="s">
        <v>402</v>
      </c>
      <c r="B297" s="8" t="s">
        <v>403</v>
      </c>
      <c r="C297" s="8" t="s">
        <v>5513</v>
      </c>
      <c r="D297" s="8" t="s">
        <v>5514</v>
      </c>
      <c r="E297" s="8" t="s">
        <v>5504</v>
      </c>
      <c r="F297" s="8" t="s">
        <v>408</v>
      </c>
      <c r="G297" s="8" t="s">
        <v>1894</v>
      </c>
      <c r="H297" s="7" t="s">
        <v>42</v>
      </c>
      <c r="I297" s="7"/>
      <c r="J297" s="8" t="s">
        <v>4948</v>
      </c>
    </row>
    <row r="298" spans="1:10" ht="40" customHeight="1">
      <c r="A298" s="4" t="s">
        <v>402</v>
      </c>
      <c r="B298" s="4" t="s">
        <v>403</v>
      </c>
      <c r="C298" s="4" t="s">
        <v>5515</v>
      </c>
      <c r="D298" s="4" t="s">
        <v>5516</v>
      </c>
      <c r="E298" s="4" t="s">
        <v>5504</v>
      </c>
      <c r="F298" s="4" t="s">
        <v>408</v>
      </c>
      <c r="G298" s="4" t="s">
        <v>1894</v>
      </c>
      <c r="H298" s="7" t="s">
        <v>42</v>
      </c>
      <c r="I298" s="7"/>
      <c r="J298" s="4" t="s">
        <v>4948</v>
      </c>
    </row>
    <row r="299" spans="1:10" ht="40" customHeight="1">
      <c r="A299" s="8" t="s">
        <v>402</v>
      </c>
      <c r="B299" s="8" t="s">
        <v>403</v>
      </c>
      <c r="C299" s="8" t="s">
        <v>5517</v>
      </c>
      <c r="D299" s="8" t="s">
        <v>5518</v>
      </c>
      <c r="E299" s="8" t="s">
        <v>5504</v>
      </c>
      <c r="F299" s="8" t="s">
        <v>408</v>
      </c>
      <c r="G299" s="8" t="s">
        <v>1894</v>
      </c>
      <c r="H299" s="7" t="s">
        <v>42</v>
      </c>
      <c r="I299" s="7"/>
      <c r="J299" s="8" t="s">
        <v>4948</v>
      </c>
    </row>
    <row r="300" spans="1:10" ht="54" customHeight="1">
      <c r="A300" s="4" t="s">
        <v>402</v>
      </c>
      <c r="B300" s="4" t="s">
        <v>403</v>
      </c>
      <c r="C300" s="4" t="s">
        <v>5519</v>
      </c>
      <c r="D300" s="4" t="s">
        <v>5520</v>
      </c>
      <c r="E300" s="4" t="s">
        <v>5504</v>
      </c>
      <c r="F300" s="4" t="s">
        <v>408</v>
      </c>
      <c r="G300" s="4" t="s">
        <v>1894</v>
      </c>
      <c r="H300" s="7" t="s">
        <v>42</v>
      </c>
      <c r="I300" s="7"/>
      <c r="J300" s="4" t="s">
        <v>4948</v>
      </c>
    </row>
    <row r="301" spans="1:10" ht="40" customHeight="1">
      <c r="A301" s="8" t="s">
        <v>402</v>
      </c>
      <c r="B301" s="8" t="s">
        <v>403</v>
      </c>
      <c r="C301" s="8" t="s">
        <v>5521</v>
      </c>
      <c r="D301" s="8" t="s">
        <v>5522</v>
      </c>
      <c r="E301" s="8" t="s">
        <v>5504</v>
      </c>
      <c r="F301" s="8" t="s">
        <v>408</v>
      </c>
      <c r="G301" s="8" t="s">
        <v>1894</v>
      </c>
      <c r="H301" s="7" t="s">
        <v>42</v>
      </c>
      <c r="I301" s="7"/>
      <c r="J301" s="8" t="s">
        <v>4948</v>
      </c>
    </row>
    <row r="302" spans="1:10" ht="54" customHeight="1">
      <c r="A302" s="4" t="s">
        <v>411</v>
      </c>
      <c r="B302" s="4" t="s">
        <v>412</v>
      </c>
      <c r="C302" s="4" t="s">
        <v>5523</v>
      </c>
      <c r="D302" s="4" t="s">
        <v>5524</v>
      </c>
      <c r="E302" s="4" t="s">
        <v>5524</v>
      </c>
      <c r="F302" s="4" t="s">
        <v>416</v>
      </c>
      <c r="G302" s="4" t="s">
        <v>1914</v>
      </c>
      <c r="H302" s="7" t="s">
        <v>42</v>
      </c>
      <c r="I302" s="7"/>
      <c r="J302" s="4" t="s">
        <v>1002</v>
      </c>
    </row>
    <row r="303" spans="1:10" ht="54" customHeight="1">
      <c r="A303" s="8" t="s">
        <v>411</v>
      </c>
      <c r="B303" s="8" t="s">
        <v>412</v>
      </c>
      <c r="C303" s="8" t="s">
        <v>5525</v>
      </c>
      <c r="D303" s="8" t="s">
        <v>5526</v>
      </c>
      <c r="E303" s="8" t="s">
        <v>5524</v>
      </c>
      <c r="F303" s="8" t="s">
        <v>416</v>
      </c>
      <c r="G303" s="8" t="s">
        <v>1914</v>
      </c>
      <c r="H303" s="7" t="s">
        <v>42</v>
      </c>
      <c r="I303" s="7"/>
      <c r="J303" s="8" t="s">
        <v>4948</v>
      </c>
    </row>
    <row r="304" spans="1:10" ht="54" customHeight="1">
      <c r="A304" s="4" t="s">
        <v>411</v>
      </c>
      <c r="B304" s="4" t="s">
        <v>412</v>
      </c>
      <c r="C304" s="4" t="s">
        <v>5527</v>
      </c>
      <c r="D304" s="4" t="s">
        <v>5528</v>
      </c>
      <c r="E304" s="4" t="s">
        <v>5524</v>
      </c>
      <c r="F304" s="4" t="s">
        <v>416</v>
      </c>
      <c r="G304" s="4" t="s">
        <v>1914</v>
      </c>
      <c r="H304" s="7" t="s">
        <v>42</v>
      </c>
      <c r="I304" s="7"/>
      <c r="J304" s="4" t="s">
        <v>4948</v>
      </c>
    </row>
    <row r="305" spans="1:10" ht="54" customHeight="1">
      <c r="A305" s="8" t="s">
        <v>411</v>
      </c>
      <c r="B305" s="8" t="s">
        <v>412</v>
      </c>
      <c r="C305" s="8" t="s">
        <v>5529</v>
      </c>
      <c r="D305" s="8" t="s">
        <v>5530</v>
      </c>
      <c r="E305" s="8" t="s">
        <v>5530</v>
      </c>
      <c r="F305" s="8" t="s">
        <v>416</v>
      </c>
      <c r="G305" s="8" t="s">
        <v>1914</v>
      </c>
      <c r="H305" s="7" t="s">
        <v>42</v>
      </c>
      <c r="I305" s="7"/>
      <c r="J305" s="8" t="s">
        <v>1002</v>
      </c>
    </row>
    <row r="306" spans="1:10" ht="54" customHeight="1">
      <c r="A306" s="4" t="s">
        <v>411</v>
      </c>
      <c r="B306" s="4" t="s">
        <v>412</v>
      </c>
      <c r="C306" s="4" t="s">
        <v>5531</v>
      </c>
      <c r="D306" s="4" t="s">
        <v>5532</v>
      </c>
      <c r="E306" s="4" t="s">
        <v>5530</v>
      </c>
      <c r="F306" s="4" t="s">
        <v>416</v>
      </c>
      <c r="G306" s="4" t="s">
        <v>1914</v>
      </c>
      <c r="H306" s="7" t="s">
        <v>42</v>
      </c>
      <c r="I306" s="7"/>
      <c r="J306" s="4" t="s">
        <v>4948</v>
      </c>
    </row>
    <row r="307" spans="1:10" ht="54" customHeight="1">
      <c r="A307" s="8" t="s">
        <v>411</v>
      </c>
      <c r="B307" s="8" t="s">
        <v>412</v>
      </c>
      <c r="C307" s="8" t="s">
        <v>5533</v>
      </c>
      <c r="D307" s="8" t="s">
        <v>5534</v>
      </c>
      <c r="E307" s="8" t="s">
        <v>5530</v>
      </c>
      <c r="F307" s="8" t="s">
        <v>416</v>
      </c>
      <c r="G307" s="8" t="s">
        <v>1914</v>
      </c>
      <c r="H307" s="7" t="s">
        <v>42</v>
      </c>
      <c r="I307" s="7"/>
      <c r="J307" s="8" t="s">
        <v>4948</v>
      </c>
    </row>
    <row r="308" spans="1:10" ht="54" customHeight="1">
      <c r="A308" s="4" t="s">
        <v>411</v>
      </c>
      <c r="B308" s="4" t="s">
        <v>412</v>
      </c>
      <c r="C308" s="4" t="s">
        <v>5535</v>
      </c>
      <c r="D308" s="4" t="s">
        <v>5536</v>
      </c>
      <c r="E308" s="4" t="s">
        <v>5530</v>
      </c>
      <c r="F308" s="4" t="s">
        <v>416</v>
      </c>
      <c r="G308" s="4" t="s">
        <v>1914</v>
      </c>
      <c r="H308" s="7" t="s">
        <v>42</v>
      </c>
      <c r="I308" s="7"/>
      <c r="J308" s="4" t="s">
        <v>4948</v>
      </c>
    </row>
    <row r="309" spans="1:10" ht="54" customHeight="1">
      <c r="A309" s="8" t="s">
        <v>411</v>
      </c>
      <c r="B309" s="8" t="s">
        <v>412</v>
      </c>
      <c r="C309" s="8" t="s">
        <v>5537</v>
      </c>
      <c r="D309" s="8" t="s">
        <v>5538</v>
      </c>
      <c r="E309" s="8" t="s">
        <v>5530</v>
      </c>
      <c r="F309" s="8" t="s">
        <v>416</v>
      </c>
      <c r="G309" s="8" t="s">
        <v>1914</v>
      </c>
      <c r="H309" s="7" t="s">
        <v>42</v>
      </c>
      <c r="I309" s="7"/>
      <c r="J309" s="8" t="s">
        <v>4948</v>
      </c>
    </row>
    <row r="310" spans="1:10" ht="54" customHeight="1">
      <c r="A310" s="4" t="s">
        <v>411</v>
      </c>
      <c r="B310" s="4" t="s">
        <v>412</v>
      </c>
      <c r="C310" s="4" t="s">
        <v>5539</v>
      </c>
      <c r="D310" s="4" t="s">
        <v>5540</v>
      </c>
      <c r="E310" s="4" t="s">
        <v>5530</v>
      </c>
      <c r="F310" s="4" t="s">
        <v>416</v>
      </c>
      <c r="G310" s="4" t="s">
        <v>1914</v>
      </c>
      <c r="H310" s="7" t="s">
        <v>42</v>
      </c>
      <c r="I310" s="7"/>
      <c r="J310" s="4" t="s">
        <v>4948</v>
      </c>
    </row>
    <row r="311" spans="1:10" ht="40" customHeight="1">
      <c r="A311" s="8" t="s">
        <v>419</v>
      </c>
      <c r="B311" s="8" t="s">
        <v>420</v>
      </c>
      <c r="C311" s="8" t="s">
        <v>5541</v>
      </c>
      <c r="D311" s="8" t="s">
        <v>5542</v>
      </c>
      <c r="E311" s="8" t="s">
        <v>41</v>
      </c>
      <c r="F311" s="8" t="s">
        <v>427</v>
      </c>
      <c r="G311" s="8" t="s">
        <v>1955</v>
      </c>
      <c r="H311" s="7" t="s">
        <v>42</v>
      </c>
      <c r="I311" s="7"/>
      <c r="J311" s="8" t="s">
        <v>4948</v>
      </c>
    </row>
    <row r="312" spans="1:10" ht="40" customHeight="1">
      <c r="A312" s="4" t="s">
        <v>419</v>
      </c>
      <c r="B312" s="4" t="s">
        <v>420</v>
      </c>
      <c r="C312" s="4" t="s">
        <v>5543</v>
      </c>
      <c r="D312" s="4" t="s">
        <v>5544</v>
      </c>
      <c r="E312" s="4" t="s">
        <v>41</v>
      </c>
      <c r="F312" s="4" t="s">
        <v>427</v>
      </c>
      <c r="G312" s="4" t="s">
        <v>1955</v>
      </c>
      <c r="H312" s="7" t="s">
        <v>42</v>
      </c>
      <c r="I312" s="7"/>
      <c r="J312" s="4" t="s">
        <v>4948</v>
      </c>
    </row>
    <row r="313" spans="1:10" ht="68" customHeight="1">
      <c r="A313" s="8" t="s">
        <v>419</v>
      </c>
      <c r="B313" s="8" t="s">
        <v>420</v>
      </c>
      <c r="C313" s="8" t="s">
        <v>5545</v>
      </c>
      <c r="D313" s="8" t="s">
        <v>5546</v>
      </c>
      <c r="E313" s="8" t="s">
        <v>41</v>
      </c>
      <c r="F313" s="8" t="s">
        <v>427</v>
      </c>
      <c r="G313" s="8" t="s">
        <v>1955</v>
      </c>
      <c r="H313" s="7" t="s">
        <v>42</v>
      </c>
      <c r="I313" s="7"/>
      <c r="J313" s="8" t="s">
        <v>4948</v>
      </c>
    </row>
    <row r="314" spans="1:10" ht="40" customHeight="1">
      <c r="A314" s="4" t="s">
        <v>419</v>
      </c>
      <c r="B314" s="4" t="s">
        <v>420</v>
      </c>
      <c r="C314" s="4" t="s">
        <v>5547</v>
      </c>
      <c r="D314" s="4" t="s">
        <v>5548</v>
      </c>
      <c r="E314" s="4" t="s">
        <v>41</v>
      </c>
      <c r="F314" s="4" t="s">
        <v>427</v>
      </c>
      <c r="G314" s="4" t="s">
        <v>1955</v>
      </c>
      <c r="H314" s="7" t="s">
        <v>42</v>
      </c>
      <c r="I314" s="7"/>
      <c r="J314" s="4" t="s">
        <v>4948</v>
      </c>
    </row>
    <row r="315" spans="1:10" ht="54" customHeight="1">
      <c r="A315" s="8" t="s">
        <v>419</v>
      </c>
      <c r="B315" s="8" t="s">
        <v>420</v>
      </c>
      <c r="C315" s="8" t="s">
        <v>5549</v>
      </c>
      <c r="D315" s="8" t="s">
        <v>5550</v>
      </c>
      <c r="E315" s="8" t="s">
        <v>41</v>
      </c>
      <c r="F315" s="8" t="s">
        <v>427</v>
      </c>
      <c r="G315" s="8" t="s">
        <v>1955</v>
      </c>
      <c r="H315" s="7" t="s">
        <v>42</v>
      </c>
      <c r="I315" s="7"/>
      <c r="J315" s="8" t="s">
        <v>4948</v>
      </c>
    </row>
    <row r="316" spans="1:10" ht="54" customHeight="1">
      <c r="A316" s="4" t="s">
        <v>419</v>
      </c>
      <c r="B316" s="4" t="s">
        <v>420</v>
      </c>
      <c r="C316" s="4" t="s">
        <v>5551</v>
      </c>
      <c r="D316" s="4" t="s">
        <v>5552</v>
      </c>
      <c r="E316" s="4" t="s">
        <v>41</v>
      </c>
      <c r="F316" s="4" t="s">
        <v>427</v>
      </c>
      <c r="G316" s="4" t="s">
        <v>1955</v>
      </c>
      <c r="H316" s="7" t="s">
        <v>42</v>
      </c>
      <c r="I316" s="7"/>
      <c r="J316" s="4" t="s">
        <v>4948</v>
      </c>
    </row>
    <row r="317" spans="1:10" ht="68" customHeight="1">
      <c r="A317" s="8" t="s">
        <v>419</v>
      </c>
      <c r="B317" s="8" t="s">
        <v>420</v>
      </c>
      <c r="C317" s="8" t="s">
        <v>5553</v>
      </c>
      <c r="D317" s="8" t="s">
        <v>5554</v>
      </c>
      <c r="E317" s="8" t="s">
        <v>41</v>
      </c>
      <c r="F317" s="8" t="s">
        <v>427</v>
      </c>
      <c r="G317" s="8" t="s">
        <v>1955</v>
      </c>
      <c r="H317" s="7" t="s">
        <v>42</v>
      </c>
      <c r="I317" s="7"/>
      <c r="J317" s="8" t="s">
        <v>4948</v>
      </c>
    </row>
    <row r="318" spans="1:10" ht="40" customHeight="1">
      <c r="A318" s="4" t="s">
        <v>430</v>
      </c>
      <c r="B318" s="4" t="s">
        <v>431</v>
      </c>
      <c r="C318" s="4" t="s">
        <v>5555</v>
      </c>
      <c r="D318" s="4" t="s">
        <v>5556</v>
      </c>
      <c r="E318" s="4" t="s">
        <v>41</v>
      </c>
      <c r="F318" s="4" t="s">
        <v>436</v>
      </c>
      <c r="G318" s="4" t="s">
        <v>1966</v>
      </c>
      <c r="H318" s="7" t="s">
        <v>42</v>
      </c>
      <c r="I318" s="7"/>
      <c r="J318" s="4" t="s">
        <v>4948</v>
      </c>
    </row>
    <row r="319" spans="1:10" ht="40" customHeight="1">
      <c r="A319" s="8" t="s">
        <v>430</v>
      </c>
      <c r="B319" s="8" t="s">
        <v>431</v>
      </c>
      <c r="C319" s="8" t="s">
        <v>5557</v>
      </c>
      <c r="D319" s="8" t="s">
        <v>5558</v>
      </c>
      <c r="E319" s="8" t="s">
        <v>41</v>
      </c>
      <c r="F319" s="8" t="s">
        <v>436</v>
      </c>
      <c r="G319" s="8" t="s">
        <v>1966</v>
      </c>
      <c r="H319" s="7" t="s">
        <v>42</v>
      </c>
      <c r="I319" s="7"/>
      <c r="J319" s="8" t="s">
        <v>4948</v>
      </c>
    </row>
    <row r="320" spans="1:10" ht="40" customHeight="1">
      <c r="A320" s="4" t="s">
        <v>430</v>
      </c>
      <c r="B320" s="4" t="s">
        <v>431</v>
      </c>
      <c r="C320" s="4" t="s">
        <v>5559</v>
      </c>
      <c r="D320" s="4" t="s">
        <v>5560</v>
      </c>
      <c r="E320" s="4" t="s">
        <v>41</v>
      </c>
      <c r="F320" s="4" t="s">
        <v>436</v>
      </c>
      <c r="G320" s="4" t="s">
        <v>1966</v>
      </c>
      <c r="H320" s="7" t="s">
        <v>42</v>
      </c>
      <c r="I320" s="7"/>
      <c r="J320" s="4" t="s">
        <v>4948</v>
      </c>
    </row>
    <row r="321" spans="1:10" ht="40" customHeight="1">
      <c r="A321" s="8" t="s">
        <v>430</v>
      </c>
      <c r="B321" s="8" t="s">
        <v>431</v>
      </c>
      <c r="C321" s="8" t="s">
        <v>5561</v>
      </c>
      <c r="D321" s="8" t="s">
        <v>5562</v>
      </c>
      <c r="E321" s="8" t="s">
        <v>41</v>
      </c>
      <c r="F321" s="8" t="s">
        <v>436</v>
      </c>
      <c r="G321" s="8" t="s">
        <v>1966</v>
      </c>
      <c r="H321" s="7" t="s">
        <v>42</v>
      </c>
      <c r="I321" s="7"/>
      <c r="J321" s="8" t="s">
        <v>4948</v>
      </c>
    </row>
    <row r="322" spans="1:10" ht="40" customHeight="1">
      <c r="A322" s="4" t="s">
        <v>430</v>
      </c>
      <c r="B322" s="4" t="s">
        <v>431</v>
      </c>
      <c r="C322" s="4" t="s">
        <v>5563</v>
      </c>
      <c r="D322" s="4" t="s">
        <v>5564</v>
      </c>
      <c r="E322" s="4" t="s">
        <v>41</v>
      </c>
      <c r="F322" s="4" t="s">
        <v>436</v>
      </c>
      <c r="G322" s="4" t="s">
        <v>1966</v>
      </c>
      <c r="H322" s="7" t="s">
        <v>42</v>
      </c>
      <c r="I322" s="7"/>
      <c r="J322" s="4" t="s">
        <v>4948</v>
      </c>
    </row>
    <row r="323" spans="1:10" ht="40" customHeight="1">
      <c r="A323" s="8" t="s">
        <v>439</v>
      </c>
      <c r="B323" s="8" t="s">
        <v>440</v>
      </c>
      <c r="C323" s="8" t="s">
        <v>5565</v>
      </c>
      <c r="D323" s="8" t="s">
        <v>5566</v>
      </c>
      <c r="E323" s="8" t="s">
        <v>41</v>
      </c>
      <c r="F323" s="8" t="s">
        <v>446</v>
      </c>
      <c r="G323" s="8" t="s">
        <v>1979</v>
      </c>
      <c r="H323" s="7" t="s">
        <v>42</v>
      </c>
      <c r="I323" s="7"/>
      <c r="J323" s="8" t="s">
        <v>4948</v>
      </c>
    </row>
    <row r="324" spans="1:10" ht="40" customHeight="1">
      <c r="A324" s="4" t="s">
        <v>439</v>
      </c>
      <c r="B324" s="4" t="s">
        <v>440</v>
      </c>
      <c r="C324" s="4" t="s">
        <v>5567</v>
      </c>
      <c r="D324" s="4" t="s">
        <v>5568</v>
      </c>
      <c r="E324" s="4" t="s">
        <v>41</v>
      </c>
      <c r="F324" s="4" t="s">
        <v>446</v>
      </c>
      <c r="G324" s="4" t="s">
        <v>1979</v>
      </c>
      <c r="H324" s="7" t="s">
        <v>42</v>
      </c>
      <c r="I324" s="7"/>
      <c r="J324" s="4" t="s">
        <v>4948</v>
      </c>
    </row>
    <row r="325" spans="1:10" ht="40" customHeight="1">
      <c r="A325" s="8" t="s">
        <v>439</v>
      </c>
      <c r="B325" s="8" t="s">
        <v>440</v>
      </c>
      <c r="C325" s="8" t="s">
        <v>5569</v>
      </c>
      <c r="D325" s="8" t="s">
        <v>5570</v>
      </c>
      <c r="E325" s="8" t="s">
        <v>41</v>
      </c>
      <c r="F325" s="8" t="s">
        <v>446</v>
      </c>
      <c r="G325" s="8" t="s">
        <v>1979</v>
      </c>
      <c r="H325" s="7" t="s">
        <v>42</v>
      </c>
      <c r="I325" s="7"/>
      <c r="J325" s="8" t="s">
        <v>4948</v>
      </c>
    </row>
    <row r="326" spans="1:10" ht="40" customHeight="1">
      <c r="A326" s="4" t="s">
        <v>439</v>
      </c>
      <c r="B326" s="4" t="s">
        <v>440</v>
      </c>
      <c r="C326" s="4" t="s">
        <v>5571</v>
      </c>
      <c r="D326" s="4" t="s">
        <v>5572</v>
      </c>
      <c r="E326" s="4" t="s">
        <v>41</v>
      </c>
      <c r="F326" s="4" t="s">
        <v>446</v>
      </c>
      <c r="G326" s="4" t="s">
        <v>1979</v>
      </c>
      <c r="H326" s="7" t="s">
        <v>42</v>
      </c>
      <c r="I326" s="7"/>
      <c r="J326" s="4" t="s">
        <v>4948</v>
      </c>
    </row>
    <row r="327" spans="1:10" ht="40" customHeight="1">
      <c r="A327" s="8" t="s">
        <v>439</v>
      </c>
      <c r="B327" s="8" t="s">
        <v>440</v>
      </c>
      <c r="C327" s="8" t="s">
        <v>5573</v>
      </c>
      <c r="D327" s="8" t="s">
        <v>5574</v>
      </c>
      <c r="E327" s="8" t="s">
        <v>41</v>
      </c>
      <c r="F327" s="8" t="s">
        <v>446</v>
      </c>
      <c r="G327" s="8" t="s">
        <v>1979</v>
      </c>
      <c r="H327" s="7" t="s">
        <v>42</v>
      </c>
      <c r="I327" s="7"/>
      <c r="J327" s="8" t="s">
        <v>4948</v>
      </c>
    </row>
    <row r="328" spans="1:10" ht="40" customHeight="1">
      <c r="A328" s="4" t="s">
        <v>439</v>
      </c>
      <c r="B328" s="4" t="s">
        <v>440</v>
      </c>
      <c r="C328" s="4" t="s">
        <v>5575</v>
      </c>
      <c r="D328" s="4" t="s">
        <v>5576</v>
      </c>
      <c r="E328" s="4" t="s">
        <v>41</v>
      </c>
      <c r="F328" s="4" t="s">
        <v>446</v>
      </c>
      <c r="G328" s="4" t="s">
        <v>1979</v>
      </c>
      <c r="H328" s="7" t="s">
        <v>42</v>
      </c>
      <c r="I328" s="7"/>
      <c r="J328" s="4" t="s">
        <v>4948</v>
      </c>
    </row>
    <row r="329" spans="1:10" ht="40" customHeight="1">
      <c r="A329" s="8" t="s">
        <v>439</v>
      </c>
      <c r="B329" s="8" t="s">
        <v>440</v>
      </c>
      <c r="C329" s="8" t="s">
        <v>5577</v>
      </c>
      <c r="D329" s="8" t="s">
        <v>5578</v>
      </c>
      <c r="E329" s="8" t="s">
        <v>41</v>
      </c>
      <c r="F329" s="8" t="s">
        <v>446</v>
      </c>
      <c r="G329" s="8" t="s">
        <v>1979</v>
      </c>
      <c r="H329" s="7" t="s">
        <v>42</v>
      </c>
      <c r="I329" s="7"/>
      <c r="J329" s="8" t="s">
        <v>4948</v>
      </c>
    </row>
    <row r="330" spans="1:10" ht="40" customHeight="1">
      <c r="A330" s="4" t="s">
        <v>439</v>
      </c>
      <c r="B330" s="4" t="s">
        <v>440</v>
      </c>
      <c r="C330" s="4" t="s">
        <v>5579</v>
      </c>
      <c r="D330" s="4" t="s">
        <v>5580</v>
      </c>
      <c r="E330" s="4" t="s">
        <v>41</v>
      </c>
      <c r="F330" s="4" t="s">
        <v>446</v>
      </c>
      <c r="G330" s="4" t="s">
        <v>1979</v>
      </c>
      <c r="H330" s="7" t="s">
        <v>42</v>
      </c>
      <c r="I330" s="7"/>
      <c r="J330" s="4" t="s">
        <v>4948</v>
      </c>
    </row>
    <row r="331" spans="1:10" ht="40" customHeight="1">
      <c r="A331" s="8" t="s">
        <v>439</v>
      </c>
      <c r="B331" s="8" t="s">
        <v>440</v>
      </c>
      <c r="C331" s="8" t="s">
        <v>5581</v>
      </c>
      <c r="D331" s="8" t="s">
        <v>5582</v>
      </c>
      <c r="E331" s="8" t="s">
        <v>41</v>
      </c>
      <c r="F331" s="8" t="s">
        <v>446</v>
      </c>
      <c r="G331" s="8" t="s">
        <v>1979</v>
      </c>
      <c r="H331" s="7" t="s">
        <v>42</v>
      </c>
      <c r="I331" s="7"/>
      <c r="J331" s="8" t="s">
        <v>4948</v>
      </c>
    </row>
    <row r="332" spans="1:10" ht="54" customHeight="1">
      <c r="A332" s="4" t="s">
        <v>449</v>
      </c>
      <c r="B332" s="4" t="s">
        <v>450</v>
      </c>
      <c r="C332" s="4" t="s">
        <v>5583</v>
      </c>
      <c r="D332" s="4" t="s">
        <v>5584</v>
      </c>
      <c r="E332" s="4" t="s">
        <v>41</v>
      </c>
      <c r="F332" s="4" t="s">
        <v>454</v>
      </c>
      <c r="G332" s="4" t="s">
        <v>1996</v>
      </c>
      <c r="H332" s="7" t="s">
        <v>42</v>
      </c>
      <c r="I332" s="7"/>
      <c r="J332" s="4" t="s">
        <v>4948</v>
      </c>
    </row>
    <row r="333" spans="1:10" ht="54" customHeight="1">
      <c r="A333" s="8" t="s">
        <v>449</v>
      </c>
      <c r="B333" s="8" t="s">
        <v>450</v>
      </c>
      <c r="C333" s="8" t="s">
        <v>5585</v>
      </c>
      <c r="D333" s="8" t="s">
        <v>5586</v>
      </c>
      <c r="E333" s="8" t="s">
        <v>41</v>
      </c>
      <c r="F333" s="8" t="s">
        <v>454</v>
      </c>
      <c r="G333" s="8" t="s">
        <v>1996</v>
      </c>
      <c r="H333" s="7" t="s">
        <v>42</v>
      </c>
      <c r="I333" s="7"/>
      <c r="J333" s="8" t="s">
        <v>4948</v>
      </c>
    </row>
    <row r="334" spans="1:10" ht="54" customHeight="1">
      <c r="A334" s="4" t="s">
        <v>449</v>
      </c>
      <c r="B334" s="4" t="s">
        <v>450</v>
      </c>
      <c r="C334" s="4" t="s">
        <v>5587</v>
      </c>
      <c r="D334" s="4" t="s">
        <v>5588</v>
      </c>
      <c r="E334" s="4" t="s">
        <v>41</v>
      </c>
      <c r="F334" s="4" t="s">
        <v>454</v>
      </c>
      <c r="G334" s="4" t="s">
        <v>1996</v>
      </c>
      <c r="H334" s="7" t="s">
        <v>42</v>
      </c>
      <c r="I334" s="7"/>
      <c r="J334" s="4" t="s">
        <v>4948</v>
      </c>
    </row>
    <row r="335" spans="1:10" ht="54" customHeight="1">
      <c r="A335" s="8" t="s">
        <v>449</v>
      </c>
      <c r="B335" s="8" t="s">
        <v>450</v>
      </c>
      <c r="C335" s="8" t="s">
        <v>5589</v>
      </c>
      <c r="D335" s="8" t="s">
        <v>5590</v>
      </c>
      <c r="E335" s="8" t="s">
        <v>41</v>
      </c>
      <c r="F335" s="8" t="s">
        <v>454</v>
      </c>
      <c r="G335" s="8" t="s">
        <v>1996</v>
      </c>
      <c r="H335" s="7" t="s">
        <v>42</v>
      </c>
      <c r="I335" s="7"/>
      <c r="J335" s="8" t="s">
        <v>4948</v>
      </c>
    </row>
    <row r="336" spans="1:10" ht="54" customHeight="1">
      <c r="A336" s="4" t="s">
        <v>449</v>
      </c>
      <c r="B336" s="4" t="s">
        <v>450</v>
      </c>
      <c r="C336" s="4" t="s">
        <v>5591</v>
      </c>
      <c r="D336" s="4" t="s">
        <v>5592</v>
      </c>
      <c r="E336" s="4" t="s">
        <v>41</v>
      </c>
      <c r="F336" s="4" t="s">
        <v>454</v>
      </c>
      <c r="G336" s="4" t="s">
        <v>1996</v>
      </c>
      <c r="H336" s="7" t="s">
        <v>42</v>
      </c>
      <c r="I336" s="7"/>
      <c r="J336" s="4" t="s">
        <v>4948</v>
      </c>
    </row>
    <row r="337" spans="1:10" ht="54" customHeight="1">
      <c r="A337" s="8" t="s">
        <v>449</v>
      </c>
      <c r="B337" s="8" t="s">
        <v>450</v>
      </c>
      <c r="C337" s="8" t="s">
        <v>5593</v>
      </c>
      <c r="D337" s="8" t="s">
        <v>5594</v>
      </c>
      <c r="E337" s="8" t="s">
        <v>41</v>
      </c>
      <c r="F337" s="8" t="s">
        <v>454</v>
      </c>
      <c r="G337" s="8" t="s">
        <v>1996</v>
      </c>
      <c r="H337" s="7" t="s">
        <v>42</v>
      </c>
      <c r="I337" s="7"/>
      <c r="J337" s="8" t="s">
        <v>4948</v>
      </c>
    </row>
    <row r="338" spans="1:10" ht="54" customHeight="1">
      <c r="A338" s="4" t="s">
        <v>449</v>
      </c>
      <c r="B338" s="4" t="s">
        <v>450</v>
      </c>
      <c r="C338" s="4" t="s">
        <v>5595</v>
      </c>
      <c r="D338" s="4" t="s">
        <v>5596</v>
      </c>
      <c r="E338" s="4" t="s">
        <v>41</v>
      </c>
      <c r="F338" s="4" t="s">
        <v>454</v>
      </c>
      <c r="G338" s="4" t="s">
        <v>1996</v>
      </c>
      <c r="H338" s="7" t="s">
        <v>42</v>
      </c>
      <c r="I338" s="7"/>
      <c r="J338" s="4" t="s">
        <v>4948</v>
      </c>
    </row>
    <row r="339" spans="1:10" ht="54" customHeight="1">
      <c r="A339" s="8" t="s">
        <v>449</v>
      </c>
      <c r="B339" s="8" t="s">
        <v>450</v>
      </c>
      <c r="C339" s="8" t="s">
        <v>5597</v>
      </c>
      <c r="D339" s="8" t="s">
        <v>5598</v>
      </c>
      <c r="E339" s="8" t="s">
        <v>41</v>
      </c>
      <c r="F339" s="8" t="s">
        <v>454</v>
      </c>
      <c r="G339" s="8" t="s">
        <v>1996</v>
      </c>
      <c r="H339" s="7" t="s">
        <v>42</v>
      </c>
      <c r="I339" s="7"/>
      <c r="J339" s="8" t="s">
        <v>4948</v>
      </c>
    </row>
    <row r="340" spans="1:10" ht="40" customHeight="1">
      <c r="A340" s="4" t="s">
        <v>457</v>
      </c>
      <c r="B340" s="4" t="s">
        <v>458</v>
      </c>
      <c r="C340" s="4" t="s">
        <v>5599</v>
      </c>
      <c r="D340" s="4" t="s">
        <v>5600</v>
      </c>
      <c r="E340" s="4" t="s">
        <v>41</v>
      </c>
      <c r="F340" s="4" t="s">
        <v>464</v>
      </c>
      <c r="G340" s="4" t="s">
        <v>2013</v>
      </c>
      <c r="H340" s="7" t="s">
        <v>42</v>
      </c>
      <c r="I340" s="7"/>
      <c r="J340" s="4" t="s">
        <v>4948</v>
      </c>
    </row>
    <row r="341" spans="1:10" ht="40" customHeight="1">
      <c r="A341" s="8" t="s">
        <v>467</v>
      </c>
      <c r="B341" s="8" t="s">
        <v>468</v>
      </c>
      <c r="C341" s="8" t="s">
        <v>5601</v>
      </c>
      <c r="D341" s="8" t="s">
        <v>5602</v>
      </c>
      <c r="E341" s="8" t="s">
        <v>41</v>
      </c>
      <c r="F341" s="8" t="s">
        <v>473</v>
      </c>
      <c r="G341" s="8" t="s">
        <v>2018</v>
      </c>
      <c r="H341" s="7" t="s">
        <v>42</v>
      </c>
      <c r="I341" s="7"/>
      <c r="J341" s="8" t="s">
        <v>4948</v>
      </c>
    </row>
    <row r="342" spans="1:10" ht="40" customHeight="1">
      <c r="A342" s="4" t="s">
        <v>467</v>
      </c>
      <c r="B342" s="4" t="s">
        <v>468</v>
      </c>
      <c r="C342" s="4" t="s">
        <v>5603</v>
      </c>
      <c r="D342" s="4" t="s">
        <v>5604</v>
      </c>
      <c r="E342" s="4" t="s">
        <v>41</v>
      </c>
      <c r="F342" s="4" t="s">
        <v>473</v>
      </c>
      <c r="G342" s="4" t="s">
        <v>2018</v>
      </c>
      <c r="H342" s="7" t="s">
        <v>42</v>
      </c>
      <c r="I342" s="7"/>
      <c r="J342" s="4" t="s">
        <v>4948</v>
      </c>
    </row>
    <row r="343" spans="1:10" ht="40" customHeight="1">
      <c r="A343" s="8" t="s">
        <v>467</v>
      </c>
      <c r="B343" s="8" t="s">
        <v>468</v>
      </c>
      <c r="C343" s="8" t="s">
        <v>5605</v>
      </c>
      <c r="D343" s="8" t="s">
        <v>5606</v>
      </c>
      <c r="E343" s="8" t="s">
        <v>41</v>
      </c>
      <c r="F343" s="8" t="s">
        <v>473</v>
      </c>
      <c r="G343" s="8" t="s">
        <v>2018</v>
      </c>
      <c r="H343" s="7" t="s">
        <v>42</v>
      </c>
      <c r="I343" s="7"/>
      <c r="J343" s="8" t="s">
        <v>4948</v>
      </c>
    </row>
    <row r="344" spans="1:10" ht="40" customHeight="1">
      <c r="A344" s="4" t="s">
        <v>467</v>
      </c>
      <c r="B344" s="4" t="s">
        <v>468</v>
      </c>
      <c r="C344" s="4" t="s">
        <v>5607</v>
      </c>
      <c r="D344" s="4" t="s">
        <v>5608</v>
      </c>
      <c r="E344" s="4" t="s">
        <v>41</v>
      </c>
      <c r="F344" s="4" t="s">
        <v>473</v>
      </c>
      <c r="G344" s="4" t="s">
        <v>2018</v>
      </c>
      <c r="H344" s="7" t="s">
        <v>42</v>
      </c>
      <c r="I344" s="7"/>
      <c r="J344" s="4" t="s">
        <v>4948</v>
      </c>
    </row>
    <row r="345" spans="1:10" ht="40" customHeight="1">
      <c r="A345" s="8" t="s">
        <v>476</v>
      </c>
      <c r="B345" s="8" t="s">
        <v>477</v>
      </c>
      <c r="C345" s="8" t="s">
        <v>5609</v>
      </c>
      <c r="D345" s="8" t="s">
        <v>5610</v>
      </c>
      <c r="E345" s="8" t="s">
        <v>41</v>
      </c>
      <c r="F345" s="8" t="s">
        <v>483</v>
      </c>
      <c r="G345" s="8" t="s">
        <v>2026</v>
      </c>
      <c r="H345" s="7" t="s">
        <v>42</v>
      </c>
      <c r="I345" s="7"/>
      <c r="J345" s="8" t="s">
        <v>4948</v>
      </c>
    </row>
    <row r="346" spans="1:10" ht="40" customHeight="1">
      <c r="A346" s="4" t="s">
        <v>476</v>
      </c>
      <c r="B346" s="4" t="s">
        <v>477</v>
      </c>
      <c r="C346" s="4" t="s">
        <v>5611</v>
      </c>
      <c r="D346" s="4" t="s">
        <v>5612</v>
      </c>
      <c r="E346" s="4" t="s">
        <v>41</v>
      </c>
      <c r="F346" s="4" t="s">
        <v>483</v>
      </c>
      <c r="G346" s="4" t="s">
        <v>2026</v>
      </c>
      <c r="H346" s="7" t="s">
        <v>42</v>
      </c>
      <c r="I346" s="7"/>
      <c r="J346" s="4" t="s">
        <v>4948</v>
      </c>
    </row>
    <row r="347" spans="1:10" ht="40" customHeight="1">
      <c r="A347" s="8" t="s">
        <v>476</v>
      </c>
      <c r="B347" s="8" t="s">
        <v>477</v>
      </c>
      <c r="C347" s="8" t="s">
        <v>5613</v>
      </c>
      <c r="D347" s="8" t="s">
        <v>5614</v>
      </c>
      <c r="E347" s="8" t="s">
        <v>41</v>
      </c>
      <c r="F347" s="8" t="s">
        <v>483</v>
      </c>
      <c r="G347" s="8" t="s">
        <v>2026</v>
      </c>
      <c r="H347" s="7" t="s">
        <v>42</v>
      </c>
      <c r="I347" s="7"/>
      <c r="J347" s="8" t="s">
        <v>4948</v>
      </c>
    </row>
    <row r="348" spans="1:10" ht="40" customHeight="1">
      <c r="A348" s="4" t="s">
        <v>476</v>
      </c>
      <c r="B348" s="4" t="s">
        <v>477</v>
      </c>
      <c r="C348" s="4" t="s">
        <v>5615</v>
      </c>
      <c r="D348" s="4" t="s">
        <v>5616</v>
      </c>
      <c r="E348" s="4" t="s">
        <v>41</v>
      </c>
      <c r="F348" s="4" t="s">
        <v>483</v>
      </c>
      <c r="G348" s="4" t="s">
        <v>2026</v>
      </c>
      <c r="H348" s="7" t="s">
        <v>42</v>
      </c>
      <c r="I348" s="7"/>
      <c r="J348" s="4" t="s">
        <v>4948</v>
      </c>
    </row>
    <row r="349" spans="1:10" ht="40" customHeight="1">
      <c r="A349" s="8" t="s">
        <v>476</v>
      </c>
      <c r="B349" s="8" t="s">
        <v>477</v>
      </c>
      <c r="C349" s="8" t="s">
        <v>5617</v>
      </c>
      <c r="D349" s="8" t="s">
        <v>5618</v>
      </c>
      <c r="E349" s="8" t="s">
        <v>41</v>
      </c>
      <c r="F349" s="8" t="s">
        <v>483</v>
      </c>
      <c r="G349" s="8" t="s">
        <v>2026</v>
      </c>
      <c r="H349" s="7" t="s">
        <v>42</v>
      </c>
      <c r="I349" s="7"/>
      <c r="J349" s="8" t="s">
        <v>4948</v>
      </c>
    </row>
    <row r="350" spans="1:10" ht="40" customHeight="1">
      <c r="A350" s="4" t="s">
        <v>476</v>
      </c>
      <c r="B350" s="4" t="s">
        <v>477</v>
      </c>
      <c r="C350" s="4" t="s">
        <v>5619</v>
      </c>
      <c r="D350" s="4" t="s">
        <v>5620</v>
      </c>
      <c r="E350" s="4" t="s">
        <v>41</v>
      </c>
      <c r="F350" s="4" t="s">
        <v>483</v>
      </c>
      <c r="G350" s="4" t="s">
        <v>2026</v>
      </c>
      <c r="H350" s="7" t="s">
        <v>42</v>
      </c>
      <c r="I350" s="7"/>
      <c r="J350" s="4" t="s">
        <v>4948</v>
      </c>
    </row>
    <row r="351" spans="1:10" ht="40" customHeight="1">
      <c r="A351" s="8" t="s">
        <v>476</v>
      </c>
      <c r="B351" s="8" t="s">
        <v>477</v>
      </c>
      <c r="C351" s="8" t="s">
        <v>5621</v>
      </c>
      <c r="D351" s="8" t="s">
        <v>5622</v>
      </c>
      <c r="E351" s="8" t="s">
        <v>41</v>
      </c>
      <c r="F351" s="8" t="s">
        <v>483</v>
      </c>
      <c r="G351" s="8" t="s">
        <v>2026</v>
      </c>
      <c r="H351" s="7" t="s">
        <v>42</v>
      </c>
      <c r="I351" s="7"/>
      <c r="J351" s="8" t="s">
        <v>4948</v>
      </c>
    </row>
    <row r="352" spans="1:10" ht="40" customHeight="1">
      <c r="A352" s="4" t="s">
        <v>476</v>
      </c>
      <c r="B352" s="4" t="s">
        <v>477</v>
      </c>
      <c r="C352" s="4" t="s">
        <v>5623</v>
      </c>
      <c r="D352" s="4" t="s">
        <v>5624</v>
      </c>
      <c r="E352" s="4" t="s">
        <v>41</v>
      </c>
      <c r="F352" s="4" t="s">
        <v>483</v>
      </c>
      <c r="G352" s="4" t="s">
        <v>2026</v>
      </c>
      <c r="H352" s="7" t="s">
        <v>42</v>
      </c>
      <c r="I352" s="7"/>
      <c r="J352" s="4" t="s">
        <v>4948</v>
      </c>
    </row>
    <row r="353" spans="1:10" ht="40" customHeight="1">
      <c r="A353" s="8" t="s">
        <v>476</v>
      </c>
      <c r="B353" s="8" t="s">
        <v>477</v>
      </c>
      <c r="C353" s="8" t="s">
        <v>5625</v>
      </c>
      <c r="D353" s="8" t="s">
        <v>5626</v>
      </c>
      <c r="E353" s="8" t="s">
        <v>41</v>
      </c>
      <c r="F353" s="8" t="s">
        <v>483</v>
      </c>
      <c r="G353" s="8" t="s">
        <v>2026</v>
      </c>
      <c r="H353" s="7" t="s">
        <v>42</v>
      </c>
      <c r="I353" s="7"/>
      <c r="J353" s="8" t="s">
        <v>4948</v>
      </c>
    </row>
    <row r="354" spans="1:10" ht="40" customHeight="1">
      <c r="A354" s="4" t="s">
        <v>476</v>
      </c>
      <c r="B354" s="4" t="s">
        <v>477</v>
      </c>
      <c r="C354" s="4" t="s">
        <v>5627</v>
      </c>
      <c r="D354" s="4" t="s">
        <v>5628</v>
      </c>
      <c r="E354" s="4" t="s">
        <v>41</v>
      </c>
      <c r="F354" s="4" t="s">
        <v>483</v>
      </c>
      <c r="G354" s="4" t="s">
        <v>2026</v>
      </c>
      <c r="H354" s="7" t="s">
        <v>42</v>
      </c>
      <c r="I354" s="7"/>
      <c r="J354" s="4" t="s">
        <v>4948</v>
      </c>
    </row>
    <row r="355" spans="1:10" ht="40" customHeight="1">
      <c r="A355" s="8" t="s">
        <v>476</v>
      </c>
      <c r="B355" s="8" t="s">
        <v>477</v>
      </c>
      <c r="C355" s="8" t="s">
        <v>5629</v>
      </c>
      <c r="D355" s="8" t="s">
        <v>5630</v>
      </c>
      <c r="E355" s="8" t="s">
        <v>41</v>
      </c>
      <c r="F355" s="8" t="s">
        <v>483</v>
      </c>
      <c r="G355" s="8" t="s">
        <v>2026</v>
      </c>
      <c r="H355" s="7" t="s">
        <v>42</v>
      </c>
      <c r="I355" s="7"/>
      <c r="J355" s="8" t="s">
        <v>4948</v>
      </c>
    </row>
    <row r="356" spans="1:10" ht="40" customHeight="1">
      <c r="A356" s="4" t="s">
        <v>486</v>
      </c>
      <c r="B356" s="4" t="s">
        <v>487</v>
      </c>
      <c r="C356" s="4" t="s">
        <v>5631</v>
      </c>
      <c r="D356" s="4" t="s">
        <v>4969</v>
      </c>
      <c r="E356" s="4" t="s">
        <v>41</v>
      </c>
      <c r="F356" s="4" t="s">
        <v>490</v>
      </c>
      <c r="G356" s="4" t="s">
        <v>2073</v>
      </c>
      <c r="H356" s="7" t="s">
        <v>42</v>
      </c>
      <c r="I356" s="7"/>
      <c r="J356" s="4" t="s">
        <v>4948</v>
      </c>
    </row>
    <row r="357" spans="1:10" ht="40" customHeight="1">
      <c r="A357" s="8" t="s">
        <v>486</v>
      </c>
      <c r="B357" s="8" t="s">
        <v>487</v>
      </c>
      <c r="C357" s="8" t="s">
        <v>5632</v>
      </c>
      <c r="D357" s="8" t="s">
        <v>4971</v>
      </c>
      <c r="E357" s="8" t="s">
        <v>41</v>
      </c>
      <c r="F357" s="8" t="s">
        <v>490</v>
      </c>
      <c r="G357" s="8" t="s">
        <v>2073</v>
      </c>
      <c r="H357" s="7" t="s">
        <v>42</v>
      </c>
      <c r="I357" s="7"/>
      <c r="J357" s="8" t="s">
        <v>4948</v>
      </c>
    </row>
    <row r="358" spans="1:10" ht="40" customHeight="1">
      <c r="A358" s="4" t="s">
        <v>486</v>
      </c>
      <c r="B358" s="4" t="s">
        <v>487</v>
      </c>
      <c r="C358" s="4" t="s">
        <v>5633</v>
      </c>
      <c r="D358" s="4" t="s">
        <v>4973</v>
      </c>
      <c r="E358" s="4" t="s">
        <v>41</v>
      </c>
      <c r="F358" s="4" t="s">
        <v>490</v>
      </c>
      <c r="G358" s="4" t="s">
        <v>2073</v>
      </c>
      <c r="H358" s="7" t="s">
        <v>42</v>
      </c>
      <c r="I358" s="7"/>
      <c r="J358" s="4" t="s">
        <v>4948</v>
      </c>
    </row>
    <row r="359" spans="1:10" ht="40" customHeight="1">
      <c r="A359" s="8" t="s">
        <v>486</v>
      </c>
      <c r="B359" s="8" t="s">
        <v>487</v>
      </c>
      <c r="C359" s="8" t="s">
        <v>5634</v>
      </c>
      <c r="D359" s="8" t="s">
        <v>5479</v>
      </c>
      <c r="E359" s="8" t="s">
        <v>41</v>
      </c>
      <c r="F359" s="8" t="s">
        <v>490</v>
      </c>
      <c r="G359" s="8" t="s">
        <v>2073</v>
      </c>
      <c r="H359" s="7" t="s">
        <v>42</v>
      </c>
      <c r="I359" s="7"/>
      <c r="J359" s="8" t="s">
        <v>4948</v>
      </c>
    </row>
    <row r="360" spans="1:10" ht="40" customHeight="1">
      <c r="A360" s="4" t="s">
        <v>486</v>
      </c>
      <c r="B360" s="4" t="s">
        <v>487</v>
      </c>
      <c r="C360" s="4" t="s">
        <v>5635</v>
      </c>
      <c r="D360" s="4" t="s">
        <v>4975</v>
      </c>
      <c r="E360" s="4" t="s">
        <v>41</v>
      </c>
      <c r="F360" s="4" t="s">
        <v>490</v>
      </c>
      <c r="G360" s="4" t="s">
        <v>2073</v>
      </c>
      <c r="H360" s="7" t="s">
        <v>42</v>
      </c>
      <c r="I360" s="7"/>
      <c r="J360" s="4" t="s">
        <v>4948</v>
      </c>
    </row>
    <row r="361" spans="1:10" ht="40" customHeight="1">
      <c r="A361" s="8" t="s">
        <v>486</v>
      </c>
      <c r="B361" s="8" t="s">
        <v>487</v>
      </c>
      <c r="C361" s="8" t="s">
        <v>5636</v>
      </c>
      <c r="D361" s="8" t="s">
        <v>5482</v>
      </c>
      <c r="E361" s="8" t="s">
        <v>41</v>
      </c>
      <c r="F361" s="8" t="s">
        <v>490</v>
      </c>
      <c r="G361" s="8" t="s">
        <v>2073</v>
      </c>
      <c r="H361" s="7" t="s">
        <v>42</v>
      </c>
      <c r="I361" s="7"/>
      <c r="J361" s="8" t="s">
        <v>4948</v>
      </c>
    </row>
    <row r="362" spans="1:10" ht="40" customHeight="1">
      <c r="A362" s="4" t="s">
        <v>486</v>
      </c>
      <c r="B362" s="4" t="s">
        <v>487</v>
      </c>
      <c r="C362" s="4" t="s">
        <v>5637</v>
      </c>
      <c r="D362" s="4" t="s">
        <v>5638</v>
      </c>
      <c r="E362" s="4" t="s">
        <v>41</v>
      </c>
      <c r="F362" s="4" t="s">
        <v>490</v>
      </c>
      <c r="G362" s="4" t="s">
        <v>2073</v>
      </c>
      <c r="H362" s="7" t="s">
        <v>42</v>
      </c>
      <c r="I362" s="7"/>
      <c r="J362" s="4" t="s">
        <v>4948</v>
      </c>
    </row>
    <row r="363" spans="1:10" ht="40" customHeight="1">
      <c r="A363" s="8" t="s">
        <v>486</v>
      </c>
      <c r="B363" s="8" t="s">
        <v>487</v>
      </c>
      <c r="C363" s="8" t="s">
        <v>5639</v>
      </c>
      <c r="D363" s="8" t="s">
        <v>5484</v>
      </c>
      <c r="E363" s="8" t="s">
        <v>41</v>
      </c>
      <c r="F363" s="8" t="s">
        <v>490</v>
      </c>
      <c r="G363" s="8" t="s">
        <v>2073</v>
      </c>
      <c r="H363" s="7" t="s">
        <v>42</v>
      </c>
      <c r="I363" s="7"/>
      <c r="J363" s="8" t="s">
        <v>4948</v>
      </c>
    </row>
    <row r="364" spans="1:10" ht="40" customHeight="1">
      <c r="A364" s="4" t="s">
        <v>486</v>
      </c>
      <c r="B364" s="4" t="s">
        <v>487</v>
      </c>
      <c r="C364" s="4" t="s">
        <v>5640</v>
      </c>
      <c r="D364" s="4" t="s">
        <v>5641</v>
      </c>
      <c r="E364" s="4" t="s">
        <v>41</v>
      </c>
      <c r="F364" s="4" t="s">
        <v>490</v>
      </c>
      <c r="G364" s="4" t="s">
        <v>2073</v>
      </c>
      <c r="H364" s="7" t="s">
        <v>42</v>
      </c>
      <c r="I364" s="7"/>
      <c r="J364" s="4" t="s">
        <v>4948</v>
      </c>
    </row>
    <row r="365" spans="1:10" ht="40" customHeight="1">
      <c r="A365" s="8" t="s">
        <v>486</v>
      </c>
      <c r="B365" s="8" t="s">
        <v>487</v>
      </c>
      <c r="C365" s="8" t="s">
        <v>5642</v>
      </c>
      <c r="D365" s="8" t="s">
        <v>5643</v>
      </c>
      <c r="E365" s="8" t="s">
        <v>41</v>
      </c>
      <c r="F365" s="8" t="s">
        <v>490</v>
      </c>
      <c r="G365" s="8" t="s">
        <v>2073</v>
      </c>
      <c r="H365" s="7" t="s">
        <v>42</v>
      </c>
      <c r="I365" s="7"/>
      <c r="J365" s="8" t="s">
        <v>4948</v>
      </c>
    </row>
    <row r="366" spans="1:10" ht="40" customHeight="1">
      <c r="A366" s="4" t="s">
        <v>493</v>
      </c>
      <c r="B366" s="4" t="s">
        <v>494</v>
      </c>
      <c r="C366" s="4" t="s">
        <v>5644</v>
      </c>
      <c r="D366" s="4" t="s">
        <v>4969</v>
      </c>
      <c r="E366" s="4" t="s">
        <v>41</v>
      </c>
      <c r="F366" s="4" t="s">
        <v>498</v>
      </c>
      <c r="G366" s="4" t="s">
        <v>2097</v>
      </c>
      <c r="H366" s="7" t="s">
        <v>42</v>
      </c>
      <c r="I366" s="7"/>
      <c r="J366" s="4" t="s">
        <v>4948</v>
      </c>
    </row>
    <row r="367" spans="1:10" ht="40" customHeight="1">
      <c r="A367" s="8" t="s">
        <v>493</v>
      </c>
      <c r="B367" s="8" t="s">
        <v>494</v>
      </c>
      <c r="C367" s="8" t="s">
        <v>5645</v>
      </c>
      <c r="D367" s="8" t="s">
        <v>4971</v>
      </c>
      <c r="E367" s="8" t="s">
        <v>41</v>
      </c>
      <c r="F367" s="8" t="s">
        <v>498</v>
      </c>
      <c r="G367" s="8" t="s">
        <v>2097</v>
      </c>
      <c r="H367" s="7" t="s">
        <v>42</v>
      </c>
      <c r="I367" s="7"/>
      <c r="J367" s="8" t="s">
        <v>4948</v>
      </c>
    </row>
    <row r="368" spans="1:10" ht="40" customHeight="1">
      <c r="A368" s="4" t="s">
        <v>493</v>
      </c>
      <c r="B368" s="4" t="s">
        <v>494</v>
      </c>
      <c r="C368" s="4" t="s">
        <v>5646</v>
      </c>
      <c r="D368" s="4" t="s">
        <v>5647</v>
      </c>
      <c r="E368" s="4" t="s">
        <v>41</v>
      </c>
      <c r="F368" s="4" t="s">
        <v>498</v>
      </c>
      <c r="G368" s="4" t="s">
        <v>2097</v>
      </c>
      <c r="H368" s="7" t="s">
        <v>42</v>
      </c>
      <c r="I368" s="7"/>
      <c r="J368" s="4" t="s">
        <v>4948</v>
      </c>
    </row>
    <row r="369" spans="1:10" ht="40" customHeight="1">
      <c r="A369" s="8" t="s">
        <v>493</v>
      </c>
      <c r="B369" s="8" t="s">
        <v>494</v>
      </c>
      <c r="C369" s="8" t="s">
        <v>5648</v>
      </c>
      <c r="D369" s="8" t="s">
        <v>4973</v>
      </c>
      <c r="E369" s="8" t="s">
        <v>41</v>
      </c>
      <c r="F369" s="8" t="s">
        <v>498</v>
      </c>
      <c r="G369" s="8" t="s">
        <v>2097</v>
      </c>
      <c r="H369" s="7" t="s">
        <v>42</v>
      </c>
      <c r="I369" s="7"/>
      <c r="J369" s="8" t="s">
        <v>4948</v>
      </c>
    </row>
    <row r="370" spans="1:10" ht="40" customHeight="1">
      <c r="A370" s="4" t="s">
        <v>493</v>
      </c>
      <c r="B370" s="4" t="s">
        <v>494</v>
      </c>
      <c r="C370" s="4" t="s">
        <v>5649</v>
      </c>
      <c r="D370" s="4" t="s">
        <v>5479</v>
      </c>
      <c r="E370" s="4" t="s">
        <v>41</v>
      </c>
      <c r="F370" s="4" t="s">
        <v>498</v>
      </c>
      <c r="G370" s="4" t="s">
        <v>2097</v>
      </c>
      <c r="H370" s="7" t="s">
        <v>42</v>
      </c>
      <c r="I370" s="7"/>
      <c r="J370" s="4" t="s">
        <v>4948</v>
      </c>
    </row>
    <row r="371" spans="1:10" ht="40" customHeight="1">
      <c r="A371" s="8" t="s">
        <v>493</v>
      </c>
      <c r="B371" s="8" t="s">
        <v>494</v>
      </c>
      <c r="C371" s="8" t="s">
        <v>5650</v>
      </c>
      <c r="D371" s="8" t="s">
        <v>4975</v>
      </c>
      <c r="E371" s="8" t="s">
        <v>41</v>
      </c>
      <c r="F371" s="8" t="s">
        <v>498</v>
      </c>
      <c r="G371" s="8" t="s">
        <v>2097</v>
      </c>
      <c r="H371" s="7" t="s">
        <v>42</v>
      </c>
      <c r="I371" s="7"/>
      <c r="J371" s="8" t="s">
        <v>4948</v>
      </c>
    </row>
    <row r="372" spans="1:10" ht="40" customHeight="1">
      <c r="A372" s="4" t="s">
        <v>493</v>
      </c>
      <c r="B372" s="4" t="s">
        <v>494</v>
      </c>
      <c r="C372" s="4" t="s">
        <v>5651</v>
      </c>
      <c r="D372" s="4" t="s">
        <v>5652</v>
      </c>
      <c r="E372" s="4" t="s">
        <v>41</v>
      </c>
      <c r="F372" s="4" t="s">
        <v>498</v>
      </c>
      <c r="G372" s="4" t="s">
        <v>2097</v>
      </c>
      <c r="H372" s="7" t="s">
        <v>42</v>
      </c>
      <c r="I372" s="7"/>
      <c r="J372" s="4" t="s">
        <v>4948</v>
      </c>
    </row>
    <row r="373" spans="1:10" ht="40" customHeight="1">
      <c r="A373" s="8" t="s">
        <v>501</v>
      </c>
      <c r="B373" s="8" t="s">
        <v>502</v>
      </c>
      <c r="C373" s="8" t="s">
        <v>5653</v>
      </c>
      <c r="D373" s="8" t="s">
        <v>4969</v>
      </c>
      <c r="E373" s="8" t="s">
        <v>41</v>
      </c>
      <c r="F373" s="8" t="s">
        <v>505</v>
      </c>
      <c r="G373" s="8" t="s">
        <v>2112</v>
      </c>
      <c r="H373" s="7" t="s">
        <v>42</v>
      </c>
      <c r="I373" s="7"/>
      <c r="J373" s="8" t="s">
        <v>4948</v>
      </c>
    </row>
    <row r="374" spans="1:10" ht="40" customHeight="1">
      <c r="A374" s="4" t="s">
        <v>501</v>
      </c>
      <c r="B374" s="4" t="s">
        <v>502</v>
      </c>
      <c r="C374" s="4" t="s">
        <v>5654</v>
      </c>
      <c r="D374" s="4" t="s">
        <v>5655</v>
      </c>
      <c r="E374" s="4" t="s">
        <v>41</v>
      </c>
      <c r="F374" s="4" t="s">
        <v>505</v>
      </c>
      <c r="G374" s="4" t="s">
        <v>2112</v>
      </c>
      <c r="H374" s="7" t="s">
        <v>42</v>
      </c>
      <c r="I374" s="7"/>
      <c r="J374" s="4" t="s">
        <v>4948</v>
      </c>
    </row>
    <row r="375" spans="1:10" ht="40" customHeight="1">
      <c r="A375" s="8" t="s">
        <v>501</v>
      </c>
      <c r="B375" s="8" t="s">
        <v>502</v>
      </c>
      <c r="C375" s="8" t="s">
        <v>5656</v>
      </c>
      <c r="D375" s="8" t="s">
        <v>5657</v>
      </c>
      <c r="E375" s="8" t="s">
        <v>41</v>
      </c>
      <c r="F375" s="8" t="s">
        <v>505</v>
      </c>
      <c r="G375" s="8" t="s">
        <v>2112</v>
      </c>
      <c r="H375" s="7" t="s">
        <v>42</v>
      </c>
      <c r="I375" s="7"/>
      <c r="J375" s="8" t="s">
        <v>4948</v>
      </c>
    </row>
    <row r="376" spans="1:10" ht="40" customHeight="1">
      <c r="A376" s="4" t="s">
        <v>501</v>
      </c>
      <c r="B376" s="4" t="s">
        <v>502</v>
      </c>
      <c r="C376" s="4" t="s">
        <v>5658</v>
      </c>
      <c r="D376" s="4" t="s">
        <v>4973</v>
      </c>
      <c r="E376" s="4" t="s">
        <v>41</v>
      </c>
      <c r="F376" s="4" t="s">
        <v>505</v>
      </c>
      <c r="G376" s="4" t="s">
        <v>2112</v>
      </c>
      <c r="H376" s="7" t="s">
        <v>42</v>
      </c>
      <c r="I376" s="7"/>
      <c r="J376" s="4" t="s">
        <v>4948</v>
      </c>
    </row>
    <row r="377" spans="1:10" ht="40" customHeight="1">
      <c r="A377" s="8" t="s">
        <v>501</v>
      </c>
      <c r="B377" s="8" t="s">
        <v>502</v>
      </c>
      <c r="C377" s="8" t="s">
        <v>5659</v>
      </c>
      <c r="D377" s="8" t="s">
        <v>5660</v>
      </c>
      <c r="E377" s="8" t="s">
        <v>41</v>
      </c>
      <c r="F377" s="8" t="s">
        <v>505</v>
      </c>
      <c r="G377" s="8" t="s">
        <v>2112</v>
      </c>
      <c r="H377" s="7" t="s">
        <v>42</v>
      </c>
      <c r="I377" s="7"/>
      <c r="J377" s="8" t="s">
        <v>4948</v>
      </c>
    </row>
    <row r="378" spans="1:10" ht="40" customHeight="1">
      <c r="A378" s="4" t="s">
        <v>501</v>
      </c>
      <c r="B378" s="4" t="s">
        <v>502</v>
      </c>
      <c r="C378" s="4" t="s">
        <v>5661</v>
      </c>
      <c r="D378" s="4" t="s">
        <v>5662</v>
      </c>
      <c r="E378" s="4" t="s">
        <v>41</v>
      </c>
      <c r="F378" s="4" t="s">
        <v>505</v>
      </c>
      <c r="G378" s="4" t="s">
        <v>2112</v>
      </c>
      <c r="H378" s="7" t="s">
        <v>42</v>
      </c>
      <c r="I378" s="7"/>
      <c r="J378" s="4" t="s">
        <v>4948</v>
      </c>
    </row>
    <row r="379" spans="1:10" ht="40" customHeight="1">
      <c r="A379" s="8" t="s">
        <v>501</v>
      </c>
      <c r="B379" s="8" t="s">
        <v>502</v>
      </c>
      <c r="C379" s="8" t="s">
        <v>5663</v>
      </c>
      <c r="D379" s="8" t="s">
        <v>5664</v>
      </c>
      <c r="E379" s="8" t="s">
        <v>41</v>
      </c>
      <c r="F379" s="8" t="s">
        <v>505</v>
      </c>
      <c r="G379" s="8" t="s">
        <v>2112</v>
      </c>
      <c r="H379" s="7" t="s">
        <v>42</v>
      </c>
      <c r="I379" s="7"/>
      <c r="J379" s="8" t="s">
        <v>4948</v>
      </c>
    </row>
    <row r="380" spans="1:10" ht="40" customHeight="1">
      <c r="A380" s="4" t="s">
        <v>501</v>
      </c>
      <c r="B380" s="4" t="s">
        <v>502</v>
      </c>
      <c r="C380" s="4" t="s">
        <v>5665</v>
      </c>
      <c r="D380" s="4" t="s">
        <v>4975</v>
      </c>
      <c r="E380" s="4" t="s">
        <v>41</v>
      </c>
      <c r="F380" s="4" t="s">
        <v>505</v>
      </c>
      <c r="G380" s="4" t="s">
        <v>2112</v>
      </c>
      <c r="H380" s="7" t="s">
        <v>42</v>
      </c>
      <c r="I380" s="7"/>
      <c r="J380" s="4" t="s">
        <v>4948</v>
      </c>
    </row>
    <row r="381" spans="1:10" ht="40" customHeight="1">
      <c r="A381" s="8" t="s">
        <v>501</v>
      </c>
      <c r="B381" s="8" t="s">
        <v>502</v>
      </c>
      <c r="C381" s="8" t="s">
        <v>5666</v>
      </c>
      <c r="D381" s="8" t="s">
        <v>5667</v>
      </c>
      <c r="E381" s="8" t="s">
        <v>41</v>
      </c>
      <c r="F381" s="8" t="s">
        <v>505</v>
      </c>
      <c r="G381" s="8" t="s">
        <v>2112</v>
      </c>
      <c r="H381" s="7" t="s">
        <v>42</v>
      </c>
      <c r="I381" s="7"/>
      <c r="J381" s="8" t="s">
        <v>4948</v>
      </c>
    </row>
    <row r="382" spans="1:10" ht="40" customHeight="1">
      <c r="A382" s="4" t="s">
        <v>508</v>
      </c>
      <c r="B382" s="4" t="s">
        <v>509</v>
      </c>
      <c r="C382" s="4" t="s">
        <v>5668</v>
      </c>
      <c r="D382" s="4" t="s">
        <v>5669</v>
      </c>
      <c r="E382" s="4" t="s">
        <v>41</v>
      </c>
      <c r="F382" s="4" t="s">
        <v>513</v>
      </c>
      <c r="G382" s="4" t="s">
        <v>2134</v>
      </c>
      <c r="H382" s="7" t="s">
        <v>42</v>
      </c>
      <c r="I382" s="7"/>
      <c r="J382" s="4" t="s">
        <v>4948</v>
      </c>
    </row>
    <row r="383" spans="1:10" ht="40" customHeight="1">
      <c r="A383" s="8" t="s">
        <v>508</v>
      </c>
      <c r="B383" s="8" t="s">
        <v>509</v>
      </c>
      <c r="C383" s="8" t="s">
        <v>5670</v>
      </c>
      <c r="D383" s="8" t="s">
        <v>5671</v>
      </c>
      <c r="E383" s="8" t="s">
        <v>41</v>
      </c>
      <c r="F383" s="8" t="s">
        <v>513</v>
      </c>
      <c r="G383" s="8" t="s">
        <v>2134</v>
      </c>
      <c r="H383" s="7" t="s">
        <v>42</v>
      </c>
      <c r="I383" s="7"/>
      <c r="J383" s="8" t="s">
        <v>4948</v>
      </c>
    </row>
    <row r="384" spans="1:10" ht="40" customHeight="1">
      <c r="A384" s="4" t="s">
        <v>508</v>
      </c>
      <c r="B384" s="4" t="s">
        <v>509</v>
      </c>
      <c r="C384" s="4" t="s">
        <v>5672</v>
      </c>
      <c r="D384" s="4" t="s">
        <v>5673</v>
      </c>
      <c r="E384" s="4" t="s">
        <v>41</v>
      </c>
      <c r="F384" s="4" t="s">
        <v>513</v>
      </c>
      <c r="G384" s="4" t="s">
        <v>2134</v>
      </c>
      <c r="H384" s="7" t="s">
        <v>42</v>
      </c>
      <c r="I384" s="7"/>
      <c r="J384" s="4" t="s">
        <v>4948</v>
      </c>
    </row>
    <row r="385" spans="1:10" ht="40" customHeight="1">
      <c r="A385" s="8" t="s">
        <v>508</v>
      </c>
      <c r="B385" s="8" t="s">
        <v>509</v>
      </c>
      <c r="C385" s="8" t="s">
        <v>5674</v>
      </c>
      <c r="D385" s="8" t="s">
        <v>5675</v>
      </c>
      <c r="E385" s="8" t="s">
        <v>41</v>
      </c>
      <c r="F385" s="8" t="s">
        <v>513</v>
      </c>
      <c r="G385" s="8" t="s">
        <v>2134</v>
      </c>
      <c r="H385" s="7" t="s">
        <v>42</v>
      </c>
      <c r="I385" s="7"/>
      <c r="J385" s="8" t="s">
        <v>4948</v>
      </c>
    </row>
    <row r="386" spans="1:10" ht="40" customHeight="1">
      <c r="A386" s="4" t="s">
        <v>508</v>
      </c>
      <c r="B386" s="4" t="s">
        <v>509</v>
      </c>
      <c r="C386" s="4" t="s">
        <v>5676</v>
      </c>
      <c r="D386" s="4" t="s">
        <v>5677</v>
      </c>
      <c r="E386" s="4" t="s">
        <v>41</v>
      </c>
      <c r="F386" s="4" t="s">
        <v>513</v>
      </c>
      <c r="G386" s="4" t="s">
        <v>2134</v>
      </c>
      <c r="H386" s="7" t="s">
        <v>42</v>
      </c>
      <c r="I386" s="7"/>
      <c r="J386" s="4" t="s">
        <v>4948</v>
      </c>
    </row>
    <row r="387" spans="1:10" ht="40" customHeight="1">
      <c r="A387" s="8" t="s">
        <v>508</v>
      </c>
      <c r="B387" s="8" t="s">
        <v>509</v>
      </c>
      <c r="C387" s="8" t="s">
        <v>5678</v>
      </c>
      <c r="D387" s="8" t="s">
        <v>5679</v>
      </c>
      <c r="E387" s="8" t="s">
        <v>41</v>
      </c>
      <c r="F387" s="8" t="s">
        <v>513</v>
      </c>
      <c r="G387" s="8" t="s">
        <v>2134</v>
      </c>
      <c r="H387" s="7" t="s">
        <v>42</v>
      </c>
      <c r="I387" s="7"/>
      <c r="J387" s="8" t="s">
        <v>4948</v>
      </c>
    </row>
    <row r="388" spans="1:10" ht="40" customHeight="1">
      <c r="A388" s="4" t="s">
        <v>508</v>
      </c>
      <c r="B388" s="4" t="s">
        <v>509</v>
      </c>
      <c r="C388" s="4" t="s">
        <v>5680</v>
      </c>
      <c r="D388" s="4" t="s">
        <v>5681</v>
      </c>
      <c r="E388" s="4" t="s">
        <v>41</v>
      </c>
      <c r="F388" s="4" t="s">
        <v>513</v>
      </c>
      <c r="G388" s="4" t="s">
        <v>2134</v>
      </c>
      <c r="H388" s="7" t="s">
        <v>42</v>
      </c>
      <c r="I388" s="7"/>
      <c r="J388" s="4" t="s">
        <v>4948</v>
      </c>
    </row>
    <row r="389" spans="1:10" ht="40" customHeight="1">
      <c r="A389" s="8" t="s">
        <v>508</v>
      </c>
      <c r="B389" s="8" t="s">
        <v>509</v>
      </c>
      <c r="C389" s="8" t="s">
        <v>5682</v>
      </c>
      <c r="D389" s="8" t="s">
        <v>5683</v>
      </c>
      <c r="E389" s="8" t="s">
        <v>41</v>
      </c>
      <c r="F389" s="8" t="s">
        <v>513</v>
      </c>
      <c r="G389" s="8" t="s">
        <v>2134</v>
      </c>
      <c r="H389" s="7" t="s">
        <v>42</v>
      </c>
      <c r="I389" s="7"/>
      <c r="J389" s="8" t="s">
        <v>4948</v>
      </c>
    </row>
    <row r="390" spans="1:10" ht="40" customHeight="1">
      <c r="A390" s="4" t="s">
        <v>517</v>
      </c>
      <c r="B390" s="4" t="s">
        <v>518</v>
      </c>
      <c r="C390" s="4" t="s">
        <v>5684</v>
      </c>
      <c r="D390" s="4" t="s">
        <v>5685</v>
      </c>
      <c r="E390" s="4" t="s">
        <v>41</v>
      </c>
      <c r="F390" s="4" t="s">
        <v>522</v>
      </c>
      <c r="G390" s="4" t="s">
        <v>2159</v>
      </c>
      <c r="H390" s="7" t="s">
        <v>42</v>
      </c>
      <c r="I390" s="7"/>
      <c r="J390" s="4" t="s">
        <v>4948</v>
      </c>
    </row>
    <row r="391" spans="1:10" ht="40" customHeight="1">
      <c r="A391" s="8" t="s">
        <v>525</v>
      </c>
      <c r="B391" s="8" t="s">
        <v>526</v>
      </c>
      <c r="C391" s="8" t="s">
        <v>5686</v>
      </c>
      <c r="D391" s="8" t="s">
        <v>4969</v>
      </c>
      <c r="E391" s="8" t="s">
        <v>41</v>
      </c>
      <c r="F391" s="8" t="s">
        <v>529</v>
      </c>
      <c r="G391" s="8" t="s">
        <v>2185</v>
      </c>
      <c r="H391" s="7" t="s">
        <v>42</v>
      </c>
      <c r="I391" s="7"/>
      <c r="J391" s="8" t="s">
        <v>4948</v>
      </c>
    </row>
    <row r="392" spans="1:10" ht="40" customHeight="1">
      <c r="A392" s="4" t="s">
        <v>525</v>
      </c>
      <c r="B392" s="4" t="s">
        <v>526</v>
      </c>
      <c r="C392" s="4" t="s">
        <v>5687</v>
      </c>
      <c r="D392" s="4" t="s">
        <v>5688</v>
      </c>
      <c r="E392" s="4" t="s">
        <v>41</v>
      </c>
      <c r="F392" s="4" t="s">
        <v>529</v>
      </c>
      <c r="G392" s="4" t="s">
        <v>2185</v>
      </c>
      <c r="H392" s="7" t="s">
        <v>42</v>
      </c>
      <c r="I392" s="7"/>
      <c r="J392" s="4" t="s">
        <v>4948</v>
      </c>
    </row>
    <row r="393" spans="1:10" ht="40" customHeight="1">
      <c r="A393" s="8" t="s">
        <v>525</v>
      </c>
      <c r="B393" s="8" t="s">
        <v>526</v>
      </c>
      <c r="C393" s="8" t="s">
        <v>5689</v>
      </c>
      <c r="D393" s="8" t="s">
        <v>4971</v>
      </c>
      <c r="E393" s="8" t="s">
        <v>41</v>
      </c>
      <c r="F393" s="8" t="s">
        <v>529</v>
      </c>
      <c r="G393" s="8" t="s">
        <v>2185</v>
      </c>
      <c r="H393" s="7" t="s">
        <v>42</v>
      </c>
      <c r="I393" s="7"/>
      <c r="J393" s="8" t="s">
        <v>4948</v>
      </c>
    </row>
    <row r="394" spans="1:10" ht="40" customHeight="1">
      <c r="A394" s="4" t="s">
        <v>525</v>
      </c>
      <c r="B394" s="4" t="s">
        <v>526</v>
      </c>
      <c r="C394" s="4" t="s">
        <v>5690</v>
      </c>
      <c r="D394" s="4" t="s">
        <v>4973</v>
      </c>
      <c r="E394" s="4" t="s">
        <v>41</v>
      </c>
      <c r="F394" s="4" t="s">
        <v>529</v>
      </c>
      <c r="G394" s="4" t="s">
        <v>2185</v>
      </c>
      <c r="H394" s="7" t="s">
        <v>42</v>
      </c>
      <c r="I394" s="7"/>
      <c r="J394" s="4" t="s">
        <v>4948</v>
      </c>
    </row>
    <row r="395" spans="1:10" ht="40" customHeight="1">
      <c r="A395" s="8" t="s">
        <v>525</v>
      </c>
      <c r="B395" s="8" t="s">
        <v>526</v>
      </c>
      <c r="C395" s="8" t="s">
        <v>5691</v>
      </c>
      <c r="D395" s="8" t="s">
        <v>5479</v>
      </c>
      <c r="E395" s="8" t="s">
        <v>41</v>
      </c>
      <c r="F395" s="8" t="s">
        <v>529</v>
      </c>
      <c r="G395" s="8" t="s">
        <v>2185</v>
      </c>
      <c r="H395" s="7" t="s">
        <v>42</v>
      </c>
      <c r="I395" s="7"/>
      <c r="J395" s="8" t="s">
        <v>4948</v>
      </c>
    </row>
    <row r="396" spans="1:10" ht="40" customHeight="1">
      <c r="A396" s="4" t="s">
        <v>525</v>
      </c>
      <c r="B396" s="4" t="s">
        <v>526</v>
      </c>
      <c r="C396" s="4" t="s">
        <v>5692</v>
      </c>
      <c r="D396" s="4" t="s">
        <v>4975</v>
      </c>
      <c r="E396" s="4" t="s">
        <v>41</v>
      </c>
      <c r="F396" s="4" t="s">
        <v>529</v>
      </c>
      <c r="G396" s="4" t="s">
        <v>2185</v>
      </c>
      <c r="H396" s="7" t="s">
        <v>42</v>
      </c>
      <c r="I396" s="7"/>
      <c r="J396" s="4" t="s">
        <v>4948</v>
      </c>
    </row>
    <row r="397" spans="1:10" ht="40" customHeight="1">
      <c r="A397" s="8" t="s">
        <v>525</v>
      </c>
      <c r="B397" s="8" t="s">
        <v>526</v>
      </c>
      <c r="C397" s="8" t="s">
        <v>5693</v>
      </c>
      <c r="D397" s="8" t="s">
        <v>4977</v>
      </c>
      <c r="E397" s="8" t="s">
        <v>41</v>
      </c>
      <c r="F397" s="8" t="s">
        <v>529</v>
      </c>
      <c r="G397" s="8" t="s">
        <v>2185</v>
      </c>
      <c r="H397" s="7" t="s">
        <v>42</v>
      </c>
      <c r="I397" s="7"/>
      <c r="J397" s="8" t="s">
        <v>4948</v>
      </c>
    </row>
    <row r="398" spans="1:10" ht="40" customHeight="1">
      <c r="A398" s="4" t="s">
        <v>531</v>
      </c>
      <c r="B398" s="4" t="s">
        <v>532</v>
      </c>
      <c r="C398" s="4" t="s">
        <v>5694</v>
      </c>
      <c r="D398" s="4" t="s">
        <v>4969</v>
      </c>
      <c r="E398" s="4" t="s">
        <v>41</v>
      </c>
      <c r="F398" s="4" t="s">
        <v>536</v>
      </c>
      <c r="G398" s="4" t="s">
        <v>2201</v>
      </c>
      <c r="H398" s="7" t="s">
        <v>42</v>
      </c>
      <c r="I398" s="7"/>
      <c r="J398" s="4" t="s">
        <v>4948</v>
      </c>
    </row>
    <row r="399" spans="1:10" ht="40" customHeight="1">
      <c r="A399" s="8" t="s">
        <v>531</v>
      </c>
      <c r="B399" s="8" t="s">
        <v>532</v>
      </c>
      <c r="C399" s="8" t="s">
        <v>5695</v>
      </c>
      <c r="D399" s="8" t="s">
        <v>5688</v>
      </c>
      <c r="E399" s="8" t="s">
        <v>41</v>
      </c>
      <c r="F399" s="8" t="s">
        <v>536</v>
      </c>
      <c r="G399" s="8" t="s">
        <v>2201</v>
      </c>
      <c r="H399" s="7" t="s">
        <v>42</v>
      </c>
      <c r="I399" s="7"/>
      <c r="J399" s="8" t="s">
        <v>4948</v>
      </c>
    </row>
    <row r="400" spans="1:10" ht="40" customHeight="1">
      <c r="A400" s="4" t="s">
        <v>531</v>
      </c>
      <c r="B400" s="4" t="s">
        <v>532</v>
      </c>
      <c r="C400" s="4" t="s">
        <v>5696</v>
      </c>
      <c r="D400" s="4" t="s">
        <v>4971</v>
      </c>
      <c r="E400" s="4" t="s">
        <v>41</v>
      </c>
      <c r="F400" s="4" t="s">
        <v>536</v>
      </c>
      <c r="G400" s="4" t="s">
        <v>2201</v>
      </c>
      <c r="H400" s="7" t="s">
        <v>42</v>
      </c>
      <c r="I400" s="7"/>
      <c r="J400" s="4" t="s">
        <v>4948</v>
      </c>
    </row>
    <row r="401" spans="1:10" ht="40" customHeight="1">
      <c r="A401" s="8" t="s">
        <v>531</v>
      </c>
      <c r="B401" s="8" t="s">
        <v>532</v>
      </c>
      <c r="C401" s="8" t="s">
        <v>5697</v>
      </c>
      <c r="D401" s="8" t="s">
        <v>4973</v>
      </c>
      <c r="E401" s="8" t="s">
        <v>41</v>
      </c>
      <c r="F401" s="8" t="s">
        <v>536</v>
      </c>
      <c r="G401" s="8" t="s">
        <v>2201</v>
      </c>
      <c r="H401" s="7" t="s">
        <v>42</v>
      </c>
      <c r="I401" s="7"/>
      <c r="J401" s="8" t="s">
        <v>4948</v>
      </c>
    </row>
    <row r="402" spans="1:10" ht="40" customHeight="1">
      <c r="A402" s="4" t="s">
        <v>531</v>
      </c>
      <c r="B402" s="4" t="s">
        <v>532</v>
      </c>
      <c r="C402" s="4" t="s">
        <v>5698</v>
      </c>
      <c r="D402" s="4" t="s">
        <v>5479</v>
      </c>
      <c r="E402" s="4" t="s">
        <v>41</v>
      </c>
      <c r="F402" s="4" t="s">
        <v>536</v>
      </c>
      <c r="G402" s="4" t="s">
        <v>2201</v>
      </c>
      <c r="H402" s="7" t="s">
        <v>42</v>
      </c>
      <c r="I402" s="7"/>
      <c r="J402" s="4" t="s">
        <v>4948</v>
      </c>
    </row>
    <row r="403" spans="1:10" ht="40" customHeight="1">
      <c r="A403" s="8" t="s">
        <v>531</v>
      </c>
      <c r="B403" s="8" t="s">
        <v>532</v>
      </c>
      <c r="C403" s="8" t="s">
        <v>5699</v>
      </c>
      <c r="D403" s="8" t="s">
        <v>5700</v>
      </c>
      <c r="E403" s="8" t="s">
        <v>41</v>
      </c>
      <c r="F403" s="8" t="s">
        <v>536</v>
      </c>
      <c r="G403" s="8" t="s">
        <v>2201</v>
      </c>
      <c r="H403" s="7" t="s">
        <v>42</v>
      </c>
      <c r="I403" s="7"/>
      <c r="J403" s="8" t="s">
        <v>4948</v>
      </c>
    </row>
    <row r="404" spans="1:10" ht="40" customHeight="1">
      <c r="A404" s="4" t="s">
        <v>531</v>
      </c>
      <c r="B404" s="4" t="s">
        <v>532</v>
      </c>
      <c r="C404" s="4" t="s">
        <v>5701</v>
      </c>
      <c r="D404" s="4" t="s">
        <v>4975</v>
      </c>
      <c r="E404" s="4" t="s">
        <v>41</v>
      </c>
      <c r="F404" s="4" t="s">
        <v>536</v>
      </c>
      <c r="G404" s="4" t="s">
        <v>2201</v>
      </c>
      <c r="H404" s="7" t="s">
        <v>42</v>
      </c>
      <c r="I404" s="7"/>
      <c r="J404" s="4" t="s">
        <v>4948</v>
      </c>
    </row>
    <row r="405" spans="1:10" ht="40" customHeight="1">
      <c r="A405" s="8" t="s">
        <v>531</v>
      </c>
      <c r="B405" s="8" t="s">
        <v>532</v>
      </c>
      <c r="C405" s="8" t="s">
        <v>5702</v>
      </c>
      <c r="D405" s="8" t="s">
        <v>4977</v>
      </c>
      <c r="E405" s="8" t="s">
        <v>41</v>
      </c>
      <c r="F405" s="8" t="s">
        <v>536</v>
      </c>
      <c r="G405" s="8" t="s">
        <v>2201</v>
      </c>
      <c r="H405" s="7" t="s">
        <v>42</v>
      </c>
      <c r="I405" s="7"/>
      <c r="J405" s="8" t="s">
        <v>4948</v>
      </c>
    </row>
    <row r="406" spans="1:10" ht="40" customHeight="1">
      <c r="A406" s="4" t="s">
        <v>539</v>
      </c>
      <c r="B406" s="4" t="s">
        <v>540</v>
      </c>
      <c r="C406" s="4" t="s">
        <v>5703</v>
      </c>
      <c r="D406" s="4" t="s">
        <v>5704</v>
      </c>
      <c r="E406" s="4" t="s">
        <v>41</v>
      </c>
      <c r="F406" s="4" t="s">
        <v>543</v>
      </c>
      <c r="G406" s="4" t="s">
        <v>2217</v>
      </c>
      <c r="H406" s="7" t="s">
        <v>42</v>
      </c>
      <c r="I406" s="7"/>
      <c r="J406" s="4" t="s">
        <v>4948</v>
      </c>
    </row>
    <row r="407" spans="1:10" ht="40" customHeight="1">
      <c r="A407" s="8" t="s">
        <v>539</v>
      </c>
      <c r="B407" s="8" t="s">
        <v>540</v>
      </c>
      <c r="C407" s="8" t="s">
        <v>5705</v>
      </c>
      <c r="D407" s="8" t="s">
        <v>5706</v>
      </c>
      <c r="E407" s="8" t="s">
        <v>41</v>
      </c>
      <c r="F407" s="8" t="s">
        <v>543</v>
      </c>
      <c r="G407" s="8" t="s">
        <v>2217</v>
      </c>
      <c r="H407" s="7" t="s">
        <v>42</v>
      </c>
      <c r="I407" s="7"/>
      <c r="J407" s="8" t="s">
        <v>4948</v>
      </c>
    </row>
    <row r="408" spans="1:10" ht="40" customHeight="1">
      <c r="A408" s="4" t="s">
        <v>539</v>
      </c>
      <c r="B408" s="4" t="s">
        <v>540</v>
      </c>
      <c r="C408" s="4" t="s">
        <v>5707</v>
      </c>
      <c r="D408" s="4" t="s">
        <v>3487</v>
      </c>
      <c r="E408" s="4" t="s">
        <v>41</v>
      </c>
      <c r="F408" s="4" t="s">
        <v>543</v>
      </c>
      <c r="G408" s="4" t="s">
        <v>2217</v>
      </c>
      <c r="H408" s="7" t="s">
        <v>42</v>
      </c>
      <c r="I408" s="7"/>
      <c r="J408" s="4" t="s">
        <v>4948</v>
      </c>
    </row>
    <row r="409" spans="1:10" ht="40" customHeight="1">
      <c r="A409" s="8" t="s">
        <v>539</v>
      </c>
      <c r="B409" s="8" t="s">
        <v>540</v>
      </c>
      <c r="C409" s="8" t="s">
        <v>5708</v>
      </c>
      <c r="D409" s="8" t="s">
        <v>5709</v>
      </c>
      <c r="E409" s="8" t="s">
        <v>41</v>
      </c>
      <c r="F409" s="8" t="s">
        <v>543</v>
      </c>
      <c r="G409" s="8" t="s">
        <v>2217</v>
      </c>
      <c r="H409" s="7" t="s">
        <v>42</v>
      </c>
      <c r="I409" s="7"/>
      <c r="J409" s="8" t="s">
        <v>4948</v>
      </c>
    </row>
    <row r="410" spans="1:10" ht="40" customHeight="1">
      <c r="A410" s="4" t="s">
        <v>539</v>
      </c>
      <c r="B410" s="4" t="s">
        <v>540</v>
      </c>
      <c r="C410" s="4" t="s">
        <v>5710</v>
      </c>
      <c r="D410" s="4" t="s">
        <v>5711</v>
      </c>
      <c r="E410" s="4" t="s">
        <v>41</v>
      </c>
      <c r="F410" s="4" t="s">
        <v>543</v>
      </c>
      <c r="G410" s="4" t="s">
        <v>2217</v>
      </c>
      <c r="H410" s="7" t="s">
        <v>42</v>
      </c>
      <c r="I410" s="7"/>
      <c r="J410" s="4" t="s">
        <v>4948</v>
      </c>
    </row>
    <row r="411" spans="1:10" ht="40" customHeight="1">
      <c r="A411" s="8" t="s">
        <v>539</v>
      </c>
      <c r="B411" s="8" t="s">
        <v>540</v>
      </c>
      <c r="C411" s="8" t="s">
        <v>5712</v>
      </c>
      <c r="D411" s="8" t="s">
        <v>5713</v>
      </c>
      <c r="E411" s="8" t="s">
        <v>41</v>
      </c>
      <c r="F411" s="8" t="s">
        <v>543</v>
      </c>
      <c r="G411" s="8" t="s">
        <v>2217</v>
      </c>
      <c r="H411" s="7" t="s">
        <v>42</v>
      </c>
      <c r="I411" s="7"/>
      <c r="J411" s="8" t="s">
        <v>4948</v>
      </c>
    </row>
    <row r="412" spans="1:10" ht="40" customHeight="1">
      <c r="A412" s="4" t="s">
        <v>546</v>
      </c>
      <c r="B412" s="4" t="s">
        <v>547</v>
      </c>
      <c r="C412" s="4" t="s">
        <v>5714</v>
      </c>
      <c r="D412" s="4" t="s">
        <v>5715</v>
      </c>
      <c r="E412" s="4" t="s">
        <v>41</v>
      </c>
      <c r="F412" s="4" t="s">
        <v>551</v>
      </c>
      <c r="G412" s="4" t="s">
        <v>2249</v>
      </c>
      <c r="H412" s="7" t="s">
        <v>42</v>
      </c>
      <c r="I412" s="7"/>
      <c r="J412" s="4" t="s">
        <v>4948</v>
      </c>
    </row>
    <row r="413" spans="1:10" ht="40" customHeight="1">
      <c r="A413" s="8" t="s">
        <v>546</v>
      </c>
      <c r="B413" s="8" t="s">
        <v>547</v>
      </c>
      <c r="C413" s="8" t="s">
        <v>5716</v>
      </c>
      <c r="D413" s="8" t="s">
        <v>5717</v>
      </c>
      <c r="E413" s="8" t="s">
        <v>41</v>
      </c>
      <c r="F413" s="8" t="s">
        <v>551</v>
      </c>
      <c r="G413" s="8" t="s">
        <v>2249</v>
      </c>
      <c r="H413" s="7" t="s">
        <v>42</v>
      </c>
      <c r="I413" s="7"/>
      <c r="J413" s="8" t="s">
        <v>4948</v>
      </c>
    </row>
    <row r="414" spans="1:10" ht="40" customHeight="1">
      <c r="A414" s="4" t="s">
        <v>546</v>
      </c>
      <c r="B414" s="4" t="s">
        <v>547</v>
      </c>
      <c r="C414" s="4" t="s">
        <v>5718</v>
      </c>
      <c r="D414" s="4" t="s">
        <v>5719</v>
      </c>
      <c r="E414" s="4" t="s">
        <v>41</v>
      </c>
      <c r="F414" s="4" t="s">
        <v>551</v>
      </c>
      <c r="G414" s="4" t="s">
        <v>2249</v>
      </c>
      <c r="H414" s="7" t="s">
        <v>42</v>
      </c>
      <c r="I414" s="7"/>
      <c r="J414" s="4" t="s">
        <v>4948</v>
      </c>
    </row>
    <row r="415" spans="1:10" ht="40" customHeight="1">
      <c r="A415" s="8" t="s">
        <v>546</v>
      </c>
      <c r="B415" s="8" t="s">
        <v>547</v>
      </c>
      <c r="C415" s="8" t="s">
        <v>5720</v>
      </c>
      <c r="D415" s="8" t="s">
        <v>5721</v>
      </c>
      <c r="E415" s="8" t="s">
        <v>41</v>
      </c>
      <c r="F415" s="8" t="s">
        <v>551</v>
      </c>
      <c r="G415" s="8" t="s">
        <v>2249</v>
      </c>
      <c r="H415" s="7" t="s">
        <v>42</v>
      </c>
      <c r="I415" s="7"/>
      <c r="J415" s="8" t="s">
        <v>4948</v>
      </c>
    </row>
    <row r="416" spans="1:10" ht="40" customHeight="1">
      <c r="A416" s="4" t="s">
        <v>546</v>
      </c>
      <c r="B416" s="4" t="s">
        <v>547</v>
      </c>
      <c r="C416" s="4" t="s">
        <v>5722</v>
      </c>
      <c r="D416" s="4" t="s">
        <v>5723</v>
      </c>
      <c r="E416" s="4" t="s">
        <v>41</v>
      </c>
      <c r="F416" s="4" t="s">
        <v>551</v>
      </c>
      <c r="G416" s="4" t="s">
        <v>2249</v>
      </c>
      <c r="H416" s="7" t="s">
        <v>42</v>
      </c>
      <c r="I416" s="7"/>
      <c r="J416" s="4" t="s">
        <v>4948</v>
      </c>
    </row>
    <row r="417" spans="1:10" ht="40" customHeight="1">
      <c r="A417" s="8" t="s">
        <v>554</v>
      </c>
      <c r="B417" s="8" t="s">
        <v>555</v>
      </c>
      <c r="C417" s="8" t="s">
        <v>5724</v>
      </c>
      <c r="D417" s="8" t="s">
        <v>5725</v>
      </c>
      <c r="E417" s="8" t="s">
        <v>41</v>
      </c>
      <c r="F417" s="8" t="s">
        <v>560</v>
      </c>
      <c r="G417" s="8" t="s">
        <v>2289</v>
      </c>
      <c r="H417" s="7" t="s">
        <v>42</v>
      </c>
      <c r="I417" s="7"/>
      <c r="J417" s="8" t="s">
        <v>4948</v>
      </c>
    </row>
    <row r="418" spans="1:10" ht="40" customHeight="1">
      <c r="A418" s="4" t="s">
        <v>554</v>
      </c>
      <c r="B418" s="4" t="s">
        <v>555</v>
      </c>
      <c r="C418" s="4" t="s">
        <v>5726</v>
      </c>
      <c r="D418" s="4" t="s">
        <v>5727</v>
      </c>
      <c r="E418" s="4" t="s">
        <v>41</v>
      </c>
      <c r="F418" s="4" t="s">
        <v>560</v>
      </c>
      <c r="G418" s="4" t="s">
        <v>2289</v>
      </c>
      <c r="H418" s="7" t="s">
        <v>42</v>
      </c>
      <c r="I418" s="7"/>
      <c r="J418" s="4" t="s">
        <v>4948</v>
      </c>
    </row>
    <row r="419" spans="1:10" ht="40" customHeight="1">
      <c r="A419" s="8" t="s">
        <v>554</v>
      </c>
      <c r="B419" s="8" t="s">
        <v>555</v>
      </c>
      <c r="C419" s="8" t="s">
        <v>5728</v>
      </c>
      <c r="D419" s="8" t="s">
        <v>5729</v>
      </c>
      <c r="E419" s="8" t="s">
        <v>41</v>
      </c>
      <c r="F419" s="8" t="s">
        <v>560</v>
      </c>
      <c r="G419" s="8" t="s">
        <v>2289</v>
      </c>
      <c r="H419" s="7" t="s">
        <v>42</v>
      </c>
      <c r="I419" s="7"/>
      <c r="J419" s="8" t="s">
        <v>4948</v>
      </c>
    </row>
    <row r="420" spans="1:10" ht="40" customHeight="1">
      <c r="A420" s="4" t="s">
        <v>554</v>
      </c>
      <c r="B420" s="4" t="s">
        <v>555</v>
      </c>
      <c r="C420" s="4" t="s">
        <v>5730</v>
      </c>
      <c r="D420" s="4" t="s">
        <v>5731</v>
      </c>
      <c r="E420" s="4" t="s">
        <v>41</v>
      </c>
      <c r="F420" s="4" t="s">
        <v>560</v>
      </c>
      <c r="G420" s="4" t="s">
        <v>2289</v>
      </c>
      <c r="H420" s="7" t="s">
        <v>42</v>
      </c>
      <c r="I420" s="7"/>
      <c r="J420" s="4" t="s">
        <v>4948</v>
      </c>
    </row>
    <row r="421" spans="1:10" ht="40" customHeight="1">
      <c r="A421" s="8" t="s">
        <v>554</v>
      </c>
      <c r="B421" s="8" t="s">
        <v>555</v>
      </c>
      <c r="C421" s="8" t="s">
        <v>5732</v>
      </c>
      <c r="D421" s="8" t="s">
        <v>5733</v>
      </c>
      <c r="E421" s="8" t="s">
        <v>41</v>
      </c>
      <c r="F421" s="8" t="s">
        <v>560</v>
      </c>
      <c r="G421" s="8" t="s">
        <v>2289</v>
      </c>
      <c r="H421" s="7" t="s">
        <v>42</v>
      </c>
      <c r="I421" s="7"/>
      <c r="J421" s="8" t="s">
        <v>4948</v>
      </c>
    </row>
    <row r="422" spans="1:10" ht="40" customHeight="1">
      <c r="A422" s="4" t="s">
        <v>554</v>
      </c>
      <c r="B422" s="4" t="s">
        <v>555</v>
      </c>
      <c r="C422" s="4" t="s">
        <v>5734</v>
      </c>
      <c r="D422" s="4" t="s">
        <v>5735</v>
      </c>
      <c r="E422" s="4" t="s">
        <v>41</v>
      </c>
      <c r="F422" s="4" t="s">
        <v>560</v>
      </c>
      <c r="G422" s="4" t="s">
        <v>2289</v>
      </c>
      <c r="H422" s="7" t="s">
        <v>42</v>
      </c>
      <c r="I422" s="7"/>
      <c r="J422" s="4" t="s">
        <v>4948</v>
      </c>
    </row>
    <row r="423" spans="1:10" ht="40" customHeight="1">
      <c r="A423" s="8" t="s">
        <v>554</v>
      </c>
      <c r="B423" s="8" t="s">
        <v>555</v>
      </c>
      <c r="C423" s="8" t="s">
        <v>5736</v>
      </c>
      <c r="D423" s="8" t="s">
        <v>5737</v>
      </c>
      <c r="E423" s="8" t="s">
        <v>41</v>
      </c>
      <c r="F423" s="8" t="s">
        <v>560</v>
      </c>
      <c r="G423" s="8" t="s">
        <v>2289</v>
      </c>
      <c r="H423" s="7" t="s">
        <v>42</v>
      </c>
      <c r="I423" s="7"/>
      <c r="J423" s="8" t="s">
        <v>4948</v>
      </c>
    </row>
    <row r="424" spans="1:10" ht="40" customHeight="1">
      <c r="A424" s="4" t="s">
        <v>554</v>
      </c>
      <c r="B424" s="4" t="s">
        <v>555</v>
      </c>
      <c r="C424" s="4" t="s">
        <v>5738</v>
      </c>
      <c r="D424" s="4" t="s">
        <v>5739</v>
      </c>
      <c r="E424" s="4" t="s">
        <v>41</v>
      </c>
      <c r="F424" s="4" t="s">
        <v>560</v>
      </c>
      <c r="G424" s="4" t="s">
        <v>2289</v>
      </c>
      <c r="H424" s="7" t="s">
        <v>42</v>
      </c>
      <c r="I424" s="7"/>
      <c r="J424" s="4" t="s">
        <v>4948</v>
      </c>
    </row>
    <row r="425" spans="1:10" ht="40" customHeight="1">
      <c r="A425" s="8" t="s">
        <v>554</v>
      </c>
      <c r="B425" s="8" t="s">
        <v>555</v>
      </c>
      <c r="C425" s="8" t="s">
        <v>5740</v>
      </c>
      <c r="D425" s="8" t="s">
        <v>5741</v>
      </c>
      <c r="E425" s="8" t="s">
        <v>41</v>
      </c>
      <c r="F425" s="8" t="s">
        <v>560</v>
      </c>
      <c r="G425" s="8" t="s">
        <v>2289</v>
      </c>
      <c r="H425" s="7" t="s">
        <v>42</v>
      </c>
      <c r="I425" s="7"/>
      <c r="J425" s="8" t="s">
        <v>4948</v>
      </c>
    </row>
    <row r="426" spans="1:10" ht="40" customHeight="1">
      <c r="A426" s="4" t="s">
        <v>554</v>
      </c>
      <c r="B426" s="4" t="s">
        <v>555</v>
      </c>
      <c r="C426" s="4" t="s">
        <v>5742</v>
      </c>
      <c r="D426" s="4" t="s">
        <v>5743</v>
      </c>
      <c r="E426" s="4" t="s">
        <v>41</v>
      </c>
      <c r="F426" s="4" t="s">
        <v>560</v>
      </c>
      <c r="G426" s="4" t="s">
        <v>2289</v>
      </c>
      <c r="H426" s="7" t="s">
        <v>42</v>
      </c>
      <c r="I426" s="7"/>
      <c r="J426" s="4" t="s">
        <v>4948</v>
      </c>
    </row>
    <row r="427" spans="1:10" ht="40" customHeight="1">
      <c r="A427" s="8" t="s">
        <v>554</v>
      </c>
      <c r="B427" s="8" t="s">
        <v>555</v>
      </c>
      <c r="C427" s="8" t="s">
        <v>5744</v>
      </c>
      <c r="D427" s="8" t="s">
        <v>5745</v>
      </c>
      <c r="E427" s="8" t="s">
        <v>41</v>
      </c>
      <c r="F427" s="8" t="s">
        <v>560</v>
      </c>
      <c r="G427" s="8" t="s">
        <v>2289</v>
      </c>
      <c r="H427" s="7" t="s">
        <v>42</v>
      </c>
      <c r="I427" s="7"/>
      <c r="J427" s="8" t="s">
        <v>4948</v>
      </c>
    </row>
    <row r="428" spans="1:10" ht="40" customHeight="1">
      <c r="A428" s="4" t="s">
        <v>563</v>
      </c>
      <c r="B428" s="4" t="s">
        <v>564</v>
      </c>
      <c r="C428" s="4" t="s">
        <v>5746</v>
      </c>
      <c r="D428" s="4" t="s">
        <v>5747</v>
      </c>
      <c r="E428" s="4" t="s">
        <v>41</v>
      </c>
      <c r="F428" s="4" t="s">
        <v>567</v>
      </c>
      <c r="G428" s="4" t="s">
        <v>2314</v>
      </c>
      <c r="H428" s="7" t="s">
        <v>42</v>
      </c>
      <c r="I428" s="7"/>
      <c r="J428" s="4" t="s">
        <v>4948</v>
      </c>
    </row>
    <row r="429" spans="1:10" ht="40" customHeight="1">
      <c r="A429" s="8" t="s">
        <v>563</v>
      </c>
      <c r="B429" s="8" t="s">
        <v>564</v>
      </c>
      <c r="C429" s="8" t="s">
        <v>5748</v>
      </c>
      <c r="D429" s="8" t="s">
        <v>5749</v>
      </c>
      <c r="E429" s="8" t="s">
        <v>41</v>
      </c>
      <c r="F429" s="8" t="s">
        <v>567</v>
      </c>
      <c r="G429" s="8" t="s">
        <v>2314</v>
      </c>
      <c r="H429" s="7" t="s">
        <v>42</v>
      </c>
      <c r="I429" s="7"/>
      <c r="J429" s="8" t="s">
        <v>4948</v>
      </c>
    </row>
    <row r="430" spans="1:10" ht="40" customHeight="1">
      <c r="A430" s="4" t="s">
        <v>563</v>
      </c>
      <c r="B430" s="4" t="s">
        <v>564</v>
      </c>
      <c r="C430" s="4" t="s">
        <v>5750</v>
      </c>
      <c r="D430" s="4" t="s">
        <v>5751</v>
      </c>
      <c r="E430" s="4" t="s">
        <v>41</v>
      </c>
      <c r="F430" s="4" t="s">
        <v>567</v>
      </c>
      <c r="G430" s="4" t="s">
        <v>2314</v>
      </c>
      <c r="H430" s="7" t="s">
        <v>42</v>
      </c>
      <c r="I430" s="7"/>
      <c r="J430" s="4" t="s">
        <v>4948</v>
      </c>
    </row>
    <row r="431" spans="1:10" ht="40" customHeight="1">
      <c r="A431" s="8" t="s">
        <v>563</v>
      </c>
      <c r="B431" s="8" t="s">
        <v>564</v>
      </c>
      <c r="C431" s="8" t="s">
        <v>5752</v>
      </c>
      <c r="D431" s="8" t="s">
        <v>5753</v>
      </c>
      <c r="E431" s="8" t="s">
        <v>41</v>
      </c>
      <c r="F431" s="8" t="s">
        <v>567</v>
      </c>
      <c r="G431" s="8" t="s">
        <v>2314</v>
      </c>
      <c r="H431" s="7" t="s">
        <v>42</v>
      </c>
      <c r="I431" s="7"/>
      <c r="J431" s="8" t="s">
        <v>4948</v>
      </c>
    </row>
    <row r="432" spans="1:10" ht="40" customHeight="1">
      <c r="A432" s="4" t="s">
        <v>563</v>
      </c>
      <c r="B432" s="4" t="s">
        <v>564</v>
      </c>
      <c r="C432" s="4" t="s">
        <v>5754</v>
      </c>
      <c r="D432" s="4" t="s">
        <v>5755</v>
      </c>
      <c r="E432" s="4" t="s">
        <v>41</v>
      </c>
      <c r="F432" s="4" t="s">
        <v>567</v>
      </c>
      <c r="G432" s="4" t="s">
        <v>2314</v>
      </c>
      <c r="H432" s="7" t="s">
        <v>42</v>
      </c>
      <c r="I432" s="7"/>
      <c r="J432" s="4" t="s">
        <v>4948</v>
      </c>
    </row>
    <row r="433" spans="1:10" ht="40" customHeight="1">
      <c r="A433" s="8" t="s">
        <v>563</v>
      </c>
      <c r="B433" s="8" t="s">
        <v>564</v>
      </c>
      <c r="C433" s="8" t="s">
        <v>5756</v>
      </c>
      <c r="D433" s="8" t="s">
        <v>5757</v>
      </c>
      <c r="E433" s="8" t="s">
        <v>41</v>
      </c>
      <c r="F433" s="8" t="s">
        <v>567</v>
      </c>
      <c r="G433" s="8" t="s">
        <v>2314</v>
      </c>
      <c r="H433" s="7" t="s">
        <v>42</v>
      </c>
      <c r="I433" s="7"/>
      <c r="J433" s="8" t="s">
        <v>4948</v>
      </c>
    </row>
    <row r="434" spans="1:10" ht="40" customHeight="1">
      <c r="A434" s="4" t="s">
        <v>570</v>
      </c>
      <c r="B434" s="4" t="s">
        <v>571</v>
      </c>
      <c r="C434" s="4" t="s">
        <v>5758</v>
      </c>
      <c r="D434" s="4" t="s">
        <v>5759</v>
      </c>
      <c r="E434" s="4" t="s">
        <v>41</v>
      </c>
      <c r="F434" s="4" t="s">
        <v>575</v>
      </c>
      <c r="G434" s="4" t="s">
        <v>2339</v>
      </c>
      <c r="H434" s="7" t="s">
        <v>42</v>
      </c>
      <c r="I434" s="7"/>
      <c r="J434" s="4" t="s">
        <v>4948</v>
      </c>
    </row>
    <row r="435" spans="1:10" ht="40" customHeight="1">
      <c r="A435" s="8" t="s">
        <v>570</v>
      </c>
      <c r="B435" s="8" t="s">
        <v>571</v>
      </c>
      <c r="C435" s="8" t="s">
        <v>5760</v>
      </c>
      <c r="D435" s="8" t="s">
        <v>4969</v>
      </c>
      <c r="E435" s="8" t="s">
        <v>41</v>
      </c>
      <c r="F435" s="8" t="s">
        <v>575</v>
      </c>
      <c r="G435" s="8" t="s">
        <v>2339</v>
      </c>
      <c r="H435" s="7" t="s">
        <v>42</v>
      </c>
      <c r="I435" s="7"/>
      <c r="J435" s="8" t="s">
        <v>4948</v>
      </c>
    </row>
    <row r="436" spans="1:10" ht="40" customHeight="1">
      <c r="A436" s="4" t="s">
        <v>570</v>
      </c>
      <c r="B436" s="4" t="s">
        <v>571</v>
      </c>
      <c r="C436" s="4" t="s">
        <v>5761</v>
      </c>
      <c r="D436" s="4" t="s">
        <v>5762</v>
      </c>
      <c r="E436" s="4" t="s">
        <v>41</v>
      </c>
      <c r="F436" s="4" t="s">
        <v>575</v>
      </c>
      <c r="G436" s="4" t="s">
        <v>2339</v>
      </c>
      <c r="H436" s="7" t="s">
        <v>42</v>
      </c>
      <c r="I436" s="7"/>
      <c r="J436" s="4" t="s">
        <v>4948</v>
      </c>
    </row>
    <row r="437" spans="1:10" ht="40" customHeight="1">
      <c r="A437" s="8" t="s">
        <v>570</v>
      </c>
      <c r="B437" s="8" t="s">
        <v>571</v>
      </c>
      <c r="C437" s="8" t="s">
        <v>5763</v>
      </c>
      <c r="D437" s="8" t="s">
        <v>5764</v>
      </c>
      <c r="E437" s="8" t="s">
        <v>41</v>
      </c>
      <c r="F437" s="8" t="s">
        <v>575</v>
      </c>
      <c r="G437" s="8" t="s">
        <v>2339</v>
      </c>
      <c r="H437" s="7" t="s">
        <v>42</v>
      </c>
      <c r="I437" s="7"/>
      <c r="J437" s="8" t="s">
        <v>4948</v>
      </c>
    </row>
    <row r="438" spans="1:10" ht="40" customHeight="1">
      <c r="A438" s="4" t="s">
        <v>570</v>
      </c>
      <c r="B438" s="4" t="s">
        <v>571</v>
      </c>
      <c r="C438" s="4" t="s">
        <v>5765</v>
      </c>
      <c r="D438" s="4" t="s">
        <v>5766</v>
      </c>
      <c r="E438" s="4" t="s">
        <v>41</v>
      </c>
      <c r="F438" s="4" t="s">
        <v>575</v>
      </c>
      <c r="G438" s="4" t="s">
        <v>2339</v>
      </c>
      <c r="H438" s="7" t="s">
        <v>42</v>
      </c>
      <c r="I438" s="7"/>
      <c r="J438" s="4" t="s">
        <v>4948</v>
      </c>
    </row>
    <row r="439" spans="1:10" ht="40" customHeight="1">
      <c r="A439" s="8" t="s">
        <v>570</v>
      </c>
      <c r="B439" s="8" t="s">
        <v>571</v>
      </c>
      <c r="C439" s="8" t="s">
        <v>5767</v>
      </c>
      <c r="D439" s="8" t="s">
        <v>5768</v>
      </c>
      <c r="E439" s="8" t="s">
        <v>41</v>
      </c>
      <c r="F439" s="8" t="s">
        <v>575</v>
      </c>
      <c r="G439" s="8" t="s">
        <v>2339</v>
      </c>
      <c r="H439" s="7" t="s">
        <v>42</v>
      </c>
      <c r="I439" s="7"/>
      <c r="J439" s="8" t="s">
        <v>4948</v>
      </c>
    </row>
    <row r="440" spans="1:10" ht="40" customHeight="1">
      <c r="A440" s="4" t="s">
        <v>570</v>
      </c>
      <c r="B440" s="4" t="s">
        <v>571</v>
      </c>
      <c r="C440" s="4" t="s">
        <v>5769</v>
      </c>
      <c r="D440" s="4" t="s">
        <v>5770</v>
      </c>
      <c r="E440" s="4" t="s">
        <v>41</v>
      </c>
      <c r="F440" s="4" t="s">
        <v>575</v>
      </c>
      <c r="G440" s="4" t="s">
        <v>2339</v>
      </c>
      <c r="H440" s="7" t="s">
        <v>42</v>
      </c>
      <c r="I440" s="7"/>
      <c r="J440" s="4" t="s">
        <v>4948</v>
      </c>
    </row>
    <row r="441" spans="1:10" ht="40" customHeight="1">
      <c r="A441" s="8" t="s">
        <v>578</v>
      </c>
      <c r="B441" s="8" t="s">
        <v>579</v>
      </c>
      <c r="C441" s="8" t="s">
        <v>5771</v>
      </c>
      <c r="D441" s="8" t="s">
        <v>4969</v>
      </c>
      <c r="E441" s="8" t="s">
        <v>41</v>
      </c>
      <c r="F441" s="8" t="s">
        <v>583</v>
      </c>
      <c r="G441" s="8" t="s">
        <v>2350</v>
      </c>
      <c r="H441" s="7" t="s">
        <v>42</v>
      </c>
      <c r="I441" s="7"/>
      <c r="J441" s="8" t="s">
        <v>4948</v>
      </c>
    </row>
    <row r="442" spans="1:10" ht="40" customHeight="1">
      <c r="A442" s="4" t="s">
        <v>578</v>
      </c>
      <c r="B442" s="4" t="s">
        <v>579</v>
      </c>
      <c r="C442" s="4" t="s">
        <v>5772</v>
      </c>
      <c r="D442" s="4" t="s">
        <v>4971</v>
      </c>
      <c r="E442" s="4" t="s">
        <v>41</v>
      </c>
      <c r="F442" s="4" t="s">
        <v>583</v>
      </c>
      <c r="G442" s="4" t="s">
        <v>2350</v>
      </c>
      <c r="H442" s="7" t="s">
        <v>42</v>
      </c>
      <c r="I442" s="7"/>
      <c r="J442" s="4" t="s">
        <v>4948</v>
      </c>
    </row>
    <row r="443" spans="1:10" ht="40" customHeight="1">
      <c r="A443" s="8" t="s">
        <v>578</v>
      </c>
      <c r="B443" s="8" t="s">
        <v>579</v>
      </c>
      <c r="C443" s="8" t="s">
        <v>5773</v>
      </c>
      <c r="D443" s="8" t="s">
        <v>4973</v>
      </c>
      <c r="E443" s="8" t="s">
        <v>41</v>
      </c>
      <c r="F443" s="8" t="s">
        <v>583</v>
      </c>
      <c r="G443" s="8" t="s">
        <v>2350</v>
      </c>
      <c r="H443" s="7" t="s">
        <v>42</v>
      </c>
      <c r="I443" s="7"/>
      <c r="J443" s="8" t="s">
        <v>4948</v>
      </c>
    </row>
    <row r="444" spans="1:10" ht="40" customHeight="1">
      <c r="A444" s="4" t="s">
        <v>578</v>
      </c>
      <c r="B444" s="4" t="s">
        <v>579</v>
      </c>
      <c r="C444" s="4" t="s">
        <v>5774</v>
      </c>
      <c r="D444" s="4" t="s">
        <v>4975</v>
      </c>
      <c r="E444" s="4" t="s">
        <v>41</v>
      </c>
      <c r="F444" s="4" t="s">
        <v>583</v>
      </c>
      <c r="G444" s="4" t="s">
        <v>2350</v>
      </c>
      <c r="H444" s="7" t="s">
        <v>42</v>
      </c>
      <c r="I444" s="7"/>
      <c r="J444" s="4" t="s">
        <v>4948</v>
      </c>
    </row>
    <row r="445" spans="1:10" ht="40" customHeight="1">
      <c r="A445" s="8" t="s">
        <v>578</v>
      </c>
      <c r="B445" s="8" t="s">
        <v>579</v>
      </c>
      <c r="C445" s="8" t="s">
        <v>5775</v>
      </c>
      <c r="D445" s="8" t="s">
        <v>5647</v>
      </c>
      <c r="E445" s="8" t="s">
        <v>41</v>
      </c>
      <c r="F445" s="8" t="s">
        <v>583</v>
      </c>
      <c r="G445" s="8" t="s">
        <v>2350</v>
      </c>
      <c r="H445" s="7" t="s">
        <v>42</v>
      </c>
      <c r="I445" s="7"/>
      <c r="J445" s="8" t="s">
        <v>4948</v>
      </c>
    </row>
    <row r="446" spans="1:10" ht="40" customHeight="1">
      <c r="A446" s="4" t="s">
        <v>578</v>
      </c>
      <c r="B446" s="4" t="s">
        <v>579</v>
      </c>
      <c r="C446" s="4" t="s">
        <v>5776</v>
      </c>
      <c r="D446" s="4" t="s">
        <v>4977</v>
      </c>
      <c r="E446" s="4" t="s">
        <v>41</v>
      </c>
      <c r="F446" s="4" t="s">
        <v>583</v>
      </c>
      <c r="G446" s="4" t="s">
        <v>2350</v>
      </c>
      <c r="H446" s="7" t="s">
        <v>42</v>
      </c>
      <c r="I446" s="7"/>
      <c r="J446" s="4" t="s">
        <v>4948</v>
      </c>
    </row>
    <row r="447" spans="1:10" ht="40" customHeight="1">
      <c r="A447" s="8" t="s">
        <v>586</v>
      </c>
      <c r="B447" s="8" t="s">
        <v>587</v>
      </c>
      <c r="C447" s="8" t="s">
        <v>5777</v>
      </c>
      <c r="D447" s="8" t="s">
        <v>5778</v>
      </c>
      <c r="E447" s="8" t="s">
        <v>41</v>
      </c>
      <c r="F447" s="8" t="s">
        <v>591</v>
      </c>
      <c r="G447" s="8" t="s">
        <v>2367</v>
      </c>
      <c r="H447" s="7" t="s">
        <v>42</v>
      </c>
      <c r="I447" s="7"/>
      <c r="J447" s="8" t="s">
        <v>4948</v>
      </c>
    </row>
    <row r="448" spans="1:10" ht="40" customHeight="1">
      <c r="A448" s="4" t="s">
        <v>586</v>
      </c>
      <c r="B448" s="4" t="s">
        <v>587</v>
      </c>
      <c r="C448" s="4" t="s">
        <v>5779</v>
      </c>
      <c r="D448" s="4" t="s">
        <v>5780</v>
      </c>
      <c r="E448" s="4" t="s">
        <v>41</v>
      </c>
      <c r="F448" s="4" t="s">
        <v>591</v>
      </c>
      <c r="G448" s="4" t="s">
        <v>2367</v>
      </c>
      <c r="H448" s="7" t="s">
        <v>42</v>
      </c>
      <c r="I448" s="7"/>
      <c r="J448" s="4" t="s">
        <v>4948</v>
      </c>
    </row>
    <row r="449" spans="1:10" ht="40" customHeight="1">
      <c r="A449" s="8" t="s">
        <v>586</v>
      </c>
      <c r="B449" s="8" t="s">
        <v>587</v>
      </c>
      <c r="C449" s="8" t="s">
        <v>5781</v>
      </c>
      <c r="D449" s="8" t="s">
        <v>5782</v>
      </c>
      <c r="E449" s="8" t="s">
        <v>41</v>
      </c>
      <c r="F449" s="8" t="s">
        <v>591</v>
      </c>
      <c r="G449" s="8" t="s">
        <v>2367</v>
      </c>
      <c r="H449" s="7" t="s">
        <v>42</v>
      </c>
      <c r="I449" s="7"/>
      <c r="J449" s="8" t="s">
        <v>4948</v>
      </c>
    </row>
    <row r="450" spans="1:10" ht="40" customHeight="1">
      <c r="A450" s="4" t="s">
        <v>586</v>
      </c>
      <c r="B450" s="4" t="s">
        <v>587</v>
      </c>
      <c r="C450" s="4" t="s">
        <v>5783</v>
      </c>
      <c r="D450" s="4" t="s">
        <v>5784</v>
      </c>
      <c r="E450" s="4" t="s">
        <v>41</v>
      </c>
      <c r="F450" s="4" t="s">
        <v>591</v>
      </c>
      <c r="G450" s="4" t="s">
        <v>2367</v>
      </c>
      <c r="H450" s="7" t="s">
        <v>42</v>
      </c>
      <c r="I450" s="7"/>
      <c r="J450" s="4" t="s">
        <v>4948</v>
      </c>
    </row>
    <row r="451" spans="1:10" ht="40" customHeight="1">
      <c r="A451" s="8" t="s">
        <v>586</v>
      </c>
      <c r="B451" s="8" t="s">
        <v>587</v>
      </c>
      <c r="C451" s="8" t="s">
        <v>5785</v>
      </c>
      <c r="D451" s="8" t="s">
        <v>5786</v>
      </c>
      <c r="E451" s="8" t="s">
        <v>41</v>
      </c>
      <c r="F451" s="8" t="s">
        <v>591</v>
      </c>
      <c r="G451" s="8" t="s">
        <v>2367</v>
      </c>
      <c r="H451" s="7" t="s">
        <v>42</v>
      </c>
      <c r="I451" s="7"/>
      <c r="J451" s="8" t="s">
        <v>4948</v>
      </c>
    </row>
    <row r="452" spans="1:10" ht="40" customHeight="1">
      <c r="A452" s="4" t="s">
        <v>586</v>
      </c>
      <c r="B452" s="4" t="s">
        <v>587</v>
      </c>
      <c r="C452" s="4" t="s">
        <v>5787</v>
      </c>
      <c r="D452" s="4" t="s">
        <v>5788</v>
      </c>
      <c r="E452" s="4" t="s">
        <v>41</v>
      </c>
      <c r="F452" s="4" t="s">
        <v>591</v>
      </c>
      <c r="G452" s="4" t="s">
        <v>2367</v>
      </c>
      <c r="H452" s="7" t="s">
        <v>42</v>
      </c>
      <c r="I452" s="7"/>
      <c r="J452" s="4" t="s">
        <v>4948</v>
      </c>
    </row>
    <row r="453" spans="1:10" ht="40" customHeight="1">
      <c r="A453" s="8" t="s">
        <v>586</v>
      </c>
      <c r="B453" s="8" t="s">
        <v>587</v>
      </c>
      <c r="C453" s="8" t="s">
        <v>5789</v>
      </c>
      <c r="D453" s="8" t="s">
        <v>5790</v>
      </c>
      <c r="E453" s="8" t="s">
        <v>41</v>
      </c>
      <c r="F453" s="8" t="s">
        <v>591</v>
      </c>
      <c r="G453" s="8" t="s">
        <v>2367</v>
      </c>
      <c r="H453" s="7" t="s">
        <v>42</v>
      </c>
      <c r="I453" s="7"/>
      <c r="J453" s="8" t="s">
        <v>4948</v>
      </c>
    </row>
    <row r="454" spans="1:10" ht="40" customHeight="1">
      <c r="A454" s="4" t="s">
        <v>586</v>
      </c>
      <c r="B454" s="4" t="s">
        <v>587</v>
      </c>
      <c r="C454" s="4" t="s">
        <v>5791</v>
      </c>
      <c r="D454" s="4" t="s">
        <v>5792</v>
      </c>
      <c r="E454" s="4" t="s">
        <v>41</v>
      </c>
      <c r="F454" s="4" t="s">
        <v>591</v>
      </c>
      <c r="G454" s="4" t="s">
        <v>2367</v>
      </c>
      <c r="H454" s="7" t="s">
        <v>42</v>
      </c>
      <c r="I454" s="7"/>
      <c r="J454" s="4" t="s">
        <v>4948</v>
      </c>
    </row>
    <row r="455" spans="1:10" ht="40" customHeight="1">
      <c r="A455" s="8" t="s">
        <v>586</v>
      </c>
      <c r="B455" s="8" t="s">
        <v>587</v>
      </c>
      <c r="C455" s="8" t="s">
        <v>5793</v>
      </c>
      <c r="D455" s="8" t="s">
        <v>5794</v>
      </c>
      <c r="E455" s="8" t="s">
        <v>41</v>
      </c>
      <c r="F455" s="8" t="s">
        <v>591</v>
      </c>
      <c r="G455" s="8" t="s">
        <v>2367</v>
      </c>
      <c r="H455" s="7" t="s">
        <v>42</v>
      </c>
      <c r="I455" s="7"/>
      <c r="J455" s="8" t="s">
        <v>4948</v>
      </c>
    </row>
    <row r="456" spans="1:10" ht="40" customHeight="1">
      <c r="A456" s="4" t="s">
        <v>594</v>
      </c>
      <c r="B456" s="4" t="s">
        <v>595</v>
      </c>
      <c r="C456" s="4" t="s">
        <v>5795</v>
      </c>
      <c r="D456" s="4" t="s">
        <v>5796</v>
      </c>
      <c r="E456" s="4" t="s">
        <v>41</v>
      </c>
      <c r="F456" s="4" t="s">
        <v>600</v>
      </c>
      <c r="G456" s="4" t="s">
        <v>2377</v>
      </c>
      <c r="H456" s="7" t="s">
        <v>42</v>
      </c>
      <c r="I456" s="7"/>
      <c r="J456" s="4" t="s">
        <v>4948</v>
      </c>
    </row>
    <row r="457" spans="1:10" ht="40" customHeight="1">
      <c r="A457" s="8" t="s">
        <v>594</v>
      </c>
      <c r="B457" s="8" t="s">
        <v>595</v>
      </c>
      <c r="C457" s="8" t="s">
        <v>5797</v>
      </c>
      <c r="D457" s="8" t="s">
        <v>3487</v>
      </c>
      <c r="E457" s="8" t="s">
        <v>41</v>
      </c>
      <c r="F457" s="8" t="s">
        <v>600</v>
      </c>
      <c r="G457" s="8" t="s">
        <v>2377</v>
      </c>
      <c r="H457" s="7" t="s">
        <v>42</v>
      </c>
      <c r="I457" s="7"/>
      <c r="J457" s="8" t="s">
        <v>4948</v>
      </c>
    </row>
    <row r="458" spans="1:10" ht="54" customHeight="1">
      <c r="A458" s="4" t="s">
        <v>594</v>
      </c>
      <c r="B458" s="4" t="s">
        <v>595</v>
      </c>
      <c r="C458" s="4" t="s">
        <v>5798</v>
      </c>
      <c r="D458" s="4" t="s">
        <v>5799</v>
      </c>
      <c r="E458" s="4" t="s">
        <v>41</v>
      </c>
      <c r="F458" s="4" t="s">
        <v>600</v>
      </c>
      <c r="G458" s="4" t="s">
        <v>2377</v>
      </c>
      <c r="H458" s="7" t="s">
        <v>42</v>
      </c>
      <c r="I458" s="7"/>
      <c r="J458" s="4" t="s">
        <v>4948</v>
      </c>
    </row>
    <row r="459" spans="1:10" ht="54" customHeight="1">
      <c r="A459" s="8" t="s">
        <v>594</v>
      </c>
      <c r="B459" s="8" t="s">
        <v>595</v>
      </c>
      <c r="C459" s="8" t="s">
        <v>5800</v>
      </c>
      <c r="D459" s="8" t="s">
        <v>5801</v>
      </c>
      <c r="E459" s="8" t="s">
        <v>41</v>
      </c>
      <c r="F459" s="8" t="s">
        <v>600</v>
      </c>
      <c r="G459" s="8" t="s">
        <v>2377</v>
      </c>
      <c r="H459" s="7" t="s">
        <v>42</v>
      </c>
      <c r="I459" s="7"/>
      <c r="J459" s="8" t="s">
        <v>4948</v>
      </c>
    </row>
    <row r="460" spans="1:10" ht="40" customHeight="1">
      <c r="A460" s="4" t="s">
        <v>594</v>
      </c>
      <c r="B460" s="4" t="s">
        <v>595</v>
      </c>
      <c r="C460" s="4" t="s">
        <v>5802</v>
      </c>
      <c r="D460" s="4" t="s">
        <v>5803</v>
      </c>
      <c r="E460" s="4" t="s">
        <v>41</v>
      </c>
      <c r="F460" s="4" t="s">
        <v>600</v>
      </c>
      <c r="G460" s="4" t="s">
        <v>2377</v>
      </c>
      <c r="H460" s="7" t="s">
        <v>42</v>
      </c>
      <c r="I460" s="7"/>
      <c r="J460" s="4" t="s">
        <v>4948</v>
      </c>
    </row>
    <row r="461" spans="1:10" ht="40" customHeight="1">
      <c r="A461" s="8" t="s">
        <v>594</v>
      </c>
      <c r="B461" s="8" t="s">
        <v>595</v>
      </c>
      <c r="C461" s="8" t="s">
        <v>5804</v>
      </c>
      <c r="D461" s="8" t="s">
        <v>5805</v>
      </c>
      <c r="E461" s="8" t="s">
        <v>41</v>
      </c>
      <c r="F461" s="8" t="s">
        <v>600</v>
      </c>
      <c r="G461" s="8" t="s">
        <v>2377</v>
      </c>
      <c r="H461" s="7" t="s">
        <v>42</v>
      </c>
      <c r="I461" s="7"/>
      <c r="J461" s="8" t="s">
        <v>4948</v>
      </c>
    </row>
    <row r="462" spans="1:10" ht="40" customHeight="1">
      <c r="A462" s="4" t="s">
        <v>594</v>
      </c>
      <c r="B462" s="4" t="s">
        <v>595</v>
      </c>
      <c r="C462" s="4" t="s">
        <v>5806</v>
      </c>
      <c r="D462" s="4" t="s">
        <v>5807</v>
      </c>
      <c r="E462" s="4" t="s">
        <v>41</v>
      </c>
      <c r="F462" s="4" t="s">
        <v>600</v>
      </c>
      <c r="G462" s="4" t="s">
        <v>2377</v>
      </c>
      <c r="H462" s="7" t="s">
        <v>42</v>
      </c>
      <c r="I462" s="7"/>
      <c r="J462" s="4" t="s">
        <v>4948</v>
      </c>
    </row>
    <row r="463" spans="1:10" ht="40" customHeight="1">
      <c r="A463" s="8" t="s">
        <v>594</v>
      </c>
      <c r="B463" s="8" t="s">
        <v>595</v>
      </c>
      <c r="C463" s="8" t="s">
        <v>5808</v>
      </c>
      <c r="D463" s="8" t="s">
        <v>5809</v>
      </c>
      <c r="E463" s="8" t="s">
        <v>41</v>
      </c>
      <c r="F463" s="8" t="s">
        <v>600</v>
      </c>
      <c r="G463" s="8" t="s">
        <v>2377</v>
      </c>
      <c r="H463" s="7" t="s">
        <v>42</v>
      </c>
      <c r="I463" s="7"/>
      <c r="J463" s="8" t="s">
        <v>4948</v>
      </c>
    </row>
    <row r="464" spans="1:10" ht="40" customHeight="1">
      <c r="A464" s="4" t="s">
        <v>603</v>
      </c>
      <c r="B464" s="4" t="s">
        <v>604</v>
      </c>
      <c r="C464" s="4" t="s">
        <v>5810</v>
      </c>
      <c r="D464" s="4" t="s">
        <v>5811</v>
      </c>
      <c r="E464" s="4" t="s">
        <v>5811</v>
      </c>
      <c r="F464" s="4" t="s">
        <v>608</v>
      </c>
      <c r="G464" s="4" t="s">
        <v>2442</v>
      </c>
      <c r="H464" s="7" t="s">
        <v>42</v>
      </c>
      <c r="I464" s="7"/>
      <c r="J464" s="4" t="s">
        <v>1002</v>
      </c>
    </row>
    <row r="465" spans="1:10" ht="68" customHeight="1">
      <c r="A465" s="8" t="s">
        <v>603</v>
      </c>
      <c r="B465" s="8" t="s">
        <v>604</v>
      </c>
      <c r="C465" s="8" t="s">
        <v>5812</v>
      </c>
      <c r="D465" s="8" t="s">
        <v>5813</v>
      </c>
      <c r="E465" s="8" t="s">
        <v>5811</v>
      </c>
      <c r="F465" s="8" t="s">
        <v>608</v>
      </c>
      <c r="G465" s="8" t="s">
        <v>2442</v>
      </c>
      <c r="H465" s="7" t="s">
        <v>42</v>
      </c>
      <c r="I465" s="7"/>
      <c r="J465" s="8" t="s">
        <v>4948</v>
      </c>
    </row>
    <row r="466" spans="1:10" ht="40" customHeight="1">
      <c r="A466" s="4" t="s">
        <v>603</v>
      </c>
      <c r="B466" s="4" t="s">
        <v>604</v>
      </c>
      <c r="C466" s="4" t="s">
        <v>5814</v>
      </c>
      <c r="D466" s="4" t="s">
        <v>5815</v>
      </c>
      <c r="E466" s="4" t="s">
        <v>5811</v>
      </c>
      <c r="F466" s="4" t="s">
        <v>608</v>
      </c>
      <c r="G466" s="4" t="s">
        <v>2442</v>
      </c>
      <c r="H466" s="7" t="s">
        <v>42</v>
      </c>
      <c r="I466" s="7"/>
      <c r="J466" s="4" t="s">
        <v>4948</v>
      </c>
    </row>
    <row r="467" spans="1:10" ht="40" customHeight="1">
      <c r="A467" s="8" t="s">
        <v>603</v>
      </c>
      <c r="B467" s="8" t="s">
        <v>604</v>
      </c>
      <c r="C467" s="8" t="s">
        <v>5816</v>
      </c>
      <c r="D467" s="8" t="s">
        <v>5817</v>
      </c>
      <c r="E467" s="8" t="s">
        <v>5811</v>
      </c>
      <c r="F467" s="8" t="s">
        <v>608</v>
      </c>
      <c r="G467" s="8" t="s">
        <v>2442</v>
      </c>
      <c r="H467" s="7" t="s">
        <v>42</v>
      </c>
      <c r="I467" s="7"/>
      <c r="J467" s="8" t="s">
        <v>4948</v>
      </c>
    </row>
    <row r="468" spans="1:10" ht="40" customHeight="1">
      <c r="A468" s="4" t="s">
        <v>603</v>
      </c>
      <c r="B468" s="4" t="s">
        <v>604</v>
      </c>
      <c r="C468" s="4" t="s">
        <v>5818</v>
      </c>
      <c r="D468" s="4" t="s">
        <v>5819</v>
      </c>
      <c r="E468" s="4" t="s">
        <v>5811</v>
      </c>
      <c r="F468" s="4" t="s">
        <v>608</v>
      </c>
      <c r="G468" s="4" t="s">
        <v>2442</v>
      </c>
      <c r="H468" s="7" t="s">
        <v>42</v>
      </c>
      <c r="I468" s="7"/>
      <c r="J468" s="4" t="s">
        <v>4948</v>
      </c>
    </row>
    <row r="469" spans="1:10" ht="40" customHeight="1">
      <c r="A469" s="8" t="s">
        <v>603</v>
      </c>
      <c r="B469" s="8" t="s">
        <v>604</v>
      </c>
      <c r="C469" s="8" t="s">
        <v>5820</v>
      </c>
      <c r="D469" s="8" t="s">
        <v>5821</v>
      </c>
      <c r="E469" s="8" t="s">
        <v>5811</v>
      </c>
      <c r="F469" s="8" t="s">
        <v>608</v>
      </c>
      <c r="G469" s="8" t="s">
        <v>2442</v>
      </c>
      <c r="H469" s="7" t="s">
        <v>42</v>
      </c>
      <c r="I469" s="7"/>
      <c r="J469" s="8" t="s">
        <v>4948</v>
      </c>
    </row>
    <row r="470" spans="1:10" ht="40" customHeight="1">
      <c r="A470" s="4" t="s">
        <v>603</v>
      </c>
      <c r="B470" s="4" t="s">
        <v>604</v>
      </c>
      <c r="C470" s="4" t="s">
        <v>5822</v>
      </c>
      <c r="D470" s="4" t="s">
        <v>5823</v>
      </c>
      <c r="E470" s="4" t="s">
        <v>5811</v>
      </c>
      <c r="F470" s="4" t="s">
        <v>608</v>
      </c>
      <c r="G470" s="4" t="s">
        <v>2442</v>
      </c>
      <c r="H470" s="7" t="s">
        <v>42</v>
      </c>
      <c r="I470" s="7"/>
      <c r="J470" s="4" t="s">
        <v>4948</v>
      </c>
    </row>
    <row r="471" spans="1:10" ht="40" customHeight="1">
      <c r="A471" s="8" t="s">
        <v>603</v>
      </c>
      <c r="B471" s="8" t="s">
        <v>604</v>
      </c>
      <c r="C471" s="8" t="s">
        <v>5824</v>
      </c>
      <c r="D471" s="8" t="s">
        <v>5825</v>
      </c>
      <c r="E471" s="8" t="s">
        <v>5811</v>
      </c>
      <c r="F471" s="8" t="s">
        <v>608</v>
      </c>
      <c r="G471" s="8" t="s">
        <v>2442</v>
      </c>
      <c r="H471" s="7" t="s">
        <v>42</v>
      </c>
      <c r="I471" s="7"/>
      <c r="J471" s="8" t="s">
        <v>4948</v>
      </c>
    </row>
    <row r="472" spans="1:10" ht="40" customHeight="1">
      <c r="A472" s="4" t="s">
        <v>603</v>
      </c>
      <c r="B472" s="4" t="s">
        <v>604</v>
      </c>
      <c r="C472" s="4" t="s">
        <v>5826</v>
      </c>
      <c r="D472" s="4" t="s">
        <v>5827</v>
      </c>
      <c r="E472" s="4" t="s">
        <v>5811</v>
      </c>
      <c r="F472" s="4" t="s">
        <v>608</v>
      </c>
      <c r="G472" s="4" t="s">
        <v>2442</v>
      </c>
      <c r="H472" s="7" t="s">
        <v>42</v>
      </c>
      <c r="I472" s="7"/>
      <c r="J472" s="4" t="s">
        <v>4948</v>
      </c>
    </row>
    <row r="473" spans="1:10" ht="40" customHeight="1">
      <c r="A473" s="8" t="s">
        <v>603</v>
      </c>
      <c r="B473" s="8" t="s">
        <v>604</v>
      </c>
      <c r="C473" s="8" t="s">
        <v>5828</v>
      </c>
      <c r="D473" s="8" t="s">
        <v>5829</v>
      </c>
      <c r="E473" s="8" t="s">
        <v>5811</v>
      </c>
      <c r="F473" s="8" t="s">
        <v>608</v>
      </c>
      <c r="G473" s="8" t="s">
        <v>2442</v>
      </c>
      <c r="H473" s="7" t="s">
        <v>42</v>
      </c>
      <c r="I473" s="7"/>
      <c r="J473" s="8" t="s">
        <v>4948</v>
      </c>
    </row>
    <row r="474" spans="1:10" ht="40" customHeight="1">
      <c r="A474" s="4" t="s">
        <v>603</v>
      </c>
      <c r="B474" s="4" t="s">
        <v>604</v>
      </c>
      <c r="C474" s="4" t="s">
        <v>5830</v>
      </c>
      <c r="D474" s="4" t="s">
        <v>5831</v>
      </c>
      <c r="E474" s="4" t="s">
        <v>5811</v>
      </c>
      <c r="F474" s="4" t="s">
        <v>608</v>
      </c>
      <c r="G474" s="4" t="s">
        <v>2442</v>
      </c>
      <c r="H474" s="7" t="s">
        <v>42</v>
      </c>
      <c r="I474" s="7"/>
      <c r="J474" s="4" t="s">
        <v>4948</v>
      </c>
    </row>
    <row r="475" spans="1:10" ht="40" customHeight="1">
      <c r="A475" s="8" t="s">
        <v>603</v>
      </c>
      <c r="B475" s="8" t="s">
        <v>604</v>
      </c>
      <c r="C475" s="8" t="s">
        <v>5832</v>
      </c>
      <c r="D475" s="8" t="s">
        <v>5833</v>
      </c>
      <c r="E475" s="8" t="s">
        <v>5811</v>
      </c>
      <c r="F475" s="8" t="s">
        <v>608</v>
      </c>
      <c r="G475" s="8" t="s">
        <v>2442</v>
      </c>
      <c r="H475" s="7" t="s">
        <v>42</v>
      </c>
      <c r="I475" s="7"/>
      <c r="J475" s="8" t="s">
        <v>4948</v>
      </c>
    </row>
    <row r="476" spans="1:10" ht="40" customHeight="1">
      <c r="A476" s="4" t="s">
        <v>603</v>
      </c>
      <c r="B476" s="4" t="s">
        <v>604</v>
      </c>
      <c r="C476" s="4" t="s">
        <v>5834</v>
      </c>
      <c r="D476" s="4" t="s">
        <v>5835</v>
      </c>
      <c r="E476" s="4" t="s">
        <v>5811</v>
      </c>
      <c r="F476" s="4" t="s">
        <v>608</v>
      </c>
      <c r="G476" s="4" t="s">
        <v>2442</v>
      </c>
      <c r="H476" s="7" t="s">
        <v>42</v>
      </c>
      <c r="I476" s="7"/>
      <c r="J476" s="4" t="s">
        <v>4948</v>
      </c>
    </row>
    <row r="477" spans="1:10" ht="40" customHeight="1">
      <c r="A477" s="8" t="s">
        <v>603</v>
      </c>
      <c r="B477" s="8" t="s">
        <v>604</v>
      </c>
      <c r="C477" s="8" t="s">
        <v>5836</v>
      </c>
      <c r="D477" s="8" t="s">
        <v>5837</v>
      </c>
      <c r="E477" s="8" t="s">
        <v>5811</v>
      </c>
      <c r="F477" s="8" t="s">
        <v>608</v>
      </c>
      <c r="G477" s="8" t="s">
        <v>2442</v>
      </c>
      <c r="H477" s="7" t="s">
        <v>42</v>
      </c>
      <c r="I477" s="7"/>
      <c r="J477" s="8" t="s">
        <v>4948</v>
      </c>
    </row>
    <row r="478" spans="1:10" ht="40" customHeight="1">
      <c r="A478" s="4" t="s">
        <v>603</v>
      </c>
      <c r="B478" s="4" t="s">
        <v>604</v>
      </c>
      <c r="C478" s="4" t="s">
        <v>5838</v>
      </c>
      <c r="D478" s="4" t="s">
        <v>5839</v>
      </c>
      <c r="E478" s="4" t="s">
        <v>5811</v>
      </c>
      <c r="F478" s="4" t="s">
        <v>608</v>
      </c>
      <c r="G478" s="4" t="s">
        <v>2442</v>
      </c>
      <c r="H478" s="7" t="s">
        <v>42</v>
      </c>
      <c r="I478" s="7"/>
      <c r="J478" s="4" t="s">
        <v>4948</v>
      </c>
    </row>
    <row r="479" spans="1:10" ht="40" customHeight="1">
      <c r="A479" s="8" t="s">
        <v>611</v>
      </c>
      <c r="B479" s="8" t="s">
        <v>612</v>
      </c>
      <c r="C479" s="8" t="s">
        <v>5840</v>
      </c>
      <c r="D479" s="8" t="s">
        <v>5841</v>
      </c>
      <c r="E479" s="8" t="s">
        <v>41</v>
      </c>
      <c r="F479" s="8" t="s">
        <v>616</v>
      </c>
      <c r="G479" s="8" t="s">
        <v>2501</v>
      </c>
      <c r="H479" s="7" t="s">
        <v>42</v>
      </c>
      <c r="I479" s="7"/>
      <c r="J479" s="8" t="s">
        <v>4948</v>
      </c>
    </row>
    <row r="480" spans="1:10" ht="40" customHeight="1">
      <c r="A480" s="4" t="s">
        <v>611</v>
      </c>
      <c r="B480" s="4" t="s">
        <v>612</v>
      </c>
      <c r="C480" s="4" t="s">
        <v>5842</v>
      </c>
      <c r="D480" s="4" t="s">
        <v>3487</v>
      </c>
      <c r="E480" s="4" t="s">
        <v>41</v>
      </c>
      <c r="F480" s="4" t="s">
        <v>616</v>
      </c>
      <c r="G480" s="4" t="s">
        <v>2501</v>
      </c>
      <c r="H480" s="7" t="s">
        <v>42</v>
      </c>
      <c r="I480" s="7"/>
      <c r="J480" s="4" t="s">
        <v>4948</v>
      </c>
    </row>
    <row r="481" spans="1:10" ht="40" customHeight="1">
      <c r="A481" s="8" t="s">
        <v>611</v>
      </c>
      <c r="B481" s="8" t="s">
        <v>612</v>
      </c>
      <c r="C481" s="8" t="s">
        <v>5843</v>
      </c>
      <c r="D481" s="8" t="s">
        <v>5844</v>
      </c>
      <c r="E481" s="8" t="s">
        <v>41</v>
      </c>
      <c r="F481" s="8" t="s">
        <v>616</v>
      </c>
      <c r="G481" s="8" t="s">
        <v>2501</v>
      </c>
      <c r="H481" s="7" t="s">
        <v>42</v>
      </c>
      <c r="I481" s="7"/>
      <c r="J481" s="8" t="s">
        <v>4948</v>
      </c>
    </row>
    <row r="482" spans="1:10" ht="40" customHeight="1">
      <c r="A482" s="4" t="s">
        <v>611</v>
      </c>
      <c r="B482" s="4" t="s">
        <v>612</v>
      </c>
      <c r="C482" s="4" t="s">
        <v>5845</v>
      </c>
      <c r="D482" s="4" t="s">
        <v>5846</v>
      </c>
      <c r="E482" s="4" t="s">
        <v>41</v>
      </c>
      <c r="F482" s="4" t="s">
        <v>616</v>
      </c>
      <c r="G482" s="4" t="s">
        <v>2501</v>
      </c>
      <c r="H482" s="7" t="s">
        <v>42</v>
      </c>
      <c r="I482" s="7"/>
      <c r="J482" s="4" t="s">
        <v>4948</v>
      </c>
    </row>
    <row r="483" spans="1:10" ht="40" customHeight="1">
      <c r="A483" s="8" t="s">
        <v>611</v>
      </c>
      <c r="B483" s="8" t="s">
        <v>612</v>
      </c>
      <c r="C483" s="8" t="s">
        <v>5847</v>
      </c>
      <c r="D483" s="8" t="s">
        <v>5848</v>
      </c>
      <c r="E483" s="8" t="s">
        <v>41</v>
      </c>
      <c r="F483" s="8" t="s">
        <v>616</v>
      </c>
      <c r="G483" s="8" t="s">
        <v>2501</v>
      </c>
      <c r="H483" s="7" t="s">
        <v>42</v>
      </c>
      <c r="I483" s="7"/>
      <c r="J483" s="8" t="s">
        <v>4948</v>
      </c>
    </row>
    <row r="484" spans="1:10" ht="40" customHeight="1">
      <c r="A484" s="4" t="s">
        <v>611</v>
      </c>
      <c r="B484" s="4" t="s">
        <v>612</v>
      </c>
      <c r="C484" s="4" t="s">
        <v>5849</v>
      </c>
      <c r="D484" s="4" t="s">
        <v>5850</v>
      </c>
      <c r="E484" s="4" t="s">
        <v>41</v>
      </c>
      <c r="F484" s="4" t="s">
        <v>616</v>
      </c>
      <c r="G484" s="4" t="s">
        <v>2501</v>
      </c>
      <c r="H484" s="7" t="s">
        <v>42</v>
      </c>
      <c r="I484" s="7"/>
      <c r="J484" s="4" t="s">
        <v>4948</v>
      </c>
    </row>
    <row r="485" spans="1:10" ht="40" customHeight="1">
      <c r="A485" s="8" t="s">
        <v>611</v>
      </c>
      <c r="B485" s="8" t="s">
        <v>612</v>
      </c>
      <c r="C485" s="8" t="s">
        <v>5851</v>
      </c>
      <c r="D485" s="8" t="s">
        <v>5852</v>
      </c>
      <c r="E485" s="8" t="s">
        <v>41</v>
      </c>
      <c r="F485" s="8" t="s">
        <v>616</v>
      </c>
      <c r="G485" s="8" t="s">
        <v>2501</v>
      </c>
      <c r="H485" s="7" t="s">
        <v>42</v>
      </c>
      <c r="I485" s="7"/>
      <c r="J485" s="8" t="s">
        <v>4948</v>
      </c>
    </row>
  </sheetData>
  <conditionalFormatting sqref="H6:H485">
    <cfRule type="containsText" dxfId="0" priority="1" stopIfTrue="1" operator="containsText" text="Approved">
      <formula>NOT(ISERROR(SEARCH("Approved",H6)))</formula>
    </cfRule>
  </conditionalFormatting>
  <dataValidations count="1">
    <dataValidation type="list" allowBlank="1" showInputMessage="1" showErrorMessage="1" sqref="H6:H485">
      <formula1>"Not started,In review,Approved,Needs correction,Not applicable,Excluded"</formula1>
    </dataValidation>
  </dataValidations>
  <pageMargins left="0.7" right="0.7" top="0.75" bottom="0.75" header="0.3" footer="0.3"/>
  <pageSetup paperSize="9" fitToHeight="0" orientation="landscape"/>
  <tableParts count="1">
    <tablePart r:id="rId1"/>
  </tableParts>
</worksheet>
</file>

<file path=xl/worksheets/sheet6.xml><?xml version="1.0" encoding="utf-8"?>
<worksheet xmlns="http://schemas.openxmlformats.org/spreadsheetml/2006/main" xmlns:r="http://schemas.openxmlformats.org/officeDocument/2006/relationships">
  <sheetPr>
    <pageSetUpPr fitToPage="1"/>
  </sheetPr>
  <dimension ref="A2:N3166"/>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cols>
    <col min="1" max="1" width="24.7109375" customWidth="1"/>
    <col min="2" max="2" width="13.7109375" customWidth="1"/>
    <col min="3" max="3" width="48.7109375" customWidth="1"/>
    <col min="4" max="4" width="25.7109375" customWidth="1"/>
    <col min="5" max="5" width="65.7109375" customWidth="1"/>
    <col min="6" max="6" width="75.7109375" customWidth="1"/>
    <col min="7" max="7" width="50.7109375" customWidth="1"/>
    <col min="8" max="9" width="10.7109375" customWidth="1"/>
    <col min="10" max="10" width="110.7109375" customWidth="1"/>
    <col min="11" max="11" width="20.7109375" customWidth="1"/>
    <col min="12" max="12" width="17.7109375" customWidth="1"/>
    <col min="13" max="13" width="35.7109375" customWidth="1"/>
    <col min="14" max="14" width="25.7109375" customWidth="1"/>
  </cols>
  <sheetData>
    <row r="2" spans="1:14" ht="28" customHeight="1">
      <c r="A2" s="1" t="s">
        <v>5853</v>
      </c>
    </row>
    <row r="3" spans="1:14" ht="22" customHeight="1">
      <c r="A3" s="2" t="s">
        <v>5854</v>
      </c>
    </row>
    <row r="5" spans="1:14" ht="45" customHeight="1">
      <c r="A5" s="3" t="s">
        <v>3441</v>
      </c>
      <c r="B5" s="3" t="s">
        <v>622</v>
      </c>
      <c r="C5" s="3" t="s">
        <v>3</v>
      </c>
      <c r="D5" s="3" t="s">
        <v>629</v>
      </c>
      <c r="E5" s="3" t="s">
        <v>1002</v>
      </c>
      <c r="F5" s="3" t="s">
        <v>630</v>
      </c>
      <c r="G5" s="3" t="s">
        <v>631</v>
      </c>
      <c r="H5" s="3" t="s">
        <v>5855</v>
      </c>
      <c r="I5" s="3" t="s">
        <v>5856</v>
      </c>
      <c r="J5" s="3" t="s">
        <v>5857</v>
      </c>
      <c r="K5" s="3" t="s">
        <v>21</v>
      </c>
      <c r="L5" s="3" t="s">
        <v>11</v>
      </c>
      <c r="M5" s="3" t="s">
        <v>5858</v>
      </c>
      <c r="N5" s="3" t="s">
        <v>5859</v>
      </c>
    </row>
    <row r="6" spans="1:14" ht="82" customHeight="1">
      <c r="A6" s="4" t="s">
        <v>5860</v>
      </c>
      <c r="B6" s="4" t="s">
        <v>33</v>
      </c>
      <c r="C6" s="4" t="s">
        <v>34</v>
      </c>
      <c r="D6" s="4" t="s">
        <v>5861</v>
      </c>
      <c r="E6" s="4" t="s">
        <v>41</v>
      </c>
      <c r="F6" s="4" t="s">
        <v>5862</v>
      </c>
      <c r="G6" s="4" t="s">
        <v>905</v>
      </c>
      <c r="H6" s="4">
        <v>1</v>
      </c>
      <c r="I6" s="4">
        <v>1</v>
      </c>
      <c r="J6" s="4" t="s">
        <v>5863</v>
      </c>
      <c r="K6" s="4" t="s">
        <v>48</v>
      </c>
      <c r="L6" s="6">
        <v>46319</v>
      </c>
      <c r="M6" s="4" t="s">
        <v>5864</v>
      </c>
      <c r="N6" s="4" t="s">
        <v>5865</v>
      </c>
    </row>
    <row r="7" spans="1:14" ht="40" customHeight="1">
      <c r="A7" s="8" t="s">
        <v>5866</v>
      </c>
      <c r="B7" s="8" t="s">
        <v>33</v>
      </c>
      <c r="C7" s="8" t="s">
        <v>34</v>
      </c>
      <c r="D7" s="8" t="s">
        <v>5867</v>
      </c>
      <c r="E7" s="8" t="s">
        <v>41</v>
      </c>
      <c r="F7" s="8" t="s">
        <v>5868</v>
      </c>
      <c r="G7" s="8" t="s">
        <v>905</v>
      </c>
      <c r="H7" s="8">
        <v>1</v>
      </c>
      <c r="I7" s="8">
        <v>1</v>
      </c>
      <c r="J7" s="8" t="s">
        <v>5869</v>
      </c>
      <c r="K7" s="8" t="s">
        <v>48</v>
      </c>
      <c r="L7" s="9">
        <v>46319</v>
      </c>
      <c r="M7" s="8" t="s">
        <v>5864</v>
      </c>
      <c r="N7" s="8" t="s">
        <v>5870</v>
      </c>
    </row>
    <row r="8" spans="1:14" ht="40" customHeight="1">
      <c r="A8" s="4" t="s">
        <v>5871</v>
      </c>
      <c r="B8" s="4" t="s">
        <v>33</v>
      </c>
      <c r="C8" s="4" t="s">
        <v>34</v>
      </c>
      <c r="D8" s="4" t="s">
        <v>5867</v>
      </c>
      <c r="E8" s="4" t="s">
        <v>41</v>
      </c>
      <c r="F8" s="4" t="s">
        <v>5872</v>
      </c>
      <c r="G8" s="4" t="s">
        <v>905</v>
      </c>
      <c r="H8" s="4">
        <v>1</v>
      </c>
      <c r="I8" s="4">
        <v>1</v>
      </c>
      <c r="J8" s="4" t="s">
        <v>5873</v>
      </c>
      <c r="K8" s="4" t="s">
        <v>48</v>
      </c>
      <c r="L8" s="6">
        <v>46319</v>
      </c>
      <c r="M8" s="4" t="s">
        <v>5864</v>
      </c>
      <c r="N8" s="4" t="s">
        <v>5870</v>
      </c>
    </row>
    <row r="9" spans="1:14" ht="40" customHeight="1">
      <c r="A9" s="8" t="s">
        <v>5874</v>
      </c>
      <c r="B9" s="8" t="s">
        <v>33</v>
      </c>
      <c r="C9" s="8" t="s">
        <v>34</v>
      </c>
      <c r="D9" s="8" t="s">
        <v>5867</v>
      </c>
      <c r="E9" s="8" t="s">
        <v>41</v>
      </c>
      <c r="F9" s="8" t="s">
        <v>5875</v>
      </c>
      <c r="G9" s="8" t="s">
        <v>905</v>
      </c>
      <c r="H9" s="8">
        <v>1</v>
      </c>
      <c r="I9" s="8">
        <v>1</v>
      </c>
      <c r="J9" s="8" t="s">
        <v>5876</v>
      </c>
      <c r="K9" s="8" t="s">
        <v>48</v>
      </c>
      <c r="L9" s="9">
        <v>46319</v>
      </c>
      <c r="M9" s="8" t="s">
        <v>5864</v>
      </c>
      <c r="N9" s="8" t="s">
        <v>5870</v>
      </c>
    </row>
    <row r="10" spans="1:14" ht="40" customHeight="1">
      <c r="A10" s="4" t="s">
        <v>5877</v>
      </c>
      <c r="B10" s="4" t="s">
        <v>33</v>
      </c>
      <c r="C10" s="4" t="s">
        <v>34</v>
      </c>
      <c r="D10" s="4" t="s">
        <v>637</v>
      </c>
      <c r="E10" s="4" t="s">
        <v>41</v>
      </c>
      <c r="F10" s="4" t="s">
        <v>904</v>
      </c>
      <c r="G10" s="4" t="s">
        <v>905</v>
      </c>
      <c r="H10" s="4">
        <v>1</v>
      </c>
      <c r="I10" s="4">
        <v>1</v>
      </c>
      <c r="J10" s="4" t="s">
        <v>902</v>
      </c>
      <c r="K10" s="4" t="s">
        <v>48</v>
      </c>
      <c r="L10" s="6">
        <v>46319</v>
      </c>
      <c r="M10" s="4" t="s">
        <v>5864</v>
      </c>
      <c r="N10" s="4" t="s">
        <v>5870</v>
      </c>
    </row>
    <row r="11" spans="1:14" ht="40" customHeight="1">
      <c r="A11" s="8" t="s">
        <v>5878</v>
      </c>
      <c r="B11" s="8" t="s">
        <v>33</v>
      </c>
      <c r="C11" s="8" t="s">
        <v>34</v>
      </c>
      <c r="D11" s="8" t="s">
        <v>637</v>
      </c>
      <c r="E11" s="8" t="s">
        <v>41</v>
      </c>
      <c r="F11" s="8" t="s">
        <v>912</v>
      </c>
      <c r="G11" s="8" t="s">
        <v>905</v>
      </c>
      <c r="H11" s="8">
        <v>1</v>
      </c>
      <c r="I11" s="8">
        <v>1</v>
      </c>
      <c r="J11" s="8" t="s">
        <v>910</v>
      </c>
      <c r="K11" s="8" t="s">
        <v>48</v>
      </c>
      <c r="L11" s="9">
        <v>46319</v>
      </c>
      <c r="M11" s="8" t="s">
        <v>5864</v>
      </c>
      <c r="N11" s="8" t="s">
        <v>5870</v>
      </c>
    </row>
    <row r="12" spans="1:14" ht="40" customHeight="1">
      <c r="A12" s="4" t="s">
        <v>3447</v>
      </c>
      <c r="B12" s="4" t="s">
        <v>33</v>
      </c>
      <c r="C12" s="4" t="s">
        <v>34</v>
      </c>
      <c r="D12" s="4" t="s">
        <v>5879</v>
      </c>
      <c r="E12" s="4" t="s">
        <v>208</v>
      </c>
      <c r="F12" s="4" t="s">
        <v>3449</v>
      </c>
      <c r="G12" s="4" t="s">
        <v>905</v>
      </c>
      <c r="H12" s="4">
        <v>1</v>
      </c>
      <c r="I12" s="4">
        <v>1</v>
      </c>
      <c r="J12" s="4" t="s">
        <v>208</v>
      </c>
      <c r="K12" s="4" t="s">
        <v>48</v>
      </c>
      <c r="L12" s="6">
        <v>46319</v>
      </c>
      <c r="M12" s="4" t="s">
        <v>5864</v>
      </c>
      <c r="N12" s="4" t="s">
        <v>5865</v>
      </c>
    </row>
    <row r="13" spans="1:14" ht="40" customHeight="1">
      <c r="A13" s="8" t="s">
        <v>3451</v>
      </c>
      <c r="B13" s="8" t="s">
        <v>33</v>
      </c>
      <c r="C13" s="8" t="s">
        <v>34</v>
      </c>
      <c r="D13" s="8" t="s">
        <v>5879</v>
      </c>
      <c r="E13" s="8" t="s">
        <v>208</v>
      </c>
      <c r="F13" s="8" t="s">
        <v>3454</v>
      </c>
      <c r="G13" s="8" t="s">
        <v>905</v>
      </c>
      <c r="H13" s="8">
        <v>1</v>
      </c>
      <c r="I13" s="8">
        <v>1</v>
      </c>
      <c r="J13" s="8" t="s">
        <v>3453</v>
      </c>
      <c r="K13" s="8" t="s">
        <v>48</v>
      </c>
      <c r="L13" s="9">
        <v>46319</v>
      </c>
      <c r="M13" s="8" t="s">
        <v>5864</v>
      </c>
      <c r="N13" s="8" t="s">
        <v>5865</v>
      </c>
    </row>
    <row r="14" spans="1:14" ht="54" customHeight="1">
      <c r="A14" s="4" t="s">
        <v>3455</v>
      </c>
      <c r="B14" s="4" t="s">
        <v>33</v>
      </c>
      <c r="C14" s="4" t="s">
        <v>34</v>
      </c>
      <c r="D14" s="4" t="s">
        <v>5879</v>
      </c>
      <c r="E14" s="4" t="s">
        <v>208</v>
      </c>
      <c r="F14" s="4" t="s">
        <v>3457</v>
      </c>
      <c r="G14" s="4" t="s">
        <v>905</v>
      </c>
      <c r="H14" s="4">
        <v>1</v>
      </c>
      <c r="I14" s="4">
        <v>1</v>
      </c>
      <c r="J14" s="4" t="s">
        <v>3456</v>
      </c>
      <c r="K14" s="4" t="s">
        <v>48</v>
      </c>
      <c r="L14" s="6">
        <v>46319</v>
      </c>
      <c r="M14" s="4" t="s">
        <v>5864</v>
      </c>
      <c r="N14" s="4" t="s">
        <v>5865</v>
      </c>
    </row>
    <row r="15" spans="1:14" ht="40" customHeight="1">
      <c r="A15" s="8" t="s">
        <v>3458</v>
      </c>
      <c r="B15" s="8" t="s">
        <v>33</v>
      </c>
      <c r="C15" s="8" t="s">
        <v>34</v>
      </c>
      <c r="D15" s="8" t="s">
        <v>5879</v>
      </c>
      <c r="E15" s="8" t="s">
        <v>41</v>
      </c>
      <c r="F15" s="8" t="s">
        <v>3460</v>
      </c>
      <c r="G15" s="8" t="s">
        <v>905</v>
      </c>
      <c r="H15" s="8">
        <v>1</v>
      </c>
      <c r="I15" s="8">
        <v>1</v>
      </c>
      <c r="J15" s="8" t="s">
        <v>3459</v>
      </c>
      <c r="K15" s="8" t="s">
        <v>48</v>
      </c>
      <c r="L15" s="9">
        <v>46319</v>
      </c>
      <c r="M15" s="8" t="s">
        <v>5864</v>
      </c>
      <c r="N15" s="8" t="s">
        <v>5865</v>
      </c>
    </row>
    <row r="16" spans="1:14" ht="54" customHeight="1">
      <c r="A16" s="4" t="s">
        <v>5880</v>
      </c>
      <c r="B16" s="4" t="s">
        <v>33</v>
      </c>
      <c r="C16" s="4" t="s">
        <v>34</v>
      </c>
      <c r="D16" s="4" t="s">
        <v>2969</v>
      </c>
      <c r="E16" s="4" t="s">
        <v>41</v>
      </c>
      <c r="F16" s="4" t="s">
        <v>5881</v>
      </c>
      <c r="G16" s="4" t="s">
        <v>905</v>
      </c>
      <c r="H16" s="4">
        <v>1</v>
      </c>
      <c r="I16" s="4">
        <v>1</v>
      </c>
      <c r="J16" s="4" t="s">
        <v>5882</v>
      </c>
      <c r="K16" s="4" t="s">
        <v>48</v>
      </c>
      <c r="L16" s="6">
        <v>46319</v>
      </c>
      <c r="M16" s="4" t="s">
        <v>5864</v>
      </c>
      <c r="N16" s="4" t="s">
        <v>5883</v>
      </c>
    </row>
    <row r="17" spans="1:14" ht="54" customHeight="1">
      <c r="A17" s="8" t="s">
        <v>5884</v>
      </c>
      <c r="B17" s="8" t="s">
        <v>33</v>
      </c>
      <c r="C17" s="8" t="s">
        <v>34</v>
      </c>
      <c r="D17" s="8" t="s">
        <v>2969</v>
      </c>
      <c r="E17" s="8" t="s">
        <v>41</v>
      </c>
      <c r="F17" s="8" t="s">
        <v>5885</v>
      </c>
      <c r="G17" s="8" t="s">
        <v>905</v>
      </c>
      <c r="H17" s="8">
        <v>1</v>
      </c>
      <c r="I17" s="8">
        <v>1</v>
      </c>
      <c r="J17" s="8" t="s">
        <v>5886</v>
      </c>
      <c r="K17" s="8" t="s">
        <v>48</v>
      </c>
      <c r="L17" s="9">
        <v>46319</v>
      </c>
      <c r="M17" s="8" t="s">
        <v>5864</v>
      </c>
      <c r="N17" s="8" t="s">
        <v>5883</v>
      </c>
    </row>
    <row r="18" spans="1:14" ht="124" customHeight="1">
      <c r="A18" s="4" t="s">
        <v>5887</v>
      </c>
      <c r="B18" s="4" t="s">
        <v>33</v>
      </c>
      <c r="C18" s="4" t="s">
        <v>34</v>
      </c>
      <c r="D18" s="4" t="s">
        <v>2969</v>
      </c>
      <c r="E18" s="4" t="s">
        <v>41</v>
      </c>
      <c r="F18" s="4" t="s">
        <v>5888</v>
      </c>
      <c r="G18" s="4" t="s">
        <v>905</v>
      </c>
      <c r="H18" s="4">
        <v>1</v>
      </c>
      <c r="I18" s="4">
        <v>1</v>
      </c>
      <c r="J18" s="4" t="s">
        <v>5889</v>
      </c>
      <c r="K18" s="4" t="s">
        <v>48</v>
      </c>
      <c r="L18" s="6">
        <v>46319</v>
      </c>
      <c r="M18" s="4" t="s">
        <v>5864</v>
      </c>
      <c r="N18" s="4" t="s">
        <v>5883</v>
      </c>
    </row>
    <row r="19" spans="1:14" ht="68" customHeight="1">
      <c r="A19" s="8" t="s">
        <v>5890</v>
      </c>
      <c r="B19" s="8" t="s">
        <v>33</v>
      </c>
      <c r="C19" s="8" t="s">
        <v>34</v>
      </c>
      <c r="D19" s="8" t="s">
        <v>2969</v>
      </c>
      <c r="E19" s="8" t="s">
        <v>41</v>
      </c>
      <c r="F19" s="8" t="s">
        <v>5891</v>
      </c>
      <c r="G19" s="8" t="s">
        <v>905</v>
      </c>
      <c r="H19" s="8">
        <v>1</v>
      </c>
      <c r="I19" s="8">
        <v>1</v>
      </c>
      <c r="J19" s="8" t="s">
        <v>5892</v>
      </c>
      <c r="K19" s="8" t="s">
        <v>48</v>
      </c>
      <c r="L19" s="9">
        <v>46319</v>
      </c>
      <c r="M19" s="8" t="s">
        <v>5864</v>
      </c>
      <c r="N19" s="8" t="s">
        <v>5883</v>
      </c>
    </row>
    <row r="20" spans="1:14" ht="82" customHeight="1">
      <c r="A20" s="4" t="s">
        <v>5893</v>
      </c>
      <c r="B20" s="4" t="s">
        <v>33</v>
      </c>
      <c r="C20" s="4" t="s">
        <v>34</v>
      </c>
      <c r="D20" s="4" t="s">
        <v>2969</v>
      </c>
      <c r="E20" s="4" t="s">
        <v>41</v>
      </c>
      <c r="F20" s="4" t="s">
        <v>5894</v>
      </c>
      <c r="G20" s="4" t="s">
        <v>905</v>
      </c>
      <c r="H20" s="4">
        <v>1</v>
      </c>
      <c r="I20" s="4">
        <v>1</v>
      </c>
      <c r="J20" s="4" t="s">
        <v>5895</v>
      </c>
      <c r="K20" s="4" t="s">
        <v>48</v>
      </c>
      <c r="L20" s="6">
        <v>46319</v>
      </c>
      <c r="M20" s="4" t="s">
        <v>5864</v>
      </c>
      <c r="N20" s="4" t="s">
        <v>5883</v>
      </c>
    </row>
    <row r="21" spans="1:14" ht="82" customHeight="1">
      <c r="A21" s="8" t="s">
        <v>5896</v>
      </c>
      <c r="B21" s="8" t="s">
        <v>33</v>
      </c>
      <c r="C21" s="8" t="s">
        <v>34</v>
      </c>
      <c r="D21" s="8" t="s">
        <v>2969</v>
      </c>
      <c r="E21" s="8" t="s">
        <v>41</v>
      </c>
      <c r="F21" s="8" t="s">
        <v>5897</v>
      </c>
      <c r="G21" s="8" t="s">
        <v>905</v>
      </c>
      <c r="H21" s="8">
        <v>1</v>
      </c>
      <c r="I21" s="8">
        <v>1</v>
      </c>
      <c r="J21" s="8" t="s">
        <v>5898</v>
      </c>
      <c r="K21" s="8" t="s">
        <v>48</v>
      </c>
      <c r="L21" s="9">
        <v>46319</v>
      </c>
      <c r="M21" s="8" t="s">
        <v>5864</v>
      </c>
      <c r="N21" s="8" t="s">
        <v>5883</v>
      </c>
    </row>
    <row r="22" spans="1:14" ht="40" customHeight="1">
      <c r="A22" s="4" t="s">
        <v>5899</v>
      </c>
      <c r="B22" s="4" t="s">
        <v>33</v>
      </c>
      <c r="C22" s="4" t="s">
        <v>34</v>
      </c>
      <c r="D22" s="4" t="s">
        <v>2969</v>
      </c>
      <c r="E22" s="4" t="s">
        <v>41</v>
      </c>
      <c r="F22" s="4" t="s">
        <v>5900</v>
      </c>
      <c r="G22" s="4" t="s">
        <v>905</v>
      </c>
      <c r="H22" s="4">
        <v>1</v>
      </c>
      <c r="I22" s="4">
        <v>1</v>
      </c>
      <c r="J22" s="4" t="s">
        <v>5901</v>
      </c>
      <c r="K22" s="4" t="s">
        <v>48</v>
      </c>
      <c r="L22" s="6">
        <v>46319</v>
      </c>
      <c r="M22" s="4" t="s">
        <v>5864</v>
      </c>
      <c r="N22" s="4" t="s">
        <v>5883</v>
      </c>
    </row>
    <row r="23" spans="1:14" ht="82" customHeight="1">
      <c r="A23" s="8" t="s">
        <v>5902</v>
      </c>
      <c r="B23" s="8" t="s">
        <v>33</v>
      </c>
      <c r="C23" s="8" t="s">
        <v>34</v>
      </c>
      <c r="D23" s="8" t="s">
        <v>2969</v>
      </c>
      <c r="E23" s="8" t="s">
        <v>41</v>
      </c>
      <c r="F23" s="8" t="s">
        <v>5903</v>
      </c>
      <c r="G23" s="8" t="s">
        <v>905</v>
      </c>
      <c r="H23" s="8">
        <v>1</v>
      </c>
      <c r="I23" s="8">
        <v>1</v>
      </c>
      <c r="J23" s="8" t="s">
        <v>5904</v>
      </c>
      <c r="K23" s="8" t="s">
        <v>48</v>
      </c>
      <c r="L23" s="9">
        <v>46319</v>
      </c>
      <c r="M23" s="8" t="s">
        <v>5864</v>
      </c>
      <c r="N23" s="8" t="s">
        <v>5883</v>
      </c>
    </row>
    <row r="24" spans="1:14" ht="54" customHeight="1">
      <c r="A24" s="4" t="s">
        <v>5905</v>
      </c>
      <c r="B24" s="4" t="s">
        <v>33</v>
      </c>
      <c r="C24" s="4" t="s">
        <v>34</v>
      </c>
      <c r="D24" s="4" t="s">
        <v>2969</v>
      </c>
      <c r="E24" s="4" t="s">
        <v>41</v>
      </c>
      <c r="F24" s="4" t="s">
        <v>5906</v>
      </c>
      <c r="G24" s="4" t="s">
        <v>905</v>
      </c>
      <c r="H24" s="4">
        <v>1</v>
      </c>
      <c r="I24" s="4">
        <v>1</v>
      </c>
      <c r="J24" s="4" t="s">
        <v>5907</v>
      </c>
      <c r="K24" s="4" t="s">
        <v>48</v>
      </c>
      <c r="L24" s="6">
        <v>46319</v>
      </c>
      <c r="M24" s="4" t="s">
        <v>5864</v>
      </c>
      <c r="N24" s="4" t="s">
        <v>5883</v>
      </c>
    </row>
    <row r="25" spans="1:14" ht="82" customHeight="1">
      <c r="A25" s="8" t="s">
        <v>5908</v>
      </c>
      <c r="B25" s="8" t="s">
        <v>33</v>
      </c>
      <c r="C25" s="8" t="s">
        <v>34</v>
      </c>
      <c r="D25" s="8" t="s">
        <v>2969</v>
      </c>
      <c r="E25" s="8" t="s">
        <v>41</v>
      </c>
      <c r="F25" s="8" t="s">
        <v>5909</v>
      </c>
      <c r="G25" s="8" t="s">
        <v>905</v>
      </c>
      <c r="H25" s="8">
        <v>1</v>
      </c>
      <c r="I25" s="8">
        <v>1</v>
      </c>
      <c r="J25" s="8" t="s">
        <v>5910</v>
      </c>
      <c r="K25" s="8" t="s">
        <v>48</v>
      </c>
      <c r="L25" s="9">
        <v>46319</v>
      </c>
      <c r="M25" s="8" t="s">
        <v>5864</v>
      </c>
      <c r="N25" s="8" t="s">
        <v>5883</v>
      </c>
    </row>
    <row r="26" spans="1:14" ht="54" customHeight="1">
      <c r="A26" s="4" t="s">
        <v>5911</v>
      </c>
      <c r="B26" s="4" t="s">
        <v>33</v>
      </c>
      <c r="C26" s="4" t="s">
        <v>34</v>
      </c>
      <c r="D26" s="4" t="s">
        <v>2969</v>
      </c>
      <c r="E26" s="4" t="s">
        <v>41</v>
      </c>
      <c r="F26" s="4" t="s">
        <v>5912</v>
      </c>
      <c r="G26" s="4" t="s">
        <v>905</v>
      </c>
      <c r="H26" s="4">
        <v>1</v>
      </c>
      <c r="I26" s="4">
        <v>1</v>
      </c>
      <c r="J26" s="4" t="s">
        <v>5913</v>
      </c>
      <c r="K26" s="4" t="s">
        <v>48</v>
      </c>
      <c r="L26" s="6">
        <v>46319</v>
      </c>
      <c r="M26" s="4" t="s">
        <v>5864</v>
      </c>
      <c r="N26" s="4" t="s">
        <v>5883</v>
      </c>
    </row>
    <row r="27" spans="1:14" ht="40" customHeight="1">
      <c r="A27" s="8" t="s">
        <v>5914</v>
      </c>
      <c r="B27" s="8" t="s">
        <v>55</v>
      </c>
      <c r="C27" s="8" t="s">
        <v>56</v>
      </c>
      <c r="D27" s="8" t="s">
        <v>5861</v>
      </c>
      <c r="E27" s="8" t="s">
        <v>41</v>
      </c>
      <c r="F27" s="8" t="s">
        <v>5862</v>
      </c>
      <c r="G27" s="8" t="s">
        <v>921</v>
      </c>
      <c r="H27" s="8">
        <v>1</v>
      </c>
      <c r="I27" s="8">
        <v>1</v>
      </c>
      <c r="J27" s="8" t="s">
        <v>5915</v>
      </c>
      <c r="K27" s="8" t="s">
        <v>64</v>
      </c>
      <c r="L27" s="9">
        <v>46319</v>
      </c>
      <c r="M27" s="8" t="s">
        <v>5864</v>
      </c>
      <c r="N27" s="8" t="s">
        <v>5865</v>
      </c>
    </row>
    <row r="28" spans="1:14" ht="40" customHeight="1">
      <c r="A28" s="4" t="s">
        <v>5916</v>
      </c>
      <c r="B28" s="4" t="s">
        <v>55</v>
      </c>
      <c r="C28" s="4" t="s">
        <v>56</v>
      </c>
      <c r="D28" s="4" t="s">
        <v>5861</v>
      </c>
      <c r="E28" s="4" t="s">
        <v>5917</v>
      </c>
      <c r="F28" s="4" t="s">
        <v>5918</v>
      </c>
      <c r="G28" s="4" t="s">
        <v>921</v>
      </c>
      <c r="H28" s="4">
        <v>1</v>
      </c>
      <c r="I28" s="4">
        <v>1</v>
      </c>
      <c r="J28" s="4" t="s">
        <v>5917</v>
      </c>
      <c r="K28" s="4" t="s">
        <v>64</v>
      </c>
      <c r="L28" s="6">
        <v>46319</v>
      </c>
      <c r="M28" s="4" t="s">
        <v>5864</v>
      </c>
      <c r="N28" s="4" t="s">
        <v>5865</v>
      </c>
    </row>
    <row r="29" spans="1:14" ht="54" customHeight="1">
      <c r="A29" s="8" t="s">
        <v>5919</v>
      </c>
      <c r="B29" s="8" t="s">
        <v>55</v>
      </c>
      <c r="C29" s="8" t="s">
        <v>56</v>
      </c>
      <c r="D29" s="8" t="s">
        <v>5861</v>
      </c>
      <c r="E29" s="8" t="s">
        <v>5917</v>
      </c>
      <c r="F29" s="8" t="s">
        <v>5920</v>
      </c>
      <c r="G29" s="8" t="s">
        <v>921</v>
      </c>
      <c r="H29" s="8">
        <v>1</v>
      </c>
      <c r="I29" s="8">
        <v>1</v>
      </c>
      <c r="J29" s="8" t="s">
        <v>5921</v>
      </c>
      <c r="K29" s="8" t="s">
        <v>64</v>
      </c>
      <c r="L29" s="9">
        <v>46319</v>
      </c>
      <c r="M29" s="8" t="s">
        <v>5864</v>
      </c>
      <c r="N29" s="8" t="s">
        <v>5865</v>
      </c>
    </row>
    <row r="30" spans="1:14" ht="40" customHeight="1">
      <c r="A30" s="4" t="s">
        <v>5922</v>
      </c>
      <c r="B30" s="4" t="s">
        <v>55</v>
      </c>
      <c r="C30" s="4" t="s">
        <v>56</v>
      </c>
      <c r="D30" s="4" t="s">
        <v>5861</v>
      </c>
      <c r="E30" s="4" t="s">
        <v>5923</v>
      </c>
      <c r="F30" s="4" t="s">
        <v>5924</v>
      </c>
      <c r="G30" s="4" t="s">
        <v>921</v>
      </c>
      <c r="H30" s="4">
        <v>1</v>
      </c>
      <c r="I30" s="4">
        <v>1</v>
      </c>
      <c r="J30" s="4" t="s">
        <v>5923</v>
      </c>
      <c r="K30" s="4" t="s">
        <v>64</v>
      </c>
      <c r="L30" s="6">
        <v>46319</v>
      </c>
      <c r="M30" s="4" t="s">
        <v>5864</v>
      </c>
      <c r="N30" s="4" t="s">
        <v>5865</v>
      </c>
    </row>
    <row r="31" spans="1:14" ht="40" customHeight="1">
      <c r="A31" s="8" t="s">
        <v>5925</v>
      </c>
      <c r="B31" s="8" t="s">
        <v>55</v>
      </c>
      <c r="C31" s="8" t="s">
        <v>56</v>
      </c>
      <c r="D31" s="8" t="s">
        <v>5861</v>
      </c>
      <c r="E31" s="8" t="s">
        <v>5923</v>
      </c>
      <c r="F31" s="8" t="s">
        <v>5926</v>
      </c>
      <c r="G31" s="8" t="s">
        <v>921</v>
      </c>
      <c r="H31" s="8">
        <v>1</v>
      </c>
      <c r="I31" s="8">
        <v>1</v>
      </c>
      <c r="J31" s="8" t="s">
        <v>5927</v>
      </c>
      <c r="K31" s="8" t="s">
        <v>64</v>
      </c>
      <c r="L31" s="9">
        <v>46319</v>
      </c>
      <c r="M31" s="8" t="s">
        <v>5864</v>
      </c>
      <c r="N31" s="8" t="s">
        <v>5865</v>
      </c>
    </row>
    <row r="32" spans="1:14" ht="40" customHeight="1">
      <c r="A32" s="4" t="s">
        <v>5928</v>
      </c>
      <c r="B32" s="4" t="s">
        <v>55</v>
      </c>
      <c r="C32" s="4" t="s">
        <v>56</v>
      </c>
      <c r="D32" s="4" t="s">
        <v>5861</v>
      </c>
      <c r="E32" s="4" t="s">
        <v>5929</v>
      </c>
      <c r="F32" s="4" t="s">
        <v>5930</v>
      </c>
      <c r="G32" s="4" t="s">
        <v>921</v>
      </c>
      <c r="H32" s="4">
        <v>1</v>
      </c>
      <c r="I32" s="4">
        <v>1</v>
      </c>
      <c r="J32" s="4" t="s">
        <v>5929</v>
      </c>
      <c r="K32" s="4" t="s">
        <v>64</v>
      </c>
      <c r="L32" s="6">
        <v>46319</v>
      </c>
      <c r="M32" s="4" t="s">
        <v>5864</v>
      </c>
      <c r="N32" s="4" t="s">
        <v>5865</v>
      </c>
    </row>
    <row r="33" spans="1:14" ht="40" customHeight="1">
      <c r="A33" s="8" t="s">
        <v>5931</v>
      </c>
      <c r="B33" s="8" t="s">
        <v>55</v>
      </c>
      <c r="C33" s="8" t="s">
        <v>56</v>
      </c>
      <c r="D33" s="8" t="s">
        <v>5861</v>
      </c>
      <c r="E33" s="8" t="s">
        <v>5929</v>
      </c>
      <c r="F33" s="8" t="s">
        <v>5932</v>
      </c>
      <c r="G33" s="8" t="s">
        <v>921</v>
      </c>
      <c r="H33" s="8">
        <v>1</v>
      </c>
      <c r="I33" s="8">
        <v>1</v>
      </c>
      <c r="J33" s="8" t="s">
        <v>5933</v>
      </c>
      <c r="K33" s="8" t="s">
        <v>64</v>
      </c>
      <c r="L33" s="9">
        <v>46319</v>
      </c>
      <c r="M33" s="8" t="s">
        <v>5864</v>
      </c>
      <c r="N33" s="8" t="s">
        <v>5865</v>
      </c>
    </row>
    <row r="34" spans="1:14" ht="40" customHeight="1">
      <c r="A34" s="4" t="s">
        <v>5934</v>
      </c>
      <c r="B34" s="4" t="s">
        <v>55</v>
      </c>
      <c r="C34" s="4" t="s">
        <v>56</v>
      </c>
      <c r="D34" s="4" t="s">
        <v>5861</v>
      </c>
      <c r="E34" s="4" t="s">
        <v>5929</v>
      </c>
      <c r="F34" s="4" t="s">
        <v>5935</v>
      </c>
      <c r="G34" s="4" t="s">
        <v>921</v>
      </c>
      <c r="H34" s="4">
        <v>1</v>
      </c>
      <c r="I34" s="4">
        <v>1</v>
      </c>
      <c r="J34" s="4" t="s">
        <v>5936</v>
      </c>
      <c r="K34" s="4" t="s">
        <v>64</v>
      </c>
      <c r="L34" s="6">
        <v>46319</v>
      </c>
      <c r="M34" s="4" t="s">
        <v>5864</v>
      </c>
      <c r="N34" s="4" t="s">
        <v>5865</v>
      </c>
    </row>
    <row r="35" spans="1:14" ht="40" customHeight="1">
      <c r="A35" s="8" t="s">
        <v>5937</v>
      </c>
      <c r="B35" s="8" t="s">
        <v>55</v>
      </c>
      <c r="C35" s="8" t="s">
        <v>56</v>
      </c>
      <c r="D35" s="8" t="s">
        <v>5861</v>
      </c>
      <c r="E35" s="8" t="s">
        <v>5929</v>
      </c>
      <c r="F35" s="8" t="s">
        <v>5938</v>
      </c>
      <c r="G35" s="8" t="s">
        <v>921</v>
      </c>
      <c r="H35" s="8">
        <v>1</v>
      </c>
      <c r="I35" s="8">
        <v>1</v>
      </c>
      <c r="J35" s="8" t="s">
        <v>5939</v>
      </c>
      <c r="K35" s="8" t="s">
        <v>64</v>
      </c>
      <c r="L35" s="9">
        <v>46319</v>
      </c>
      <c r="M35" s="8" t="s">
        <v>5864</v>
      </c>
      <c r="N35" s="8" t="s">
        <v>5865</v>
      </c>
    </row>
    <row r="36" spans="1:14" ht="40" customHeight="1">
      <c r="A36" s="4" t="s">
        <v>5940</v>
      </c>
      <c r="B36" s="4" t="s">
        <v>55</v>
      </c>
      <c r="C36" s="4" t="s">
        <v>56</v>
      </c>
      <c r="D36" s="4" t="s">
        <v>5861</v>
      </c>
      <c r="E36" s="4" t="s">
        <v>5929</v>
      </c>
      <c r="F36" s="4" t="s">
        <v>5941</v>
      </c>
      <c r="G36" s="4" t="s">
        <v>921</v>
      </c>
      <c r="H36" s="4">
        <v>1</v>
      </c>
      <c r="I36" s="4">
        <v>1</v>
      </c>
      <c r="J36" s="4" t="s">
        <v>5942</v>
      </c>
      <c r="K36" s="4" t="s">
        <v>64</v>
      </c>
      <c r="L36" s="6">
        <v>46319</v>
      </c>
      <c r="M36" s="4" t="s">
        <v>5864</v>
      </c>
      <c r="N36" s="4" t="s">
        <v>5865</v>
      </c>
    </row>
    <row r="37" spans="1:14" ht="40" customHeight="1">
      <c r="A37" s="8" t="s">
        <v>5943</v>
      </c>
      <c r="B37" s="8" t="s">
        <v>55</v>
      </c>
      <c r="C37" s="8" t="s">
        <v>56</v>
      </c>
      <c r="D37" s="8" t="s">
        <v>5867</v>
      </c>
      <c r="E37" s="8" t="s">
        <v>41</v>
      </c>
      <c r="F37" s="8" t="s">
        <v>5868</v>
      </c>
      <c r="G37" s="8" t="s">
        <v>921</v>
      </c>
      <c r="H37" s="8">
        <v>1</v>
      </c>
      <c r="I37" s="8">
        <v>1</v>
      </c>
      <c r="J37" s="8" t="s">
        <v>5944</v>
      </c>
      <c r="K37" s="8" t="s">
        <v>64</v>
      </c>
      <c r="L37" s="9">
        <v>46319</v>
      </c>
      <c r="M37" s="8" t="s">
        <v>5864</v>
      </c>
      <c r="N37" s="8" t="s">
        <v>5870</v>
      </c>
    </row>
    <row r="38" spans="1:14" ht="40" customHeight="1">
      <c r="A38" s="4" t="s">
        <v>5945</v>
      </c>
      <c r="B38" s="4" t="s">
        <v>55</v>
      </c>
      <c r="C38" s="4" t="s">
        <v>56</v>
      </c>
      <c r="D38" s="4" t="s">
        <v>5867</v>
      </c>
      <c r="E38" s="4" t="s">
        <v>41</v>
      </c>
      <c r="F38" s="4" t="s">
        <v>5872</v>
      </c>
      <c r="G38" s="4" t="s">
        <v>921</v>
      </c>
      <c r="H38" s="4">
        <v>1</v>
      </c>
      <c r="I38" s="4">
        <v>1</v>
      </c>
      <c r="J38" s="4" t="s">
        <v>5946</v>
      </c>
      <c r="K38" s="4" t="s">
        <v>64</v>
      </c>
      <c r="L38" s="6">
        <v>46319</v>
      </c>
      <c r="M38" s="4" t="s">
        <v>5864</v>
      </c>
      <c r="N38" s="4" t="s">
        <v>5870</v>
      </c>
    </row>
    <row r="39" spans="1:14" ht="40" customHeight="1">
      <c r="A39" s="8" t="s">
        <v>5947</v>
      </c>
      <c r="B39" s="8" t="s">
        <v>55</v>
      </c>
      <c r="C39" s="8" t="s">
        <v>56</v>
      </c>
      <c r="D39" s="8" t="s">
        <v>5867</v>
      </c>
      <c r="E39" s="8" t="s">
        <v>41</v>
      </c>
      <c r="F39" s="8" t="s">
        <v>5875</v>
      </c>
      <c r="G39" s="8" t="s">
        <v>921</v>
      </c>
      <c r="H39" s="8">
        <v>1</v>
      </c>
      <c r="I39" s="8">
        <v>1</v>
      </c>
      <c r="J39" s="8" t="s">
        <v>5948</v>
      </c>
      <c r="K39" s="8" t="s">
        <v>64</v>
      </c>
      <c r="L39" s="9">
        <v>46319</v>
      </c>
      <c r="M39" s="8" t="s">
        <v>5864</v>
      </c>
      <c r="N39" s="8" t="s">
        <v>5870</v>
      </c>
    </row>
    <row r="40" spans="1:14" ht="54" customHeight="1">
      <c r="A40" s="4" t="s">
        <v>5949</v>
      </c>
      <c r="B40" s="4" t="s">
        <v>55</v>
      </c>
      <c r="C40" s="4" t="s">
        <v>56</v>
      </c>
      <c r="D40" s="4" t="s">
        <v>637</v>
      </c>
      <c r="E40" s="4" t="s">
        <v>41</v>
      </c>
      <c r="F40" s="4" t="s">
        <v>920</v>
      </c>
      <c r="G40" s="4" t="s">
        <v>921</v>
      </c>
      <c r="H40" s="4">
        <v>1</v>
      </c>
      <c r="I40" s="4">
        <v>1</v>
      </c>
      <c r="J40" s="4" t="s">
        <v>918</v>
      </c>
      <c r="K40" s="4" t="s">
        <v>64</v>
      </c>
      <c r="L40" s="6">
        <v>46319</v>
      </c>
      <c r="M40" s="4" t="s">
        <v>5864</v>
      </c>
      <c r="N40" s="4" t="s">
        <v>5865</v>
      </c>
    </row>
    <row r="41" spans="1:14" ht="54" customHeight="1">
      <c r="A41" s="8" t="s">
        <v>3461</v>
      </c>
      <c r="B41" s="8" t="s">
        <v>55</v>
      </c>
      <c r="C41" s="8" t="s">
        <v>56</v>
      </c>
      <c r="D41" s="8" t="s">
        <v>5879</v>
      </c>
      <c r="E41" s="8" t="s">
        <v>41</v>
      </c>
      <c r="F41" s="8" t="s">
        <v>3463</v>
      </c>
      <c r="G41" s="8" t="s">
        <v>921</v>
      </c>
      <c r="H41" s="8">
        <v>1</v>
      </c>
      <c r="I41" s="8">
        <v>1</v>
      </c>
      <c r="J41" s="8" t="s">
        <v>3462</v>
      </c>
      <c r="K41" s="8" t="s">
        <v>64</v>
      </c>
      <c r="L41" s="9">
        <v>46319</v>
      </c>
      <c r="M41" s="8" t="s">
        <v>5864</v>
      </c>
      <c r="N41" s="8" t="s">
        <v>5865</v>
      </c>
    </row>
    <row r="42" spans="1:14" ht="40" customHeight="1">
      <c r="A42" s="4" t="s">
        <v>3464</v>
      </c>
      <c r="B42" s="4" t="s">
        <v>55</v>
      </c>
      <c r="C42" s="4" t="s">
        <v>56</v>
      </c>
      <c r="D42" s="4" t="s">
        <v>5879</v>
      </c>
      <c r="E42" s="4" t="s">
        <v>41</v>
      </c>
      <c r="F42" s="4" t="s">
        <v>3466</v>
      </c>
      <c r="G42" s="4" t="s">
        <v>921</v>
      </c>
      <c r="H42" s="4">
        <v>1</v>
      </c>
      <c r="I42" s="4">
        <v>1</v>
      </c>
      <c r="J42" s="4" t="s">
        <v>3465</v>
      </c>
      <c r="K42" s="4" t="s">
        <v>64</v>
      </c>
      <c r="L42" s="6">
        <v>46319</v>
      </c>
      <c r="M42" s="4" t="s">
        <v>5864</v>
      </c>
      <c r="N42" s="4" t="s">
        <v>5865</v>
      </c>
    </row>
    <row r="43" spans="1:14" ht="40" customHeight="1">
      <c r="A43" s="8" t="s">
        <v>3467</v>
      </c>
      <c r="B43" s="8" t="s">
        <v>55</v>
      </c>
      <c r="C43" s="8" t="s">
        <v>56</v>
      </c>
      <c r="D43" s="8" t="s">
        <v>5879</v>
      </c>
      <c r="E43" s="8" t="s">
        <v>41</v>
      </c>
      <c r="F43" s="8" t="s">
        <v>3469</v>
      </c>
      <c r="G43" s="8" t="s">
        <v>921</v>
      </c>
      <c r="H43" s="8">
        <v>1</v>
      </c>
      <c r="I43" s="8">
        <v>1</v>
      </c>
      <c r="J43" s="8" t="s">
        <v>3468</v>
      </c>
      <c r="K43" s="8" t="s">
        <v>64</v>
      </c>
      <c r="L43" s="9">
        <v>46319</v>
      </c>
      <c r="M43" s="8" t="s">
        <v>5864</v>
      </c>
      <c r="N43" s="8" t="s">
        <v>5865</v>
      </c>
    </row>
    <row r="44" spans="1:14" ht="40" customHeight="1">
      <c r="A44" s="4" t="s">
        <v>3470</v>
      </c>
      <c r="B44" s="4" t="s">
        <v>55</v>
      </c>
      <c r="C44" s="4" t="s">
        <v>56</v>
      </c>
      <c r="D44" s="4" t="s">
        <v>5879</v>
      </c>
      <c r="E44" s="4" t="s">
        <v>41</v>
      </c>
      <c r="F44" s="4" t="s">
        <v>3472</v>
      </c>
      <c r="G44" s="4" t="s">
        <v>921</v>
      </c>
      <c r="H44" s="4">
        <v>1</v>
      </c>
      <c r="I44" s="4">
        <v>1</v>
      </c>
      <c r="J44" s="4" t="s">
        <v>3471</v>
      </c>
      <c r="K44" s="4" t="s">
        <v>64</v>
      </c>
      <c r="L44" s="6">
        <v>46319</v>
      </c>
      <c r="M44" s="4" t="s">
        <v>5864</v>
      </c>
      <c r="N44" s="4" t="s">
        <v>5865</v>
      </c>
    </row>
    <row r="45" spans="1:14" ht="40" customHeight="1">
      <c r="A45" s="8" t="s">
        <v>3473</v>
      </c>
      <c r="B45" s="8" t="s">
        <v>55</v>
      </c>
      <c r="C45" s="8" t="s">
        <v>56</v>
      </c>
      <c r="D45" s="8" t="s">
        <v>5879</v>
      </c>
      <c r="E45" s="8" t="s">
        <v>41</v>
      </c>
      <c r="F45" s="8" t="s">
        <v>3475</v>
      </c>
      <c r="G45" s="8" t="s">
        <v>921</v>
      </c>
      <c r="H45" s="8">
        <v>1</v>
      </c>
      <c r="I45" s="8">
        <v>1</v>
      </c>
      <c r="J45" s="8" t="s">
        <v>3474</v>
      </c>
      <c r="K45" s="8" t="s">
        <v>64</v>
      </c>
      <c r="L45" s="9">
        <v>46319</v>
      </c>
      <c r="M45" s="8" t="s">
        <v>5864</v>
      </c>
      <c r="N45" s="8" t="s">
        <v>5865</v>
      </c>
    </row>
    <row r="46" spans="1:14" ht="40" customHeight="1">
      <c r="A46" s="4" t="s">
        <v>3476</v>
      </c>
      <c r="B46" s="4" t="s">
        <v>55</v>
      </c>
      <c r="C46" s="4" t="s">
        <v>56</v>
      </c>
      <c r="D46" s="4" t="s">
        <v>5879</v>
      </c>
      <c r="E46" s="4" t="s">
        <v>41</v>
      </c>
      <c r="F46" s="4" t="s">
        <v>3478</v>
      </c>
      <c r="G46" s="4" t="s">
        <v>921</v>
      </c>
      <c r="H46" s="4">
        <v>1</v>
      </c>
      <c r="I46" s="4">
        <v>1</v>
      </c>
      <c r="J46" s="4" t="s">
        <v>3477</v>
      </c>
      <c r="K46" s="4" t="s">
        <v>64</v>
      </c>
      <c r="L46" s="6">
        <v>46319</v>
      </c>
      <c r="M46" s="4" t="s">
        <v>5864</v>
      </c>
      <c r="N46" s="4" t="s">
        <v>5865</v>
      </c>
    </row>
    <row r="47" spans="1:14" ht="40" customHeight="1">
      <c r="A47" s="8" t="s">
        <v>3479</v>
      </c>
      <c r="B47" s="8" t="s">
        <v>55</v>
      </c>
      <c r="C47" s="8" t="s">
        <v>56</v>
      </c>
      <c r="D47" s="8" t="s">
        <v>5879</v>
      </c>
      <c r="E47" s="8" t="s">
        <v>41</v>
      </c>
      <c r="F47" s="8" t="s">
        <v>3460</v>
      </c>
      <c r="G47" s="8" t="s">
        <v>921</v>
      </c>
      <c r="H47" s="8">
        <v>1</v>
      </c>
      <c r="I47" s="8">
        <v>1</v>
      </c>
      <c r="J47" s="8" t="s">
        <v>3480</v>
      </c>
      <c r="K47" s="8" t="s">
        <v>64</v>
      </c>
      <c r="L47" s="9">
        <v>46319</v>
      </c>
      <c r="M47" s="8" t="s">
        <v>5864</v>
      </c>
      <c r="N47" s="8" t="s">
        <v>5865</v>
      </c>
    </row>
    <row r="48" spans="1:14" ht="54" customHeight="1">
      <c r="A48" s="4" t="s">
        <v>5950</v>
      </c>
      <c r="B48" s="4" t="s">
        <v>55</v>
      </c>
      <c r="C48" s="4" t="s">
        <v>56</v>
      </c>
      <c r="D48" s="4" t="s">
        <v>2969</v>
      </c>
      <c r="E48" s="4" t="s">
        <v>41</v>
      </c>
      <c r="F48" s="4" t="s">
        <v>5881</v>
      </c>
      <c r="G48" s="4" t="s">
        <v>921</v>
      </c>
      <c r="H48" s="4">
        <v>1</v>
      </c>
      <c r="I48" s="4">
        <v>1</v>
      </c>
      <c r="J48" s="4" t="s">
        <v>5951</v>
      </c>
      <c r="K48" s="4" t="s">
        <v>64</v>
      </c>
      <c r="L48" s="6">
        <v>46319</v>
      </c>
      <c r="M48" s="4" t="s">
        <v>5864</v>
      </c>
      <c r="N48" s="4" t="s">
        <v>5883</v>
      </c>
    </row>
    <row r="49" spans="1:14" ht="82" customHeight="1">
      <c r="A49" s="8" t="s">
        <v>5952</v>
      </c>
      <c r="B49" s="8" t="s">
        <v>55</v>
      </c>
      <c r="C49" s="8" t="s">
        <v>56</v>
      </c>
      <c r="D49" s="8" t="s">
        <v>2969</v>
      </c>
      <c r="E49" s="8" t="s">
        <v>41</v>
      </c>
      <c r="F49" s="8" t="s">
        <v>5885</v>
      </c>
      <c r="G49" s="8" t="s">
        <v>921</v>
      </c>
      <c r="H49" s="8">
        <v>1</v>
      </c>
      <c r="I49" s="8">
        <v>1</v>
      </c>
      <c r="J49" s="8" t="s">
        <v>5953</v>
      </c>
      <c r="K49" s="8" t="s">
        <v>64</v>
      </c>
      <c r="L49" s="9">
        <v>46319</v>
      </c>
      <c r="M49" s="8" t="s">
        <v>5864</v>
      </c>
      <c r="N49" s="8" t="s">
        <v>5883</v>
      </c>
    </row>
    <row r="50" spans="1:14" ht="54" customHeight="1">
      <c r="A50" s="4" t="s">
        <v>5954</v>
      </c>
      <c r="B50" s="4" t="s">
        <v>55</v>
      </c>
      <c r="C50" s="4" t="s">
        <v>56</v>
      </c>
      <c r="D50" s="4" t="s">
        <v>2969</v>
      </c>
      <c r="E50" s="4" t="s">
        <v>41</v>
      </c>
      <c r="F50" s="4" t="s">
        <v>5888</v>
      </c>
      <c r="G50" s="4" t="s">
        <v>921</v>
      </c>
      <c r="H50" s="4">
        <v>1</v>
      </c>
      <c r="I50" s="4">
        <v>1</v>
      </c>
      <c r="J50" s="4" t="s">
        <v>5955</v>
      </c>
      <c r="K50" s="4" t="s">
        <v>64</v>
      </c>
      <c r="L50" s="6">
        <v>46319</v>
      </c>
      <c r="M50" s="4" t="s">
        <v>5864</v>
      </c>
      <c r="N50" s="4" t="s">
        <v>5883</v>
      </c>
    </row>
    <row r="51" spans="1:14" ht="40" customHeight="1">
      <c r="A51" s="8" t="s">
        <v>5956</v>
      </c>
      <c r="B51" s="8" t="s">
        <v>55</v>
      </c>
      <c r="C51" s="8" t="s">
        <v>56</v>
      </c>
      <c r="D51" s="8" t="s">
        <v>2969</v>
      </c>
      <c r="E51" s="8" t="s">
        <v>41</v>
      </c>
      <c r="F51" s="8" t="s">
        <v>5891</v>
      </c>
      <c r="G51" s="8" t="s">
        <v>921</v>
      </c>
      <c r="H51" s="8">
        <v>1</v>
      </c>
      <c r="I51" s="8">
        <v>1</v>
      </c>
      <c r="J51" s="8" t="s">
        <v>5957</v>
      </c>
      <c r="K51" s="8" t="s">
        <v>64</v>
      </c>
      <c r="L51" s="9">
        <v>46319</v>
      </c>
      <c r="M51" s="8" t="s">
        <v>5864</v>
      </c>
      <c r="N51" s="8" t="s">
        <v>5883</v>
      </c>
    </row>
    <row r="52" spans="1:14" ht="82" customHeight="1">
      <c r="A52" s="4" t="s">
        <v>5958</v>
      </c>
      <c r="B52" s="4" t="s">
        <v>55</v>
      </c>
      <c r="C52" s="4" t="s">
        <v>56</v>
      </c>
      <c r="D52" s="4" t="s">
        <v>2969</v>
      </c>
      <c r="E52" s="4" t="s">
        <v>41</v>
      </c>
      <c r="F52" s="4" t="s">
        <v>5894</v>
      </c>
      <c r="G52" s="4" t="s">
        <v>921</v>
      </c>
      <c r="H52" s="4">
        <v>1</v>
      </c>
      <c r="I52" s="4">
        <v>1</v>
      </c>
      <c r="J52" s="4" t="s">
        <v>5959</v>
      </c>
      <c r="K52" s="4" t="s">
        <v>64</v>
      </c>
      <c r="L52" s="6">
        <v>46319</v>
      </c>
      <c r="M52" s="4" t="s">
        <v>5864</v>
      </c>
      <c r="N52" s="4" t="s">
        <v>5883</v>
      </c>
    </row>
    <row r="53" spans="1:14" ht="54" customHeight="1">
      <c r="A53" s="8" t="s">
        <v>5960</v>
      </c>
      <c r="B53" s="8" t="s">
        <v>55</v>
      </c>
      <c r="C53" s="8" t="s">
        <v>56</v>
      </c>
      <c r="D53" s="8" t="s">
        <v>2969</v>
      </c>
      <c r="E53" s="8" t="s">
        <v>41</v>
      </c>
      <c r="F53" s="8" t="s">
        <v>5897</v>
      </c>
      <c r="G53" s="8" t="s">
        <v>921</v>
      </c>
      <c r="H53" s="8">
        <v>1</v>
      </c>
      <c r="I53" s="8">
        <v>1</v>
      </c>
      <c r="J53" s="8" t="s">
        <v>5961</v>
      </c>
      <c r="K53" s="8" t="s">
        <v>64</v>
      </c>
      <c r="L53" s="9">
        <v>46319</v>
      </c>
      <c r="M53" s="8" t="s">
        <v>5864</v>
      </c>
      <c r="N53" s="8" t="s">
        <v>5883</v>
      </c>
    </row>
    <row r="54" spans="1:14" ht="54" customHeight="1">
      <c r="A54" s="4" t="s">
        <v>5962</v>
      </c>
      <c r="B54" s="4" t="s">
        <v>55</v>
      </c>
      <c r="C54" s="4" t="s">
        <v>56</v>
      </c>
      <c r="D54" s="4" t="s">
        <v>2969</v>
      </c>
      <c r="E54" s="4" t="s">
        <v>41</v>
      </c>
      <c r="F54" s="4" t="s">
        <v>5900</v>
      </c>
      <c r="G54" s="4" t="s">
        <v>921</v>
      </c>
      <c r="H54" s="4">
        <v>1</v>
      </c>
      <c r="I54" s="4">
        <v>1</v>
      </c>
      <c r="J54" s="4" t="s">
        <v>5963</v>
      </c>
      <c r="K54" s="4" t="s">
        <v>64</v>
      </c>
      <c r="L54" s="6">
        <v>46319</v>
      </c>
      <c r="M54" s="4" t="s">
        <v>5864</v>
      </c>
      <c r="N54" s="4" t="s">
        <v>5883</v>
      </c>
    </row>
    <row r="55" spans="1:14" ht="54" customHeight="1">
      <c r="A55" s="8" t="s">
        <v>5964</v>
      </c>
      <c r="B55" s="8" t="s">
        <v>55</v>
      </c>
      <c r="C55" s="8" t="s">
        <v>56</v>
      </c>
      <c r="D55" s="8" t="s">
        <v>2969</v>
      </c>
      <c r="E55" s="8" t="s">
        <v>41</v>
      </c>
      <c r="F55" s="8" t="s">
        <v>5903</v>
      </c>
      <c r="G55" s="8" t="s">
        <v>921</v>
      </c>
      <c r="H55" s="8">
        <v>1</v>
      </c>
      <c r="I55" s="8">
        <v>1</v>
      </c>
      <c r="J55" s="8" t="s">
        <v>5965</v>
      </c>
      <c r="K55" s="8" t="s">
        <v>64</v>
      </c>
      <c r="L55" s="9">
        <v>46319</v>
      </c>
      <c r="M55" s="8" t="s">
        <v>5864</v>
      </c>
      <c r="N55" s="8" t="s">
        <v>5883</v>
      </c>
    </row>
    <row r="56" spans="1:14" ht="54" customHeight="1">
      <c r="A56" s="4" t="s">
        <v>5966</v>
      </c>
      <c r="B56" s="4" t="s">
        <v>55</v>
      </c>
      <c r="C56" s="4" t="s">
        <v>56</v>
      </c>
      <c r="D56" s="4" t="s">
        <v>2969</v>
      </c>
      <c r="E56" s="4" t="s">
        <v>41</v>
      </c>
      <c r="F56" s="4" t="s">
        <v>5906</v>
      </c>
      <c r="G56" s="4" t="s">
        <v>921</v>
      </c>
      <c r="H56" s="4">
        <v>1</v>
      </c>
      <c r="I56" s="4">
        <v>1</v>
      </c>
      <c r="J56" s="4" t="s">
        <v>5967</v>
      </c>
      <c r="K56" s="4" t="s">
        <v>64</v>
      </c>
      <c r="L56" s="6">
        <v>46319</v>
      </c>
      <c r="M56" s="4" t="s">
        <v>5864</v>
      </c>
      <c r="N56" s="4" t="s">
        <v>5883</v>
      </c>
    </row>
    <row r="57" spans="1:14" ht="54" customHeight="1">
      <c r="A57" s="8" t="s">
        <v>5968</v>
      </c>
      <c r="B57" s="8" t="s">
        <v>55</v>
      </c>
      <c r="C57" s="8" t="s">
        <v>56</v>
      </c>
      <c r="D57" s="8" t="s">
        <v>2969</v>
      </c>
      <c r="E57" s="8" t="s">
        <v>41</v>
      </c>
      <c r="F57" s="8" t="s">
        <v>5909</v>
      </c>
      <c r="G57" s="8" t="s">
        <v>921</v>
      </c>
      <c r="H57" s="8">
        <v>1</v>
      </c>
      <c r="I57" s="8">
        <v>1</v>
      </c>
      <c r="J57" s="8" t="s">
        <v>5969</v>
      </c>
      <c r="K57" s="8" t="s">
        <v>64</v>
      </c>
      <c r="L57" s="9">
        <v>46319</v>
      </c>
      <c r="M57" s="8" t="s">
        <v>5864</v>
      </c>
      <c r="N57" s="8" t="s">
        <v>5883</v>
      </c>
    </row>
    <row r="58" spans="1:14" ht="54" customHeight="1">
      <c r="A58" s="4" t="s">
        <v>5970</v>
      </c>
      <c r="B58" s="4" t="s">
        <v>55</v>
      </c>
      <c r="C58" s="4" t="s">
        <v>56</v>
      </c>
      <c r="D58" s="4" t="s">
        <v>2969</v>
      </c>
      <c r="E58" s="4" t="s">
        <v>41</v>
      </c>
      <c r="F58" s="4" t="s">
        <v>5912</v>
      </c>
      <c r="G58" s="4" t="s">
        <v>921</v>
      </c>
      <c r="H58" s="4">
        <v>1</v>
      </c>
      <c r="I58" s="4">
        <v>1</v>
      </c>
      <c r="J58" s="4" t="s">
        <v>5971</v>
      </c>
      <c r="K58" s="4" t="s">
        <v>64</v>
      </c>
      <c r="L58" s="6">
        <v>46319</v>
      </c>
      <c r="M58" s="4" t="s">
        <v>5864</v>
      </c>
      <c r="N58" s="4" t="s">
        <v>5883</v>
      </c>
    </row>
    <row r="59" spans="1:14" ht="68" customHeight="1">
      <c r="A59" s="8" t="s">
        <v>5972</v>
      </c>
      <c r="B59" s="8" t="s">
        <v>55</v>
      </c>
      <c r="C59" s="8" t="s">
        <v>56</v>
      </c>
      <c r="D59" s="8" t="s">
        <v>2969</v>
      </c>
      <c r="E59" s="8" t="s">
        <v>41</v>
      </c>
      <c r="F59" s="8" t="s">
        <v>5973</v>
      </c>
      <c r="G59" s="8" t="s">
        <v>921</v>
      </c>
      <c r="H59" s="8">
        <v>1</v>
      </c>
      <c r="I59" s="8">
        <v>1</v>
      </c>
      <c r="J59" s="8" t="s">
        <v>5974</v>
      </c>
      <c r="K59" s="8" t="s">
        <v>64</v>
      </c>
      <c r="L59" s="9">
        <v>46319</v>
      </c>
      <c r="M59" s="8" t="s">
        <v>5864</v>
      </c>
      <c r="N59" s="8" t="s">
        <v>5883</v>
      </c>
    </row>
    <row r="60" spans="1:14" ht="54" customHeight="1">
      <c r="A60" s="4" t="s">
        <v>5975</v>
      </c>
      <c r="B60" s="4" t="s">
        <v>55</v>
      </c>
      <c r="C60" s="4" t="s">
        <v>56</v>
      </c>
      <c r="D60" s="4" t="s">
        <v>2969</v>
      </c>
      <c r="E60" s="4" t="s">
        <v>41</v>
      </c>
      <c r="F60" s="4" t="s">
        <v>5976</v>
      </c>
      <c r="G60" s="4" t="s">
        <v>921</v>
      </c>
      <c r="H60" s="4">
        <v>1</v>
      </c>
      <c r="I60" s="4">
        <v>1</v>
      </c>
      <c r="J60" s="4" t="s">
        <v>5977</v>
      </c>
      <c r="K60" s="4" t="s">
        <v>64</v>
      </c>
      <c r="L60" s="6">
        <v>46319</v>
      </c>
      <c r="M60" s="4" t="s">
        <v>5864</v>
      </c>
      <c r="N60" s="4" t="s">
        <v>5883</v>
      </c>
    </row>
    <row r="61" spans="1:14" ht="54" customHeight="1">
      <c r="A61" s="8" t="s">
        <v>5978</v>
      </c>
      <c r="B61" s="8" t="s">
        <v>55</v>
      </c>
      <c r="C61" s="8" t="s">
        <v>56</v>
      </c>
      <c r="D61" s="8" t="s">
        <v>2969</v>
      </c>
      <c r="E61" s="8" t="s">
        <v>41</v>
      </c>
      <c r="F61" s="8" t="s">
        <v>5979</v>
      </c>
      <c r="G61" s="8" t="s">
        <v>921</v>
      </c>
      <c r="H61" s="8">
        <v>1</v>
      </c>
      <c r="I61" s="8">
        <v>1</v>
      </c>
      <c r="J61" s="8" t="s">
        <v>5980</v>
      </c>
      <c r="K61" s="8" t="s">
        <v>64</v>
      </c>
      <c r="L61" s="9">
        <v>46319</v>
      </c>
      <c r="M61" s="8" t="s">
        <v>5864</v>
      </c>
      <c r="N61" s="8" t="s">
        <v>5883</v>
      </c>
    </row>
    <row r="62" spans="1:14" ht="82" customHeight="1">
      <c r="A62" s="4" t="s">
        <v>5981</v>
      </c>
      <c r="B62" s="4" t="s">
        <v>55</v>
      </c>
      <c r="C62" s="4" t="s">
        <v>56</v>
      </c>
      <c r="D62" s="4" t="s">
        <v>2969</v>
      </c>
      <c r="E62" s="4" t="s">
        <v>41</v>
      </c>
      <c r="F62" s="4" t="s">
        <v>5982</v>
      </c>
      <c r="G62" s="4" t="s">
        <v>921</v>
      </c>
      <c r="H62" s="4">
        <v>1</v>
      </c>
      <c r="I62" s="4">
        <v>1</v>
      </c>
      <c r="J62" s="4" t="s">
        <v>5983</v>
      </c>
      <c r="K62" s="4" t="s">
        <v>64</v>
      </c>
      <c r="L62" s="6">
        <v>46319</v>
      </c>
      <c r="M62" s="4" t="s">
        <v>5864</v>
      </c>
      <c r="N62" s="4" t="s">
        <v>5883</v>
      </c>
    </row>
    <row r="63" spans="1:14" ht="68" customHeight="1">
      <c r="A63" s="8" t="s">
        <v>5984</v>
      </c>
      <c r="B63" s="8" t="s">
        <v>55</v>
      </c>
      <c r="C63" s="8" t="s">
        <v>56</v>
      </c>
      <c r="D63" s="8" t="s">
        <v>2969</v>
      </c>
      <c r="E63" s="8" t="s">
        <v>41</v>
      </c>
      <c r="F63" s="8" t="s">
        <v>5985</v>
      </c>
      <c r="G63" s="8" t="s">
        <v>921</v>
      </c>
      <c r="H63" s="8">
        <v>1</v>
      </c>
      <c r="I63" s="8">
        <v>1</v>
      </c>
      <c r="J63" s="8" t="s">
        <v>5986</v>
      </c>
      <c r="K63" s="8" t="s">
        <v>64</v>
      </c>
      <c r="L63" s="9">
        <v>46319</v>
      </c>
      <c r="M63" s="8" t="s">
        <v>5864</v>
      </c>
      <c r="N63" s="8" t="s">
        <v>5883</v>
      </c>
    </row>
    <row r="64" spans="1:14" ht="54" customHeight="1">
      <c r="A64" s="4" t="s">
        <v>5987</v>
      </c>
      <c r="B64" s="4" t="s">
        <v>55</v>
      </c>
      <c r="C64" s="4" t="s">
        <v>56</v>
      </c>
      <c r="D64" s="4" t="s">
        <v>2969</v>
      </c>
      <c r="E64" s="4" t="s">
        <v>41</v>
      </c>
      <c r="F64" s="4" t="s">
        <v>5988</v>
      </c>
      <c r="G64" s="4" t="s">
        <v>921</v>
      </c>
      <c r="H64" s="4">
        <v>1</v>
      </c>
      <c r="I64" s="4">
        <v>1</v>
      </c>
      <c r="J64" s="4" t="s">
        <v>5989</v>
      </c>
      <c r="K64" s="4" t="s">
        <v>64</v>
      </c>
      <c r="L64" s="6">
        <v>46319</v>
      </c>
      <c r="M64" s="4" t="s">
        <v>5864</v>
      </c>
      <c r="N64" s="4" t="s">
        <v>5883</v>
      </c>
    </row>
    <row r="65" spans="1:14" ht="82" customHeight="1">
      <c r="A65" s="8" t="s">
        <v>5990</v>
      </c>
      <c r="B65" s="8" t="s">
        <v>55</v>
      </c>
      <c r="C65" s="8" t="s">
        <v>56</v>
      </c>
      <c r="D65" s="8" t="s">
        <v>2969</v>
      </c>
      <c r="E65" s="8" t="s">
        <v>41</v>
      </c>
      <c r="F65" s="8" t="s">
        <v>5991</v>
      </c>
      <c r="G65" s="8" t="s">
        <v>921</v>
      </c>
      <c r="H65" s="8">
        <v>1</v>
      </c>
      <c r="I65" s="8">
        <v>1</v>
      </c>
      <c r="J65" s="8" t="s">
        <v>5992</v>
      </c>
      <c r="K65" s="8" t="s">
        <v>64</v>
      </c>
      <c r="L65" s="9">
        <v>46319</v>
      </c>
      <c r="M65" s="8" t="s">
        <v>5864</v>
      </c>
      <c r="N65" s="8" t="s">
        <v>5883</v>
      </c>
    </row>
    <row r="66" spans="1:14" ht="82" customHeight="1">
      <c r="A66" s="4" t="s">
        <v>5993</v>
      </c>
      <c r="B66" s="4" t="s">
        <v>67</v>
      </c>
      <c r="C66" s="4" t="s">
        <v>68</v>
      </c>
      <c r="D66" s="4" t="s">
        <v>5861</v>
      </c>
      <c r="E66" s="4" t="s">
        <v>41</v>
      </c>
      <c r="F66" s="4" t="s">
        <v>5994</v>
      </c>
      <c r="G66" s="4" t="s">
        <v>927</v>
      </c>
      <c r="H66" s="4">
        <v>1</v>
      </c>
      <c r="I66" s="4">
        <v>1</v>
      </c>
      <c r="J66" s="4" t="s">
        <v>5995</v>
      </c>
      <c r="K66" s="4" t="s">
        <v>77</v>
      </c>
      <c r="L66" s="6">
        <v>46319</v>
      </c>
      <c r="M66" s="4" t="s">
        <v>5864</v>
      </c>
      <c r="N66" s="4" t="s">
        <v>5865</v>
      </c>
    </row>
    <row r="67" spans="1:14" ht="68" customHeight="1">
      <c r="A67" s="8" t="s">
        <v>5996</v>
      </c>
      <c r="B67" s="8" t="s">
        <v>67</v>
      </c>
      <c r="C67" s="8" t="s">
        <v>68</v>
      </c>
      <c r="D67" s="8" t="s">
        <v>5861</v>
      </c>
      <c r="E67" s="8" t="s">
        <v>41</v>
      </c>
      <c r="F67" s="8" t="s">
        <v>5997</v>
      </c>
      <c r="G67" s="8" t="s">
        <v>927</v>
      </c>
      <c r="H67" s="8">
        <v>1</v>
      </c>
      <c r="I67" s="8">
        <v>1</v>
      </c>
      <c r="J67" s="8" t="s">
        <v>5998</v>
      </c>
      <c r="K67" s="8" t="s">
        <v>77</v>
      </c>
      <c r="L67" s="9">
        <v>46319</v>
      </c>
      <c r="M67" s="8" t="s">
        <v>5864</v>
      </c>
      <c r="N67" s="8" t="s">
        <v>5865</v>
      </c>
    </row>
    <row r="68" spans="1:14" ht="40" customHeight="1">
      <c r="A68" s="4" t="s">
        <v>5999</v>
      </c>
      <c r="B68" s="4" t="s">
        <v>67</v>
      </c>
      <c r="C68" s="4" t="s">
        <v>68</v>
      </c>
      <c r="D68" s="4" t="s">
        <v>5867</v>
      </c>
      <c r="E68" s="4" t="s">
        <v>6000</v>
      </c>
      <c r="F68" s="4" t="s">
        <v>5868</v>
      </c>
      <c r="G68" s="4" t="s">
        <v>927</v>
      </c>
      <c r="H68" s="4">
        <v>1</v>
      </c>
      <c r="I68" s="4">
        <v>1</v>
      </c>
      <c r="J68" s="4" t="s">
        <v>6000</v>
      </c>
      <c r="K68" s="4" t="s">
        <v>77</v>
      </c>
      <c r="L68" s="6">
        <v>46319</v>
      </c>
      <c r="M68" s="4" t="s">
        <v>5864</v>
      </c>
      <c r="N68" s="4" t="s">
        <v>5870</v>
      </c>
    </row>
    <row r="69" spans="1:14" ht="40" customHeight="1">
      <c r="A69" s="8" t="s">
        <v>6001</v>
      </c>
      <c r="B69" s="8" t="s">
        <v>67</v>
      </c>
      <c r="C69" s="8" t="s">
        <v>68</v>
      </c>
      <c r="D69" s="8" t="s">
        <v>5867</v>
      </c>
      <c r="E69" s="8" t="s">
        <v>6000</v>
      </c>
      <c r="F69" s="8" t="s">
        <v>6002</v>
      </c>
      <c r="G69" s="8" t="s">
        <v>927</v>
      </c>
      <c r="H69" s="8">
        <v>1</v>
      </c>
      <c r="I69" s="8">
        <v>1</v>
      </c>
      <c r="J69" s="8" t="s">
        <v>6003</v>
      </c>
      <c r="K69" s="8" t="s">
        <v>77</v>
      </c>
      <c r="L69" s="9">
        <v>46319</v>
      </c>
      <c r="M69" s="8" t="s">
        <v>5864</v>
      </c>
      <c r="N69" s="8" t="s">
        <v>5870</v>
      </c>
    </row>
    <row r="70" spans="1:14" ht="40" customHeight="1">
      <c r="A70" s="4" t="s">
        <v>6004</v>
      </c>
      <c r="B70" s="4" t="s">
        <v>67</v>
      </c>
      <c r="C70" s="4" t="s">
        <v>68</v>
      </c>
      <c r="D70" s="4" t="s">
        <v>5867</v>
      </c>
      <c r="E70" s="4" t="s">
        <v>6005</v>
      </c>
      <c r="F70" s="4" t="s">
        <v>6006</v>
      </c>
      <c r="G70" s="4" t="s">
        <v>927</v>
      </c>
      <c r="H70" s="4">
        <v>1</v>
      </c>
      <c r="I70" s="4">
        <v>1</v>
      </c>
      <c r="J70" s="4" t="s">
        <v>6005</v>
      </c>
      <c r="K70" s="4" t="s">
        <v>77</v>
      </c>
      <c r="L70" s="6">
        <v>46319</v>
      </c>
      <c r="M70" s="4" t="s">
        <v>5864</v>
      </c>
      <c r="N70" s="4" t="s">
        <v>5870</v>
      </c>
    </row>
    <row r="71" spans="1:14" ht="40" customHeight="1">
      <c r="A71" s="8" t="s">
        <v>6007</v>
      </c>
      <c r="B71" s="8" t="s">
        <v>67</v>
      </c>
      <c r="C71" s="8" t="s">
        <v>68</v>
      </c>
      <c r="D71" s="8" t="s">
        <v>5867</v>
      </c>
      <c r="E71" s="8" t="s">
        <v>6005</v>
      </c>
      <c r="F71" s="8" t="s">
        <v>6008</v>
      </c>
      <c r="G71" s="8" t="s">
        <v>927</v>
      </c>
      <c r="H71" s="8">
        <v>1</v>
      </c>
      <c r="I71" s="8">
        <v>1</v>
      </c>
      <c r="J71" s="8" t="s">
        <v>6009</v>
      </c>
      <c r="K71" s="8" t="s">
        <v>77</v>
      </c>
      <c r="L71" s="9">
        <v>46319</v>
      </c>
      <c r="M71" s="8" t="s">
        <v>5864</v>
      </c>
      <c r="N71" s="8" t="s">
        <v>5870</v>
      </c>
    </row>
    <row r="72" spans="1:14" ht="40" customHeight="1">
      <c r="A72" s="4" t="s">
        <v>6010</v>
      </c>
      <c r="B72" s="4" t="s">
        <v>67</v>
      </c>
      <c r="C72" s="4" t="s">
        <v>68</v>
      </c>
      <c r="D72" s="4" t="s">
        <v>5867</v>
      </c>
      <c r="E72" s="4" t="s">
        <v>6005</v>
      </c>
      <c r="F72" s="4" t="s">
        <v>6011</v>
      </c>
      <c r="G72" s="4" t="s">
        <v>927</v>
      </c>
      <c r="H72" s="4">
        <v>1</v>
      </c>
      <c r="I72" s="4">
        <v>1</v>
      </c>
      <c r="J72" s="4" t="s">
        <v>6012</v>
      </c>
      <c r="K72" s="4" t="s">
        <v>77</v>
      </c>
      <c r="L72" s="6">
        <v>46319</v>
      </c>
      <c r="M72" s="4" t="s">
        <v>5864</v>
      </c>
      <c r="N72" s="4" t="s">
        <v>5870</v>
      </c>
    </row>
    <row r="73" spans="1:14" ht="40" customHeight="1">
      <c r="A73" s="8" t="s">
        <v>6013</v>
      </c>
      <c r="B73" s="8" t="s">
        <v>67</v>
      </c>
      <c r="C73" s="8" t="s">
        <v>68</v>
      </c>
      <c r="D73" s="8" t="s">
        <v>5867</v>
      </c>
      <c r="E73" s="8" t="s">
        <v>6014</v>
      </c>
      <c r="F73" s="8" t="s">
        <v>6015</v>
      </c>
      <c r="G73" s="8" t="s">
        <v>927</v>
      </c>
      <c r="H73" s="8">
        <v>1</v>
      </c>
      <c r="I73" s="8">
        <v>1</v>
      </c>
      <c r="J73" s="8" t="s">
        <v>6014</v>
      </c>
      <c r="K73" s="8" t="s">
        <v>77</v>
      </c>
      <c r="L73" s="9">
        <v>46319</v>
      </c>
      <c r="M73" s="8" t="s">
        <v>5864</v>
      </c>
      <c r="N73" s="8" t="s">
        <v>5870</v>
      </c>
    </row>
    <row r="74" spans="1:14" ht="40" customHeight="1">
      <c r="A74" s="4" t="s">
        <v>6016</v>
      </c>
      <c r="B74" s="4" t="s">
        <v>67</v>
      </c>
      <c r="C74" s="4" t="s">
        <v>68</v>
      </c>
      <c r="D74" s="4" t="s">
        <v>5867</v>
      </c>
      <c r="E74" s="4" t="s">
        <v>6014</v>
      </c>
      <c r="F74" s="4" t="s">
        <v>6017</v>
      </c>
      <c r="G74" s="4" t="s">
        <v>927</v>
      </c>
      <c r="H74" s="4">
        <v>1</v>
      </c>
      <c r="I74" s="4">
        <v>1</v>
      </c>
      <c r="J74" s="4" t="s">
        <v>6018</v>
      </c>
      <c r="K74" s="4" t="s">
        <v>77</v>
      </c>
      <c r="L74" s="6">
        <v>46319</v>
      </c>
      <c r="M74" s="4" t="s">
        <v>5864</v>
      </c>
      <c r="N74" s="4" t="s">
        <v>5870</v>
      </c>
    </row>
    <row r="75" spans="1:14" ht="40" customHeight="1">
      <c r="A75" s="8" t="s">
        <v>6019</v>
      </c>
      <c r="B75" s="8" t="s">
        <v>67</v>
      </c>
      <c r="C75" s="8" t="s">
        <v>68</v>
      </c>
      <c r="D75" s="8" t="s">
        <v>5867</v>
      </c>
      <c r="E75" s="8" t="s">
        <v>6020</v>
      </c>
      <c r="F75" s="8" t="s">
        <v>6021</v>
      </c>
      <c r="G75" s="8" t="s">
        <v>927</v>
      </c>
      <c r="H75" s="8">
        <v>1</v>
      </c>
      <c r="I75" s="8">
        <v>1</v>
      </c>
      <c r="J75" s="8" t="s">
        <v>6020</v>
      </c>
      <c r="K75" s="8" t="s">
        <v>77</v>
      </c>
      <c r="L75" s="9">
        <v>46319</v>
      </c>
      <c r="M75" s="8" t="s">
        <v>5864</v>
      </c>
      <c r="N75" s="8" t="s">
        <v>5870</v>
      </c>
    </row>
    <row r="76" spans="1:14" ht="54" customHeight="1">
      <c r="A76" s="4" t="s">
        <v>6022</v>
      </c>
      <c r="B76" s="4" t="s">
        <v>67</v>
      </c>
      <c r="C76" s="4" t="s">
        <v>68</v>
      </c>
      <c r="D76" s="4" t="s">
        <v>5867</v>
      </c>
      <c r="E76" s="4" t="s">
        <v>6020</v>
      </c>
      <c r="F76" s="4" t="s">
        <v>6023</v>
      </c>
      <c r="G76" s="4" t="s">
        <v>927</v>
      </c>
      <c r="H76" s="4">
        <v>1</v>
      </c>
      <c r="I76" s="4">
        <v>1</v>
      </c>
      <c r="J76" s="4" t="s">
        <v>6024</v>
      </c>
      <c r="K76" s="4" t="s">
        <v>77</v>
      </c>
      <c r="L76" s="6">
        <v>46319</v>
      </c>
      <c r="M76" s="4" t="s">
        <v>5864</v>
      </c>
      <c r="N76" s="4" t="s">
        <v>5870</v>
      </c>
    </row>
    <row r="77" spans="1:14" ht="40" customHeight="1">
      <c r="A77" s="8" t="s">
        <v>6025</v>
      </c>
      <c r="B77" s="8" t="s">
        <v>67</v>
      </c>
      <c r="C77" s="8" t="s">
        <v>68</v>
      </c>
      <c r="D77" s="8" t="s">
        <v>5867</v>
      </c>
      <c r="E77" s="8" t="s">
        <v>6020</v>
      </c>
      <c r="F77" s="8" t="s">
        <v>6026</v>
      </c>
      <c r="G77" s="8" t="s">
        <v>927</v>
      </c>
      <c r="H77" s="8">
        <v>1</v>
      </c>
      <c r="I77" s="8">
        <v>1</v>
      </c>
      <c r="J77" s="8" t="s">
        <v>6027</v>
      </c>
      <c r="K77" s="8" t="s">
        <v>77</v>
      </c>
      <c r="L77" s="9">
        <v>46319</v>
      </c>
      <c r="M77" s="8" t="s">
        <v>5864</v>
      </c>
      <c r="N77" s="8" t="s">
        <v>5870</v>
      </c>
    </row>
    <row r="78" spans="1:14" ht="40" customHeight="1">
      <c r="A78" s="4" t="s">
        <v>6028</v>
      </c>
      <c r="B78" s="4" t="s">
        <v>67</v>
      </c>
      <c r="C78" s="4" t="s">
        <v>68</v>
      </c>
      <c r="D78" s="4" t="s">
        <v>5867</v>
      </c>
      <c r="E78" s="4" t="s">
        <v>6020</v>
      </c>
      <c r="F78" s="4" t="s">
        <v>6029</v>
      </c>
      <c r="G78" s="4" t="s">
        <v>927</v>
      </c>
      <c r="H78" s="4">
        <v>1</v>
      </c>
      <c r="I78" s="4">
        <v>1</v>
      </c>
      <c r="J78" s="4" t="s">
        <v>6030</v>
      </c>
      <c r="K78" s="4" t="s">
        <v>77</v>
      </c>
      <c r="L78" s="6">
        <v>46319</v>
      </c>
      <c r="M78" s="4" t="s">
        <v>5864</v>
      </c>
      <c r="N78" s="4" t="s">
        <v>5870</v>
      </c>
    </row>
    <row r="79" spans="1:14" ht="40" customHeight="1">
      <c r="A79" s="8" t="s">
        <v>6031</v>
      </c>
      <c r="B79" s="8" t="s">
        <v>67</v>
      </c>
      <c r="C79" s="8" t="s">
        <v>68</v>
      </c>
      <c r="D79" s="8" t="s">
        <v>5867</v>
      </c>
      <c r="E79" s="8" t="s">
        <v>6020</v>
      </c>
      <c r="F79" s="8" t="s">
        <v>6032</v>
      </c>
      <c r="G79" s="8" t="s">
        <v>927</v>
      </c>
      <c r="H79" s="8">
        <v>1</v>
      </c>
      <c r="I79" s="8">
        <v>1</v>
      </c>
      <c r="J79" s="8" t="s">
        <v>6033</v>
      </c>
      <c r="K79" s="8" t="s">
        <v>77</v>
      </c>
      <c r="L79" s="9">
        <v>46319</v>
      </c>
      <c r="M79" s="8" t="s">
        <v>5864</v>
      </c>
      <c r="N79" s="8" t="s">
        <v>5870</v>
      </c>
    </row>
    <row r="80" spans="1:14" ht="40" customHeight="1">
      <c r="A80" s="4" t="s">
        <v>6034</v>
      </c>
      <c r="B80" s="4" t="s">
        <v>67</v>
      </c>
      <c r="C80" s="4" t="s">
        <v>68</v>
      </c>
      <c r="D80" s="4" t="s">
        <v>5867</v>
      </c>
      <c r="E80" s="4" t="s">
        <v>6020</v>
      </c>
      <c r="F80" s="4" t="s">
        <v>6035</v>
      </c>
      <c r="G80" s="4" t="s">
        <v>927</v>
      </c>
      <c r="H80" s="4">
        <v>1</v>
      </c>
      <c r="I80" s="4">
        <v>1</v>
      </c>
      <c r="J80" s="4" t="s">
        <v>6036</v>
      </c>
      <c r="K80" s="4" t="s">
        <v>77</v>
      </c>
      <c r="L80" s="6">
        <v>46319</v>
      </c>
      <c r="M80" s="4" t="s">
        <v>5864</v>
      </c>
      <c r="N80" s="4" t="s">
        <v>5870</v>
      </c>
    </row>
    <row r="81" spans="1:14" ht="40" customHeight="1">
      <c r="A81" s="8" t="s">
        <v>6037</v>
      </c>
      <c r="B81" s="8" t="s">
        <v>67</v>
      </c>
      <c r="C81" s="8" t="s">
        <v>68</v>
      </c>
      <c r="D81" s="8" t="s">
        <v>5867</v>
      </c>
      <c r="E81" s="8" t="s">
        <v>6020</v>
      </c>
      <c r="F81" s="8" t="s">
        <v>6038</v>
      </c>
      <c r="G81" s="8" t="s">
        <v>927</v>
      </c>
      <c r="H81" s="8">
        <v>1</v>
      </c>
      <c r="I81" s="8">
        <v>1</v>
      </c>
      <c r="J81" s="8" t="s">
        <v>6039</v>
      </c>
      <c r="K81" s="8" t="s">
        <v>77</v>
      </c>
      <c r="L81" s="9">
        <v>46319</v>
      </c>
      <c r="M81" s="8" t="s">
        <v>5864</v>
      </c>
      <c r="N81" s="8" t="s">
        <v>5870</v>
      </c>
    </row>
    <row r="82" spans="1:14" ht="40" customHeight="1">
      <c r="A82" s="4" t="s">
        <v>6040</v>
      </c>
      <c r="B82" s="4" t="s">
        <v>67</v>
      </c>
      <c r="C82" s="4" t="s">
        <v>68</v>
      </c>
      <c r="D82" s="4" t="s">
        <v>637</v>
      </c>
      <c r="E82" s="4" t="s">
        <v>41</v>
      </c>
      <c r="F82" s="4" t="s">
        <v>926</v>
      </c>
      <c r="G82" s="4" t="s">
        <v>927</v>
      </c>
      <c r="H82" s="4">
        <v>1</v>
      </c>
      <c r="I82" s="4">
        <v>1</v>
      </c>
      <c r="J82" s="4" t="s">
        <v>924</v>
      </c>
      <c r="K82" s="4" t="s">
        <v>77</v>
      </c>
      <c r="L82" s="6">
        <v>46319</v>
      </c>
      <c r="M82" s="4" t="s">
        <v>5864</v>
      </c>
      <c r="N82" s="4" t="s">
        <v>5870</v>
      </c>
    </row>
    <row r="83" spans="1:14" ht="40" customHeight="1">
      <c r="A83" s="8" t="s">
        <v>6041</v>
      </c>
      <c r="B83" s="8" t="s">
        <v>67</v>
      </c>
      <c r="C83" s="8" t="s">
        <v>68</v>
      </c>
      <c r="D83" s="8" t="s">
        <v>637</v>
      </c>
      <c r="E83" s="8" t="s">
        <v>41</v>
      </c>
      <c r="F83" s="8" t="s">
        <v>931</v>
      </c>
      <c r="G83" s="8" t="s">
        <v>927</v>
      </c>
      <c r="H83" s="8">
        <v>1</v>
      </c>
      <c r="I83" s="8">
        <v>1</v>
      </c>
      <c r="J83" s="8" t="s">
        <v>929</v>
      </c>
      <c r="K83" s="8" t="s">
        <v>77</v>
      </c>
      <c r="L83" s="9">
        <v>46319</v>
      </c>
      <c r="M83" s="8" t="s">
        <v>5864</v>
      </c>
      <c r="N83" s="8" t="s">
        <v>5870</v>
      </c>
    </row>
    <row r="84" spans="1:14" ht="40" customHeight="1">
      <c r="A84" s="4" t="s">
        <v>6042</v>
      </c>
      <c r="B84" s="4" t="s">
        <v>67</v>
      </c>
      <c r="C84" s="4" t="s">
        <v>68</v>
      </c>
      <c r="D84" s="4" t="s">
        <v>637</v>
      </c>
      <c r="E84" s="4" t="s">
        <v>41</v>
      </c>
      <c r="F84" s="4" t="s">
        <v>935</v>
      </c>
      <c r="G84" s="4" t="s">
        <v>927</v>
      </c>
      <c r="H84" s="4">
        <v>1</v>
      </c>
      <c r="I84" s="4">
        <v>1</v>
      </c>
      <c r="J84" s="4" t="s">
        <v>933</v>
      </c>
      <c r="K84" s="4" t="s">
        <v>77</v>
      </c>
      <c r="L84" s="6">
        <v>46319</v>
      </c>
      <c r="M84" s="4" t="s">
        <v>5864</v>
      </c>
      <c r="N84" s="4" t="s">
        <v>5870</v>
      </c>
    </row>
    <row r="85" spans="1:14" ht="40" customHeight="1">
      <c r="A85" s="8" t="s">
        <v>6043</v>
      </c>
      <c r="B85" s="8" t="s">
        <v>67</v>
      </c>
      <c r="C85" s="8" t="s">
        <v>68</v>
      </c>
      <c r="D85" s="8" t="s">
        <v>637</v>
      </c>
      <c r="E85" s="8" t="s">
        <v>41</v>
      </c>
      <c r="F85" s="8" t="s">
        <v>939</v>
      </c>
      <c r="G85" s="8" t="s">
        <v>927</v>
      </c>
      <c r="H85" s="8">
        <v>1</v>
      </c>
      <c r="I85" s="8">
        <v>1</v>
      </c>
      <c r="J85" s="8" t="s">
        <v>937</v>
      </c>
      <c r="K85" s="8" t="s">
        <v>77</v>
      </c>
      <c r="L85" s="9">
        <v>46319</v>
      </c>
      <c r="M85" s="8" t="s">
        <v>5864</v>
      </c>
      <c r="N85" s="8" t="s">
        <v>5870</v>
      </c>
    </row>
    <row r="86" spans="1:14" ht="40" customHeight="1">
      <c r="A86" s="4" t="s">
        <v>6044</v>
      </c>
      <c r="B86" s="4" t="s">
        <v>67</v>
      </c>
      <c r="C86" s="4" t="s">
        <v>68</v>
      </c>
      <c r="D86" s="4" t="s">
        <v>637</v>
      </c>
      <c r="E86" s="4" t="s">
        <v>41</v>
      </c>
      <c r="F86" s="4" t="s">
        <v>943</v>
      </c>
      <c r="G86" s="4" t="s">
        <v>927</v>
      </c>
      <c r="H86" s="4">
        <v>1</v>
      </c>
      <c r="I86" s="4">
        <v>1</v>
      </c>
      <c r="J86" s="4" t="s">
        <v>941</v>
      </c>
      <c r="K86" s="4" t="s">
        <v>77</v>
      </c>
      <c r="L86" s="6">
        <v>46319</v>
      </c>
      <c r="M86" s="4" t="s">
        <v>5864</v>
      </c>
      <c r="N86" s="4" t="s">
        <v>5870</v>
      </c>
    </row>
    <row r="87" spans="1:14" ht="40" customHeight="1">
      <c r="A87" s="8" t="s">
        <v>6045</v>
      </c>
      <c r="B87" s="8" t="s">
        <v>67</v>
      </c>
      <c r="C87" s="8" t="s">
        <v>68</v>
      </c>
      <c r="D87" s="8" t="s">
        <v>637</v>
      </c>
      <c r="E87" s="8" t="s">
        <v>41</v>
      </c>
      <c r="F87" s="8" t="s">
        <v>947</v>
      </c>
      <c r="G87" s="8" t="s">
        <v>927</v>
      </c>
      <c r="H87" s="8">
        <v>1</v>
      </c>
      <c r="I87" s="8">
        <v>1</v>
      </c>
      <c r="J87" s="8" t="s">
        <v>945</v>
      </c>
      <c r="K87" s="8" t="s">
        <v>77</v>
      </c>
      <c r="L87" s="9">
        <v>46319</v>
      </c>
      <c r="M87" s="8" t="s">
        <v>5864</v>
      </c>
      <c r="N87" s="8" t="s">
        <v>5870</v>
      </c>
    </row>
    <row r="88" spans="1:14" ht="40" customHeight="1">
      <c r="A88" s="4" t="s">
        <v>6046</v>
      </c>
      <c r="B88" s="4" t="s">
        <v>67</v>
      </c>
      <c r="C88" s="4" t="s">
        <v>68</v>
      </c>
      <c r="D88" s="4" t="s">
        <v>914</v>
      </c>
      <c r="E88" s="4" t="s">
        <v>41</v>
      </c>
      <c r="F88" s="4" t="s">
        <v>952</v>
      </c>
      <c r="G88" s="4" t="s">
        <v>927</v>
      </c>
      <c r="H88" s="4">
        <v>1</v>
      </c>
      <c r="I88" s="4">
        <v>1</v>
      </c>
      <c r="J88" s="4" t="s">
        <v>950</v>
      </c>
      <c r="K88" s="4" t="s">
        <v>77</v>
      </c>
      <c r="L88" s="6">
        <v>46319</v>
      </c>
      <c r="M88" s="4" t="s">
        <v>5864</v>
      </c>
      <c r="N88" s="4" t="s">
        <v>5870</v>
      </c>
    </row>
    <row r="89" spans="1:14" ht="40" customHeight="1">
      <c r="A89" s="8" t="s">
        <v>6047</v>
      </c>
      <c r="B89" s="8" t="s">
        <v>67</v>
      </c>
      <c r="C89" s="8" t="s">
        <v>68</v>
      </c>
      <c r="D89" s="8" t="s">
        <v>914</v>
      </c>
      <c r="E89" s="8" t="s">
        <v>41</v>
      </c>
      <c r="F89" s="8" t="s">
        <v>956</v>
      </c>
      <c r="G89" s="8" t="s">
        <v>927</v>
      </c>
      <c r="H89" s="8">
        <v>1</v>
      </c>
      <c r="I89" s="8">
        <v>1</v>
      </c>
      <c r="J89" s="8" t="s">
        <v>954</v>
      </c>
      <c r="K89" s="8" t="s">
        <v>77</v>
      </c>
      <c r="L89" s="9">
        <v>46319</v>
      </c>
      <c r="M89" s="8" t="s">
        <v>5864</v>
      </c>
      <c r="N89" s="8" t="s">
        <v>5870</v>
      </c>
    </row>
    <row r="90" spans="1:14" ht="40" customHeight="1">
      <c r="A90" s="4" t="s">
        <v>6048</v>
      </c>
      <c r="B90" s="4" t="s">
        <v>67</v>
      </c>
      <c r="C90" s="4" t="s">
        <v>68</v>
      </c>
      <c r="D90" s="4" t="s">
        <v>914</v>
      </c>
      <c r="E90" s="4" t="s">
        <v>41</v>
      </c>
      <c r="F90" s="4" t="s">
        <v>960</v>
      </c>
      <c r="G90" s="4" t="s">
        <v>927</v>
      </c>
      <c r="H90" s="4">
        <v>1</v>
      </c>
      <c r="I90" s="4">
        <v>1</v>
      </c>
      <c r="J90" s="4" t="s">
        <v>958</v>
      </c>
      <c r="K90" s="4" t="s">
        <v>77</v>
      </c>
      <c r="L90" s="6">
        <v>46319</v>
      </c>
      <c r="M90" s="4" t="s">
        <v>5864</v>
      </c>
      <c r="N90" s="4" t="s">
        <v>5870</v>
      </c>
    </row>
    <row r="91" spans="1:14" ht="40" customHeight="1">
      <c r="A91" s="8" t="s">
        <v>6049</v>
      </c>
      <c r="B91" s="8" t="s">
        <v>67</v>
      </c>
      <c r="C91" s="8" t="s">
        <v>68</v>
      </c>
      <c r="D91" s="8" t="s">
        <v>914</v>
      </c>
      <c r="E91" s="8" t="s">
        <v>41</v>
      </c>
      <c r="F91" s="8" t="s">
        <v>964</v>
      </c>
      <c r="G91" s="8" t="s">
        <v>927</v>
      </c>
      <c r="H91" s="8">
        <v>1</v>
      </c>
      <c r="I91" s="8">
        <v>1</v>
      </c>
      <c r="J91" s="8" t="s">
        <v>962</v>
      </c>
      <c r="K91" s="8" t="s">
        <v>77</v>
      </c>
      <c r="L91" s="9">
        <v>46319</v>
      </c>
      <c r="M91" s="8" t="s">
        <v>5864</v>
      </c>
      <c r="N91" s="8" t="s">
        <v>5870</v>
      </c>
    </row>
    <row r="92" spans="1:14" ht="40" customHeight="1">
      <c r="A92" s="4" t="s">
        <v>6050</v>
      </c>
      <c r="B92" s="4" t="s">
        <v>67</v>
      </c>
      <c r="C92" s="4" t="s">
        <v>68</v>
      </c>
      <c r="D92" s="4" t="s">
        <v>914</v>
      </c>
      <c r="E92" s="4" t="s">
        <v>41</v>
      </c>
      <c r="F92" s="4" t="s">
        <v>968</v>
      </c>
      <c r="G92" s="4" t="s">
        <v>927</v>
      </c>
      <c r="H92" s="4">
        <v>1</v>
      </c>
      <c r="I92" s="4">
        <v>1</v>
      </c>
      <c r="J92" s="4" t="s">
        <v>966</v>
      </c>
      <c r="K92" s="4" t="s">
        <v>77</v>
      </c>
      <c r="L92" s="6">
        <v>46319</v>
      </c>
      <c r="M92" s="4" t="s">
        <v>5864</v>
      </c>
      <c r="N92" s="4" t="s">
        <v>5870</v>
      </c>
    </row>
    <row r="93" spans="1:14" ht="54" customHeight="1">
      <c r="A93" s="8" t="s">
        <v>6051</v>
      </c>
      <c r="B93" s="8" t="s">
        <v>67</v>
      </c>
      <c r="C93" s="8" t="s">
        <v>68</v>
      </c>
      <c r="D93" s="8" t="s">
        <v>914</v>
      </c>
      <c r="E93" s="8" t="s">
        <v>41</v>
      </c>
      <c r="F93" s="8" t="s">
        <v>972</v>
      </c>
      <c r="G93" s="8" t="s">
        <v>927</v>
      </c>
      <c r="H93" s="8">
        <v>1</v>
      </c>
      <c r="I93" s="8">
        <v>1</v>
      </c>
      <c r="J93" s="8" t="s">
        <v>970</v>
      </c>
      <c r="K93" s="8" t="s">
        <v>77</v>
      </c>
      <c r="L93" s="9">
        <v>46319</v>
      </c>
      <c r="M93" s="8" t="s">
        <v>5864</v>
      </c>
      <c r="N93" s="8" t="s">
        <v>5870</v>
      </c>
    </row>
    <row r="94" spans="1:14" ht="68" customHeight="1">
      <c r="A94" s="4" t="s">
        <v>6052</v>
      </c>
      <c r="B94" s="4" t="s">
        <v>67</v>
      </c>
      <c r="C94" s="4" t="s">
        <v>68</v>
      </c>
      <c r="D94" s="4" t="s">
        <v>914</v>
      </c>
      <c r="E94" s="4" t="s">
        <v>41</v>
      </c>
      <c r="F94" s="4" t="s">
        <v>976</v>
      </c>
      <c r="G94" s="4" t="s">
        <v>927</v>
      </c>
      <c r="H94" s="4">
        <v>1</v>
      </c>
      <c r="I94" s="4">
        <v>1</v>
      </c>
      <c r="J94" s="4" t="s">
        <v>974</v>
      </c>
      <c r="K94" s="4" t="s">
        <v>77</v>
      </c>
      <c r="L94" s="6">
        <v>46319</v>
      </c>
      <c r="M94" s="4" t="s">
        <v>5864</v>
      </c>
      <c r="N94" s="4" t="s">
        <v>5870</v>
      </c>
    </row>
    <row r="95" spans="1:14" ht="54" customHeight="1">
      <c r="A95" s="8" t="s">
        <v>6053</v>
      </c>
      <c r="B95" s="8" t="s">
        <v>67</v>
      </c>
      <c r="C95" s="8" t="s">
        <v>68</v>
      </c>
      <c r="D95" s="8" t="s">
        <v>914</v>
      </c>
      <c r="E95" s="8" t="s">
        <v>41</v>
      </c>
      <c r="F95" s="8" t="s">
        <v>980</v>
      </c>
      <c r="G95" s="8" t="s">
        <v>927</v>
      </c>
      <c r="H95" s="8">
        <v>1</v>
      </c>
      <c r="I95" s="8">
        <v>1</v>
      </c>
      <c r="J95" s="8" t="s">
        <v>978</v>
      </c>
      <c r="K95" s="8" t="s">
        <v>77</v>
      </c>
      <c r="L95" s="9">
        <v>46319</v>
      </c>
      <c r="M95" s="8" t="s">
        <v>5864</v>
      </c>
      <c r="N95" s="8" t="s">
        <v>5870</v>
      </c>
    </row>
    <row r="96" spans="1:14" ht="40" customHeight="1">
      <c r="A96" s="4" t="s">
        <v>4947</v>
      </c>
      <c r="B96" s="4" t="s">
        <v>67</v>
      </c>
      <c r="C96" s="4" t="s">
        <v>68</v>
      </c>
      <c r="D96" s="4" t="s">
        <v>7</v>
      </c>
      <c r="E96" s="4" t="s">
        <v>41</v>
      </c>
      <c r="F96" s="4" t="s">
        <v>6054</v>
      </c>
      <c r="G96" s="4" t="s">
        <v>927</v>
      </c>
      <c r="H96" s="4">
        <v>1</v>
      </c>
      <c r="I96" s="4">
        <v>1</v>
      </c>
      <c r="J96" s="4" t="s">
        <v>3487</v>
      </c>
      <c r="K96" s="4" t="s">
        <v>77</v>
      </c>
      <c r="L96" s="6">
        <v>46319</v>
      </c>
      <c r="M96" s="4" t="s">
        <v>5864</v>
      </c>
      <c r="N96" s="4" t="s">
        <v>5870</v>
      </c>
    </row>
    <row r="97" spans="1:14" ht="40" customHeight="1">
      <c r="A97" s="8" t="s">
        <v>4949</v>
      </c>
      <c r="B97" s="8" t="s">
        <v>67</v>
      </c>
      <c r="C97" s="8" t="s">
        <v>68</v>
      </c>
      <c r="D97" s="8" t="s">
        <v>7</v>
      </c>
      <c r="E97" s="8" t="s">
        <v>41</v>
      </c>
      <c r="F97" s="8" t="s">
        <v>6055</v>
      </c>
      <c r="G97" s="8" t="s">
        <v>927</v>
      </c>
      <c r="H97" s="8">
        <v>1</v>
      </c>
      <c r="I97" s="8">
        <v>1</v>
      </c>
      <c r="J97" s="8" t="s">
        <v>4950</v>
      </c>
      <c r="K97" s="8" t="s">
        <v>77</v>
      </c>
      <c r="L97" s="9">
        <v>46319</v>
      </c>
      <c r="M97" s="8" t="s">
        <v>5864</v>
      </c>
      <c r="N97" s="8" t="s">
        <v>5870</v>
      </c>
    </row>
    <row r="98" spans="1:14" ht="40" customHeight="1">
      <c r="A98" s="4" t="s">
        <v>3481</v>
      </c>
      <c r="B98" s="4" t="s">
        <v>67</v>
      </c>
      <c r="C98" s="4" t="s">
        <v>68</v>
      </c>
      <c r="D98" s="4" t="s">
        <v>5879</v>
      </c>
      <c r="E98" s="4" t="s">
        <v>41</v>
      </c>
      <c r="F98" s="4" t="s">
        <v>3463</v>
      </c>
      <c r="G98" s="4" t="s">
        <v>927</v>
      </c>
      <c r="H98" s="4">
        <v>1</v>
      </c>
      <c r="I98" s="4">
        <v>1</v>
      </c>
      <c r="J98" s="4" t="s">
        <v>3482</v>
      </c>
      <c r="K98" s="4" t="s">
        <v>77</v>
      </c>
      <c r="L98" s="6">
        <v>46319</v>
      </c>
      <c r="M98" s="4" t="s">
        <v>5864</v>
      </c>
      <c r="N98" s="4" t="s">
        <v>5865</v>
      </c>
    </row>
    <row r="99" spans="1:14" ht="40" customHeight="1">
      <c r="A99" s="8" t="s">
        <v>3483</v>
      </c>
      <c r="B99" s="8" t="s">
        <v>67</v>
      </c>
      <c r="C99" s="8" t="s">
        <v>68</v>
      </c>
      <c r="D99" s="8" t="s">
        <v>5879</v>
      </c>
      <c r="E99" s="8" t="s">
        <v>41</v>
      </c>
      <c r="F99" s="8" t="s">
        <v>3485</v>
      </c>
      <c r="G99" s="8" t="s">
        <v>927</v>
      </c>
      <c r="H99" s="8">
        <v>1</v>
      </c>
      <c r="I99" s="8">
        <v>1</v>
      </c>
      <c r="J99" s="8" t="s">
        <v>3484</v>
      </c>
      <c r="K99" s="8" t="s">
        <v>77</v>
      </c>
      <c r="L99" s="9">
        <v>46319</v>
      </c>
      <c r="M99" s="8" t="s">
        <v>5864</v>
      </c>
      <c r="N99" s="8" t="s">
        <v>5865</v>
      </c>
    </row>
    <row r="100" spans="1:14" ht="40" customHeight="1">
      <c r="A100" s="4" t="s">
        <v>3486</v>
      </c>
      <c r="B100" s="4" t="s">
        <v>67</v>
      </c>
      <c r="C100" s="4" t="s">
        <v>68</v>
      </c>
      <c r="D100" s="4" t="s">
        <v>5879</v>
      </c>
      <c r="E100" s="4" t="s">
        <v>41</v>
      </c>
      <c r="F100" s="4" t="s">
        <v>3488</v>
      </c>
      <c r="G100" s="4" t="s">
        <v>927</v>
      </c>
      <c r="H100" s="4">
        <v>1</v>
      </c>
      <c r="I100" s="4">
        <v>1</v>
      </c>
      <c r="J100" s="4" t="s">
        <v>3487</v>
      </c>
      <c r="K100" s="4" t="s">
        <v>77</v>
      </c>
      <c r="L100" s="6">
        <v>46319</v>
      </c>
      <c r="M100" s="4" t="s">
        <v>5864</v>
      </c>
      <c r="N100" s="4" t="s">
        <v>5870</v>
      </c>
    </row>
    <row r="101" spans="1:14" ht="40" customHeight="1">
      <c r="A101" s="8" t="s">
        <v>3489</v>
      </c>
      <c r="B101" s="8" t="s">
        <v>67</v>
      </c>
      <c r="C101" s="8" t="s">
        <v>68</v>
      </c>
      <c r="D101" s="8" t="s">
        <v>5879</v>
      </c>
      <c r="E101" s="8" t="s">
        <v>41</v>
      </c>
      <c r="F101" s="8" t="s">
        <v>3491</v>
      </c>
      <c r="G101" s="8" t="s">
        <v>927</v>
      </c>
      <c r="H101" s="8">
        <v>1</v>
      </c>
      <c r="I101" s="8">
        <v>1</v>
      </c>
      <c r="J101" s="8" t="s">
        <v>3490</v>
      </c>
      <c r="K101" s="8" t="s">
        <v>77</v>
      </c>
      <c r="L101" s="9">
        <v>46319</v>
      </c>
      <c r="M101" s="8" t="s">
        <v>5864</v>
      </c>
      <c r="N101" s="8" t="s">
        <v>5870</v>
      </c>
    </row>
    <row r="102" spans="1:14" ht="40" customHeight="1">
      <c r="A102" s="4" t="s">
        <v>3492</v>
      </c>
      <c r="B102" s="4" t="s">
        <v>67</v>
      </c>
      <c r="C102" s="4" t="s">
        <v>68</v>
      </c>
      <c r="D102" s="4" t="s">
        <v>5879</v>
      </c>
      <c r="E102" s="4" t="s">
        <v>41</v>
      </c>
      <c r="F102" s="4" t="s">
        <v>3494</v>
      </c>
      <c r="G102" s="4" t="s">
        <v>927</v>
      </c>
      <c r="H102" s="4">
        <v>1</v>
      </c>
      <c r="I102" s="4">
        <v>1</v>
      </c>
      <c r="J102" s="4" t="s">
        <v>3493</v>
      </c>
      <c r="K102" s="4" t="s">
        <v>77</v>
      </c>
      <c r="L102" s="6">
        <v>46319</v>
      </c>
      <c r="M102" s="4" t="s">
        <v>5864</v>
      </c>
      <c r="N102" s="4" t="s">
        <v>5865</v>
      </c>
    </row>
    <row r="103" spans="1:14" ht="40" customHeight="1">
      <c r="A103" s="8" t="s">
        <v>3495</v>
      </c>
      <c r="B103" s="8" t="s">
        <v>67</v>
      </c>
      <c r="C103" s="8" t="s">
        <v>68</v>
      </c>
      <c r="D103" s="8" t="s">
        <v>5879</v>
      </c>
      <c r="E103" s="8" t="s">
        <v>41</v>
      </c>
      <c r="F103" s="8" t="s">
        <v>3497</v>
      </c>
      <c r="G103" s="8" t="s">
        <v>927</v>
      </c>
      <c r="H103" s="8">
        <v>1</v>
      </c>
      <c r="I103" s="8">
        <v>1</v>
      </c>
      <c r="J103" s="8" t="s">
        <v>3496</v>
      </c>
      <c r="K103" s="8" t="s">
        <v>77</v>
      </c>
      <c r="L103" s="9">
        <v>46319</v>
      </c>
      <c r="M103" s="8" t="s">
        <v>5864</v>
      </c>
      <c r="N103" s="8" t="s">
        <v>5865</v>
      </c>
    </row>
    <row r="104" spans="1:14" ht="54" customHeight="1">
      <c r="A104" s="4" t="s">
        <v>3498</v>
      </c>
      <c r="B104" s="4" t="s">
        <v>67</v>
      </c>
      <c r="C104" s="4" t="s">
        <v>68</v>
      </c>
      <c r="D104" s="4" t="s">
        <v>5879</v>
      </c>
      <c r="E104" s="4" t="s">
        <v>41</v>
      </c>
      <c r="F104" s="4" t="s">
        <v>3500</v>
      </c>
      <c r="G104" s="4" t="s">
        <v>927</v>
      </c>
      <c r="H104" s="4">
        <v>1</v>
      </c>
      <c r="I104" s="4">
        <v>1</v>
      </c>
      <c r="J104" s="4" t="s">
        <v>3499</v>
      </c>
      <c r="K104" s="4" t="s">
        <v>77</v>
      </c>
      <c r="L104" s="6">
        <v>46319</v>
      </c>
      <c r="M104" s="4" t="s">
        <v>5864</v>
      </c>
      <c r="N104" s="4" t="s">
        <v>5865</v>
      </c>
    </row>
    <row r="105" spans="1:14" ht="40" customHeight="1">
      <c r="A105" s="8" t="s">
        <v>3501</v>
      </c>
      <c r="B105" s="8" t="s">
        <v>67</v>
      </c>
      <c r="C105" s="8" t="s">
        <v>68</v>
      </c>
      <c r="D105" s="8" t="s">
        <v>5879</v>
      </c>
      <c r="E105" s="8" t="s">
        <v>41</v>
      </c>
      <c r="F105" s="8" t="s">
        <v>3503</v>
      </c>
      <c r="G105" s="8" t="s">
        <v>927</v>
      </c>
      <c r="H105" s="8">
        <v>1</v>
      </c>
      <c r="I105" s="8">
        <v>1</v>
      </c>
      <c r="J105" s="8" t="s">
        <v>3502</v>
      </c>
      <c r="K105" s="8" t="s">
        <v>77</v>
      </c>
      <c r="L105" s="9">
        <v>46319</v>
      </c>
      <c r="M105" s="8" t="s">
        <v>5864</v>
      </c>
      <c r="N105" s="8" t="s">
        <v>5865</v>
      </c>
    </row>
    <row r="106" spans="1:14" ht="40" customHeight="1">
      <c r="A106" s="4" t="s">
        <v>3504</v>
      </c>
      <c r="B106" s="4" t="s">
        <v>67</v>
      </c>
      <c r="C106" s="4" t="s">
        <v>68</v>
      </c>
      <c r="D106" s="4" t="s">
        <v>5879</v>
      </c>
      <c r="E106" s="4" t="s">
        <v>41</v>
      </c>
      <c r="F106" s="4" t="s">
        <v>3506</v>
      </c>
      <c r="G106" s="4" t="s">
        <v>927</v>
      </c>
      <c r="H106" s="4">
        <v>1</v>
      </c>
      <c r="I106" s="4">
        <v>1</v>
      </c>
      <c r="J106" s="4" t="s">
        <v>3505</v>
      </c>
      <c r="K106" s="4" t="s">
        <v>77</v>
      </c>
      <c r="L106" s="6">
        <v>46319</v>
      </c>
      <c r="M106" s="4" t="s">
        <v>5864</v>
      </c>
      <c r="N106" s="4" t="s">
        <v>5865</v>
      </c>
    </row>
    <row r="107" spans="1:14" ht="40" customHeight="1">
      <c r="A107" s="8" t="s">
        <v>3507</v>
      </c>
      <c r="B107" s="8" t="s">
        <v>67</v>
      </c>
      <c r="C107" s="8" t="s">
        <v>68</v>
      </c>
      <c r="D107" s="8" t="s">
        <v>5879</v>
      </c>
      <c r="E107" s="8" t="s">
        <v>41</v>
      </c>
      <c r="F107" s="8" t="s">
        <v>3509</v>
      </c>
      <c r="G107" s="8" t="s">
        <v>927</v>
      </c>
      <c r="H107" s="8">
        <v>1</v>
      </c>
      <c r="I107" s="8">
        <v>1</v>
      </c>
      <c r="J107" s="8" t="s">
        <v>3508</v>
      </c>
      <c r="K107" s="8" t="s">
        <v>77</v>
      </c>
      <c r="L107" s="9">
        <v>46319</v>
      </c>
      <c r="M107" s="8" t="s">
        <v>5864</v>
      </c>
      <c r="N107" s="8" t="s">
        <v>5865</v>
      </c>
    </row>
    <row r="108" spans="1:14" ht="40" customHeight="1">
      <c r="A108" s="4" t="s">
        <v>3510</v>
      </c>
      <c r="B108" s="4" t="s">
        <v>67</v>
      </c>
      <c r="C108" s="4" t="s">
        <v>68</v>
      </c>
      <c r="D108" s="4" t="s">
        <v>5879</v>
      </c>
      <c r="E108" s="4" t="s">
        <v>41</v>
      </c>
      <c r="F108" s="4" t="s">
        <v>3512</v>
      </c>
      <c r="G108" s="4" t="s">
        <v>927</v>
      </c>
      <c r="H108" s="4">
        <v>1</v>
      </c>
      <c r="I108" s="4">
        <v>1</v>
      </c>
      <c r="J108" s="4" t="s">
        <v>3511</v>
      </c>
      <c r="K108" s="4" t="s">
        <v>77</v>
      </c>
      <c r="L108" s="6">
        <v>46319</v>
      </c>
      <c r="M108" s="4" t="s">
        <v>5864</v>
      </c>
      <c r="N108" s="4" t="s">
        <v>5865</v>
      </c>
    </row>
    <row r="109" spans="1:14" ht="54" customHeight="1">
      <c r="A109" s="8" t="s">
        <v>6056</v>
      </c>
      <c r="B109" s="8" t="s">
        <v>67</v>
      </c>
      <c r="C109" s="8" t="s">
        <v>68</v>
      </c>
      <c r="D109" s="8" t="s">
        <v>2969</v>
      </c>
      <c r="E109" s="8" t="s">
        <v>41</v>
      </c>
      <c r="F109" s="8" t="s">
        <v>5881</v>
      </c>
      <c r="G109" s="8" t="s">
        <v>927</v>
      </c>
      <c r="H109" s="8">
        <v>1</v>
      </c>
      <c r="I109" s="8">
        <v>1</v>
      </c>
      <c r="J109" s="8" t="s">
        <v>6057</v>
      </c>
      <c r="K109" s="8" t="s">
        <v>77</v>
      </c>
      <c r="L109" s="9">
        <v>46319</v>
      </c>
      <c r="M109" s="8" t="s">
        <v>5864</v>
      </c>
      <c r="N109" s="8" t="s">
        <v>5883</v>
      </c>
    </row>
    <row r="110" spans="1:14" ht="54" customHeight="1">
      <c r="A110" s="4" t="s">
        <v>6058</v>
      </c>
      <c r="B110" s="4" t="s">
        <v>67</v>
      </c>
      <c r="C110" s="4" t="s">
        <v>68</v>
      </c>
      <c r="D110" s="4" t="s">
        <v>2969</v>
      </c>
      <c r="E110" s="4" t="s">
        <v>41</v>
      </c>
      <c r="F110" s="4" t="s">
        <v>5885</v>
      </c>
      <c r="G110" s="4" t="s">
        <v>927</v>
      </c>
      <c r="H110" s="4">
        <v>1</v>
      </c>
      <c r="I110" s="4">
        <v>1</v>
      </c>
      <c r="J110" s="4" t="s">
        <v>6059</v>
      </c>
      <c r="K110" s="4" t="s">
        <v>77</v>
      </c>
      <c r="L110" s="6">
        <v>46319</v>
      </c>
      <c r="M110" s="4" t="s">
        <v>5864</v>
      </c>
      <c r="N110" s="4" t="s">
        <v>5883</v>
      </c>
    </row>
    <row r="111" spans="1:14" ht="54" customHeight="1">
      <c r="A111" s="8" t="s">
        <v>6060</v>
      </c>
      <c r="B111" s="8" t="s">
        <v>67</v>
      </c>
      <c r="C111" s="8" t="s">
        <v>68</v>
      </c>
      <c r="D111" s="8" t="s">
        <v>2969</v>
      </c>
      <c r="E111" s="8" t="s">
        <v>41</v>
      </c>
      <c r="F111" s="8" t="s">
        <v>5888</v>
      </c>
      <c r="G111" s="8" t="s">
        <v>927</v>
      </c>
      <c r="H111" s="8">
        <v>1</v>
      </c>
      <c r="I111" s="8">
        <v>1</v>
      </c>
      <c r="J111" s="8" t="s">
        <v>6061</v>
      </c>
      <c r="K111" s="8" t="s">
        <v>77</v>
      </c>
      <c r="L111" s="9">
        <v>46319</v>
      </c>
      <c r="M111" s="8" t="s">
        <v>5864</v>
      </c>
      <c r="N111" s="8" t="s">
        <v>5883</v>
      </c>
    </row>
    <row r="112" spans="1:14" ht="54" customHeight="1">
      <c r="A112" s="4" t="s">
        <v>6062</v>
      </c>
      <c r="B112" s="4" t="s">
        <v>67</v>
      </c>
      <c r="C112" s="4" t="s">
        <v>68</v>
      </c>
      <c r="D112" s="4" t="s">
        <v>2969</v>
      </c>
      <c r="E112" s="4" t="s">
        <v>41</v>
      </c>
      <c r="F112" s="4" t="s">
        <v>5891</v>
      </c>
      <c r="G112" s="4" t="s">
        <v>927</v>
      </c>
      <c r="H112" s="4">
        <v>1</v>
      </c>
      <c r="I112" s="4">
        <v>1</v>
      </c>
      <c r="J112" s="4" t="s">
        <v>6059</v>
      </c>
      <c r="K112" s="4" t="s">
        <v>77</v>
      </c>
      <c r="L112" s="6">
        <v>46319</v>
      </c>
      <c r="M112" s="4" t="s">
        <v>5864</v>
      </c>
      <c r="N112" s="4" t="s">
        <v>5883</v>
      </c>
    </row>
    <row r="113" spans="1:14" ht="54" customHeight="1">
      <c r="A113" s="8" t="s">
        <v>6063</v>
      </c>
      <c r="B113" s="8" t="s">
        <v>67</v>
      </c>
      <c r="C113" s="8" t="s">
        <v>68</v>
      </c>
      <c r="D113" s="8" t="s">
        <v>2969</v>
      </c>
      <c r="E113" s="8" t="s">
        <v>41</v>
      </c>
      <c r="F113" s="8" t="s">
        <v>5894</v>
      </c>
      <c r="G113" s="8" t="s">
        <v>927</v>
      </c>
      <c r="H113" s="8">
        <v>1</v>
      </c>
      <c r="I113" s="8">
        <v>1</v>
      </c>
      <c r="J113" s="8" t="s">
        <v>6061</v>
      </c>
      <c r="K113" s="8" t="s">
        <v>77</v>
      </c>
      <c r="L113" s="9">
        <v>46319</v>
      </c>
      <c r="M113" s="8" t="s">
        <v>5864</v>
      </c>
      <c r="N113" s="8" t="s">
        <v>5883</v>
      </c>
    </row>
    <row r="114" spans="1:14" ht="40" customHeight="1">
      <c r="A114" s="4" t="s">
        <v>6064</v>
      </c>
      <c r="B114" s="4" t="s">
        <v>67</v>
      </c>
      <c r="C114" s="4" t="s">
        <v>68</v>
      </c>
      <c r="D114" s="4" t="s">
        <v>2969</v>
      </c>
      <c r="E114" s="4" t="s">
        <v>41</v>
      </c>
      <c r="F114" s="4" t="s">
        <v>5897</v>
      </c>
      <c r="G114" s="4" t="s">
        <v>927</v>
      </c>
      <c r="H114" s="4">
        <v>1</v>
      </c>
      <c r="I114" s="4">
        <v>1</v>
      </c>
      <c r="J114" s="4" t="s">
        <v>6065</v>
      </c>
      <c r="K114" s="4" t="s">
        <v>77</v>
      </c>
      <c r="L114" s="6">
        <v>46319</v>
      </c>
      <c r="M114" s="4" t="s">
        <v>5864</v>
      </c>
      <c r="N114" s="4" t="s">
        <v>5883</v>
      </c>
    </row>
    <row r="115" spans="1:14" ht="54" customHeight="1">
      <c r="A115" s="8" t="s">
        <v>6066</v>
      </c>
      <c r="B115" s="8" t="s">
        <v>67</v>
      </c>
      <c r="C115" s="8" t="s">
        <v>68</v>
      </c>
      <c r="D115" s="8" t="s">
        <v>2969</v>
      </c>
      <c r="E115" s="8" t="s">
        <v>41</v>
      </c>
      <c r="F115" s="8" t="s">
        <v>5900</v>
      </c>
      <c r="G115" s="8" t="s">
        <v>927</v>
      </c>
      <c r="H115" s="8">
        <v>1</v>
      </c>
      <c r="I115" s="8">
        <v>1</v>
      </c>
      <c r="J115" s="8" t="s">
        <v>6067</v>
      </c>
      <c r="K115" s="8" t="s">
        <v>77</v>
      </c>
      <c r="L115" s="9">
        <v>46319</v>
      </c>
      <c r="M115" s="8" t="s">
        <v>5864</v>
      </c>
      <c r="N115" s="8" t="s">
        <v>5883</v>
      </c>
    </row>
    <row r="116" spans="1:14" ht="54" customHeight="1">
      <c r="A116" s="4" t="s">
        <v>6068</v>
      </c>
      <c r="B116" s="4" t="s">
        <v>67</v>
      </c>
      <c r="C116" s="4" t="s">
        <v>68</v>
      </c>
      <c r="D116" s="4" t="s">
        <v>2969</v>
      </c>
      <c r="E116" s="4" t="s">
        <v>41</v>
      </c>
      <c r="F116" s="4" t="s">
        <v>5903</v>
      </c>
      <c r="G116" s="4" t="s">
        <v>927</v>
      </c>
      <c r="H116" s="4">
        <v>1</v>
      </c>
      <c r="I116" s="4">
        <v>1</v>
      </c>
      <c r="J116" s="4" t="s">
        <v>6069</v>
      </c>
      <c r="K116" s="4" t="s">
        <v>77</v>
      </c>
      <c r="L116" s="6">
        <v>46319</v>
      </c>
      <c r="M116" s="4" t="s">
        <v>5864</v>
      </c>
      <c r="N116" s="4" t="s">
        <v>5883</v>
      </c>
    </row>
    <row r="117" spans="1:14" ht="54" customHeight="1">
      <c r="A117" s="8" t="s">
        <v>6070</v>
      </c>
      <c r="B117" s="8" t="s">
        <v>67</v>
      </c>
      <c r="C117" s="8" t="s">
        <v>68</v>
      </c>
      <c r="D117" s="8" t="s">
        <v>2969</v>
      </c>
      <c r="E117" s="8" t="s">
        <v>41</v>
      </c>
      <c r="F117" s="8" t="s">
        <v>5906</v>
      </c>
      <c r="G117" s="8" t="s">
        <v>927</v>
      </c>
      <c r="H117" s="8">
        <v>1</v>
      </c>
      <c r="I117" s="8">
        <v>1</v>
      </c>
      <c r="J117" s="8" t="s">
        <v>6071</v>
      </c>
      <c r="K117" s="8" t="s">
        <v>77</v>
      </c>
      <c r="L117" s="9">
        <v>46319</v>
      </c>
      <c r="M117" s="8" t="s">
        <v>5864</v>
      </c>
      <c r="N117" s="8" t="s">
        <v>5883</v>
      </c>
    </row>
    <row r="118" spans="1:14" ht="54" customHeight="1">
      <c r="A118" s="4" t="s">
        <v>6072</v>
      </c>
      <c r="B118" s="4" t="s">
        <v>67</v>
      </c>
      <c r="C118" s="4" t="s">
        <v>68</v>
      </c>
      <c r="D118" s="4" t="s">
        <v>2969</v>
      </c>
      <c r="E118" s="4" t="s">
        <v>41</v>
      </c>
      <c r="F118" s="4" t="s">
        <v>5909</v>
      </c>
      <c r="G118" s="4" t="s">
        <v>927</v>
      </c>
      <c r="H118" s="4">
        <v>1</v>
      </c>
      <c r="I118" s="4">
        <v>1</v>
      </c>
      <c r="J118" s="4" t="s">
        <v>6073</v>
      </c>
      <c r="K118" s="4" t="s">
        <v>77</v>
      </c>
      <c r="L118" s="6">
        <v>46319</v>
      </c>
      <c r="M118" s="4" t="s">
        <v>5864</v>
      </c>
      <c r="N118" s="4" t="s">
        <v>5883</v>
      </c>
    </row>
    <row r="119" spans="1:14" ht="54" customHeight="1">
      <c r="A119" s="8" t="s">
        <v>6074</v>
      </c>
      <c r="B119" s="8" t="s">
        <v>67</v>
      </c>
      <c r="C119" s="8" t="s">
        <v>68</v>
      </c>
      <c r="D119" s="8" t="s">
        <v>2969</v>
      </c>
      <c r="E119" s="8" t="s">
        <v>41</v>
      </c>
      <c r="F119" s="8" t="s">
        <v>5912</v>
      </c>
      <c r="G119" s="8" t="s">
        <v>927</v>
      </c>
      <c r="H119" s="8">
        <v>1</v>
      </c>
      <c r="I119" s="8">
        <v>1</v>
      </c>
      <c r="J119" s="8" t="s">
        <v>6075</v>
      </c>
      <c r="K119" s="8" t="s">
        <v>77</v>
      </c>
      <c r="L119" s="9">
        <v>46319</v>
      </c>
      <c r="M119" s="8" t="s">
        <v>5864</v>
      </c>
      <c r="N119" s="8" t="s">
        <v>5883</v>
      </c>
    </row>
    <row r="120" spans="1:14" ht="54" customHeight="1">
      <c r="A120" s="4" t="s">
        <v>6076</v>
      </c>
      <c r="B120" s="4" t="s">
        <v>67</v>
      </c>
      <c r="C120" s="4" t="s">
        <v>68</v>
      </c>
      <c r="D120" s="4" t="s">
        <v>2969</v>
      </c>
      <c r="E120" s="4" t="s">
        <v>41</v>
      </c>
      <c r="F120" s="4" t="s">
        <v>5973</v>
      </c>
      <c r="G120" s="4" t="s">
        <v>927</v>
      </c>
      <c r="H120" s="4">
        <v>1</v>
      </c>
      <c r="I120" s="4">
        <v>1</v>
      </c>
      <c r="J120" s="4" t="s">
        <v>6077</v>
      </c>
      <c r="K120" s="4" t="s">
        <v>77</v>
      </c>
      <c r="L120" s="6">
        <v>46319</v>
      </c>
      <c r="M120" s="4" t="s">
        <v>5864</v>
      </c>
      <c r="N120" s="4" t="s">
        <v>5883</v>
      </c>
    </row>
    <row r="121" spans="1:14" ht="40" customHeight="1">
      <c r="A121" s="8" t="s">
        <v>6078</v>
      </c>
      <c r="B121" s="8" t="s">
        <v>67</v>
      </c>
      <c r="C121" s="8" t="s">
        <v>68</v>
      </c>
      <c r="D121" s="8" t="s">
        <v>2969</v>
      </c>
      <c r="E121" s="8" t="s">
        <v>41</v>
      </c>
      <c r="F121" s="8" t="s">
        <v>5976</v>
      </c>
      <c r="G121" s="8" t="s">
        <v>927</v>
      </c>
      <c r="H121" s="8">
        <v>1</v>
      </c>
      <c r="I121" s="8">
        <v>1</v>
      </c>
      <c r="J121" s="8" t="s">
        <v>6079</v>
      </c>
      <c r="K121" s="8" t="s">
        <v>77</v>
      </c>
      <c r="L121" s="9">
        <v>46319</v>
      </c>
      <c r="M121" s="8" t="s">
        <v>5864</v>
      </c>
      <c r="N121" s="8" t="s">
        <v>5883</v>
      </c>
    </row>
    <row r="122" spans="1:14" ht="54" customHeight="1">
      <c r="A122" s="4" t="s">
        <v>6080</v>
      </c>
      <c r="B122" s="4" t="s">
        <v>67</v>
      </c>
      <c r="C122" s="4" t="s">
        <v>68</v>
      </c>
      <c r="D122" s="4" t="s">
        <v>2969</v>
      </c>
      <c r="E122" s="4" t="s">
        <v>41</v>
      </c>
      <c r="F122" s="4" t="s">
        <v>5979</v>
      </c>
      <c r="G122" s="4" t="s">
        <v>927</v>
      </c>
      <c r="H122" s="4">
        <v>1</v>
      </c>
      <c r="I122" s="4">
        <v>1</v>
      </c>
      <c r="J122" s="4" t="s">
        <v>6081</v>
      </c>
      <c r="K122" s="4" t="s">
        <v>77</v>
      </c>
      <c r="L122" s="6">
        <v>46319</v>
      </c>
      <c r="M122" s="4" t="s">
        <v>5864</v>
      </c>
      <c r="N122" s="4" t="s">
        <v>5883</v>
      </c>
    </row>
    <row r="123" spans="1:14" ht="68" customHeight="1">
      <c r="A123" s="8" t="s">
        <v>6082</v>
      </c>
      <c r="B123" s="8" t="s">
        <v>81</v>
      </c>
      <c r="C123" s="8" t="s">
        <v>82</v>
      </c>
      <c r="D123" s="8" t="s">
        <v>5861</v>
      </c>
      <c r="E123" s="8" t="s">
        <v>41</v>
      </c>
      <c r="F123" s="8" t="s">
        <v>5994</v>
      </c>
      <c r="G123" s="8" t="s">
        <v>984</v>
      </c>
      <c r="H123" s="8">
        <v>1</v>
      </c>
      <c r="I123" s="8">
        <v>1</v>
      </c>
      <c r="J123" s="8" t="s">
        <v>6083</v>
      </c>
      <c r="K123" s="8" t="s">
        <v>88</v>
      </c>
      <c r="L123" s="9">
        <v>46319</v>
      </c>
      <c r="M123" s="8" t="s">
        <v>5864</v>
      </c>
      <c r="N123" s="8" t="s">
        <v>5865</v>
      </c>
    </row>
    <row r="124" spans="1:14" ht="40" customHeight="1">
      <c r="A124" s="4" t="s">
        <v>6084</v>
      </c>
      <c r="B124" s="4" t="s">
        <v>81</v>
      </c>
      <c r="C124" s="4" t="s">
        <v>82</v>
      </c>
      <c r="D124" s="4" t="s">
        <v>5861</v>
      </c>
      <c r="E124" s="4" t="s">
        <v>41</v>
      </c>
      <c r="F124" s="4" t="s">
        <v>6085</v>
      </c>
      <c r="G124" s="4" t="s">
        <v>984</v>
      </c>
      <c r="H124" s="4">
        <v>1</v>
      </c>
      <c r="I124" s="4">
        <v>1</v>
      </c>
      <c r="J124" s="4" t="s">
        <v>6086</v>
      </c>
      <c r="K124" s="4" t="s">
        <v>88</v>
      </c>
      <c r="L124" s="6">
        <v>46319</v>
      </c>
      <c r="M124" s="4" t="s">
        <v>5864</v>
      </c>
      <c r="N124" s="4" t="s">
        <v>6087</v>
      </c>
    </row>
    <row r="125" spans="1:14" ht="40" customHeight="1">
      <c r="A125" s="8" t="s">
        <v>6088</v>
      </c>
      <c r="B125" s="8" t="s">
        <v>81</v>
      </c>
      <c r="C125" s="8" t="s">
        <v>82</v>
      </c>
      <c r="D125" s="8" t="s">
        <v>5861</v>
      </c>
      <c r="E125" s="8" t="s">
        <v>41</v>
      </c>
      <c r="F125" s="8" t="s">
        <v>6089</v>
      </c>
      <c r="G125" s="8" t="s">
        <v>984</v>
      </c>
      <c r="H125" s="8">
        <v>1</v>
      </c>
      <c r="I125" s="8">
        <v>1</v>
      </c>
      <c r="J125" s="8" t="s">
        <v>6090</v>
      </c>
      <c r="K125" s="8" t="s">
        <v>88</v>
      </c>
      <c r="L125" s="9">
        <v>46319</v>
      </c>
      <c r="M125" s="8" t="s">
        <v>5864</v>
      </c>
      <c r="N125" s="8" t="s">
        <v>5865</v>
      </c>
    </row>
    <row r="126" spans="1:14" ht="40" customHeight="1">
      <c r="A126" s="4" t="s">
        <v>6091</v>
      </c>
      <c r="B126" s="4" t="s">
        <v>81</v>
      </c>
      <c r="C126" s="4" t="s">
        <v>82</v>
      </c>
      <c r="D126" s="4" t="s">
        <v>5861</v>
      </c>
      <c r="E126" s="4" t="s">
        <v>41</v>
      </c>
      <c r="F126" s="4" t="s">
        <v>6092</v>
      </c>
      <c r="G126" s="4" t="s">
        <v>984</v>
      </c>
      <c r="H126" s="4">
        <v>1</v>
      </c>
      <c r="I126" s="4">
        <v>1</v>
      </c>
      <c r="J126" s="4" t="s">
        <v>6093</v>
      </c>
      <c r="K126" s="4" t="s">
        <v>88</v>
      </c>
      <c r="L126" s="6">
        <v>46319</v>
      </c>
      <c r="M126" s="4" t="s">
        <v>5864</v>
      </c>
      <c r="N126" s="4" t="s">
        <v>6087</v>
      </c>
    </row>
    <row r="127" spans="1:14" ht="40" customHeight="1">
      <c r="A127" s="8" t="s">
        <v>6094</v>
      </c>
      <c r="B127" s="8" t="s">
        <v>81</v>
      </c>
      <c r="C127" s="8" t="s">
        <v>82</v>
      </c>
      <c r="D127" s="8" t="s">
        <v>5861</v>
      </c>
      <c r="E127" s="8" t="s">
        <v>41</v>
      </c>
      <c r="F127" s="8" t="s">
        <v>5926</v>
      </c>
      <c r="G127" s="8" t="s">
        <v>984</v>
      </c>
      <c r="H127" s="8">
        <v>1</v>
      </c>
      <c r="I127" s="8">
        <v>1</v>
      </c>
      <c r="J127" s="8" t="s">
        <v>2726</v>
      </c>
      <c r="K127" s="8" t="s">
        <v>88</v>
      </c>
      <c r="L127" s="9">
        <v>46319</v>
      </c>
      <c r="M127" s="8" t="s">
        <v>5864</v>
      </c>
      <c r="N127" s="8" t="s">
        <v>5865</v>
      </c>
    </row>
    <row r="128" spans="1:14" ht="40" customHeight="1">
      <c r="A128" s="4" t="s">
        <v>6095</v>
      </c>
      <c r="B128" s="4" t="s">
        <v>81</v>
      </c>
      <c r="C128" s="4" t="s">
        <v>82</v>
      </c>
      <c r="D128" s="4" t="s">
        <v>5861</v>
      </c>
      <c r="E128" s="4" t="s">
        <v>41</v>
      </c>
      <c r="F128" s="4" t="s">
        <v>6096</v>
      </c>
      <c r="G128" s="4" t="s">
        <v>984</v>
      </c>
      <c r="H128" s="4">
        <v>1</v>
      </c>
      <c r="I128" s="4">
        <v>1</v>
      </c>
      <c r="J128" s="4" t="s">
        <v>6097</v>
      </c>
      <c r="K128" s="4" t="s">
        <v>88</v>
      </c>
      <c r="L128" s="6">
        <v>46319</v>
      </c>
      <c r="M128" s="4" t="s">
        <v>5864</v>
      </c>
      <c r="N128" s="4" t="s">
        <v>6087</v>
      </c>
    </row>
    <row r="129" spans="1:14" ht="68" customHeight="1">
      <c r="A129" s="8" t="s">
        <v>6098</v>
      </c>
      <c r="B129" s="8" t="s">
        <v>81</v>
      </c>
      <c r="C129" s="8" t="s">
        <v>82</v>
      </c>
      <c r="D129" s="8" t="s">
        <v>5861</v>
      </c>
      <c r="E129" s="8" t="s">
        <v>41</v>
      </c>
      <c r="F129" s="8" t="s">
        <v>6099</v>
      </c>
      <c r="G129" s="8" t="s">
        <v>984</v>
      </c>
      <c r="H129" s="8">
        <v>1</v>
      </c>
      <c r="I129" s="8">
        <v>1</v>
      </c>
      <c r="J129" s="8" t="s">
        <v>6100</v>
      </c>
      <c r="K129" s="8" t="s">
        <v>88</v>
      </c>
      <c r="L129" s="9">
        <v>46319</v>
      </c>
      <c r="M129" s="8" t="s">
        <v>5864</v>
      </c>
      <c r="N129" s="8" t="s">
        <v>5865</v>
      </c>
    </row>
    <row r="130" spans="1:14" ht="40" customHeight="1">
      <c r="A130" s="4" t="s">
        <v>6101</v>
      </c>
      <c r="B130" s="4" t="s">
        <v>81</v>
      </c>
      <c r="C130" s="4" t="s">
        <v>82</v>
      </c>
      <c r="D130" s="4" t="s">
        <v>5861</v>
      </c>
      <c r="E130" s="4" t="s">
        <v>41</v>
      </c>
      <c r="F130" s="4" t="s">
        <v>6102</v>
      </c>
      <c r="G130" s="4" t="s">
        <v>984</v>
      </c>
      <c r="H130" s="4">
        <v>1</v>
      </c>
      <c r="I130" s="4">
        <v>1</v>
      </c>
      <c r="J130" s="4" t="s">
        <v>6103</v>
      </c>
      <c r="K130" s="4" t="s">
        <v>88</v>
      </c>
      <c r="L130" s="6">
        <v>46319</v>
      </c>
      <c r="M130" s="4" t="s">
        <v>5864</v>
      </c>
      <c r="N130" s="4" t="s">
        <v>6087</v>
      </c>
    </row>
    <row r="131" spans="1:14" ht="40" customHeight="1">
      <c r="A131" s="8" t="s">
        <v>6104</v>
      </c>
      <c r="B131" s="8" t="s">
        <v>81</v>
      </c>
      <c r="C131" s="8" t="s">
        <v>82</v>
      </c>
      <c r="D131" s="8" t="s">
        <v>5861</v>
      </c>
      <c r="E131" s="8" t="s">
        <v>41</v>
      </c>
      <c r="F131" s="8" t="s">
        <v>6105</v>
      </c>
      <c r="G131" s="8" t="s">
        <v>984</v>
      </c>
      <c r="H131" s="8">
        <v>1</v>
      </c>
      <c r="I131" s="8">
        <v>1</v>
      </c>
      <c r="J131" s="8" t="s">
        <v>6106</v>
      </c>
      <c r="K131" s="8" t="s">
        <v>88</v>
      </c>
      <c r="L131" s="9">
        <v>46319</v>
      </c>
      <c r="M131" s="8" t="s">
        <v>5864</v>
      </c>
      <c r="N131" s="8" t="s">
        <v>5865</v>
      </c>
    </row>
    <row r="132" spans="1:14" ht="54" customHeight="1">
      <c r="A132" s="4" t="s">
        <v>6107</v>
      </c>
      <c r="B132" s="4" t="s">
        <v>81</v>
      </c>
      <c r="C132" s="4" t="s">
        <v>82</v>
      </c>
      <c r="D132" s="4" t="s">
        <v>5861</v>
      </c>
      <c r="E132" s="4" t="s">
        <v>41</v>
      </c>
      <c r="F132" s="4" t="s">
        <v>6108</v>
      </c>
      <c r="G132" s="4" t="s">
        <v>984</v>
      </c>
      <c r="H132" s="4">
        <v>1</v>
      </c>
      <c r="I132" s="4">
        <v>1</v>
      </c>
      <c r="J132" s="4" t="s">
        <v>6109</v>
      </c>
      <c r="K132" s="4" t="s">
        <v>88</v>
      </c>
      <c r="L132" s="6">
        <v>46319</v>
      </c>
      <c r="M132" s="4" t="s">
        <v>5864</v>
      </c>
      <c r="N132" s="4" t="s">
        <v>5865</v>
      </c>
    </row>
    <row r="133" spans="1:14" ht="40" customHeight="1">
      <c r="A133" s="8" t="s">
        <v>6110</v>
      </c>
      <c r="B133" s="8" t="s">
        <v>81</v>
      </c>
      <c r="C133" s="8" t="s">
        <v>82</v>
      </c>
      <c r="D133" s="8" t="s">
        <v>5867</v>
      </c>
      <c r="E133" s="8" t="s">
        <v>41</v>
      </c>
      <c r="F133" s="8" t="s">
        <v>6111</v>
      </c>
      <c r="G133" s="8" t="s">
        <v>984</v>
      </c>
      <c r="H133" s="8">
        <v>1</v>
      </c>
      <c r="I133" s="8">
        <v>1</v>
      </c>
      <c r="J133" s="8" t="s">
        <v>6112</v>
      </c>
      <c r="K133" s="8" t="s">
        <v>88</v>
      </c>
      <c r="L133" s="9">
        <v>46319</v>
      </c>
      <c r="M133" s="8" t="s">
        <v>5864</v>
      </c>
      <c r="N133" s="8" t="s">
        <v>6087</v>
      </c>
    </row>
    <row r="134" spans="1:14" ht="40" customHeight="1">
      <c r="A134" s="4" t="s">
        <v>6113</v>
      </c>
      <c r="B134" s="4" t="s">
        <v>81</v>
      </c>
      <c r="C134" s="4" t="s">
        <v>82</v>
      </c>
      <c r="D134" s="4" t="s">
        <v>5867</v>
      </c>
      <c r="E134" s="4" t="s">
        <v>41</v>
      </c>
      <c r="F134" s="4" t="s">
        <v>5872</v>
      </c>
      <c r="G134" s="4" t="s">
        <v>984</v>
      </c>
      <c r="H134" s="4">
        <v>1</v>
      </c>
      <c r="I134" s="4">
        <v>1</v>
      </c>
      <c r="J134" s="4" t="s">
        <v>6114</v>
      </c>
      <c r="K134" s="4" t="s">
        <v>88</v>
      </c>
      <c r="L134" s="6">
        <v>46319</v>
      </c>
      <c r="M134" s="4" t="s">
        <v>5864</v>
      </c>
      <c r="N134" s="4" t="s">
        <v>5865</v>
      </c>
    </row>
    <row r="135" spans="1:14" ht="54" customHeight="1">
      <c r="A135" s="8" t="s">
        <v>6115</v>
      </c>
      <c r="B135" s="8" t="s">
        <v>81</v>
      </c>
      <c r="C135" s="8" t="s">
        <v>82</v>
      </c>
      <c r="D135" s="8" t="s">
        <v>5867</v>
      </c>
      <c r="E135" s="8" t="s">
        <v>41</v>
      </c>
      <c r="F135" s="8" t="s">
        <v>5875</v>
      </c>
      <c r="G135" s="8" t="s">
        <v>984</v>
      </c>
      <c r="H135" s="8">
        <v>1</v>
      </c>
      <c r="I135" s="8">
        <v>1</v>
      </c>
      <c r="J135" s="8" t="s">
        <v>6116</v>
      </c>
      <c r="K135" s="8" t="s">
        <v>88</v>
      </c>
      <c r="L135" s="9">
        <v>46319</v>
      </c>
      <c r="M135" s="8" t="s">
        <v>5864</v>
      </c>
      <c r="N135" s="8" t="s">
        <v>5865</v>
      </c>
    </row>
    <row r="136" spans="1:14" ht="54" customHeight="1">
      <c r="A136" s="4" t="s">
        <v>6117</v>
      </c>
      <c r="B136" s="4" t="s">
        <v>81</v>
      </c>
      <c r="C136" s="4" t="s">
        <v>82</v>
      </c>
      <c r="D136" s="4" t="s">
        <v>5867</v>
      </c>
      <c r="E136" s="4" t="s">
        <v>41</v>
      </c>
      <c r="F136" s="4" t="s">
        <v>6118</v>
      </c>
      <c r="G136" s="4" t="s">
        <v>984</v>
      </c>
      <c r="H136" s="4">
        <v>1</v>
      </c>
      <c r="I136" s="4">
        <v>1</v>
      </c>
      <c r="J136" s="4" t="s">
        <v>6119</v>
      </c>
      <c r="K136" s="4" t="s">
        <v>88</v>
      </c>
      <c r="L136" s="6">
        <v>46319</v>
      </c>
      <c r="M136" s="4" t="s">
        <v>5864</v>
      </c>
      <c r="N136" s="4" t="s">
        <v>5865</v>
      </c>
    </row>
    <row r="137" spans="1:14" ht="54" customHeight="1">
      <c r="A137" s="8" t="s">
        <v>6120</v>
      </c>
      <c r="B137" s="8" t="s">
        <v>81</v>
      </c>
      <c r="C137" s="8" t="s">
        <v>82</v>
      </c>
      <c r="D137" s="8" t="s">
        <v>5867</v>
      </c>
      <c r="E137" s="8" t="s">
        <v>41</v>
      </c>
      <c r="F137" s="8" t="s">
        <v>6121</v>
      </c>
      <c r="G137" s="8" t="s">
        <v>984</v>
      </c>
      <c r="H137" s="8">
        <v>1</v>
      </c>
      <c r="I137" s="8">
        <v>1</v>
      </c>
      <c r="J137" s="8" t="s">
        <v>6122</v>
      </c>
      <c r="K137" s="8" t="s">
        <v>88</v>
      </c>
      <c r="L137" s="9">
        <v>46319</v>
      </c>
      <c r="M137" s="8" t="s">
        <v>5864</v>
      </c>
      <c r="N137" s="8" t="s">
        <v>5865</v>
      </c>
    </row>
    <row r="138" spans="1:14" ht="40" customHeight="1">
      <c r="A138" s="4" t="s">
        <v>6123</v>
      </c>
      <c r="B138" s="4" t="s">
        <v>81</v>
      </c>
      <c r="C138" s="4" t="s">
        <v>82</v>
      </c>
      <c r="D138" s="4" t="s">
        <v>5867</v>
      </c>
      <c r="E138" s="4" t="s">
        <v>41</v>
      </c>
      <c r="F138" s="4" t="s">
        <v>6124</v>
      </c>
      <c r="G138" s="4" t="s">
        <v>984</v>
      </c>
      <c r="H138" s="4">
        <v>1</v>
      </c>
      <c r="I138" s="4">
        <v>1</v>
      </c>
      <c r="J138" s="4" t="s">
        <v>6125</v>
      </c>
      <c r="K138" s="4" t="s">
        <v>88</v>
      </c>
      <c r="L138" s="6">
        <v>46319</v>
      </c>
      <c r="M138" s="4" t="s">
        <v>5864</v>
      </c>
      <c r="N138" s="4" t="s">
        <v>5865</v>
      </c>
    </row>
    <row r="139" spans="1:14" ht="40" customHeight="1">
      <c r="A139" s="8" t="s">
        <v>6126</v>
      </c>
      <c r="B139" s="8" t="s">
        <v>81</v>
      </c>
      <c r="C139" s="8" t="s">
        <v>82</v>
      </c>
      <c r="D139" s="8" t="s">
        <v>5867</v>
      </c>
      <c r="E139" s="8" t="s">
        <v>41</v>
      </c>
      <c r="F139" s="8" t="s">
        <v>6127</v>
      </c>
      <c r="G139" s="8" t="s">
        <v>984</v>
      </c>
      <c r="H139" s="8">
        <v>1</v>
      </c>
      <c r="I139" s="8">
        <v>1</v>
      </c>
      <c r="J139" s="8" t="s">
        <v>6128</v>
      </c>
      <c r="K139" s="8" t="s">
        <v>88</v>
      </c>
      <c r="L139" s="9">
        <v>46319</v>
      </c>
      <c r="M139" s="8" t="s">
        <v>5864</v>
      </c>
      <c r="N139" s="8" t="s">
        <v>6087</v>
      </c>
    </row>
    <row r="140" spans="1:14" ht="54" customHeight="1">
      <c r="A140" s="4" t="s">
        <v>6129</v>
      </c>
      <c r="B140" s="4" t="s">
        <v>81</v>
      </c>
      <c r="C140" s="4" t="s">
        <v>82</v>
      </c>
      <c r="D140" s="4" t="s">
        <v>5867</v>
      </c>
      <c r="E140" s="4" t="s">
        <v>41</v>
      </c>
      <c r="F140" s="4" t="s">
        <v>6130</v>
      </c>
      <c r="G140" s="4" t="s">
        <v>984</v>
      </c>
      <c r="H140" s="4">
        <v>1</v>
      </c>
      <c r="I140" s="4">
        <v>1</v>
      </c>
      <c r="J140" s="4" t="s">
        <v>6131</v>
      </c>
      <c r="K140" s="4" t="s">
        <v>88</v>
      </c>
      <c r="L140" s="6">
        <v>46319</v>
      </c>
      <c r="M140" s="4" t="s">
        <v>5864</v>
      </c>
      <c r="N140" s="4" t="s">
        <v>5865</v>
      </c>
    </row>
    <row r="141" spans="1:14" ht="54" customHeight="1">
      <c r="A141" s="8" t="s">
        <v>6132</v>
      </c>
      <c r="B141" s="8" t="s">
        <v>81</v>
      </c>
      <c r="C141" s="8" t="s">
        <v>82</v>
      </c>
      <c r="D141" s="8" t="s">
        <v>5867</v>
      </c>
      <c r="E141" s="8" t="s">
        <v>41</v>
      </c>
      <c r="F141" s="8" t="s">
        <v>6133</v>
      </c>
      <c r="G141" s="8" t="s">
        <v>984</v>
      </c>
      <c r="H141" s="8">
        <v>1</v>
      </c>
      <c r="I141" s="8">
        <v>1</v>
      </c>
      <c r="J141" s="8" t="s">
        <v>6134</v>
      </c>
      <c r="K141" s="8" t="s">
        <v>88</v>
      </c>
      <c r="L141" s="9">
        <v>46319</v>
      </c>
      <c r="M141" s="8" t="s">
        <v>5864</v>
      </c>
      <c r="N141" s="8" t="s">
        <v>5865</v>
      </c>
    </row>
    <row r="142" spans="1:14" ht="40" customHeight="1">
      <c r="A142" s="4" t="s">
        <v>6135</v>
      </c>
      <c r="B142" s="4" t="s">
        <v>81</v>
      </c>
      <c r="C142" s="4" t="s">
        <v>82</v>
      </c>
      <c r="D142" s="4" t="s">
        <v>5867</v>
      </c>
      <c r="E142" s="4" t="s">
        <v>41</v>
      </c>
      <c r="F142" s="4" t="s">
        <v>6136</v>
      </c>
      <c r="G142" s="4" t="s">
        <v>984</v>
      </c>
      <c r="H142" s="4">
        <v>1</v>
      </c>
      <c r="I142" s="4">
        <v>1</v>
      </c>
      <c r="J142" s="4" t="s">
        <v>6137</v>
      </c>
      <c r="K142" s="4" t="s">
        <v>88</v>
      </c>
      <c r="L142" s="6">
        <v>46319</v>
      </c>
      <c r="M142" s="4" t="s">
        <v>5864</v>
      </c>
      <c r="N142" s="4" t="s">
        <v>6087</v>
      </c>
    </row>
    <row r="143" spans="1:14" ht="110" customHeight="1">
      <c r="A143" s="8" t="s">
        <v>6138</v>
      </c>
      <c r="B143" s="8" t="s">
        <v>81</v>
      </c>
      <c r="C143" s="8" t="s">
        <v>82</v>
      </c>
      <c r="D143" s="8" t="s">
        <v>5867</v>
      </c>
      <c r="E143" s="8" t="s">
        <v>41</v>
      </c>
      <c r="F143" s="8" t="s">
        <v>6139</v>
      </c>
      <c r="G143" s="8" t="s">
        <v>984</v>
      </c>
      <c r="H143" s="8">
        <v>1</v>
      </c>
      <c r="I143" s="8">
        <v>1</v>
      </c>
      <c r="J143" s="8" t="s">
        <v>6140</v>
      </c>
      <c r="K143" s="8" t="s">
        <v>88</v>
      </c>
      <c r="L143" s="9">
        <v>46319</v>
      </c>
      <c r="M143" s="8" t="s">
        <v>5864</v>
      </c>
      <c r="N143" s="8" t="s">
        <v>5865</v>
      </c>
    </row>
    <row r="144" spans="1:14" ht="40" customHeight="1">
      <c r="A144" s="4" t="s">
        <v>6141</v>
      </c>
      <c r="B144" s="4" t="s">
        <v>81</v>
      </c>
      <c r="C144" s="4" t="s">
        <v>82</v>
      </c>
      <c r="D144" s="4" t="s">
        <v>5867</v>
      </c>
      <c r="E144" s="4" t="s">
        <v>41</v>
      </c>
      <c r="F144" s="4" t="s">
        <v>6142</v>
      </c>
      <c r="G144" s="4" t="s">
        <v>984</v>
      </c>
      <c r="H144" s="4">
        <v>1</v>
      </c>
      <c r="I144" s="4">
        <v>1</v>
      </c>
      <c r="J144" s="4" t="s">
        <v>6143</v>
      </c>
      <c r="K144" s="4" t="s">
        <v>88</v>
      </c>
      <c r="L144" s="6">
        <v>46319</v>
      </c>
      <c r="M144" s="4" t="s">
        <v>5864</v>
      </c>
      <c r="N144" s="4" t="s">
        <v>5865</v>
      </c>
    </row>
    <row r="145" spans="1:14" ht="40" customHeight="1">
      <c r="A145" s="8" t="s">
        <v>6144</v>
      </c>
      <c r="B145" s="8" t="s">
        <v>81</v>
      </c>
      <c r="C145" s="8" t="s">
        <v>82</v>
      </c>
      <c r="D145" s="8" t="s">
        <v>637</v>
      </c>
      <c r="E145" s="8" t="s">
        <v>41</v>
      </c>
      <c r="F145" s="8" t="s">
        <v>904</v>
      </c>
      <c r="G145" s="8" t="s">
        <v>984</v>
      </c>
      <c r="H145" s="8">
        <v>1</v>
      </c>
      <c r="I145" s="8">
        <v>1</v>
      </c>
      <c r="J145" s="8" t="s">
        <v>982</v>
      </c>
      <c r="K145" s="8" t="s">
        <v>88</v>
      </c>
      <c r="L145" s="9">
        <v>46319</v>
      </c>
      <c r="M145" s="8" t="s">
        <v>5864</v>
      </c>
      <c r="N145" s="8" t="s">
        <v>6087</v>
      </c>
    </row>
    <row r="146" spans="1:14" ht="40" customHeight="1">
      <c r="A146" s="4" t="s">
        <v>6145</v>
      </c>
      <c r="B146" s="4" t="s">
        <v>81</v>
      </c>
      <c r="C146" s="4" t="s">
        <v>82</v>
      </c>
      <c r="D146" s="4" t="s">
        <v>637</v>
      </c>
      <c r="E146" s="4" t="s">
        <v>41</v>
      </c>
      <c r="F146" s="4" t="s">
        <v>988</v>
      </c>
      <c r="G146" s="4" t="s">
        <v>984</v>
      </c>
      <c r="H146" s="4">
        <v>1</v>
      </c>
      <c r="I146" s="4">
        <v>1</v>
      </c>
      <c r="J146" s="4" t="s">
        <v>986</v>
      </c>
      <c r="K146" s="4" t="s">
        <v>88</v>
      </c>
      <c r="L146" s="6">
        <v>46319</v>
      </c>
      <c r="M146" s="4" t="s">
        <v>5864</v>
      </c>
      <c r="N146" s="4" t="s">
        <v>5870</v>
      </c>
    </row>
    <row r="147" spans="1:14" ht="40" customHeight="1">
      <c r="A147" s="8" t="s">
        <v>6146</v>
      </c>
      <c r="B147" s="8" t="s">
        <v>81</v>
      </c>
      <c r="C147" s="8" t="s">
        <v>82</v>
      </c>
      <c r="D147" s="8" t="s">
        <v>637</v>
      </c>
      <c r="E147" s="8" t="s">
        <v>41</v>
      </c>
      <c r="F147" s="8" t="s">
        <v>992</v>
      </c>
      <c r="G147" s="8" t="s">
        <v>984</v>
      </c>
      <c r="H147" s="8">
        <v>1</v>
      </c>
      <c r="I147" s="8">
        <v>1</v>
      </c>
      <c r="J147" s="8" t="s">
        <v>990</v>
      </c>
      <c r="K147" s="8" t="s">
        <v>88</v>
      </c>
      <c r="L147" s="9">
        <v>46319</v>
      </c>
      <c r="M147" s="8" t="s">
        <v>5864</v>
      </c>
      <c r="N147" s="8" t="s">
        <v>5870</v>
      </c>
    </row>
    <row r="148" spans="1:14" ht="54" customHeight="1">
      <c r="A148" s="4" t="s">
        <v>6147</v>
      </c>
      <c r="B148" s="4" t="s">
        <v>81</v>
      </c>
      <c r="C148" s="4" t="s">
        <v>82</v>
      </c>
      <c r="D148" s="4" t="s">
        <v>637</v>
      </c>
      <c r="E148" s="4" t="s">
        <v>41</v>
      </c>
      <c r="F148" s="4" t="s">
        <v>996</v>
      </c>
      <c r="G148" s="4" t="s">
        <v>984</v>
      </c>
      <c r="H148" s="4">
        <v>1</v>
      </c>
      <c r="I148" s="4">
        <v>1</v>
      </c>
      <c r="J148" s="4" t="s">
        <v>994</v>
      </c>
      <c r="K148" s="4" t="s">
        <v>88</v>
      </c>
      <c r="L148" s="6">
        <v>46319</v>
      </c>
      <c r="M148" s="4" t="s">
        <v>5864</v>
      </c>
      <c r="N148" s="4" t="s">
        <v>5870</v>
      </c>
    </row>
    <row r="149" spans="1:14" ht="40" customHeight="1">
      <c r="A149" s="8" t="s">
        <v>6148</v>
      </c>
      <c r="B149" s="8" t="s">
        <v>81</v>
      </c>
      <c r="C149" s="8" t="s">
        <v>82</v>
      </c>
      <c r="D149" s="8" t="s">
        <v>637</v>
      </c>
      <c r="E149" s="8" t="s">
        <v>41</v>
      </c>
      <c r="F149" s="8" t="s">
        <v>1000</v>
      </c>
      <c r="G149" s="8" t="s">
        <v>984</v>
      </c>
      <c r="H149" s="8">
        <v>1</v>
      </c>
      <c r="I149" s="8">
        <v>1</v>
      </c>
      <c r="J149" s="8" t="s">
        <v>998</v>
      </c>
      <c r="K149" s="8" t="s">
        <v>88</v>
      </c>
      <c r="L149" s="9">
        <v>46319</v>
      </c>
      <c r="M149" s="8" t="s">
        <v>5864</v>
      </c>
      <c r="N149" s="8" t="s">
        <v>5870</v>
      </c>
    </row>
    <row r="150" spans="1:14" ht="54" customHeight="1">
      <c r="A150" s="4" t="s">
        <v>6149</v>
      </c>
      <c r="B150" s="4" t="s">
        <v>81</v>
      </c>
      <c r="C150" s="4" t="s">
        <v>82</v>
      </c>
      <c r="D150" s="4" t="s">
        <v>914</v>
      </c>
      <c r="E150" s="4" t="s">
        <v>1003</v>
      </c>
      <c r="F150" s="4" t="s">
        <v>952</v>
      </c>
      <c r="G150" s="4" t="s">
        <v>984</v>
      </c>
      <c r="H150" s="4">
        <v>1</v>
      </c>
      <c r="I150" s="4">
        <v>1</v>
      </c>
      <c r="J150" s="4" t="s">
        <v>1003</v>
      </c>
      <c r="K150" s="4" t="s">
        <v>88</v>
      </c>
      <c r="L150" s="6">
        <v>46319</v>
      </c>
      <c r="M150" s="4" t="s">
        <v>5864</v>
      </c>
      <c r="N150" s="4" t="s">
        <v>5865</v>
      </c>
    </row>
    <row r="151" spans="1:14" ht="40" customHeight="1">
      <c r="A151" s="8" t="s">
        <v>4951</v>
      </c>
      <c r="B151" s="8" t="s">
        <v>81</v>
      </c>
      <c r="C151" s="8" t="s">
        <v>82</v>
      </c>
      <c r="D151" s="8" t="s">
        <v>7</v>
      </c>
      <c r="E151" s="8" t="s">
        <v>4952</v>
      </c>
      <c r="F151" s="8" t="s">
        <v>6150</v>
      </c>
      <c r="G151" s="8" t="s">
        <v>984</v>
      </c>
      <c r="H151" s="8">
        <v>1</v>
      </c>
      <c r="I151" s="8">
        <v>1</v>
      </c>
      <c r="J151" s="8" t="s">
        <v>4952</v>
      </c>
      <c r="K151" s="8" t="s">
        <v>88</v>
      </c>
      <c r="L151" s="9">
        <v>46319</v>
      </c>
      <c r="M151" s="8" t="s">
        <v>5864</v>
      </c>
      <c r="N151" s="8" t="s">
        <v>5865</v>
      </c>
    </row>
    <row r="152" spans="1:14" ht="40" customHeight="1">
      <c r="A152" s="4" t="s">
        <v>3513</v>
      </c>
      <c r="B152" s="4" t="s">
        <v>81</v>
      </c>
      <c r="C152" s="4" t="s">
        <v>82</v>
      </c>
      <c r="D152" s="4" t="s">
        <v>5879</v>
      </c>
      <c r="E152" s="4" t="s">
        <v>41</v>
      </c>
      <c r="F152" s="4" t="s">
        <v>3463</v>
      </c>
      <c r="G152" s="4" t="s">
        <v>984</v>
      </c>
      <c r="H152" s="4">
        <v>1</v>
      </c>
      <c r="I152" s="4">
        <v>1</v>
      </c>
      <c r="J152" s="4" t="s">
        <v>3514</v>
      </c>
      <c r="K152" s="4" t="s">
        <v>88</v>
      </c>
      <c r="L152" s="6">
        <v>46319</v>
      </c>
      <c r="M152" s="4" t="s">
        <v>5864</v>
      </c>
      <c r="N152" s="4" t="s">
        <v>6087</v>
      </c>
    </row>
    <row r="153" spans="1:14" ht="40" customHeight="1">
      <c r="A153" s="8" t="s">
        <v>3515</v>
      </c>
      <c r="B153" s="8" t="s">
        <v>81</v>
      </c>
      <c r="C153" s="8" t="s">
        <v>82</v>
      </c>
      <c r="D153" s="8" t="s">
        <v>5879</v>
      </c>
      <c r="E153" s="8" t="s">
        <v>41</v>
      </c>
      <c r="F153" s="8" t="s">
        <v>3454</v>
      </c>
      <c r="G153" s="8" t="s">
        <v>984</v>
      </c>
      <c r="H153" s="8">
        <v>1</v>
      </c>
      <c r="I153" s="8">
        <v>1</v>
      </c>
      <c r="J153" s="8" t="s">
        <v>3516</v>
      </c>
      <c r="K153" s="8" t="s">
        <v>88</v>
      </c>
      <c r="L153" s="9">
        <v>46319</v>
      </c>
      <c r="M153" s="8" t="s">
        <v>5864</v>
      </c>
      <c r="N153" s="8" t="s">
        <v>5870</v>
      </c>
    </row>
    <row r="154" spans="1:14" ht="40" customHeight="1">
      <c r="A154" s="4" t="s">
        <v>3517</v>
      </c>
      <c r="B154" s="4" t="s">
        <v>81</v>
      </c>
      <c r="C154" s="4" t="s">
        <v>82</v>
      </c>
      <c r="D154" s="4" t="s">
        <v>5879</v>
      </c>
      <c r="E154" s="4" t="s">
        <v>41</v>
      </c>
      <c r="F154" s="4" t="s">
        <v>3519</v>
      </c>
      <c r="G154" s="4" t="s">
        <v>984</v>
      </c>
      <c r="H154" s="4">
        <v>1</v>
      </c>
      <c r="I154" s="4">
        <v>1</v>
      </c>
      <c r="J154" s="4" t="s">
        <v>3518</v>
      </c>
      <c r="K154" s="4" t="s">
        <v>88</v>
      </c>
      <c r="L154" s="6">
        <v>46319</v>
      </c>
      <c r="M154" s="4" t="s">
        <v>5864</v>
      </c>
      <c r="N154" s="4" t="s">
        <v>5870</v>
      </c>
    </row>
    <row r="155" spans="1:14" ht="40" customHeight="1">
      <c r="A155" s="8" t="s">
        <v>3520</v>
      </c>
      <c r="B155" s="8" t="s">
        <v>81</v>
      </c>
      <c r="C155" s="8" t="s">
        <v>82</v>
      </c>
      <c r="D155" s="8" t="s">
        <v>5879</v>
      </c>
      <c r="E155" s="8" t="s">
        <v>41</v>
      </c>
      <c r="F155" s="8" t="s">
        <v>3522</v>
      </c>
      <c r="G155" s="8" t="s">
        <v>984</v>
      </c>
      <c r="H155" s="8">
        <v>1</v>
      </c>
      <c r="I155" s="8">
        <v>1</v>
      </c>
      <c r="J155" s="8" t="s">
        <v>3521</v>
      </c>
      <c r="K155" s="8" t="s">
        <v>88</v>
      </c>
      <c r="L155" s="9">
        <v>46319</v>
      </c>
      <c r="M155" s="8" t="s">
        <v>5864</v>
      </c>
      <c r="N155" s="8" t="s">
        <v>5870</v>
      </c>
    </row>
    <row r="156" spans="1:14" ht="40" customHeight="1">
      <c r="A156" s="4" t="s">
        <v>3523</v>
      </c>
      <c r="B156" s="4" t="s">
        <v>81</v>
      </c>
      <c r="C156" s="4" t="s">
        <v>82</v>
      </c>
      <c r="D156" s="4" t="s">
        <v>5879</v>
      </c>
      <c r="E156" s="4" t="s">
        <v>41</v>
      </c>
      <c r="F156" s="4" t="s">
        <v>3525</v>
      </c>
      <c r="G156" s="4" t="s">
        <v>984</v>
      </c>
      <c r="H156" s="4">
        <v>1</v>
      </c>
      <c r="I156" s="4">
        <v>1</v>
      </c>
      <c r="J156" s="4" t="s">
        <v>3524</v>
      </c>
      <c r="K156" s="4" t="s">
        <v>88</v>
      </c>
      <c r="L156" s="6">
        <v>46319</v>
      </c>
      <c r="M156" s="4" t="s">
        <v>5864</v>
      </c>
      <c r="N156" s="4" t="s">
        <v>5870</v>
      </c>
    </row>
    <row r="157" spans="1:14" ht="40" customHeight="1">
      <c r="A157" s="8" t="s">
        <v>3526</v>
      </c>
      <c r="B157" s="8" t="s">
        <v>81</v>
      </c>
      <c r="C157" s="8" t="s">
        <v>82</v>
      </c>
      <c r="D157" s="8" t="s">
        <v>5879</v>
      </c>
      <c r="E157" s="8" t="s">
        <v>41</v>
      </c>
      <c r="F157" s="8" t="s">
        <v>3457</v>
      </c>
      <c r="G157" s="8" t="s">
        <v>984</v>
      </c>
      <c r="H157" s="8">
        <v>1</v>
      </c>
      <c r="I157" s="8">
        <v>1</v>
      </c>
      <c r="J157" s="8" t="s">
        <v>3527</v>
      </c>
      <c r="K157" s="8" t="s">
        <v>88</v>
      </c>
      <c r="L157" s="9">
        <v>46319</v>
      </c>
      <c r="M157" s="8" t="s">
        <v>5864</v>
      </c>
      <c r="N157" s="8" t="s">
        <v>6087</v>
      </c>
    </row>
    <row r="158" spans="1:14" ht="40" customHeight="1">
      <c r="A158" s="4" t="s">
        <v>3528</v>
      </c>
      <c r="B158" s="4" t="s">
        <v>81</v>
      </c>
      <c r="C158" s="4" t="s">
        <v>82</v>
      </c>
      <c r="D158" s="4" t="s">
        <v>5879</v>
      </c>
      <c r="E158" s="4" t="s">
        <v>41</v>
      </c>
      <c r="F158" s="4" t="s">
        <v>3530</v>
      </c>
      <c r="G158" s="4" t="s">
        <v>984</v>
      </c>
      <c r="H158" s="4">
        <v>1</v>
      </c>
      <c r="I158" s="4">
        <v>1</v>
      </c>
      <c r="J158" s="4" t="s">
        <v>3529</v>
      </c>
      <c r="K158" s="4" t="s">
        <v>88</v>
      </c>
      <c r="L158" s="6">
        <v>46319</v>
      </c>
      <c r="M158" s="4" t="s">
        <v>5864</v>
      </c>
      <c r="N158" s="4" t="s">
        <v>6087</v>
      </c>
    </row>
    <row r="159" spans="1:14" ht="40" customHeight="1">
      <c r="A159" s="8" t="s">
        <v>3531</v>
      </c>
      <c r="B159" s="8" t="s">
        <v>81</v>
      </c>
      <c r="C159" s="8" t="s">
        <v>82</v>
      </c>
      <c r="D159" s="8" t="s">
        <v>5879</v>
      </c>
      <c r="E159" s="8" t="s">
        <v>41</v>
      </c>
      <c r="F159" s="8" t="s">
        <v>3532</v>
      </c>
      <c r="G159" s="8" t="s">
        <v>984</v>
      </c>
      <c r="H159" s="8">
        <v>1</v>
      </c>
      <c r="I159" s="8">
        <v>1</v>
      </c>
      <c r="J159" s="8" t="s">
        <v>2721</v>
      </c>
      <c r="K159" s="8" t="s">
        <v>88</v>
      </c>
      <c r="L159" s="9">
        <v>46319</v>
      </c>
      <c r="M159" s="8" t="s">
        <v>5864</v>
      </c>
      <c r="N159" s="8" t="s">
        <v>6087</v>
      </c>
    </row>
    <row r="160" spans="1:14" ht="40" customHeight="1">
      <c r="A160" s="4" t="s">
        <v>3533</v>
      </c>
      <c r="B160" s="4" t="s">
        <v>81</v>
      </c>
      <c r="C160" s="4" t="s">
        <v>82</v>
      </c>
      <c r="D160" s="4" t="s">
        <v>5879</v>
      </c>
      <c r="E160" s="4" t="s">
        <v>41</v>
      </c>
      <c r="F160" s="4" t="s">
        <v>3535</v>
      </c>
      <c r="G160" s="4" t="s">
        <v>984</v>
      </c>
      <c r="H160" s="4">
        <v>1</v>
      </c>
      <c r="I160" s="4">
        <v>1</v>
      </c>
      <c r="J160" s="4" t="s">
        <v>3534</v>
      </c>
      <c r="K160" s="4" t="s">
        <v>88</v>
      </c>
      <c r="L160" s="6">
        <v>46319</v>
      </c>
      <c r="M160" s="4" t="s">
        <v>5864</v>
      </c>
      <c r="N160" s="4" t="s">
        <v>6087</v>
      </c>
    </row>
    <row r="161" spans="1:14" ht="40" customHeight="1">
      <c r="A161" s="8" t="s">
        <v>3536</v>
      </c>
      <c r="B161" s="8" t="s">
        <v>81</v>
      </c>
      <c r="C161" s="8" t="s">
        <v>82</v>
      </c>
      <c r="D161" s="8" t="s">
        <v>5879</v>
      </c>
      <c r="E161" s="8" t="s">
        <v>41</v>
      </c>
      <c r="F161" s="8" t="s">
        <v>3538</v>
      </c>
      <c r="G161" s="8" t="s">
        <v>984</v>
      </c>
      <c r="H161" s="8">
        <v>1</v>
      </c>
      <c r="I161" s="8">
        <v>1</v>
      </c>
      <c r="J161" s="8" t="s">
        <v>3537</v>
      </c>
      <c r="K161" s="8" t="s">
        <v>88</v>
      </c>
      <c r="L161" s="9">
        <v>46319</v>
      </c>
      <c r="M161" s="8" t="s">
        <v>5864</v>
      </c>
      <c r="N161" s="8" t="s">
        <v>6087</v>
      </c>
    </row>
    <row r="162" spans="1:14" ht="40" customHeight="1">
      <c r="A162" s="4" t="s">
        <v>3539</v>
      </c>
      <c r="B162" s="4" t="s">
        <v>81</v>
      </c>
      <c r="C162" s="4" t="s">
        <v>82</v>
      </c>
      <c r="D162" s="4" t="s">
        <v>5879</v>
      </c>
      <c r="E162" s="4" t="s">
        <v>41</v>
      </c>
      <c r="F162" s="4" t="s">
        <v>3541</v>
      </c>
      <c r="G162" s="4" t="s">
        <v>984</v>
      </c>
      <c r="H162" s="4">
        <v>1</v>
      </c>
      <c r="I162" s="4">
        <v>1</v>
      </c>
      <c r="J162" s="4" t="s">
        <v>3540</v>
      </c>
      <c r="K162" s="4" t="s">
        <v>88</v>
      </c>
      <c r="L162" s="6">
        <v>46319</v>
      </c>
      <c r="M162" s="4" t="s">
        <v>5864</v>
      </c>
      <c r="N162" s="4" t="s">
        <v>6087</v>
      </c>
    </row>
    <row r="163" spans="1:14" ht="40" customHeight="1">
      <c r="A163" s="8" t="s">
        <v>3542</v>
      </c>
      <c r="B163" s="8" t="s">
        <v>81</v>
      </c>
      <c r="C163" s="8" t="s">
        <v>82</v>
      </c>
      <c r="D163" s="8" t="s">
        <v>5879</v>
      </c>
      <c r="E163" s="8" t="s">
        <v>41</v>
      </c>
      <c r="F163" s="8" t="s">
        <v>3544</v>
      </c>
      <c r="G163" s="8" t="s">
        <v>984</v>
      </c>
      <c r="H163" s="8">
        <v>1</v>
      </c>
      <c r="I163" s="8">
        <v>1</v>
      </c>
      <c r="J163" s="8" t="s">
        <v>3543</v>
      </c>
      <c r="K163" s="8" t="s">
        <v>88</v>
      </c>
      <c r="L163" s="9">
        <v>46319</v>
      </c>
      <c r="M163" s="8" t="s">
        <v>5864</v>
      </c>
      <c r="N163" s="8" t="s">
        <v>5870</v>
      </c>
    </row>
    <row r="164" spans="1:14" ht="40" customHeight="1">
      <c r="A164" s="4" t="s">
        <v>3545</v>
      </c>
      <c r="B164" s="4" t="s">
        <v>81</v>
      </c>
      <c r="C164" s="4" t="s">
        <v>82</v>
      </c>
      <c r="D164" s="4" t="s">
        <v>5879</v>
      </c>
      <c r="E164" s="4" t="s">
        <v>41</v>
      </c>
      <c r="F164" s="4" t="s">
        <v>3547</v>
      </c>
      <c r="G164" s="4" t="s">
        <v>984</v>
      </c>
      <c r="H164" s="4">
        <v>1</v>
      </c>
      <c r="I164" s="4">
        <v>1</v>
      </c>
      <c r="J164" s="4" t="s">
        <v>3546</v>
      </c>
      <c r="K164" s="4" t="s">
        <v>88</v>
      </c>
      <c r="L164" s="6">
        <v>46319</v>
      </c>
      <c r="M164" s="4" t="s">
        <v>5864</v>
      </c>
      <c r="N164" s="4" t="s">
        <v>5870</v>
      </c>
    </row>
    <row r="165" spans="1:14" ht="40" customHeight="1">
      <c r="A165" s="8" t="s">
        <v>3548</v>
      </c>
      <c r="B165" s="8" t="s">
        <v>81</v>
      </c>
      <c r="C165" s="8" t="s">
        <v>82</v>
      </c>
      <c r="D165" s="8" t="s">
        <v>5879</v>
      </c>
      <c r="E165" s="8" t="s">
        <v>41</v>
      </c>
      <c r="F165" s="8" t="s">
        <v>3550</v>
      </c>
      <c r="G165" s="8" t="s">
        <v>984</v>
      </c>
      <c r="H165" s="8">
        <v>1</v>
      </c>
      <c r="I165" s="8">
        <v>1</v>
      </c>
      <c r="J165" s="8" t="s">
        <v>3549</v>
      </c>
      <c r="K165" s="8" t="s">
        <v>88</v>
      </c>
      <c r="L165" s="9">
        <v>46319</v>
      </c>
      <c r="M165" s="8" t="s">
        <v>5864</v>
      </c>
      <c r="N165" s="8" t="s">
        <v>5870</v>
      </c>
    </row>
    <row r="166" spans="1:14" ht="40" customHeight="1">
      <c r="A166" s="4" t="s">
        <v>3551</v>
      </c>
      <c r="B166" s="4" t="s">
        <v>81</v>
      </c>
      <c r="C166" s="4" t="s">
        <v>82</v>
      </c>
      <c r="D166" s="4" t="s">
        <v>5879</v>
      </c>
      <c r="E166" s="4" t="s">
        <v>3552</v>
      </c>
      <c r="F166" s="4" t="s">
        <v>3553</v>
      </c>
      <c r="G166" s="4" t="s">
        <v>984</v>
      </c>
      <c r="H166" s="4">
        <v>1</v>
      </c>
      <c r="I166" s="4">
        <v>1</v>
      </c>
      <c r="J166" s="4" t="s">
        <v>3552</v>
      </c>
      <c r="K166" s="4" t="s">
        <v>88</v>
      </c>
      <c r="L166" s="6">
        <v>46319</v>
      </c>
      <c r="M166" s="4" t="s">
        <v>5864</v>
      </c>
      <c r="N166" s="4" t="s">
        <v>5865</v>
      </c>
    </row>
    <row r="167" spans="1:14" ht="40" customHeight="1">
      <c r="A167" s="8" t="s">
        <v>3554</v>
      </c>
      <c r="B167" s="8" t="s">
        <v>81</v>
      </c>
      <c r="C167" s="8" t="s">
        <v>82</v>
      </c>
      <c r="D167" s="8" t="s">
        <v>5879</v>
      </c>
      <c r="E167" s="8" t="s">
        <v>3552</v>
      </c>
      <c r="F167" s="8" t="s">
        <v>3556</v>
      </c>
      <c r="G167" s="8" t="s">
        <v>984</v>
      </c>
      <c r="H167" s="8">
        <v>1</v>
      </c>
      <c r="I167" s="8">
        <v>1</v>
      </c>
      <c r="J167" s="8" t="s">
        <v>3555</v>
      </c>
      <c r="K167" s="8" t="s">
        <v>88</v>
      </c>
      <c r="L167" s="9">
        <v>46319</v>
      </c>
      <c r="M167" s="8" t="s">
        <v>5864</v>
      </c>
      <c r="N167" s="8" t="s">
        <v>6087</v>
      </c>
    </row>
    <row r="168" spans="1:14" ht="40" customHeight="1">
      <c r="A168" s="4" t="s">
        <v>3557</v>
      </c>
      <c r="B168" s="4" t="s">
        <v>81</v>
      </c>
      <c r="C168" s="4" t="s">
        <v>82</v>
      </c>
      <c r="D168" s="4" t="s">
        <v>5879</v>
      </c>
      <c r="E168" s="4" t="s">
        <v>3552</v>
      </c>
      <c r="F168" s="4" t="s">
        <v>3559</v>
      </c>
      <c r="G168" s="4" t="s">
        <v>984</v>
      </c>
      <c r="H168" s="4">
        <v>1</v>
      </c>
      <c r="I168" s="4">
        <v>1</v>
      </c>
      <c r="J168" s="4" t="s">
        <v>3558</v>
      </c>
      <c r="K168" s="4" t="s">
        <v>88</v>
      </c>
      <c r="L168" s="6">
        <v>46319</v>
      </c>
      <c r="M168" s="4" t="s">
        <v>5864</v>
      </c>
      <c r="N168" s="4" t="s">
        <v>5870</v>
      </c>
    </row>
    <row r="169" spans="1:14" ht="40" customHeight="1">
      <c r="A169" s="8" t="s">
        <v>3560</v>
      </c>
      <c r="B169" s="8" t="s">
        <v>81</v>
      </c>
      <c r="C169" s="8" t="s">
        <v>82</v>
      </c>
      <c r="D169" s="8" t="s">
        <v>5879</v>
      </c>
      <c r="E169" s="8" t="s">
        <v>3552</v>
      </c>
      <c r="F169" s="8" t="s">
        <v>3562</v>
      </c>
      <c r="G169" s="8" t="s">
        <v>984</v>
      </c>
      <c r="H169" s="8">
        <v>1</v>
      </c>
      <c r="I169" s="8">
        <v>1</v>
      </c>
      <c r="J169" s="8" t="s">
        <v>3561</v>
      </c>
      <c r="K169" s="8" t="s">
        <v>88</v>
      </c>
      <c r="L169" s="9">
        <v>46319</v>
      </c>
      <c r="M169" s="8" t="s">
        <v>5864</v>
      </c>
      <c r="N169" s="8" t="s">
        <v>5870</v>
      </c>
    </row>
    <row r="170" spans="1:14" ht="40" customHeight="1">
      <c r="A170" s="4" t="s">
        <v>3563</v>
      </c>
      <c r="B170" s="4" t="s">
        <v>81</v>
      </c>
      <c r="C170" s="4" t="s">
        <v>82</v>
      </c>
      <c r="D170" s="4" t="s">
        <v>5879</v>
      </c>
      <c r="E170" s="4" t="s">
        <v>3552</v>
      </c>
      <c r="F170" s="4" t="s">
        <v>3565</v>
      </c>
      <c r="G170" s="4" t="s">
        <v>984</v>
      </c>
      <c r="H170" s="4">
        <v>1</v>
      </c>
      <c r="I170" s="4">
        <v>1</v>
      </c>
      <c r="J170" s="4" t="s">
        <v>3564</v>
      </c>
      <c r="K170" s="4" t="s">
        <v>88</v>
      </c>
      <c r="L170" s="6">
        <v>46319</v>
      </c>
      <c r="M170" s="4" t="s">
        <v>5864</v>
      </c>
      <c r="N170" s="4" t="s">
        <v>5870</v>
      </c>
    </row>
    <row r="171" spans="1:14" ht="40" customHeight="1">
      <c r="A171" s="8" t="s">
        <v>3566</v>
      </c>
      <c r="B171" s="8" t="s">
        <v>81</v>
      </c>
      <c r="C171" s="8" t="s">
        <v>82</v>
      </c>
      <c r="D171" s="8" t="s">
        <v>5879</v>
      </c>
      <c r="E171" s="8" t="s">
        <v>3552</v>
      </c>
      <c r="F171" s="8" t="s">
        <v>3568</v>
      </c>
      <c r="G171" s="8" t="s">
        <v>984</v>
      </c>
      <c r="H171" s="8">
        <v>1</v>
      </c>
      <c r="I171" s="8">
        <v>1</v>
      </c>
      <c r="J171" s="8" t="s">
        <v>3567</v>
      </c>
      <c r="K171" s="8" t="s">
        <v>88</v>
      </c>
      <c r="L171" s="9">
        <v>46319</v>
      </c>
      <c r="M171" s="8" t="s">
        <v>5864</v>
      </c>
      <c r="N171" s="8" t="s">
        <v>5870</v>
      </c>
    </row>
    <row r="172" spans="1:14" ht="40" customHeight="1">
      <c r="A172" s="4" t="s">
        <v>3569</v>
      </c>
      <c r="B172" s="4" t="s">
        <v>81</v>
      </c>
      <c r="C172" s="4" t="s">
        <v>82</v>
      </c>
      <c r="D172" s="4" t="s">
        <v>5879</v>
      </c>
      <c r="E172" s="4" t="s">
        <v>3552</v>
      </c>
      <c r="F172" s="4" t="s">
        <v>3571</v>
      </c>
      <c r="G172" s="4" t="s">
        <v>984</v>
      </c>
      <c r="H172" s="4">
        <v>1</v>
      </c>
      <c r="I172" s="4">
        <v>1</v>
      </c>
      <c r="J172" s="4" t="s">
        <v>3570</v>
      </c>
      <c r="K172" s="4" t="s">
        <v>88</v>
      </c>
      <c r="L172" s="6">
        <v>46319</v>
      </c>
      <c r="M172" s="4" t="s">
        <v>5864</v>
      </c>
      <c r="N172" s="4" t="s">
        <v>5870</v>
      </c>
    </row>
    <row r="173" spans="1:14" ht="40" customHeight="1">
      <c r="A173" s="8" t="s">
        <v>3572</v>
      </c>
      <c r="B173" s="8" t="s">
        <v>81</v>
      </c>
      <c r="C173" s="8" t="s">
        <v>82</v>
      </c>
      <c r="D173" s="8" t="s">
        <v>5879</v>
      </c>
      <c r="E173" s="8" t="s">
        <v>3552</v>
      </c>
      <c r="F173" s="8" t="s">
        <v>3574</v>
      </c>
      <c r="G173" s="8" t="s">
        <v>984</v>
      </c>
      <c r="H173" s="8">
        <v>1</v>
      </c>
      <c r="I173" s="8">
        <v>1</v>
      </c>
      <c r="J173" s="8" t="s">
        <v>3573</v>
      </c>
      <c r="K173" s="8" t="s">
        <v>88</v>
      </c>
      <c r="L173" s="9">
        <v>46319</v>
      </c>
      <c r="M173" s="8" t="s">
        <v>5864</v>
      </c>
      <c r="N173" s="8" t="s">
        <v>5870</v>
      </c>
    </row>
    <row r="174" spans="1:14" ht="40" customHeight="1">
      <c r="A174" s="4" t="s">
        <v>3575</v>
      </c>
      <c r="B174" s="4" t="s">
        <v>81</v>
      </c>
      <c r="C174" s="4" t="s">
        <v>82</v>
      </c>
      <c r="D174" s="4" t="s">
        <v>5879</v>
      </c>
      <c r="E174" s="4" t="s">
        <v>3552</v>
      </c>
      <c r="F174" s="4" t="s">
        <v>3576</v>
      </c>
      <c r="G174" s="4" t="s">
        <v>984</v>
      </c>
      <c r="H174" s="4">
        <v>1</v>
      </c>
      <c r="I174" s="4">
        <v>1</v>
      </c>
      <c r="J174" s="4" t="s">
        <v>3529</v>
      </c>
      <c r="K174" s="4" t="s">
        <v>88</v>
      </c>
      <c r="L174" s="6">
        <v>46319</v>
      </c>
      <c r="M174" s="4" t="s">
        <v>5864</v>
      </c>
      <c r="N174" s="4" t="s">
        <v>6087</v>
      </c>
    </row>
    <row r="175" spans="1:14" ht="40" customHeight="1">
      <c r="A175" s="8" t="s">
        <v>3577</v>
      </c>
      <c r="B175" s="8" t="s">
        <v>81</v>
      </c>
      <c r="C175" s="8" t="s">
        <v>82</v>
      </c>
      <c r="D175" s="8" t="s">
        <v>5879</v>
      </c>
      <c r="E175" s="8" t="s">
        <v>3552</v>
      </c>
      <c r="F175" s="8" t="s">
        <v>3579</v>
      </c>
      <c r="G175" s="8" t="s">
        <v>984</v>
      </c>
      <c r="H175" s="8">
        <v>1</v>
      </c>
      <c r="I175" s="8">
        <v>1</v>
      </c>
      <c r="J175" s="8" t="s">
        <v>3578</v>
      </c>
      <c r="K175" s="8" t="s">
        <v>88</v>
      </c>
      <c r="L175" s="9">
        <v>46319</v>
      </c>
      <c r="M175" s="8" t="s">
        <v>5864</v>
      </c>
      <c r="N175" s="8" t="s">
        <v>6087</v>
      </c>
    </row>
    <row r="176" spans="1:14" ht="40" customHeight="1">
      <c r="A176" s="4" t="s">
        <v>3580</v>
      </c>
      <c r="B176" s="4" t="s">
        <v>81</v>
      </c>
      <c r="C176" s="4" t="s">
        <v>82</v>
      </c>
      <c r="D176" s="4" t="s">
        <v>5879</v>
      </c>
      <c r="E176" s="4" t="s">
        <v>3552</v>
      </c>
      <c r="F176" s="4" t="s">
        <v>3582</v>
      </c>
      <c r="G176" s="4" t="s">
        <v>984</v>
      </c>
      <c r="H176" s="4">
        <v>1</v>
      </c>
      <c r="I176" s="4">
        <v>1</v>
      </c>
      <c r="J176" s="4" t="s">
        <v>3581</v>
      </c>
      <c r="K176" s="4" t="s">
        <v>88</v>
      </c>
      <c r="L176" s="6">
        <v>46319</v>
      </c>
      <c r="M176" s="4" t="s">
        <v>5864</v>
      </c>
      <c r="N176" s="4" t="s">
        <v>6087</v>
      </c>
    </row>
    <row r="177" spans="1:14" ht="40" customHeight="1">
      <c r="A177" s="8" t="s">
        <v>3583</v>
      </c>
      <c r="B177" s="8" t="s">
        <v>81</v>
      </c>
      <c r="C177" s="8" t="s">
        <v>82</v>
      </c>
      <c r="D177" s="8" t="s">
        <v>5879</v>
      </c>
      <c r="E177" s="8" t="s">
        <v>3552</v>
      </c>
      <c r="F177" s="8" t="s">
        <v>3585</v>
      </c>
      <c r="G177" s="8" t="s">
        <v>984</v>
      </c>
      <c r="H177" s="8">
        <v>1</v>
      </c>
      <c r="I177" s="8">
        <v>1</v>
      </c>
      <c r="J177" s="8" t="s">
        <v>3584</v>
      </c>
      <c r="K177" s="8" t="s">
        <v>88</v>
      </c>
      <c r="L177" s="9">
        <v>46319</v>
      </c>
      <c r="M177" s="8" t="s">
        <v>5864</v>
      </c>
      <c r="N177" s="8" t="s">
        <v>6087</v>
      </c>
    </row>
    <row r="178" spans="1:14" ht="40" customHeight="1">
      <c r="A178" s="4" t="s">
        <v>3586</v>
      </c>
      <c r="B178" s="4" t="s">
        <v>81</v>
      </c>
      <c r="C178" s="4" t="s">
        <v>82</v>
      </c>
      <c r="D178" s="4" t="s">
        <v>5879</v>
      </c>
      <c r="E178" s="4" t="s">
        <v>41</v>
      </c>
      <c r="F178" s="4" t="s">
        <v>3588</v>
      </c>
      <c r="G178" s="4" t="s">
        <v>984</v>
      </c>
      <c r="H178" s="4">
        <v>1</v>
      </c>
      <c r="I178" s="4">
        <v>1</v>
      </c>
      <c r="J178" s="4" t="s">
        <v>3587</v>
      </c>
      <c r="K178" s="4" t="s">
        <v>88</v>
      </c>
      <c r="L178" s="6">
        <v>46319</v>
      </c>
      <c r="M178" s="4" t="s">
        <v>5864</v>
      </c>
      <c r="N178" s="4" t="s">
        <v>6087</v>
      </c>
    </row>
    <row r="179" spans="1:14" ht="40" customHeight="1">
      <c r="A179" s="8" t="s">
        <v>6151</v>
      </c>
      <c r="B179" s="8" t="s">
        <v>81</v>
      </c>
      <c r="C179" s="8" t="s">
        <v>82</v>
      </c>
      <c r="D179" s="8" t="s">
        <v>2969</v>
      </c>
      <c r="E179" s="8" t="s">
        <v>41</v>
      </c>
      <c r="F179" s="8" t="s">
        <v>5881</v>
      </c>
      <c r="G179" s="8" t="s">
        <v>984</v>
      </c>
      <c r="H179" s="8">
        <v>1</v>
      </c>
      <c r="I179" s="8">
        <v>1</v>
      </c>
      <c r="J179" s="8" t="s">
        <v>6152</v>
      </c>
      <c r="K179" s="8" t="s">
        <v>88</v>
      </c>
      <c r="L179" s="9">
        <v>46319</v>
      </c>
      <c r="M179" s="8" t="s">
        <v>5864</v>
      </c>
      <c r="N179" s="8" t="s">
        <v>5883</v>
      </c>
    </row>
    <row r="180" spans="1:14" ht="40" customHeight="1">
      <c r="A180" s="4" t="s">
        <v>6153</v>
      </c>
      <c r="B180" s="4" t="s">
        <v>81</v>
      </c>
      <c r="C180" s="4" t="s">
        <v>82</v>
      </c>
      <c r="D180" s="4" t="s">
        <v>2969</v>
      </c>
      <c r="E180" s="4" t="s">
        <v>41</v>
      </c>
      <c r="F180" s="4" t="s">
        <v>5885</v>
      </c>
      <c r="G180" s="4" t="s">
        <v>984</v>
      </c>
      <c r="H180" s="4">
        <v>1</v>
      </c>
      <c r="I180" s="4">
        <v>1</v>
      </c>
      <c r="J180" s="4" t="s">
        <v>6154</v>
      </c>
      <c r="K180" s="4" t="s">
        <v>88</v>
      </c>
      <c r="L180" s="6">
        <v>46319</v>
      </c>
      <c r="M180" s="4" t="s">
        <v>5864</v>
      </c>
      <c r="N180" s="4" t="s">
        <v>5883</v>
      </c>
    </row>
    <row r="181" spans="1:14" ht="40" customHeight="1">
      <c r="A181" s="8" t="s">
        <v>6155</v>
      </c>
      <c r="B181" s="8" t="s">
        <v>81</v>
      </c>
      <c r="C181" s="8" t="s">
        <v>82</v>
      </c>
      <c r="D181" s="8" t="s">
        <v>2969</v>
      </c>
      <c r="E181" s="8" t="s">
        <v>41</v>
      </c>
      <c r="F181" s="8" t="s">
        <v>5888</v>
      </c>
      <c r="G181" s="8" t="s">
        <v>984</v>
      </c>
      <c r="H181" s="8">
        <v>1</v>
      </c>
      <c r="I181" s="8">
        <v>1</v>
      </c>
      <c r="J181" s="8" t="s">
        <v>6156</v>
      </c>
      <c r="K181" s="8" t="s">
        <v>88</v>
      </c>
      <c r="L181" s="9">
        <v>46319</v>
      </c>
      <c r="M181" s="8" t="s">
        <v>5864</v>
      </c>
      <c r="N181" s="8" t="s">
        <v>5883</v>
      </c>
    </row>
    <row r="182" spans="1:14" ht="68" customHeight="1">
      <c r="A182" s="4" t="s">
        <v>6157</v>
      </c>
      <c r="B182" s="4" t="s">
        <v>81</v>
      </c>
      <c r="C182" s="4" t="s">
        <v>82</v>
      </c>
      <c r="D182" s="4" t="s">
        <v>2969</v>
      </c>
      <c r="E182" s="4" t="s">
        <v>41</v>
      </c>
      <c r="F182" s="4" t="s">
        <v>5891</v>
      </c>
      <c r="G182" s="4" t="s">
        <v>984</v>
      </c>
      <c r="H182" s="4">
        <v>1</v>
      </c>
      <c r="I182" s="4">
        <v>1</v>
      </c>
      <c r="J182" s="4" t="s">
        <v>6158</v>
      </c>
      <c r="K182" s="4" t="s">
        <v>88</v>
      </c>
      <c r="L182" s="6">
        <v>46319</v>
      </c>
      <c r="M182" s="4" t="s">
        <v>5864</v>
      </c>
      <c r="N182" s="4" t="s">
        <v>5883</v>
      </c>
    </row>
    <row r="183" spans="1:14" ht="54" customHeight="1">
      <c r="A183" s="8" t="s">
        <v>6159</v>
      </c>
      <c r="B183" s="8" t="s">
        <v>81</v>
      </c>
      <c r="C183" s="8" t="s">
        <v>82</v>
      </c>
      <c r="D183" s="8" t="s">
        <v>2969</v>
      </c>
      <c r="E183" s="8" t="s">
        <v>41</v>
      </c>
      <c r="F183" s="8" t="s">
        <v>5894</v>
      </c>
      <c r="G183" s="8" t="s">
        <v>984</v>
      </c>
      <c r="H183" s="8">
        <v>1</v>
      </c>
      <c r="I183" s="8">
        <v>1</v>
      </c>
      <c r="J183" s="8" t="s">
        <v>6160</v>
      </c>
      <c r="K183" s="8" t="s">
        <v>88</v>
      </c>
      <c r="L183" s="9">
        <v>46319</v>
      </c>
      <c r="M183" s="8" t="s">
        <v>5864</v>
      </c>
      <c r="N183" s="8" t="s">
        <v>5883</v>
      </c>
    </row>
    <row r="184" spans="1:14" ht="96" customHeight="1">
      <c r="A184" s="4" t="s">
        <v>6161</v>
      </c>
      <c r="B184" s="4" t="s">
        <v>81</v>
      </c>
      <c r="C184" s="4" t="s">
        <v>82</v>
      </c>
      <c r="D184" s="4" t="s">
        <v>2969</v>
      </c>
      <c r="E184" s="4" t="s">
        <v>41</v>
      </c>
      <c r="F184" s="4" t="s">
        <v>5897</v>
      </c>
      <c r="G184" s="4" t="s">
        <v>984</v>
      </c>
      <c r="H184" s="4">
        <v>1</v>
      </c>
      <c r="I184" s="4">
        <v>1</v>
      </c>
      <c r="J184" s="4" t="s">
        <v>6162</v>
      </c>
      <c r="K184" s="4" t="s">
        <v>88</v>
      </c>
      <c r="L184" s="6">
        <v>46319</v>
      </c>
      <c r="M184" s="4" t="s">
        <v>5864</v>
      </c>
      <c r="N184" s="4" t="s">
        <v>5883</v>
      </c>
    </row>
    <row r="185" spans="1:14" ht="40" customHeight="1">
      <c r="A185" s="8" t="s">
        <v>6163</v>
      </c>
      <c r="B185" s="8" t="s">
        <v>81</v>
      </c>
      <c r="C185" s="8" t="s">
        <v>82</v>
      </c>
      <c r="D185" s="8" t="s">
        <v>2969</v>
      </c>
      <c r="E185" s="8" t="s">
        <v>41</v>
      </c>
      <c r="F185" s="8" t="s">
        <v>5900</v>
      </c>
      <c r="G185" s="8" t="s">
        <v>984</v>
      </c>
      <c r="H185" s="8">
        <v>1</v>
      </c>
      <c r="I185" s="8">
        <v>1</v>
      </c>
      <c r="J185" s="8" t="s">
        <v>6164</v>
      </c>
      <c r="K185" s="8" t="s">
        <v>88</v>
      </c>
      <c r="L185" s="9">
        <v>46319</v>
      </c>
      <c r="M185" s="8" t="s">
        <v>5864</v>
      </c>
      <c r="N185" s="8" t="s">
        <v>5883</v>
      </c>
    </row>
    <row r="186" spans="1:14" ht="96" customHeight="1">
      <c r="A186" s="4" t="s">
        <v>6165</v>
      </c>
      <c r="B186" s="4" t="s">
        <v>81</v>
      </c>
      <c r="C186" s="4" t="s">
        <v>82</v>
      </c>
      <c r="D186" s="4" t="s">
        <v>2969</v>
      </c>
      <c r="E186" s="4" t="s">
        <v>41</v>
      </c>
      <c r="F186" s="4" t="s">
        <v>5903</v>
      </c>
      <c r="G186" s="4" t="s">
        <v>984</v>
      </c>
      <c r="H186" s="4">
        <v>1</v>
      </c>
      <c r="I186" s="4">
        <v>1</v>
      </c>
      <c r="J186" s="4" t="s">
        <v>6166</v>
      </c>
      <c r="K186" s="4" t="s">
        <v>88</v>
      </c>
      <c r="L186" s="6">
        <v>46319</v>
      </c>
      <c r="M186" s="4" t="s">
        <v>5864</v>
      </c>
      <c r="N186" s="4" t="s">
        <v>5883</v>
      </c>
    </row>
    <row r="187" spans="1:14" ht="40" customHeight="1">
      <c r="A187" s="8" t="s">
        <v>6167</v>
      </c>
      <c r="B187" s="8" t="s">
        <v>81</v>
      </c>
      <c r="C187" s="8" t="s">
        <v>82</v>
      </c>
      <c r="D187" s="8" t="s">
        <v>2969</v>
      </c>
      <c r="E187" s="8" t="s">
        <v>41</v>
      </c>
      <c r="F187" s="8" t="s">
        <v>5906</v>
      </c>
      <c r="G187" s="8" t="s">
        <v>984</v>
      </c>
      <c r="H187" s="8">
        <v>1</v>
      </c>
      <c r="I187" s="8">
        <v>1</v>
      </c>
      <c r="J187" s="8" t="s">
        <v>6168</v>
      </c>
      <c r="K187" s="8" t="s">
        <v>88</v>
      </c>
      <c r="L187" s="9">
        <v>46319</v>
      </c>
      <c r="M187" s="8" t="s">
        <v>5864</v>
      </c>
      <c r="N187" s="8" t="s">
        <v>5883</v>
      </c>
    </row>
    <row r="188" spans="1:14" ht="68" customHeight="1">
      <c r="A188" s="4" t="s">
        <v>6169</v>
      </c>
      <c r="B188" s="4" t="s">
        <v>81</v>
      </c>
      <c r="C188" s="4" t="s">
        <v>82</v>
      </c>
      <c r="D188" s="4" t="s">
        <v>2969</v>
      </c>
      <c r="E188" s="4" t="s">
        <v>41</v>
      </c>
      <c r="F188" s="4" t="s">
        <v>5909</v>
      </c>
      <c r="G188" s="4" t="s">
        <v>984</v>
      </c>
      <c r="H188" s="4">
        <v>1</v>
      </c>
      <c r="I188" s="4">
        <v>1</v>
      </c>
      <c r="J188" s="4" t="s">
        <v>6170</v>
      </c>
      <c r="K188" s="4" t="s">
        <v>88</v>
      </c>
      <c r="L188" s="6">
        <v>46319</v>
      </c>
      <c r="M188" s="4" t="s">
        <v>5864</v>
      </c>
      <c r="N188" s="4" t="s">
        <v>5883</v>
      </c>
    </row>
    <row r="189" spans="1:14" ht="124" customHeight="1">
      <c r="A189" s="8" t="s">
        <v>6171</v>
      </c>
      <c r="B189" s="8" t="s">
        <v>92</v>
      </c>
      <c r="C189" s="8" t="s">
        <v>105</v>
      </c>
      <c r="D189" s="8" t="s">
        <v>5861</v>
      </c>
      <c r="E189" s="8" t="s">
        <v>41</v>
      </c>
      <c r="F189" s="8" t="s">
        <v>5862</v>
      </c>
      <c r="G189" s="8" t="s">
        <v>1008</v>
      </c>
      <c r="H189" s="8">
        <v>1</v>
      </c>
      <c r="I189" s="8">
        <v>1</v>
      </c>
      <c r="J189" s="8" t="s">
        <v>6172</v>
      </c>
      <c r="K189" s="8" t="s">
        <v>102</v>
      </c>
      <c r="L189" s="9">
        <v>46319</v>
      </c>
      <c r="M189" s="8" t="s">
        <v>5864</v>
      </c>
      <c r="N189" s="8" t="s">
        <v>5865</v>
      </c>
    </row>
    <row r="190" spans="1:14" ht="40" customHeight="1">
      <c r="A190" s="4" t="s">
        <v>6173</v>
      </c>
      <c r="B190" s="4" t="s">
        <v>92</v>
      </c>
      <c r="C190" s="4" t="s">
        <v>105</v>
      </c>
      <c r="D190" s="4" t="s">
        <v>5867</v>
      </c>
      <c r="E190" s="4" t="s">
        <v>41</v>
      </c>
      <c r="F190" s="4" t="s">
        <v>5868</v>
      </c>
      <c r="G190" s="4" t="s">
        <v>1008</v>
      </c>
      <c r="H190" s="4">
        <v>1</v>
      </c>
      <c r="I190" s="4">
        <v>1</v>
      </c>
      <c r="J190" s="4" t="s">
        <v>6174</v>
      </c>
      <c r="K190" s="4" t="s">
        <v>102</v>
      </c>
      <c r="L190" s="6">
        <v>46319</v>
      </c>
      <c r="M190" s="4" t="s">
        <v>5864</v>
      </c>
      <c r="N190" s="4" t="s">
        <v>6087</v>
      </c>
    </row>
    <row r="191" spans="1:14" ht="40" customHeight="1">
      <c r="A191" s="8" t="s">
        <v>6175</v>
      </c>
      <c r="B191" s="8" t="s">
        <v>92</v>
      </c>
      <c r="C191" s="8" t="s">
        <v>105</v>
      </c>
      <c r="D191" s="8" t="s">
        <v>5867</v>
      </c>
      <c r="E191" s="8" t="s">
        <v>41</v>
      </c>
      <c r="F191" s="8" t="s">
        <v>6176</v>
      </c>
      <c r="G191" s="8" t="s">
        <v>1008</v>
      </c>
      <c r="H191" s="8">
        <v>1</v>
      </c>
      <c r="I191" s="8">
        <v>1</v>
      </c>
      <c r="J191" s="8" t="s">
        <v>6177</v>
      </c>
      <c r="K191" s="8" t="s">
        <v>102</v>
      </c>
      <c r="L191" s="9">
        <v>46319</v>
      </c>
      <c r="M191" s="8" t="s">
        <v>5864</v>
      </c>
      <c r="N191" s="8" t="s">
        <v>5870</v>
      </c>
    </row>
    <row r="192" spans="1:14" ht="54" customHeight="1">
      <c r="A192" s="4" t="s">
        <v>6178</v>
      </c>
      <c r="B192" s="4" t="s">
        <v>92</v>
      </c>
      <c r="C192" s="4" t="s">
        <v>105</v>
      </c>
      <c r="D192" s="4" t="s">
        <v>5867</v>
      </c>
      <c r="E192" s="4" t="s">
        <v>41</v>
      </c>
      <c r="F192" s="4" t="s">
        <v>6179</v>
      </c>
      <c r="G192" s="4" t="s">
        <v>1008</v>
      </c>
      <c r="H192" s="4">
        <v>1</v>
      </c>
      <c r="I192" s="4">
        <v>1</v>
      </c>
      <c r="J192" s="4" t="s">
        <v>6180</v>
      </c>
      <c r="K192" s="4" t="s">
        <v>102</v>
      </c>
      <c r="L192" s="6">
        <v>46319</v>
      </c>
      <c r="M192" s="4" t="s">
        <v>5864</v>
      </c>
      <c r="N192" s="4" t="s">
        <v>5870</v>
      </c>
    </row>
    <row r="193" spans="1:14" ht="40" customHeight="1">
      <c r="A193" s="8" t="s">
        <v>6181</v>
      </c>
      <c r="B193" s="8" t="s">
        <v>92</v>
      </c>
      <c r="C193" s="8" t="s">
        <v>105</v>
      </c>
      <c r="D193" s="8" t="s">
        <v>5867</v>
      </c>
      <c r="E193" s="8" t="s">
        <v>41</v>
      </c>
      <c r="F193" s="8" t="s">
        <v>6006</v>
      </c>
      <c r="G193" s="8" t="s">
        <v>1008</v>
      </c>
      <c r="H193" s="8">
        <v>1</v>
      </c>
      <c r="I193" s="8">
        <v>1</v>
      </c>
      <c r="J193" s="8" t="s">
        <v>6182</v>
      </c>
      <c r="K193" s="8" t="s">
        <v>102</v>
      </c>
      <c r="L193" s="9">
        <v>46319</v>
      </c>
      <c r="M193" s="8" t="s">
        <v>5864</v>
      </c>
      <c r="N193" s="8" t="s">
        <v>6087</v>
      </c>
    </row>
    <row r="194" spans="1:14" ht="54" customHeight="1">
      <c r="A194" s="4" t="s">
        <v>6183</v>
      </c>
      <c r="B194" s="4" t="s">
        <v>92</v>
      </c>
      <c r="C194" s="4" t="s">
        <v>105</v>
      </c>
      <c r="D194" s="4" t="s">
        <v>5867</v>
      </c>
      <c r="E194" s="4" t="s">
        <v>41</v>
      </c>
      <c r="F194" s="4" t="s">
        <v>6184</v>
      </c>
      <c r="G194" s="4" t="s">
        <v>1008</v>
      </c>
      <c r="H194" s="4">
        <v>1</v>
      </c>
      <c r="I194" s="4">
        <v>1</v>
      </c>
      <c r="J194" s="4" t="s">
        <v>6185</v>
      </c>
      <c r="K194" s="4" t="s">
        <v>102</v>
      </c>
      <c r="L194" s="6">
        <v>46319</v>
      </c>
      <c r="M194" s="4" t="s">
        <v>5864</v>
      </c>
      <c r="N194" s="4" t="s">
        <v>5870</v>
      </c>
    </row>
    <row r="195" spans="1:14" ht="54" customHeight="1">
      <c r="A195" s="8" t="s">
        <v>6186</v>
      </c>
      <c r="B195" s="8" t="s">
        <v>92</v>
      </c>
      <c r="C195" s="8" t="s">
        <v>105</v>
      </c>
      <c r="D195" s="8" t="s">
        <v>5867</v>
      </c>
      <c r="E195" s="8" t="s">
        <v>41</v>
      </c>
      <c r="F195" s="8" t="s">
        <v>6187</v>
      </c>
      <c r="G195" s="8" t="s">
        <v>1008</v>
      </c>
      <c r="H195" s="8">
        <v>1</v>
      </c>
      <c r="I195" s="8">
        <v>1</v>
      </c>
      <c r="J195" s="8" t="s">
        <v>6188</v>
      </c>
      <c r="K195" s="8" t="s">
        <v>102</v>
      </c>
      <c r="L195" s="9">
        <v>46319</v>
      </c>
      <c r="M195" s="8" t="s">
        <v>5864</v>
      </c>
      <c r="N195" s="8" t="s">
        <v>5870</v>
      </c>
    </row>
    <row r="196" spans="1:14" ht="68" customHeight="1">
      <c r="A196" s="4" t="s">
        <v>6189</v>
      </c>
      <c r="B196" s="4" t="s">
        <v>92</v>
      </c>
      <c r="C196" s="4" t="s">
        <v>105</v>
      </c>
      <c r="D196" s="4" t="s">
        <v>5867</v>
      </c>
      <c r="E196" s="4" t="s">
        <v>41</v>
      </c>
      <c r="F196" s="4" t="s">
        <v>6190</v>
      </c>
      <c r="G196" s="4" t="s">
        <v>1008</v>
      </c>
      <c r="H196" s="4">
        <v>1</v>
      </c>
      <c r="I196" s="4">
        <v>1</v>
      </c>
      <c r="J196" s="4" t="s">
        <v>6191</v>
      </c>
      <c r="K196" s="4" t="s">
        <v>102</v>
      </c>
      <c r="L196" s="6">
        <v>46319</v>
      </c>
      <c r="M196" s="4" t="s">
        <v>5864</v>
      </c>
      <c r="N196" s="4" t="s">
        <v>5870</v>
      </c>
    </row>
    <row r="197" spans="1:14" ht="40" customHeight="1">
      <c r="A197" s="8" t="s">
        <v>6192</v>
      </c>
      <c r="B197" s="8" t="s">
        <v>92</v>
      </c>
      <c r="C197" s="8" t="s">
        <v>105</v>
      </c>
      <c r="D197" s="8" t="s">
        <v>5867</v>
      </c>
      <c r="E197" s="8" t="s">
        <v>41</v>
      </c>
      <c r="F197" s="8" t="s">
        <v>6193</v>
      </c>
      <c r="G197" s="8" t="s">
        <v>1008</v>
      </c>
      <c r="H197" s="8">
        <v>1</v>
      </c>
      <c r="I197" s="8">
        <v>1</v>
      </c>
      <c r="J197" s="8" t="s">
        <v>6194</v>
      </c>
      <c r="K197" s="8" t="s">
        <v>102</v>
      </c>
      <c r="L197" s="9">
        <v>46319</v>
      </c>
      <c r="M197" s="8" t="s">
        <v>5864</v>
      </c>
      <c r="N197" s="8" t="s">
        <v>5870</v>
      </c>
    </row>
    <row r="198" spans="1:14" ht="68" customHeight="1">
      <c r="A198" s="4" t="s">
        <v>6195</v>
      </c>
      <c r="B198" s="4" t="s">
        <v>92</v>
      </c>
      <c r="C198" s="4" t="s">
        <v>105</v>
      </c>
      <c r="D198" s="4" t="s">
        <v>5867</v>
      </c>
      <c r="E198" s="4" t="s">
        <v>41</v>
      </c>
      <c r="F198" s="4" t="s">
        <v>6196</v>
      </c>
      <c r="G198" s="4" t="s">
        <v>1008</v>
      </c>
      <c r="H198" s="4">
        <v>1</v>
      </c>
      <c r="I198" s="4">
        <v>1</v>
      </c>
      <c r="J198" s="4" t="s">
        <v>6197</v>
      </c>
      <c r="K198" s="4" t="s">
        <v>102</v>
      </c>
      <c r="L198" s="6">
        <v>46319</v>
      </c>
      <c r="M198" s="4" t="s">
        <v>5864</v>
      </c>
      <c r="N198" s="4" t="s">
        <v>5870</v>
      </c>
    </row>
    <row r="199" spans="1:14" ht="40" customHeight="1">
      <c r="A199" s="8" t="s">
        <v>6198</v>
      </c>
      <c r="B199" s="8" t="s">
        <v>92</v>
      </c>
      <c r="C199" s="8" t="s">
        <v>105</v>
      </c>
      <c r="D199" s="8" t="s">
        <v>5867</v>
      </c>
      <c r="E199" s="8" t="s">
        <v>41</v>
      </c>
      <c r="F199" s="8" t="s">
        <v>6199</v>
      </c>
      <c r="G199" s="8" t="s">
        <v>1008</v>
      </c>
      <c r="H199" s="8">
        <v>1</v>
      </c>
      <c r="I199" s="8">
        <v>1</v>
      </c>
      <c r="J199" s="8" t="s">
        <v>6200</v>
      </c>
      <c r="K199" s="8" t="s">
        <v>102</v>
      </c>
      <c r="L199" s="9">
        <v>46319</v>
      </c>
      <c r="M199" s="8" t="s">
        <v>5864</v>
      </c>
      <c r="N199" s="8" t="s">
        <v>5870</v>
      </c>
    </row>
    <row r="200" spans="1:14" ht="40" customHeight="1">
      <c r="A200" s="4" t="s">
        <v>6201</v>
      </c>
      <c r="B200" s="4" t="s">
        <v>92</v>
      </c>
      <c r="C200" s="4" t="s">
        <v>105</v>
      </c>
      <c r="D200" s="4" t="s">
        <v>637</v>
      </c>
      <c r="E200" s="4" t="s">
        <v>41</v>
      </c>
      <c r="F200" s="4" t="s">
        <v>904</v>
      </c>
      <c r="G200" s="4" t="s">
        <v>1008</v>
      </c>
      <c r="H200" s="4">
        <v>1</v>
      </c>
      <c r="I200" s="4">
        <v>1</v>
      </c>
      <c r="J200" s="4" t="s">
        <v>1006</v>
      </c>
      <c r="K200" s="4" t="s">
        <v>102</v>
      </c>
      <c r="L200" s="6">
        <v>46319</v>
      </c>
      <c r="M200" s="4" t="s">
        <v>5864</v>
      </c>
      <c r="N200" s="4" t="s">
        <v>5870</v>
      </c>
    </row>
    <row r="201" spans="1:14" ht="40" customHeight="1">
      <c r="A201" s="8" t="s">
        <v>6202</v>
      </c>
      <c r="B201" s="8" t="s">
        <v>92</v>
      </c>
      <c r="C201" s="8" t="s">
        <v>105</v>
      </c>
      <c r="D201" s="8" t="s">
        <v>637</v>
      </c>
      <c r="E201" s="8" t="s">
        <v>41</v>
      </c>
      <c r="F201" s="8" t="s">
        <v>912</v>
      </c>
      <c r="G201" s="8" t="s">
        <v>1008</v>
      </c>
      <c r="H201" s="8">
        <v>1</v>
      </c>
      <c r="I201" s="8">
        <v>1</v>
      </c>
      <c r="J201" s="8" t="s">
        <v>1010</v>
      </c>
      <c r="K201" s="8" t="s">
        <v>102</v>
      </c>
      <c r="L201" s="9">
        <v>46319</v>
      </c>
      <c r="M201" s="8" t="s">
        <v>5864</v>
      </c>
      <c r="N201" s="8" t="s">
        <v>5870</v>
      </c>
    </row>
    <row r="202" spans="1:14" ht="40" customHeight="1">
      <c r="A202" s="4" t="s">
        <v>6203</v>
      </c>
      <c r="B202" s="4" t="s">
        <v>92</v>
      </c>
      <c r="C202" s="4" t="s">
        <v>105</v>
      </c>
      <c r="D202" s="4" t="s">
        <v>637</v>
      </c>
      <c r="E202" s="4" t="s">
        <v>41</v>
      </c>
      <c r="F202" s="4" t="s">
        <v>1015</v>
      </c>
      <c r="G202" s="4" t="s">
        <v>1008</v>
      </c>
      <c r="H202" s="4">
        <v>1</v>
      </c>
      <c r="I202" s="4">
        <v>1</v>
      </c>
      <c r="J202" s="4" t="s">
        <v>1013</v>
      </c>
      <c r="K202" s="4" t="s">
        <v>102</v>
      </c>
      <c r="L202" s="6">
        <v>46319</v>
      </c>
      <c r="M202" s="4" t="s">
        <v>5864</v>
      </c>
      <c r="N202" s="4" t="s">
        <v>5870</v>
      </c>
    </row>
    <row r="203" spans="1:14" ht="40" customHeight="1">
      <c r="A203" s="8" t="s">
        <v>6204</v>
      </c>
      <c r="B203" s="8" t="s">
        <v>92</v>
      </c>
      <c r="C203" s="8" t="s">
        <v>105</v>
      </c>
      <c r="D203" s="8" t="s">
        <v>637</v>
      </c>
      <c r="E203" s="8" t="s">
        <v>41</v>
      </c>
      <c r="F203" s="8" t="s">
        <v>1019</v>
      </c>
      <c r="G203" s="8" t="s">
        <v>1008</v>
      </c>
      <c r="H203" s="8">
        <v>1</v>
      </c>
      <c r="I203" s="8">
        <v>1</v>
      </c>
      <c r="J203" s="8" t="s">
        <v>1017</v>
      </c>
      <c r="K203" s="8" t="s">
        <v>102</v>
      </c>
      <c r="L203" s="9">
        <v>46319</v>
      </c>
      <c r="M203" s="8" t="s">
        <v>5864</v>
      </c>
      <c r="N203" s="8" t="s">
        <v>5870</v>
      </c>
    </row>
    <row r="204" spans="1:14" ht="40" customHeight="1">
      <c r="A204" s="4" t="s">
        <v>6205</v>
      </c>
      <c r="B204" s="4" t="s">
        <v>92</v>
      </c>
      <c r="C204" s="4" t="s">
        <v>105</v>
      </c>
      <c r="D204" s="4" t="s">
        <v>914</v>
      </c>
      <c r="E204" s="4" t="s">
        <v>41</v>
      </c>
      <c r="F204" s="4" t="s">
        <v>1023</v>
      </c>
      <c r="G204" s="4" t="s">
        <v>1008</v>
      </c>
      <c r="H204" s="4">
        <v>1</v>
      </c>
      <c r="I204" s="4">
        <v>1</v>
      </c>
      <c r="J204" s="4" t="s">
        <v>1021</v>
      </c>
      <c r="K204" s="4" t="s">
        <v>102</v>
      </c>
      <c r="L204" s="6">
        <v>46319</v>
      </c>
      <c r="M204" s="4" t="s">
        <v>5864</v>
      </c>
      <c r="N204" s="4" t="s">
        <v>5865</v>
      </c>
    </row>
    <row r="205" spans="1:14" ht="40" customHeight="1">
      <c r="A205" s="8" t="s">
        <v>6206</v>
      </c>
      <c r="B205" s="8" t="s">
        <v>92</v>
      </c>
      <c r="C205" s="8" t="s">
        <v>105</v>
      </c>
      <c r="D205" s="8" t="s">
        <v>914</v>
      </c>
      <c r="E205" s="8" t="s">
        <v>41</v>
      </c>
      <c r="F205" s="8" t="s">
        <v>1027</v>
      </c>
      <c r="G205" s="8" t="s">
        <v>1008</v>
      </c>
      <c r="H205" s="8">
        <v>1</v>
      </c>
      <c r="I205" s="8">
        <v>1</v>
      </c>
      <c r="J205" s="8" t="s">
        <v>1025</v>
      </c>
      <c r="K205" s="8" t="s">
        <v>102</v>
      </c>
      <c r="L205" s="9">
        <v>46319</v>
      </c>
      <c r="M205" s="8" t="s">
        <v>5864</v>
      </c>
      <c r="N205" s="8" t="s">
        <v>5870</v>
      </c>
    </row>
    <row r="206" spans="1:14" ht="40" customHeight="1">
      <c r="A206" s="4" t="s">
        <v>6207</v>
      </c>
      <c r="B206" s="4" t="s">
        <v>92</v>
      </c>
      <c r="C206" s="4" t="s">
        <v>105</v>
      </c>
      <c r="D206" s="4" t="s">
        <v>914</v>
      </c>
      <c r="E206" s="4" t="s">
        <v>41</v>
      </c>
      <c r="F206" s="4" t="s">
        <v>1031</v>
      </c>
      <c r="G206" s="4" t="s">
        <v>1008</v>
      </c>
      <c r="H206" s="4">
        <v>1</v>
      </c>
      <c r="I206" s="4">
        <v>1</v>
      </c>
      <c r="J206" s="4" t="s">
        <v>1029</v>
      </c>
      <c r="K206" s="4" t="s">
        <v>102</v>
      </c>
      <c r="L206" s="6">
        <v>46319</v>
      </c>
      <c r="M206" s="4" t="s">
        <v>5864</v>
      </c>
      <c r="N206" s="4" t="s">
        <v>5870</v>
      </c>
    </row>
    <row r="207" spans="1:14" ht="40" customHeight="1">
      <c r="A207" s="8" t="s">
        <v>6208</v>
      </c>
      <c r="B207" s="8" t="s">
        <v>92</v>
      </c>
      <c r="C207" s="8" t="s">
        <v>105</v>
      </c>
      <c r="D207" s="8" t="s">
        <v>914</v>
      </c>
      <c r="E207" s="8" t="s">
        <v>41</v>
      </c>
      <c r="F207" s="8" t="s">
        <v>1035</v>
      </c>
      <c r="G207" s="8" t="s">
        <v>1008</v>
      </c>
      <c r="H207" s="8">
        <v>1</v>
      </c>
      <c r="I207" s="8">
        <v>1</v>
      </c>
      <c r="J207" s="8" t="s">
        <v>1033</v>
      </c>
      <c r="K207" s="8" t="s">
        <v>102</v>
      </c>
      <c r="L207" s="9">
        <v>46319</v>
      </c>
      <c r="M207" s="8" t="s">
        <v>5864</v>
      </c>
      <c r="N207" s="8" t="s">
        <v>5870</v>
      </c>
    </row>
    <row r="208" spans="1:14" ht="40" customHeight="1">
      <c r="A208" s="4" t="s">
        <v>6209</v>
      </c>
      <c r="B208" s="4" t="s">
        <v>92</v>
      </c>
      <c r="C208" s="4" t="s">
        <v>105</v>
      </c>
      <c r="D208" s="4" t="s">
        <v>914</v>
      </c>
      <c r="E208" s="4" t="s">
        <v>41</v>
      </c>
      <c r="F208" s="4" t="s">
        <v>1039</v>
      </c>
      <c r="G208" s="4" t="s">
        <v>1008</v>
      </c>
      <c r="H208" s="4">
        <v>1</v>
      </c>
      <c r="I208" s="4">
        <v>1</v>
      </c>
      <c r="J208" s="4" t="s">
        <v>1037</v>
      </c>
      <c r="K208" s="4" t="s">
        <v>102</v>
      </c>
      <c r="L208" s="6">
        <v>46319</v>
      </c>
      <c r="M208" s="4" t="s">
        <v>5864</v>
      </c>
      <c r="N208" s="4" t="s">
        <v>5870</v>
      </c>
    </row>
    <row r="209" spans="1:14" ht="40" customHeight="1">
      <c r="A209" s="8" t="s">
        <v>6210</v>
      </c>
      <c r="B209" s="8" t="s">
        <v>92</v>
      </c>
      <c r="C209" s="8" t="s">
        <v>105</v>
      </c>
      <c r="D209" s="8" t="s">
        <v>914</v>
      </c>
      <c r="E209" s="8" t="s">
        <v>41</v>
      </c>
      <c r="F209" s="8" t="s">
        <v>1043</v>
      </c>
      <c r="G209" s="8" t="s">
        <v>1008</v>
      </c>
      <c r="H209" s="8">
        <v>1</v>
      </c>
      <c r="I209" s="8">
        <v>1</v>
      </c>
      <c r="J209" s="8" t="s">
        <v>1041</v>
      </c>
      <c r="K209" s="8" t="s">
        <v>102</v>
      </c>
      <c r="L209" s="9">
        <v>46319</v>
      </c>
      <c r="M209" s="8" t="s">
        <v>5864</v>
      </c>
      <c r="N209" s="8" t="s">
        <v>5870</v>
      </c>
    </row>
    <row r="210" spans="1:14" ht="40" customHeight="1">
      <c r="A210" s="4" t="s">
        <v>6211</v>
      </c>
      <c r="B210" s="4" t="s">
        <v>92</v>
      </c>
      <c r="C210" s="4" t="s">
        <v>105</v>
      </c>
      <c r="D210" s="4" t="s">
        <v>914</v>
      </c>
      <c r="E210" s="4" t="s">
        <v>41</v>
      </c>
      <c r="F210" s="4" t="s">
        <v>1047</v>
      </c>
      <c r="G210" s="4" t="s">
        <v>1008</v>
      </c>
      <c r="H210" s="4">
        <v>1</v>
      </c>
      <c r="I210" s="4">
        <v>1</v>
      </c>
      <c r="J210" s="4" t="s">
        <v>1045</v>
      </c>
      <c r="K210" s="4" t="s">
        <v>102</v>
      </c>
      <c r="L210" s="6">
        <v>46319</v>
      </c>
      <c r="M210" s="4" t="s">
        <v>5864</v>
      </c>
      <c r="N210" s="4" t="s">
        <v>5870</v>
      </c>
    </row>
    <row r="211" spans="1:14" ht="40" customHeight="1">
      <c r="A211" s="8" t="s">
        <v>4953</v>
      </c>
      <c r="B211" s="8" t="s">
        <v>92</v>
      </c>
      <c r="C211" s="8" t="s">
        <v>105</v>
      </c>
      <c r="D211" s="8" t="s">
        <v>7</v>
      </c>
      <c r="E211" s="8" t="s">
        <v>41</v>
      </c>
      <c r="F211" s="8" t="s">
        <v>6212</v>
      </c>
      <c r="G211" s="8" t="s">
        <v>1008</v>
      </c>
      <c r="H211" s="8">
        <v>1</v>
      </c>
      <c r="I211" s="8">
        <v>1</v>
      </c>
      <c r="J211" s="8" t="s">
        <v>3487</v>
      </c>
      <c r="K211" s="8" t="s">
        <v>102</v>
      </c>
      <c r="L211" s="9">
        <v>46319</v>
      </c>
      <c r="M211" s="8" t="s">
        <v>5864</v>
      </c>
      <c r="N211" s="8" t="s">
        <v>5870</v>
      </c>
    </row>
    <row r="212" spans="1:14" ht="40" customHeight="1">
      <c r="A212" s="4" t="s">
        <v>4954</v>
      </c>
      <c r="B212" s="4" t="s">
        <v>92</v>
      </c>
      <c r="C212" s="4" t="s">
        <v>105</v>
      </c>
      <c r="D212" s="4" t="s">
        <v>7</v>
      </c>
      <c r="E212" s="4" t="s">
        <v>41</v>
      </c>
      <c r="F212" s="4" t="s">
        <v>6213</v>
      </c>
      <c r="G212" s="4" t="s">
        <v>1008</v>
      </c>
      <c r="H212" s="4">
        <v>1</v>
      </c>
      <c r="I212" s="4">
        <v>1</v>
      </c>
      <c r="J212" s="4" t="s">
        <v>4955</v>
      </c>
      <c r="K212" s="4" t="s">
        <v>102</v>
      </c>
      <c r="L212" s="6">
        <v>46319</v>
      </c>
      <c r="M212" s="4" t="s">
        <v>5864</v>
      </c>
      <c r="N212" s="4" t="s">
        <v>5870</v>
      </c>
    </row>
    <row r="213" spans="1:14" ht="40" customHeight="1">
      <c r="A213" s="8" t="s">
        <v>4956</v>
      </c>
      <c r="B213" s="8" t="s">
        <v>92</v>
      </c>
      <c r="C213" s="8" t="s">
        <v>105</v>
      </c>
      <c r="D213" s="8" t="s">
        <v>7</v>
      </c>
      <c r="E213" s="8" t="s">
        <v>41</v>
      </c>
      <c r="F213" s="8" t="s">
        <v>6214</v>
      </c>
      <c r="G213" s="8" t="s">
        <v>1008</v>
      </c>
      <c r="H213" s="8">
        <v>1</v>
      </c>
      <c r="I213" s="8">
        <v>1</v>
      </c>
      <c r="J213" s="8" t="s">
        <v>4957</v>
      </c>
      <c r="K213" s="8" t="s">
        <v>102</v>
      </c>
      <c r="L213" s="9">
        <v>46319</v>
      </c>
      <c r="M213" s="8" t="s">
        <v>5864</v>
      </c>
      <c r="N213" s="8" t="s">
        <v>5870</v>
      </c>
    </row>
    <row r="214" spans="1:14" ht="40" customHeight="1">
      <c r="A214" s="4" t="s">
        <v>4958</v>
      </c>
      <c r="B214" s="4" t="s">
        <v>92</v>
      </c>
      <c r="C214" s="4" t="s">
        <v>105</v>
      </c>
      <c r="D214" s="4" t="s">
        <v>7</v>
      </c>
      <c r="E214" s="4" t="s">
        <v>41</v>
      </c>
      <c r="F214" s="4" t="s">
        <v>6215</v>
      </c>
      <c r="G214" s="4" t="s">
        <v>1008</v>
      </c>
      <c r="H214" s="4">
        <v>1</v>
      </c>
      <c r="I214" s="4">
        <v>1</v>
      </c>
      <c r="J214" s="4" t="s">
        <v>4959</v>
      </c>
      <c r="K214" s="4" t="s">
        <v>102</v>
      </c>
      <c r="L214" s="6">
        <v>46319</v>
      </c>
      <c r="M214" s="4" t="s">
        <v>5864</v>
      </c>
      <c r="N214" s="4" t="s">
        <v>5870</v>
      </c>
    </row>
    <row r="215" spans="1:14" ht="40" customHeight="1">
      <c r="A215" s="8" t="s">
        <v>4960</v>
      </c>
      <c r="B215" s="8" t="s">
        <v>92</v>
      </c>
      <c r="C215" s="8" t="s">
        <v>105</v>
      </c>
      <c r="D215" s="8" t="s">
        <v>7</v>
      </c>
      <c r="E215" s="8" t="s">
        <v>41</v>
      </c>
      <c r="F215" s="8" t="s">
        <v>6216</v>
      </c>
      <c r="G215" s="8" t="s">
        <v>1008</v>
      </c>
      <c r="H215" s="8">
        <v>1</v>
      </c>
      <c r="I215" s="8">
        <v>1</v>
      </c>
      <c r="J215" s="8" t="s">
        <v>4961</v>
      </c>
      <c r="K215" s="8" t="s">
        <v>102</v>
      </c>
      <c r="L215" s="9">
        <v>46319</v>
      </c>
      <c r="M215" s="8" t="s">
        <v>5864</v>
      </c>
      <c r="N215" s="8" t="s">
        <v>5870</v>
      </c>
    </row>
    <row r="216" spans="1:14" ht="40" customHeight="1">
      <c r="A216" s="4" t="s">
        <v>3589</v>
      </c>
      <c r="B216" s="4" t="s">
        <v>92</v>
      </c>
      <c r="C216" s="4" t="s">
        <v>105</v>
      </c>
      <c r="D216" s="4" t="s">
        <v>5879</v>
      </c>
      <c r="E216" s="4" t="s">
        <v>41</v>
      </c>
      <c r="F216" s="4" t="s">
        <v>3463</v>
      </c>
      <c r="G216" s="4" t="s">
        <v>1008</v>
      </c>
      <c r="H216" s="4">
        <v>1</v>
      </c>
      <c r="I216" s="4">
        <v>1</v>
      </c>
      <c r="J216" s="4" t="s">
        <v>3590</v>
      </c>
      <c r="K216" s="4" t="s">
        <v>102</v>
      </c>
      <c r="L216" s="6">
        <v>46319</v>
      </c>
      <c r="M216" s="4" t="s">
        <v>5864</v>
      </c>
      <c r="N216" s="4" t="s">
        <v>6087</v>
      </c>
    </row>
    <row r="217" spans="1:14" ht="40" customHeight="1">
      <c r="A217" s="8" t="s">
        <v>3591</v>
      </c>
      <c r="B217" s="8" t="s">
        <v>92</v>
      </c>
      <c r="C217" s="8" t="s">
        <v>105</v>
      </c>
      <c r="D217" s="8" t="s">
        <v>5879</v>
      </c>
      <c r="E217" s="8" t="s">
        <v>41</v>
      </c>
      <c r="F217" s="8" t="s">
        <v>3466</v>
      </c>
      <c r="G217" s="8" t="s">
        <v>1008</v>
      </c>
      <c r="H217" s="8">
        <v>1</v>
      </c>
      <c r="I217" s="8">
        <v>1</v>
      </c>
      <c r="J217" s="8" t="s">
        <v>3592</v>
      </c>
      <c r="K217" s="8" t="s">
        <v>102</v>
      </c>
      <c r="L217" s="9">
        <v>46319</v>
      </c>
      <c r="M217" s="8" t="s">
        <v>5864</v>
      </c>
      <c r="N217" s="8" t="s">
        <v>5865</v>
      </c>
    </row>
    <row r="218" spans="1:14" ht="54" customHeight="1">
      <c r="A218" s="4" t="s">
        <v>3593</v>
      </c>
      <c r="B218" s="4" t="s">
        <v>92</v>
      </c>
      <c r="C218" s="4" t="s">
        <v>105</v>
      </c>
      <c r="D218" s="4" t="s">
        <v>5879</v>
      </c>
      <c r="E218" s="4" t="s">
        <v>41</v>
      </c>
      <c r="F218" s="4" t="s">
        <v>3469</v>
      </c>
      <c r="G218" s="4" t="s">
        <v>1008</v>
      </c>
      <c r="H218" s="4">
        <v>1</v>
      </c>
      <c r="I218" s="4">
        <v>1</v>
      </c>
      <c r="J218" s="4" t="s">
        <v>3594</v>
      </c>
      <c r="K218" s="4" t="s">
        <v>102</v>
      </c>
      <c r="L218" s="6">
        <v>46319</v>
      </c>
      <c r="M218" s="4" t="s">
        <v>5864</v>
      </c>
      <c r="N218" s="4" t="s">
        <v>5865</v>
      </c>
    </row>
    <row r="219" spans="1:14" ht="68" customHeight="1">
      <c r="A219" s="8" t="s">
        <v>3595</v>
      </c>
      <c r="B219" s="8" t="s">
        <v>92</v>
      </c>
      <c r="C219" s="8" t="s">
        <v>105</v>
      </c>
      <c r="D219" s="8" t="s">
        <v>5879</v>
      </c>
      <c r="E219" s="8" t="s">
        <v>41</v>
      </c>
      <c r="F219" s="8" t="s">
        <v>3472</v>
      </c>
      <c r="G219" s="8" t="s">
        <v>1008</v>
      </c>
      <c r="H219" s="8">
        <v>1</v>
      </c>
      <c r="I219" s="8">
        <v>1</v>
      </c>
      <c r="J219" s="8" t="s">
        <v>3596</v>
      </c>
      <c r="K219" s="8" t="s">
        <v>102</v>
      </c>
      <c r="L219" s="9">
        <v>46319</v>
      </c>
      <c r="M219" s="8" t="s">
        <v>5864</v>
      </c>
      <c r="N219" s="8" t="s">
        <v>5865</v>
      </c>
    </row>
    <row r="220" spans="1:14" ht="68" customHeight="1">
      <c r="A220" s="4" t="s">
        <v>3597</v>
      </c>
      <c r="B220" s="4" t="s">
        <v>92</v>
      </c>
      <c r="C220" s="4" t="s">
        <v>105</v>
      </c>
      <c r="D220" s="4" t="s">
        <v>5879</v>
      </c>
      <c r="E220" s="4" t="s">
        <v>41</v>
      </c>
      <c r="F220" s="4" t="s">
        <v>3475</v>
      </c>
      <c r="G220" s="4" t="s">
        <v>1008</v>
      </c>
      <c r="H220" s="4">
        <v>1</v>
      </c>
      <c r="I220" s="4">
        <v>1</v>
      </c>
      <c r="J220" s="4" t="s">
        <v>3598</v>
      </c>
      <c r="K220" s="4" t="s">
        <v>102</v>
      </c>
      <c r="L220" s="6">
        <v>46319</v>
      </c>
      <c r="M220" s="4" t="s">
        <v>5864</v>
      </c>
      <c r="N220" s="4" t="s">
        <v>5865</v>
      </c>
    </row>
    <row r="221" spans="1:14" ht="54" customHeight="1">
      <c r="A221" s="8" t="s">
        <v>3599</v>
      </c>
      <c r="B221" s="8" t="s">
        <v>92</v>
      </c>
      <c r="C221" s="8" t="s">
        <v>105</v>
      </c>
      <c r="D221" s="8" t="s">
        <v>5879</v>
      </c>
      <c r="E221" s="8" t="s">
        <v>41</v>
      </c>
      <c r="F221" s="8" t="s">
        <v>3478</v>
      </c>
      <c r="G221" s="8" t="s">
        <v>1008</v>
      </c>
      <c r="H221" s="8">
        <v>1</v>
      </c>
      <c r="I221" s="8">
        <v>1</v>
      </c>
      <c r="J221" s="8" t="s">
        <v>3600</v>
      </c>
      <c r="K221" s="8" t="s">
        <v>102</v>
      </c>
      <c r="L221" s="9">
        <v>46319</v>
      </c>
      <c r="M221" s="8" t="s">
        <v>5864</v>
      </c>
      <c r="N221" s="8" t="s">
        <v>5865</v>
      </c>
    </row>
    <row r="222" spans="1:14" ht="54" customHeight="1">
      <c r="A222" s="4" t="s">
        <v>3601</v>
      </c>
      <c r="B222" s="4" t="s">
        <v>92</v>
      </c>
      <c r="C222" s="4" t="s">
        <v>105</v>
      </c>
      <c r="D222" s="4" t="s">
        <v>5879</v>
      </c>
      <c r="E222" s="4" t="s">
        <v>41</v>
      </c>
      <c r="F222" s="4" t="s">
        <v>3603</v>
      </c>
      <c r="G222" s="4" t="s">
        <v>1008</v>
      </c>
      <c r="H222" s="4">
        <v>1</v>
      </c>
      <c r="I222" s="4">
        <v>1</v>
      </c>
      <c r="J222" s="4" t="s">
        <v>3602</v>
      </c>
      <c r="K222" s="4" t="s">
        <v>102</v>
      </c>
      <c r="L222" s="6">
        <v>46319</v>
      </c>
      <c r="M222" s="4" t="s">
        <v>5864</v>
      </c>
      <c r="N222" s="4" t="s">
        <v>5865</v>
      </c>
    </row>
    <row r="223" spans="1:14" ht="40" customHeight="1">
      <c r="A223" s="8" t="s">
        <v>3604</v>
      </c>
      <c r="B223" s="8" t="s">
        <v>92</v>
      </c>
      <c r="C223" s="8" t="s">
        <v>105</v>
      </c>
      <c r="D223" s="8" t="s">
        <v>5879</v>
      </c>
      <c r="E223" s="8" t="s">
        <v>41</v>
      </c>
      <c r="F223" s="8" t="s">
        <v>3576</v>
      </c>
      <c r="G223" s="8" t="s">
        <v>1008</v>
      </c>
      <c r="H223" s="8">
        <v>1</v>
      </c>
      <c r="I223" s="8">
        <v>1</v>
      </c>
      <c r="J223" s="8" t="s">
        <v>3605</v>
      </c>
      <c r="K223" s="8" t="s">
        <v>102</v>
      </c>
      <c r="L223" s="9">
        <v>46319</v>
      </c>
      <c r="M223" s="8" t="s">
        <v>5864</v>
      </c>
      <c r="N223" s="8" t="s">
        <v>6087</v>
      </c>
    </row>
    <row r="224" spans="1:14" ht="68" customHeight="1">
      <c r="A224" s="4" t="s">
        <v>3606</v>
      </c>
      <c r="B224" s="4" t="s">
        <v>92</v>
      </c>
      <c r="C224" s="4" t="s">
        <v>105</v>
      </c>
      <c r="D224" s="4" t="s">
        <v>5879</v>
      </c>
      <c r="E224" s="4" t="s">
        <v>41</v>
      </c>
      <c r="F224" s="4" t="s">
        <v>3608</v>
      </c>
      <c r="G224" s="4" t="s">
        <v>1008</v>
      </c>
      <c r="H224" s="4">
        <v>1</v>
      </c>
      <c r="I224" s="4">
        <v>1</v>
      </c>
      <c r="J224" s="4" t="s">
        <v>3607</v>
      </c>
      <c r="K224" s="4" t="s">
        <v>102</v>
      </c>
      <c r="L224" s="6">
        <v>46319</v>
      </c>
      <c r="M224" s="4" t="s">
        <v>5864</v>
      </c>
      <c r="N224" s="4" t="s">
        <v>5865</v>
      </c>
    </row>
    <row r="225" spans="1:14" ht="68" customHeight="1">
      <c r="A225" s="8" t="s">
        <v>3609</v>
      </c>
      <c r="B225" s="8" t="s">
        <v>92</v>
      </c>
      <c r="C225" s="8" t="s">
        <v>105</v>
      </c>
      <c r="D225" s="8" t="s">
        <v>5879</v>
      </c>
      <c r="E225" s="8" t="s">
        <v>41</v>
      </c>
      <c r="F225" s="8" t="s">
        <v>3611</v>
      </c>
      <c r="G225" s="8" t="s">
        <v>1008</v>
      </c>
      <c r="H225" s="8">
        <v>1</v>
      </c>
      <c r="I225" s="8">
        <v>1</v>
      </c>
      <c r="J225" s="8" t="s">
        <v>3610</v>
      </c>
      <c r="K225" s="8" t="s">
        <v>102</v>
      </c>
      <c r="L225" s="9">
        <v>46319</v>
      </c>
      <c r="M225" s="8" t="s">
        <v>5864</v>
      </c>
      <c r="N225" s="8" t="s">
        <v>5865</v>
      </c>
    </row>
    <row r="226" spans="1:14" ht="40" customHeight="1">
      <c r="A226" s="4" t="s">
        <v>3612</v>
      </c>
      <c r="B226" s="4" t="s">
        <v>92</v>
      </c>
      <c r="C226" s="4" t="s">
        <v>105</v>
      </c>
      <c r="D226" s="4" t="s">
        <v>5879</v>
      </c>
      <c r="E226" s="4" t="s">
        <v>41</v>
      </c>
      <c r="F226" s="4" t="s">
        <v>3614</v>
      </c>
      <c r="G226" s="4" t="s">
        <v>1008</v>
      </c>
      <c r="H226" s="4">
        <v>1</v>
      </c>
      <c r="I226" s="4">
        <v>1</v>
      </c>
      <c r="J226" s="4" t="s">
        <v>3613</v>
      </c>
      <c r="K226" s="4" t="s">
        <v>102</v>
      </c>
      <c r="L226" s="6">
        <v>46319</v>
      </c>
      <c r="M226" s="4" t="s">
        <v>5864</v>
      </c>
      <c r="N226" s="4" t="s">
        <v>6087</v>
      </c>
    </row>
    <row r="227" spans="1:14" ht="68" customHeight="1">
      <c r="A227" s="8" t="s">
        <v>3615</v>
      </c>
      <c r="B227" s="8" t="s">
        <v>92</v>
      </c>
      <c r="C227" s="8" t="s">
        <v>105</v>
      </c>
      <c r="D227" s="8" t="s">
        <v>5879</v>
      </c>
      <c r="E227" s="8" t="s">
        <v>41</v>
      </c>
      <c r="F227" s="8" t="s">
        <v>3617</v>
      </c>
      <c r="G227" s="8" t="s">
        <v>1008</v>
      </c>
      <c r="H227" s="8">
        <v>1</v>
      </c>
      <c r="I227" s="8">
        <v>1</v>
      </c>
      <c r="J227" s="8" t="s">
        <v>3616</v>
      </c>
      <c r="K227" s="8" t="s">
        <v>102</v>
      </c>
      <c r="L227" s="9">
        <v>46319</v>
      </c>
      <c r="M227" s="8" t="s">
        <v>5864</v>
      </c>
      <c r="N227" s="8" t="s">
        <v>5870</v>
      </c>
    </row>
    <row r="228" spans="1:14" ht="40" customHeight="1">
      <c r="A228" s="4" t="s">
        <v>3618</v>
      </c>
      <c r="B228" s="4" t="s">
        <v>92</v>
      </c>
      <c r="C228" s="4" t="s">
        <v>105</v>
      </c>
      <c r="D228" s="4" t="s">
        <v>5879</v>
      </c>
      <c r="E228" s="4" t="s">
        <v>41</v>
      </c>
      <c r="F228" s="4" t="s">
        <v>3620</v>
      </c>
      <c r="G228" s="4" t="s">
        <v>1008</v>
      </c>
      <c r="H228" s="4">
        <v>1</v>
      </c>
      <c r="I228" s="4">
        <v>1</v>
      </c>
      <c r="J228" s="4" t="s">
        <v>3619</v>
      </c>
      <c r="K228" s="4" t="s">
        <v>102</v>
      </c>
      <c r="L228" s="6">
        <v>46319</v>
      </c>
      <c r="M228" s="4" t="s">
        <v>5864</v>
      </c>
      <c r="N228" s="4" t="s">
        <v>5870</v>
      </c>
    </row>
    <row r="229" spans="1:14" ht="40" customHeight="1">
      <c r="A229" s="8" t="s">
        <v>3621</v>
      </c>
      <c r="B229" s="8" t="s">
        <v>92</v>
      </c>
      <c r="C229" s="8" t="s">
        <v>105</v>
      </c>
      <c r="D229" s="8" t="s">
        <v>5879</v>
      </c>
      <c r="E229" s="8" t="s">
        <v>3622</v>
      </c>
      <c r="F229" s="8" t="s">
        <v>3460</v>
      </c>
      <c r="G229" s="8" t="s">
        <v>1008</v>
      </c>
      <c r="H229" s="8">
        <v>1</v>
      </c>
      <c r="I229" s="8">
        <v>1</v>
      </c>
      <c r="J229" s="8" t="s">
        <v>3622</v>
      </c>
      <c r="K229" s="8" t="s">
        <v>102</v>
      </c>
      <c r="L229" s="9">
        <v>46319</v>
      </c>
      <c r="M229" s="8" t="s">
        <v>5864</v>
      </c>
      <c r="N229" s="8" t="s">
        <v>5865</v>
      </c>
    </row>
    <row r="230" spans="1:14" ht="40" customHeight="1">
      <c r="A230" s="4" t="s">
        <v>3623</v>
      </c>
      <c r="B230" s="4" t="s">
        <v>92</v>
      </c>
      <c r="C230" s="4" t="s">
        <v>105</v>
      </c>
      <c r="D230" s="4" t="s">
        <v>5879</v>
      </c>
      <c r="E230" s="4" t="s">
        <v>3622</v>
      </c>
      <c r="F230" s="4" t="s">
        <v>3625</v>
      </c>
      <c r="G230" s="4" t="s">
        <v>1008</v>
      </c>
      <c r="H230" s="4">
        <v>1</v>
      </c>
      <c r="I230" s="4">
        <v>1</v>
      </c>
      <c r="J230" s="4" t="s">
        <v>3624</v>
      </c>
      <c r="K230" s="4" t="s">
        <v>102</v>
      </c>
      <c r="L230" s="6">
        <v>46319</v>
      </c>
      <c r="M230" s="4" t="s">
        <v>5864</v>
      </c>
      <c r="N230" s="4" t="s">
        <v>5870</v>
      </c>
    </row>
    <row r="231" spans="1:14" ht="40" customHeight="1">
      <c r="A231" s="8" t="s">
        <v>3626</v>
      </c>
      <c r="B231" s="8" t="s">
        <v>92</v>
      </c>
      <c r="C231" s="8" t="s">
        <v>105</v>
      </c>
      <c r="D231" s="8" t="s">
        <v>5879</v>
      </c>
      <c r="E231" s="8" t="s">
        <v>3622</v>
      </c>
      <c r="F231" s="8" t="s">
        <v>3628</v>
      </c>
      <c r="G231" s="8" t="s">
        <v>1008</v>
      </c>
      <c r="H231" s="8">
        <v>1</v>
      </c>
      <c r="I231" s="8">
        <v>1</v>
      </c>
      <c r="J231" s="8" t="s">
        <v>3627</v>
      </c>
      <c r="K231" s="8" t="s">
        <v>102</v>
      </c>
      <c r="L231" s="9">
        <v>46319</v>
      </c>
      <c r="M231" s="8" t="s">
        <v>5864</v>
      </c>
      <c r="N231" s="8" t="s">
        <v>5870</v>
      </c>
    </row>
    <row r="232" spans="1:14" ht="40" customHeight="1">
      <c r="A232" s="4" t="s">
        <v>3629</v>
      </c>
      <c r="B232" s="4" t="s">
        <v>92</v>
      </c>
      <c r="C232" s="4" t="s">
        <v>105</v>
      </c>
      <c r="D232" s="4" t="s">
        <v>5879</v>
      </c>
      <c r="E232" s="4" t="s">
        <v>3622</v>
      </c>
      <c r="F232" s="4" t="s">
        <v>3631</v>
      </c>
      <c r="G232" s="4" t="s">
        <v>1008</v>
      </c>
      <c r="H232" s="4">
        <v>1</v>
      </c>
      <c r="I232" s="4">
        <v>1</v>
      </c>
      <c r="J232" s="4" t="s">
        <v>3630</v>
      </c>
      <c r="K232" s="4" t="s">
        <v>102</v>
      </c>
      <c r="L232" s="6">
        <v>46319</v>
      </c>
      <c r="M232" s="4" t="s">
        <v>5864</v>
      </c>
      <c r="N232" s="4" t="s">
        <v>5870</v>
      </c>
    </row>
    <row r="233" spans="1:14" ht="40" customHeight="1">
      <c r="A233" s="8" t="s">
        <v>3632</v>
      </c>
      <c r="B233" s="8" t="s">
        <v>92</v>
      </c>
      <c r="C233" s="8" t="s">
        <v>105</v>
      </c>
      <c r="D233" s="8" t="s">
        <v>5879</v>
      </c>
      <c r="E233" s="8" t="s">
        <v>3622</v>
      </c>
      <c r="F233" s="8" t="s">
        <v>3634</v>
      </c>
      <c r="G233" s="8" t="s">
        <v>1008</v>
      </c>
      <c r="H233" s="8">
        <v>1</v>
      </c>
      <c r="I233" s="8">
        <v>1</v>
      </c>
      <c r="J233" s="8" t="s">
        <v>3633</v>
      </c>
      <c r="K233" s="8" t="s">
        <v>102</v>
      </c>
      <c r="L233" s="9">
        <v>46319</v>
      </c>
      <c r="M233" s="8" t="s">
        <v>5864</v>
      </c>
      <c r="N233" s="8" t="s">
        <v>5870</v>
      </c>
    </row>
    <row r="234" spans="1:14" ht="40" customHeight="1">
      <c r="A234" s="4" t="s">
        <v>3635</v>
      </c>
      <c r="B234" s="4" t="s">
        <v>92</v>
      </c>
      <c r="C234" s="4" t="s">
        <v>105</v>
      </c>
      <c r="D234" s="4" t="s">
        <v>5879</v>
      </c>
      <c r="E234" s="4" t="s">
        <v>3622</v>
      </c>
      <c r="F234" s="4" t="s">
        <v>3637</v>
      </c>
      <c r="G234" s="4" t="s">
        <v>1008</v>
      </c>
      <c r="H234" s="4">
        <v>1</v>
      </c>
      <c r="I234" s="4">
        <v>1</v>
      </c>
      <c r="J234" s="4" t="s">
        <v>3636</v>
      </c>
      <c r="K234" s="4" t="s">
        <v>102</v>
      </c>
      <c r="L234" s="6">
        <v>46319</v>
      </c>
      <c r="M234" s="4" t="s">
        <v>5864</v>
      </c>
      <c r="N234" s="4" t="s">
        <v>5870</v>
      </c>
    </row>
    <row r="235" spans="1:14" ht="40" customHeight="1">
      <c r="A235" s="8" t="s">
        <v>3638</v>
      </c>
      <c r="B235" s="8" t="s">
        <v>92</v>
      </c>
      <c r="C235" s="8" t="s">
        <v>105</v>
      </c>
      <c r="D235" s="8" t="s">
        <v>5879</v>
      </c>
      <c r="E235" s="8" t="s">
        <v>3622</v>
      </c>
      <c r="F235" s="8" t="s">
        <v>3640</v>
      </c>
      <c r="G235" s="8" t="s">
        <v>1008</v>
      </c>
      <c r="H235" s="8">
        <v>1</v>
      </c>
      <c r="I235" s="8">
        <v>1</v>
      </c>
      <c r="J235" s="8" t="s">
        <v>3639</v>
      </c>
      <c r="K235" s="8" t="s">
        <v>102</v>
      </c>
      <c r="L235" s="9">
        <v>46319</v>
      </c>
      <c r="M235" s="8" t="s">
        <v>5864</v>
      </c>
      <c r="N235" s="8" t="s">
        <v>5870</v>
      </c>
    </row>
    <row r="236" spans="1:14" ht="40" customHeight="1">
      <c r="A236" s="4" t="s">
        <v>3641</v>
      </c>
      <c r="B236" s="4" t="s">
        <v>92</v>
      </c>
      <c r="C236" s="4" t="s">
        <v>105</v>
      </c>
      <c r="D236" s="4" t="s">
        <v>5879</v>
      </c>
      <c r="E236" s="4" t="s">
        <v>3622</v>
      </c>
      <c r="F236" s="4" t="s">
        <v>3643</v>
      </c>
      <c r="G236" s="4" t="s">
        <v>1008</v>
      </c>
      <c r="H236" s="4">
        <v>1</v>
      </c>
      <c r="I236" s="4">
        <v>1</v>
      </c>
      <c r="J236" s="4" t="s">
        <v>3642</v>
      </c>
      <c r="K236" s="4" t="s">
        <v>102</v>
      </c>
      <c r="L236" s="6">
        <v>46319</v>
      </c>
      <c r="M236" s="4" t="s">
        <v>5864</v>
      </c>
      <c r="N236" s="4" t="s">
        <v>5870</v>
      </c>
    </row>
    <row r="237" spans="1:14" ht="40" customHeight="1">
      <c r="A237" s="8" t="s">
        <v>3644</v>
      </c>
      <c r="B237" s="8" t="s">
        <v>92</v>
      </c>
      <c r="C237" s="8" t="s">
        <v>105</v>
      </c>
      <c r="D237" s="8" t="s">
        <v>5879</v>
      </c>
      <c r="E237" s="8" t="s">
        <v>3622</v>
      </c>
      <c r="F237" s="8" t="s">
        <v>3646</v>
      </c>
      <c r="G237" s="8" t="s">
        <v>1008</v>
      </c>
      <c r="H237" s="8">
        <v>1</v>
      </c>
      <c r="I237" s="8">
        <v>1</v>
      </c>
      <c r="J237" s="8" t="s">
        <v>3645</v>
      </c>
      <c r="K237" s="8" t="s">
        <v>102</v>
      </c>
      <c r="L237" s="9">
        <v>46319</v>
      </c>
      <c r="M237" s="8" t="s">
        <v>5864</v>
      </c>
      <c r="N237" s="8" t="s">
        <v>6087</v>
      </c>
    </row>
    <row r="238" spans="1:14" ht="40" customHeight="1">
      <c r="A238" s="4" t="s">
        <v>3647</v>
      </c>
      <c r="B238" s="4" t="s">
        <v>92</v>
      </c>
      <c r="C238" s="4" t="s">
        <v>105</v>
      </c>
      <c r="D238" s="4" t="s">
        <v>5879</v>
      </c>
      <c r="E238" s="4" t="s">
        <v>3622</v>
      </c>
      <c r="F238" s="4" t="s">
        <v>3648</v>
      </c>
      <c r="G238" s="4" t="s">
        <v>1008</v>
      </c>
      <c r="H238" s="4">
        <v>1</v>
      </c>
      <c r="I238" s="4">
        <v>1</v>
      </c>
      <c r="J238" s="4" t="s">
        <v>2740</v>
      </c>
      <c r="K238" s="4" t="s">
        <v>102</v>
      </c>
      <c r="L238" s="6">
        <v>46319</v>
      </c>
      <c r="M238" s="4" t="s">
        <v>5864</v>
      </c>
      <c r="N238" s="4" t="s">
        <v>6087</v>
      </c>
    </row>
    <row r="239" spans="1:14" ht="54" customHeight="1">
      <c r="A239" s="8" t="s">
        <v>6217</v>
      </c>
      <c r="B239" s="8" t="s">
        <v>92</v>
      </c>
      <c r="C239" s="8" t="s">
        <v>105</v>
      </c>
      <c r="D239" s="8" t="s">
        <v>2969</v>
      </c>
      <c r="E239" s="8" t="s">
        <v>41</v>
      </c>
      <c r="F239" s="8" t="s">
        <v>5881</v>
      </c>
      <c r="G239" s="8" t="s">
        <v>1008</v>
      </c>
      <c r="H239" s="8">
        <v>1</v>
      </c>
      <c r="I239" s="8">
        <v>1</v>
      </c>
      <c r="J239" s="8" t="s">
        <v>6218</v>
      </c>
      <c r="K239" s="8" t="s">
        <v>102</v>
      </c>
      <c r="L239" s="9">
        <v>46319</v>
      </c>
      <c r="M239" s="8" t="s">
        <v>5864</v>
      </c>
      <c r="N239" s="8" t="s">
        <v>5883</v>
      </c>
    </row>
    <row r="240" spans="1:14" ht="54" customHeight="1">
      <c r="A240" s="4" t="s">
        <v>6219</v>
      </c>
      <c r="B240" s="4" t="s">
        <v>92</v>
      </c>
      <c r="C240" s="4" t="s">
        <v>105</v>
      </c>
      <c r="D240" s="4" t="s">
        <v>2969</v>
      </c>
      <c r="E240" s="4" t="s">
        <v>41</v>
      </c>
      <c r="F240" s="4" t="s">
        <v>5885</v>
      </c>
      <c r="G240" s="4" t="s">
        <v>1008</v>
      </c>
      <c r="H240" s="4">
        <v>1</v>
      </c>
      <c r="I240" s="4">
        <v>1</v>
      </c>
      <c r="J240" s="4" t="s">
        <v>6220</v>
      </c>
      <c r="K240" s="4" t="s">
        <v>102</v>
      </c>
      <c r="L240" s="6">
        <v>46319</v>
      </c>
      <c r="M240" s="4" t="s">
        <v>5864</v>
      </c>
      <c r="N240" s="4" t="s">
        <v>5883</v>
      </c>
    </row>
    <row r="241" spans="1:14" ht="82" customHeight="1">
      <c r="A241" s="8" t="s">
        <v>6221</v>
      </c>
      <c r="B241" s="8" t="s">
        <v>92</v>
      </c>
      <c r="C241" s="8" t="s">
        <v>105</v>
      </c>
      <c r="D241" s="8" t="s">
        <v>2969</v>
      </c>
      <c r="E241" s="8" t="s">
        <v>41</v>
      </c>
      <c r="F241" s="8" t="s">
        <v>5888</v>
      </c>
      <c r="G241" s="8" t="s">
        <v>1008</v>
      </c>
      <c r="H241" s="8">
        <v>1</v>
      </c>
      <c r="I241" s="8">
        <v>1</v>
      </c>
      <c r="J241" s="8" t="s">
        <v>6222</v>
      </c>
      <c r="K241" s="8" t="s">
        <v>102</v>
      </c>
      <c r="L241" s="9">
        <v>46319</v>
      </c>
      <c r="M241" s="8" t="s">
        <v>5864</v>
      </c>
      <c r="N241" s="8" t="s">
        <v>5883</v>
      </c>
    </row>
    <row r="242" spans="1:14" ht="68" customHeight="1">
      <c r="A242" s="4" t="s">
        <v>6223</v>
      </c>
      <c r="B242" s="4" t="s">
        <v>92</v>
      </c>
      <c r="C242" s="4" t="s">
        <v>105</v>
      </c>
      <c r="D242" s="4" t="s">
        <v>2969</v>
      </c>
      <c r="E242" s="4" t="s">
        <v>41</v>
      </c>
      <c r="F242" s="4" t="s">
        <v>5891</v>
      </c>
      <c r="G242" s="4" t="s">
        <v>1008</v>
      </c>
      <c r="H242" s="4">
        <v>1</v>
      </c>
      <c r="I242" s="4">
        <v>1</v>
      </c>
      <c r="J242" s="4" t="s">
        <v>6224</v>
      </c>
      <c r="K242" s="4" t="s">
        <v>102</v>
      </c>
      <c r="L242" s="6">
        <v>46319</v>
      </c>
      <c r="M242" s="4" t="s">
        <v>5864</v>
      </c>
      <c r="N242" s="4" t="s">
        <v>5883</v>
      </c>
    </row>
    <row r="243" spans="1:14" ht="68" customHeight="1">
      <c r="A243" s="8" t="s">
        <v>6225</v>
      </c>
      <c r="B243" s="8" t="s">
        <v>92</v>
      </c>
      <c r="C243" s="8" t="s">
        <v>105</v>
      </c>
      <c r="D243" s="8" t="s">
        <v>2969</v>
      </c>
      <c r="E243" s="8" t="s">
        <v>41</v>
      </c>
      <c r="F243" s="8" t="s">
        <v>5894</v>
      </c>
      <c r="G243" s="8" t="s">
        <v>1008</v>
      </c>
      <c r="H243" s="8">
        <v>1</v>
      </c>
      <c r="I243" s="8">
        <v>1</v>
      </c>
      <c r="J243" s="8" t="s">
        <v>6226</v>
      </c>
      <c r="K243" s="8" t="s">
        <v>102</v>
      </c>
      <c r="L243" s="9">
        <v>46319</v>
      </c>
      <c r="M243" s="8" t="s">
        <v>5864</v>
      </c>
      <c r="N243" s="8" t="s">
        <v>5883</v>
      </c>
    </row>
    <row r="244" spans="1:14" ht="68" customHeight="1">
      <c r="A244" s="4" t="s">
        <v>6227</v>
      </c>
      <c r="B244" s="4" t="s">
        <v>92</v>
      </c>
      <c r="C244" s="4" t="s">
        <v>105</v>
      </c>
      <c r="D244" s="4" t="s">
        <v>2969</v>
      </c>
      <c r="E244" s="4" t="s">
        <v>41</v>
      </c>
      <c r="F244" s="4" t="s">
        <v>5897</v>
      </c>
      <c r="G244" s="4" t="s">
        <v>1008</v>
      </c>
      <c r="H244" s="4">
        <v>1</v>
      </c>
      <c r="I244" s="4">
        <v>1</v>
      </c>
      <c r="J244" s="4" t="s">
        <v>6228</v>
      </c>
      <c r="K244" s="4" t="s">
        <v>102</v>
      </c>
      <c r="L244" s="6">
        <v>46319</v>
      </c>
      <c r="M244" s="4" t="s">
        <v>5864</v>
      </c>
      <c r="N244" s="4" t="s">
        <v>5883</v>
      </c>
    </row>
    <row r="245" spans="1:14" ht="68" customHeight="1">
      <c r="A245" s="8" t="s">
        <v>6229</v>
      </c>
      <c r="B245" s="8" t="s">
        <v>92</v>
      </c>
      <c r="C245" s="8" t="s">
        <v>105</v>
      </c>
      <c r="D245" s="8" t="s">
        <v>2969</v>
      </c>
      <c r="E245" s="8" t="s">
        <v>41</v>
      </c>
      <c r="F245" s="8" t="s">
        <v>5900</v>
      </c>
      <c r="G245" s="8" t="s">
        <v>1008</v>
      </c>
      <c r="H245" s="8">
        <v>1</v>
      </c>
      <c r="I245" s="8">
        <v>1</v>
      </c>
      <c r="J245" s="8" t="s">
        <v>6230</v>
      </c>
      <c r="K245" s="8" t="s">
        <v>102</v>
      </c>
      <c r="L245" s="9">
        <v>46319</v>
      </c>
      <c r="M245" s="8" t="s">
        <v>5864</v>
      </c>
      <c r="N245" s="8" t="s">
        <v>5883</v>
      </c>
    </row>
    <row r="246" spans="1:14" ht="68" customHeight="1">
      <c r="A246" s="4" t="s">
        <v>6231</v>
      </c>
      <c r="B246" s="4" t="s">
        <v>92</v>
      </c>
      <c r="C246" s="4" t="s">
        <v>105</v>
      </c>
      <c r="D246" s="4" t="s">
        <v>2969</v>
      </c>
      <c r="E246" s="4" t="s">
        <v>41</v>
      </c>
      <c r="F246" s="4" t="s">
        <v>5903</v>
      </c>
      <c r="G246" s="4" t="s">
        <v>1008</v>
      </c>
      <c r="H246" s="4">
        <v>1</v>
      </c>
      <c r="I246" s="4">
        <v>1</v>
      </c>
      <c r="J246" s="4" t="s">
        <v>6232</v>
      </c>
      <c r="K246" s="4" t="s">
        <v>102</v>
      </c>
      <c r="L246" s="6">
        <v>46319</v>
      </c>
      <c r="M246" s="4" t="s">
        <v>5864</v>
      </c>
      <c r="N246" s="4" t="s">
        <v>5883</v>
      </c>
    </row>
    <row r="247" spans="1:14" ht="68" customHeight="1">
      <c r="A247" s="8" t="s">
        <v>6233</v>
      </c>
      <c r="B247" s="8" t="s">
        <v>92</v>
      </c>
      <c r="C247" s="8" t="s">
        <v>105</v>
      </c>
      <c r="D247" s="8" t="s">
        <v>2969</v>
      </c>
      <c r="E247" s="8" t="s">
        <v>41</v>
      </c>
      <c r="F247" s="8" t="s">
        <v>5906</v>
      </c>
      <c r="G247" s="8" t="s">
        <v>1008</v>
      </c>
      <c r="H247" s="8">
        <v>1</v>
      </c>
      <c r="I247" s="8">
        <v>1</v>
      </c>
      <c r="J247" s="8" t="s">
        <v>6234</v>
      </c>
      <c r="K247" s="8" t="s">
        <v>102</v>
      </c>
      <c r="L247" s="9">
        <v>46319</v>
      </c>
      <c r="M247" s="8" t="s">
        <v>5864</v>
      </c>
      <c r="N247" s="8" t="s">
        <v>5883</v>
      </c>
    </row>
    <row r="248" spans="1:14" ht="68" customHeight="1">
      <c r="A248" s="4" t="s">
        <v>6235</v>
      </c>
      <c r="B248" s="4" t="s">
        <v>92</v>
      </c>
      <c r="C248" s="4" t="s">
        <v>105</v>
      </c>
      <c r="D248" s="4" t="s">
        <v>2969</v>
      </c>
      <c r="E248" s="4" t="s">
        <v>41</v>
      </c>
      <c r="F248" s="4" t="s">
        <v>5909</v>
      </c>
      <c r="G248" s="4" t="s">
        <v>1008</v>
      </c>
      <c r="H248" s="4">
        <v>1</v>
      </c>
      <c r="I248" s="4">
        <v>1</v>
      </c>
      <c r="J248" s="4" t="s">
        <v>6236</v>
      </c>
      <c r="K248" s="4" t="s">
        <v>102</v>
      </c>
      <c r="L248" s="6">
        <v>46319</v>
      </c>
      <c r="M248" s="4" t="s">
        <v>5864</v>
      </c>
      <c r="N248" s="4" t="s">
        <v>5883</v>
      </c>
    </row>
    <row r="249" spans="1:14" ht="68" customHeight="1">
      <c r="A249" s="8" t="s">
        <v>6237</v>
      </c>
      <c r="B249" s="8" t="s">
        <v>92</v>
      </c>
      <c r="C249" s="8" t="s">
        <v>105</v>
      </c>
      <c r="D249" s="8" t="s">
        <v>2969</v>
      </c>
      <c r="E249" s="8" t="s">
        <v>41</v>
      </c>
      <c r="F249" s="8" t="s">
        <v>5912</v>
      </c>
      <c r="G249" s="8" t="s">
        <v>1008</v>
      </c>
      <c r="H249" s="8">
        <v>1</v>
      </c>
      <c r="I249" s="8">
        <v>1</v>
      </c>
      <c r="J249" s="8" t="s">
        <v>6238</v>
      </c>
      <c r="K249" s="8" t="s">
        <v>102</v>
      </c>
      <c r="L249" s="9">
        <v>46319</v>
      </c>
      <c r="M249" s="8" t="s">
        <v>5864</v>
      </c>
      <c r="N249" s="8" t="s">
        <v>5883</v>
      </c>
    </row>
    <row r="250" spans="1:14" ht="82" customHeight="1">
      <c r="A250" s="4" t="s">
        <v>6239</v>
      </c>
      <c r="B250" s="4" t="s">
        <v>92</v>
      </c>
      <c r="C250" s="4" t="s">
        <v>105</v>
      </c>
      <c r="D250" s="4" t="s">
        <v>2969</v>
      </c>
      <c r="E250" s="4" t="s">
        <v>41</v>
      </c>
      <c r="F250" s="4" t="s">
        <v>5973</v>
      </c>
      <c r="G250" s="4" t="s">
        <v>1008</v>
      </c>
      <c r="H250" s="4">
        <v>1</v>
      </c>
      <c r="I250" s="4">
        <v>1</v>
      </c>
      <c r="J250" s="4" t="s">
        <v>6240</v>
      </c>
      <c r="K250" s="4" t="s">
        <v>102</v>
      </c>
      <c r="L250" s="6">
        <v>46319</v>
      </c>
      <c r="M250" s="4" t="s">
        <v>5864</v>
      </c>
      <c r="N250" s="4" t="s">
        <v>5883</v>
      </c>
    </row>
    <row r="251" spans="1:14" ht="68" customHeight="1">
      <c r="A251" s="8" t="s">
        <v>6241</v>
      </c>
      <c r="B251" s="8" t="s">
        <v>92</v>
      </c>
      <c r="C251" s="8" t="s">
        <v>105</v>
      </c>
      <c r="D251" s="8" t="s">
        <v>2969</v>
      </c>
      <c r="E251" s="8" t="s">
        <v>41</v>
      </c>
      <c r="F251" s="8" t="s">
        <v>5976</v>
      </c>
      <c r="G251" s="8" t="s">
        <v>1008</v>
      </c>
      <c r="H251" s="8">
        <v>1</v>
      </c>
      <c r="I251" s="8">
        <v>1</v>
      </c>
      <c r="J251" s="8" t="s">
        <v>6242</v>
      </c>
      <c r="K251" s="8" t="s">
        <v>102</v>
      </c>
      <c r="L251" s="9">
        <v>46319</v>
      </c>
      <c r="M251" s="8" t="s">
        <v>5864</v>
      </c>
      <c r="N251" s="8" t="s">
        <v>5883</v>
      </c>
    </row>
    <row r="252" spans="1:14" ht="82" customHeight="1">
      <c r="A252" s="4" t="s">
        <v>6243</v>
      </c>
      <c r="B252" s="4" t="s">
        <v>92</v>
      </c>
      <c r="C252" s="4" t="s">
        <v>105</v>
      </c>
      <c r="D252" s="4" t="s">
        <v>2969</v>
      </c>
      <c r="E252" s="4" t="s">
        <v>41</v>
      </c>
      <c r="F252" s="4" t="s">
        <v>5979</v>
      </c>
      <c r="G252" s="4" t="s">
        <v>1008</v>
      </c>
      <c r="H252" s="4">
        <v>1</v>
      </c>
      <c r="I252" s="4">
        <v>1</v>
      </c>
      <c r="J252" s="4" t="s">
        <v>6244</v>
      </c>
      <c r="K252" s="4" t="s">
        <v>102</v>
      </c>
      <c r="L252" s="6">
        <v>46319</v>
      </c>
      <c r="M252" s="4" t="s">
        <v>5864</v>
      </c>
      <c r="N252" s="4" t="s">
        <v>5883</v>
      </c>
    </row>
    <row r="253" spans="1:14" ht="54" customHeight="1">
      <c r="A253" s="8" t="s">
        <v>6245</v>
      </c>
      <c r="B253" s="8" t="s">
        <v>107</v>
      </c>
      <c r="C253" s="8" t="s">
        <v>108</v>
      </c>
      <c r="D253" s="8" t="s">
        <v>5861</v>
      </c>
      <c r="E253" s="8" t="s">
        <v>41</v>
      </c>
      <c r="F253" s="8" t="s">
        <v>5862</v>
      </c>
      <c r="G253" s="8" t="s">
        <v>1051</v>
      </c>
      <c r="H253" s="8">
        <v>1</v>
      </c>
      <c r="I253" s="8">
        <v>1</v>
      </c>
      <c r="J253" s="8" t="s">
        <v>6246</v>
      </c>
      <c r="K253" s="8" t="s">
        <v>118</v>
      </c>
      <c r="L253" s="9">
        <v>46319</v>
      </c>
      <c r="M253" s="8" t="s">
        <v>5864</v>
      </c>
      <c r="N253" s="8" t="s">
        <v>5865</v>
      </c>
    </row>
    <row r="254" spans="1:14" ht="40" customHeight="1">
      <c r="A254" s="4" t="s">
        <v>6247</v>
      </c>
      <c r="B254" s="4" t="s">
        <v>107</v>
      </c>
      <c r="C254" s="4" t="s">
        <v>108</v>
      </c>
      <c r="D254" s="4" t="s">
        <v>5867</v>
      </c>
      <c r="E254" s="4" t="s">
        <v>41</v>
      </c>
      <c r="F254" s="4" t="s">
        <v>6248</v>
      </c>
      <c r="G254" s="4" t="s">
        <v>1051</v>
      </c>
      <c r="H254" s="4">
        <v>1</v>
      </c>
      <c r="I254" s="4">
        <v>1</v>
      </c>
      <c r="J254" s="4" t="s">
        <v>6249</v>
      </c>
      <c r="K254" s="4" t="s">
        <v>118</v>
      </c>
      <c r="L254" s="6">
        <v>46319</v>
      </c>
      <c r="M254" s="4" t="s">
        <v>5864</v>
      </c>
      <c r="N254" s="4" t="s">
        <v>5865</v>
      </c>
    </row>
    <row r="255" spans="1:14" ht="40" customHeight="1">
      <c r="A255" s="8" t="s">
        <v>6250</v>
      </c>
      <c r="B255" s="8" t="s">
        <v>107</v>
      </c>
      <c r="C255" s="8" t="s">
        <v>108</v>
      </c>
      <c r="D255" s="8" t="s">
        <v>637</v>
      </c>
      <c r="E255" s="8" t="s">
        <v>41</v>
      </c>
      <c r="F255" s="8" t="s">
        <v>920</v>
      </c>
      <c r="G255" s="8" t="s">
        <v>1051</v>
      </c>
      <c r="H255" s="8">
        <v>1</v>
      </c>
      <c r="I255" s="8">
        <v>1</v>
      </c>
      <c r="J255" s="8" t="s">
        <v>1049</v>
      </c>
      <c r="K255" s="8" t="s">
        <v>118</v>
      </c>
      <c r="L255" s="9">
        <v>46319</v>
      </c>
      <c r="M255" s="8" t="s">
        <v>5864</v>
      </c>
      <c r="N255" s="8" t="s">
        <v>5865</v>
      </c>
    </row>
    <row r="256" spans="1:14" ht="40" customHeight="1">
      <c r="A256" s="4" t="s">
        <v>6251</v>
      </c>
      <c r="B256" s="4" t="s">
        <v>107</v>
      </c>
      <c r="C256" s="4" t="s">
        <v>108</v>
      </c>
      <c r="D256" s="4" t="s">
        <v>637</v>
      </c>
      <c r="E256" s="4" t="s">
        <v>41</v>
      </c>
      <c r="F256" s="4" t="s">
        <v>1055</v>
      </c>
      <c r="G256" s="4" t="s">
        <v>1051</v>
      </c>
      <c r="H256" s="4">
        <v>1</v>
      </c>
      <c r="I256" s="4">
        <v>1</v>
      </c>
      <c r="J256" s="4" t="s">
        <v>1053</v>
      </c>
      <c r="K256" s="4" t="s">
        <v>118</v>
      </c>
      <c r="L256" s="6">
        <v>46319</v>
      </c>
      <c r="M256" s="4" t="s">
        <v>5864</v>
      </c>
      <c r="N256" s="4" t="s">
        <v>5870</v>
      </c>
    </row>
    <row r="257" spans="1:14" ht="40" customHeight="1">
      <c r="A257" s="8" t="s">
        <v>6252</v>
      </c>
      <c r="B257" s="8" t="s">
        <v>107</v>
      </c>
      <c r="C257" s="8" t="s">
        <v>108</v>
      </c>
      <c r="D257" s="8" t="s">
        <v>637</v>
      </c>
      <c r="E257" s="8" t="s">
        <v>41</v>
      </c>
      <c r="F257" s="8" t="s">
        <v>1059</v>
      </c>
      <c r="G257" s="8" t="s">
        <v>1051</v>
      </c>
      <c r="H257" s="8">
        <v>1</v>
      </c>
      <c r="I257" s="8">
        <v>1</v>
      </c>
      <c r="J257" s="8" t="s">
        <v>1057</v>
      </c>
      <c r="K257" s="8" t="s">
        <v>118</v>
      </c>
      <c r="L257" s="9">
        <v>46319</v>
      </c>
      <c r="M257" s="8" t="s">
        <v>5864</v>
      </c>
      <c r="N257" s="8" t="s">
        <v>5870</v>
      </c>
    </row>
    <row r="258" spans="1:14" ht="40" customHeight="1">
      <c r="A258" s="4" t="s">
        <v>6253</v>
      </c>
      <c r="B258" s="4" t="s">
        <v>107</v>
      </c>
      <c r="C258" s="4" t="s">
        <v>108</v>
      </c>
      <c r="D258" s="4" t="s">
        <v>914</v>
      </c>
      <c r="E258" s="4" t="s">
        <v>41</v>
      </c>
      <c r="F258" s="4" t="s">
        <v>1023</v>
      </c>
      <c r="G258" s="4" t="s">
        <v>1051</v>
      </c>
      <c r="H258" s="4">
        <v>1</v>
      </c>
      <c r="I258" s="4">
        <v>1</v>
      </c>
      <c r="J258" s="4" t="s">
        <v>1061</v>
      </c>
      <c r="K258" s="4" t="s">
        <v>118</v>
      </c>
      <c r="L258" s="6">
        <v>46319</v>
      </c>
      <c r="M258" s="4" t="s">
        <v>5864</v>
      </c>
      <c r="N258" s="4" t="s">
        <v>5865</v>
      </c>
    </row>
    <row r="259" spans="1:14" ht="40" customHeight="1">
      <c r="A259" s="8" t="s">
        <v>6254</v>
      </c>
      <c r="B259" s="8" t="s">
        <v>107</v>
      </c>
      <c r="C259" s="8" t="s">
        <v>108</v>
      </c>
      <c r="D259" s="8" t="s">
        <v>914</v>
      </c>
      <c r="E259" s="8" t="s">
        <v>41</v>
      </c>
      <c r="F259" s="8" t="s">
        <v>1066</v>
      </c>
      <c r="G259" s="8" t="s">
        <v>1051</v>
      </c>
      <c r="H259" s="8">
        <v>1</v>
      </c>
      <c r="I259" s="8">
        <v>1</v>
      </c>
      <c r="J259" s="8" t="s">
        <v>1064</v>
      </c>
      <c r="K259" s="8" t="s">
        <v>118</v>
      </c>
      <c r="L259" s="9">
        <v>46319</v>
      </c>
      <c r="M259" s="8" t="s">
        <v>5864</v>
      </c>
      <c r="N259" s="8" t="s">
        <v>5870</v>
      </c>
    </row>
    <row r="260" spans="1:14" ht="40" customHeight="1">
      <c r="A260" s="4" t="s">
        <v>6255</v>
      </c>
      <c r="B260" s="4" t="s">
        <v>107</v>
      </c>
      <c r="C260" s="4" t="s">
        <v>108</v>
      </c>
      <c r="D260" s="4" t="s">
        <v>914</v>
      </c>
      <c r="E260" s="4" t="s">
        <v>41</v>
      </c>
      <c r="F260" s="4" t="s">
        <v>1070</v>
      </c>
      <c r="G260" s="4" t="s">
        <v>1051</v>
      </c>
      <c r="H260" s="4">
        <v>1</v>
      </c>
      <c r="I260" s="4">
        <v>1</v>
      </c>
      <c r="J260" s="4" t="s">
        <v>1068</v>
      </c>
      <c r="K260" s="4" t="s">
        <v>118</v>
      </c>
      <c r="L260" s="6">
        <v>46319</v>
      </c>
      <c r="M260" s="4" t="s">
        <v>5864</v>
      </c>
      <c r="N260" s="4" t="s">
        <v>5870</v>
      </c>
    </row>
    <row r="261" spans="1:14" ht="40" customHeight="1">
      <c r="A261" s="8" t="s">
        <v>4962</v>
      </c>
      <c r="B261" s="8" t="s">
        <v>107</v>
      </c>
      <c r="C261" s="8" t="s">
        <v>108</v>
      </c>
      <c r="D261" s="8" t="s">
        <v>7</v>
      </c>
      <c r="E261" s="8" t="s">
        <v>41</v>
      </c>
      <c r="F261" s="8" t="s">
        <v>6212</v>
      </c>
      <c r="G261" s="8" t="s">
        <v>1051</v>
      </c>
      <c r="H261" s="8">
        <v>1</v>
      </c>
      <c r="I261" s="8">
        <v>1</v>
      </c>
      <c r="J261" s="8" t="s">
        <v>4963</v>
      </c>
      <c r="K261" s="8" t="s">
        <v>118</v>
      </c>
      <c r="L261" s="9">
        <v>46319</v>
      </c>
      <c r="M261" s="8" t="s">
        <v>5864</v>
      </c>
      <c r="N261" s="8" t="s">
        <v>5870</v>
      </c>
    </row>
    <row r="262" spans="1:14" ht="40" customHeight="1">
      <c r="A262" s="4" t="s">
        <v>4964</v>
      </c>
      <c r="B262" s="4" t="s">
        <v>107</v>
      </c>
      <c r="C262" s="4" t="s">
        <v>108</v>
      </c>
      <c r="D262" s="4" t="s">
        <v>7</v>
      </c>
      <c r="E262" s="4" t="s">
        <v>41</v>
      </c>
      <c r="F262" s="4" t="s">
        <v>6213</v>
      </c>
      <c r="G262" s="4" t="s">
        <v>1051</v>
      </c>
      <c r="H262" s="4">
        <v>1</v>
      </c>
      <c r="I262" s="4">
        <v>1</v>
      </c>
      <c r="J262" s="4" t="s">
        <v>4965</v>
      </c>
      <c r="K262" s="4" t="s">
        <v>118</v>
      </c>
      <c r="L262" s="6">
        <v>46319</v>
      </c>
      <c r="M262" s="4" t="s">
        <v>5864</v>
      </c>
      <c r="N262" s="4" t="s">
        <v>5870</v>
      </c>
    </row>
    <row r="263" spans="1:14" ht="54" customHeight="1">
      <c r="A263" s="8" t="s">
        <v>4966</v>
      </c>
      <c r="B263" s="8" t="s">
        <v>107</v>
      </c>
      <c r="C263" s="8" t="s">
        <v>108</v>
      </c>
      <c r="D263" s="8" t="s">
        <v>7</v>
      </c>
      <c r="E263" s="8" t="s">
        <v>41</v>
      </c>
      <c r="F263" s="8" t="s">
        <v>6214</v>
      </c>
      <c r="G263" s="8" t="s">
        <v>1051</v>
      </c>
      <c r="H263" s="8">
        <v>1</v>
      </c>
      <c r="I263" s="8">
        <v>1</v>
      </c>
      <c r="J263" s="8" t="s">
        <v>4967</v>
      </c>
      <c r="K263" s="8" t="s">
        <v>118</v>
      </c>
      <c r="L263" s="9">
        <v>46319</v>
      </c>
      <c r="M263" s="8" t="s">
        <v>5864</v>
      </c>
      <c r="N263" s="8" t="s">
        <v>5870</v>
      </c>
    </row>
    <row r="264" spans="1:14" ht="40" customHeight="1">
      <c r="A264" s="4" t="s">
        <v>3649</v>
      </c>
      <c r="B264" s="4" t="s">
        <v>107</v>
      </c>
      <c r="C264" s="4" t="s">
        <v>108</v>
      </c>
      <c r="D264" s="4" t="s">
        <v>5879</v>
      </c>
      <c r="E264" s="4" t="s">
        <v>41</v>
      </c>
      <c r="F264" s="4" t="s">
        <v>3463</v>
      </c>
      <c r="G264" s="4" t="s">
        <v>1051</v>
      </c>
      <c r="H264" s="4">
        <v>1</v>
      </c>
      <c r="I264" s="4">
        <v>1</v>
      </c>
      <c r="J264" s="4" t="s">
        <v>3650</v>
      </c>
      <c r="K264" s="4" t="s">
        <v>118</v>
      </c>
      <c r="L264" s="6">
        <v>46319</v>
      </c>
      <c r="M264" s="4" t="s">
        <v>5864</v>
      </c>
      <c r="N264" s="4" t="s">
        <v>5870</v>
      </c>
    </row>
    <row r="265" spans="1:14" ht="40" customHeight="1">
      <c r="A265" s="8" t="s">
        <v>3651</v>
      </c>
      <c r="B265" s="8" t="s">
        <v>107</v>
      </c>
      <c r="C265" s="8" t="s">
        <v>108</v>
      </c>
      <c r="D265" s="8" t="s">
        <v>5879</v>
      </c>
      <c r="E265" s="8" t="s">
        <v>41</v>
      </c>
      <c r="F265" s="8" t="s">
        <v>3485</v>
      </c>
      <c r="G265" s="8" t="s">
        <v>1051</v>
      </c>
      <c r="H265" s="8">
        <v>1</v>
      </c>
      <c r="I265" s="8">
        <v>1</v>
      </c>
      <c r="J265" s="8" t="s">
        <v>3652</v>
      </c>
      <c r="K265" s="8" t="s">
        <v>118</v>
      </c>
      <c r="L265" s="9">
        <v>46319</v>
      </c>
      <c r="M265" s="8" t="s">
        <v>5864</v>
      </c>
      <c r="N265" s="8" t="s">
        <v>5870</v>
      </c>
    </row>
    <row r="266" spans="1:14" ht="40" customHeight="1">
      <c r="A266" s="4" t="s">
        <v>3653</v>
      </c>
      <c r="B266" s="4" t="s">
        <v>107</v>
      </c>
      <c r="C266" s="4" t="s">
        <v>108</v>
      </c>
      <c r="D266" s="4" t="s">
        <v>5879</v>
      </c>
      <c r="E266" s="4" t="s">
        <v>41</v>
      </c>
      <c r="F266" s="4" t="s">
        <v>3655</v>
      </c>
      <c r="G266" s="4" t="s">
        <v>1051</v>
      </c>
      <c r="H266" s="4">
        <v>1</v>
      </c>
      <c r="I266" s="4">
        <v>1</v>
      </c>
      <c r="J266" s="4" t="s">
        <v>3654</v>
      </c>
      <c r="K266" s="4" t="s">
        <v>118</v>
      </c>
      <c r="L266" s="6">
        <v>46319</v>
      </c>
      <c r="M266" s="4" t="s">
        <v>5864</v>
      </c>
      <c r="N266" s="4" t="s">
        <v>5870</v>
      </c>
    </row>
    <row r="267" spans="1:14" ht="40" customHeight="1">
      <c r="A267" s="8" t="s">
        <v>3656</v>
      </c>
      <c r="B267" s="8" t="s">
        <v>107</v>
      </c>
      <c r="C267" s="8" t="s">
        <v>108</v>
      </c>
      <c r="D267" s="8" t="s">
        <v>5879</v>
      </c>
      <c r="E267" s="8" t="s">
        <v>41</v>
      </c>
      <c r="F267" s="8" t="s">
        <v>3494</v>
      </c>
      <c r="G267" s="8" t="s">
        <v>1051</v>
      </c>
      <c r="H267" s="8">
        <v>1</v>
      </c>
      <c r="I267" s="8">
        <v>1</v>
      </c>
      <c r="J267" s="8" t="s">
        <v>3657</v>
      </c>
      <c r="K267" s="8" t="s">
        <v>118</v>
      </c>
      <c r="L267" s="9">
        <v>46319</v>
      </c>
      <c r="M267" s="8" t="s">
        <v>5864</v>
      </c>
      <c r="N267" s="8" t="s">
        <v>5870</v>
      </c>
    </row>
    <row r="268" spans="1:14" ht="40" customHeight="1">
      <c r="A268" s="4" t="s">
        <v>3658</v>
      </c>
      <c r="B268" s="4" t="s">
        <v>107</v>
      </c>
      <c r="C268" s="4" t="s">
        <v>108</v>
      </c>
      <c r="D268" s="4" t="s">
        <v>5879</v>
      </c>
      <c r="E268" s="4" t="s">
        <v>41</v>
      </c>
      <c r="F268" s="4" t="s">
        <v>3497</v>
      </c>
      <c r="G268" s="4" t="s">
        <v>1051</v>
      </c>
      <c r="H268" s="4">
        <v>1</v>
      </c>
      <c r="I268" s="4">
        <v>1</v>
      </c>
      <c r="J268" s="4" t="s">
        <v>3659</v>
      </c>
      <c r="K268" s="4" t="s">
        <v>118</v>
      </c>
      <c r="L268" s="6">
        <v>46319</v>
      </c>
      <c r="M268" s="4" t="s">
        <v>5864</v>
      </c>
      <c r="N268" s="4" t="s">
        <v>5870</v>
      </c>
    </row>
    <row r="269" spans="1:14" ht="40" customHeight="1">
      <c r="A269" s="8" t="s">
        <v>3660</v>
      </c>
      <c r="B269" s="8" t="s">
        <v>107</v>
      </c>
      <c r="C269" s="8" t="s">
        <v>108</v>
      </c>
      <c r="D269" s="8" t="s">
        <v>5879</v>
      </c>
      <c r="E269" s="8" t="s">
        <v>41</v>
      </c>
      <c r="F269" s="8" t="s">
        <v>3588</v>
      </c>
      <c r="G269" s="8" t="s">
        <v>1051</v>
      </c>
      <c r="H269" s="8">
        <v>1</v>
      </c>
      <c r="I269" s="8">
        <v>1</v>
      </c>
      <c r="J269" s="8" t="s">
        <v>3661</v>
      </c>
      <c r="K269" s="8" t="s">
        <v>118</v>
      </c>
      <c r="L269" s="9">
        <v>46319</v>
      </c>
      <c r="M269" s="8" t="s">
        <v>5864</v>
      </c>
      <c r="N269" s="8" t="s">
        <v>5870</v>
      </c>
    </row>
    <row r="270" spans="1:14" ht="40" customHeight="1">
      <c r="A270" s="4" t="s">
        <v>3662</v>
      </c>
      <c r="B270" s="4" t="s">
        <v>107</v>
      </c>
      <c r="C270" s="4" t="s">
        <v>108</v>
      </c>
      <c r="D270" s="4" t="s">
        <v>5879</v>
      </c>
      <c r="E270" s="4" t="s">
        <v>41</v>
      </c>
      <c r="F270" s="4" t="s">
        <v>3664</v>
      </c>
      <c r="G270" s="4" t="s">
        <v>1051</v>
      </c>
      <c r="H270" s="4">
        <v>1</v>
      </c>
      <c r="I270" s="4">
        <v>1</v>
      </c>
      <c r="J270" s="4" t="s">
        <v>3663</v>
      </c>
      <c r="K270" s="4" t="s">
        <v>118</v>
      </c>
      <c r="L270" s="6">
        <v>46319</v>
      </c>
      <c r="M270" s="4" t="s">
        <v>5864</v>
      </c>
      <c r="N270" s="4" t="s">
        <v>5870</v>
      </c>
    </row>
    <row r="271" spans="1:14" ht="40" customHeight="1">
      <c r="A271" s="8" t="s">
        <v>3665</v>
      </c>
      <c r="B271" s="8" t="s">
        <v>107</v>
      </c>
      <c r="C271" s="8" t="s">
        <v>108</v>
      </c>
      <c r="D271" s="8" t="s">
        <v>5879</v>
      </c>
      <c r="E271" s="8" t="s">
        <v>41</v>
      </c>
      <c r="F271" s="8" t="s">
        <v>3667</v>
      </c>
      <c r="G271" s="8" t="s">
        <v>1051</v>
      </c>
      <c r="H271" s="8">
        <v>1</v>
      </c>
      <c r="I271" s="8">
        <v>1</v>
      </c>
      <c r="J271" s="8" t="s">
        <v>3666</v>
      </c>
      <c r="K271" s="8" t="s">
        <v>118</v>
      </c>
      <c r="L271" s="9">
        <v>46319</v>
      </c>
      <c r="M271" s="8" t="s">
        <v>5864</v>
      </c>
      <c r="N271" s="8" t="s">
        <v>5870</v>
      </c>
    </row>
    <row r="272" spans="1:14" ht="54" customHeight="1">
      <c r="A272" s="4" t="s">
        <v>3668</v>
      </c>
      <c r="B272" s="4" t="s">
        <v>107</v>
      </c>
      <c r="C272" s="4" t="s">
        <v>108</v>
      </c>
      <c r="D272" s="4" t="s">
        <v>5879</v>
      </c>
      <c r="E272" s="4" t="s">
        <v>41</v>
      </c>
      <c r="F272" s="4" t="s">
        <v>3670</v>
      </c>
      <c r="G272" s="4" t="s">
        <v>1051</v>
      </c>
      <c r="H272" s="4">
        <v>1</v>
      </c>
      <c r="I272" s="4">
        <v>1</v>
      </c>
      <c r="J272" s="4" t="s">
        <v>3669</v>
      </c>
      <c r="K272" s="4" t="s">
        <v>118</v>
      </c>
      <c r="L272" s="6">
        <v>46319</v>
      </c>
      <c r="M272" s="4" t="s">
        <v>5864</v>
      </c>
      <c r="N272" s="4" t="s">
        <v>5870</v>
      </c>
    </row>
    <row r="273" spans="1:14" ht="54" customHeight="1">
      <c r="A273" s="8" t="s">
        <v>3671</v>
      </c>
      <c r="B273" s="8" t="s">
        <v>107</v>
      </c>
      <c r="C273" s="8" t="s">
        <v>108</v>
      </c>
      <c r="D273" s="8" t="s">
        <v>5879</v>
      </c>
      <c r="E273" s="8" t="s">
        <v>41</v>
      </c>
      <c r="F273" s="8" t="s">
        <v>3673</v>
      </c>
      <c r="G273" s="8" t="s">
        <v>1051</v>
      </c>
      <c r="H273" s="8">
        <v>1</v>
      </c>
      <c r="I273" s="8">
        <v>1</v>
      </c>
      <c r="J273" s="8" t="s">
        <v>3672</v>
      </c>
      <c r="K273" s="8" t="s">
        <v>118</v>
      </c>
      <c r="L273" s="9">
        <v>46319</v>
      </c>
      <c r="M273" s="8" t="s">
        <v>5864</v>
      </c>
      <c r="N273" s="8" t="s">
        <v>5870</v>
      </c>
    </row>
    <row r="274" spans="1:14" ht="54" customHeight="1">
      <c r="A274" s="4" t="s">
        <v>3674</v>
      </c>
      <c r="B274" s="4" t="s">
        <v>107</v>
      </c>
      <c r="C274" s="4" t="s">
        <v>108</v>
      </c>
      <c r="D274" s="4" t="s">
        <v>5879</v>
      </c>
      <c r="E274" s="4" t="s">
        <v>41</v>
      </c>
      <c r="F274" s="4" t="s">
        <v>3676</v>
      </c>
      <c r="G274" s="4" t="s">
        <v>1051</v>
      </c>
      <c r="H274" s="4">
        <v>1</v>
      </c>
      <c r="I274" s="4">
        <v>1</v>
      </c>
      <c r="J274" s="4" t="s">
        <v>3675</v>
      </c>
      <c r="K274" s="4" t="s">
        <v>118</v>
      </c>
      <c r="L274" s="6">
        <v>46319</v>
      </c>
      <c r="M274" s="4" t="s">
        <v>5864</v>
      </c>
      <c r="N274" s="4" t="s">
        <v>5870</v>
      </c>
    </row>
    <row r="275" spans="1:14" ht="40" customHeight="1">
      <c r="A275" s="8" t="s">
        <v>3677</v>
      </c>
      <c r="B275" s="8" t="s">
        <v>107</v>
      </c>
      <c r="C275" s="8" t="s">
        <v>108</v>
      </c>
      <c r="D275" s="8" t="s">
        <v>5879</v>
      </c>
      <c r="E275" s="8" t="s">
        <v>41</v>
      </c>
      <c r="F275" s="8" t="s">
        <v>3679</v>
      </c>
      <c r="G275" s="8" t="s">
        <v>1051</v>
      </c>
      <c r="H275" s="8">
        <v>1</v>
      </c>
      <c r="I275" s="8">
        <v>1</v>
      </c>
      <c r="J275" s="8" t="s">
        <v>3678</v>
      </c>
      <c r="K275" s="8" t="s">
        <v>118</v>
      </c>
      <c r="L275" s="9">
        <v>46319</v>
      </c>
      <c r="M275" s="8" t="s">
        <v>5864</v>
      </c>
      <c r="N275" s="8" t="s">
        <v>5870</v>
      </c>
    </row>
    <row r="276" spans="1:14" ht="54" customHeight="1">
      <c r="A276" s="4" t="s">
        <v>3680</v>
      </c>
      <c r="B276" s="4" t="s">
        <v>107</v>
      </c>
      <c r="C276" s="4" t="s">
        <v>108</v>
      </c>
      <c r="D276" s="4" t="s">
        <v>5879</v>
      </c>
      <c r="E276" s="4" t="s">
        <v>41</v>
      </c>
      <c r="F276" s="4" t="s">
        <v>3682</v>
      </c>
      <c r="G276" s="4" t="s">
        <v>1051</v>
      </c>
      <c r="H276" s="4">
        <v>1</v>
      </c>
      <c r="I276" s="4">
        <v>1</v>
      </c>
      <c r="J276" s="4" t="s">
        <v>3681</v>
      </c>
      <c r="K276" s="4" t="s">
        <v>118</v>
      </c>
      <c r="L276" s="6">
        <v>46319</v>
      </c>
      <c r="M276" s="4" t="s">
        <v>5864</v>
      </c>
      <c r="N276" s="4" t="s">
        <v>5870</v>
      </c>
    </row>
    <row r="277" spans="1:14" ht="40" customHeight="1">
      <c r="A277" s="8" t="s">
        <v>3683</v>
      </c>
      <c r="B277" s="8" t="s">
        <v>107</v>
      </c>
      <c r="C277" s="8" t="s">
        <v>108</v>
      </c>
      <c r="D277" s="8" t="s">
        <v>5879</v>
      </c>
      <c r="E277" s="8" t="s">
        <v>41</v>
      </c>
      <c r="F277" s="8" t="s">
        <v>3685</v>
      </c>
      <c r="G277" s="8" t="s">
        <v>1051</v>
      </c>
      <c r="H277" s="8">
        <v>1</v>
      </c>
      <c r="I277" s="8">
        <v>1</v>
      </c>
      <c r="J277" s="8" t="s">
        <v>3684</v>
      </c>
      <c r="K277" s="8" t="s">
        <v>118</v>
      </c>
      <c r="L277" s="9">
        <v>46319</v>
      </c>
      <c r="M277" s="8" t="s">
        <v>5864</v>
      </c>
      <c r="N277" s="8" t="s">
        <v>5870</v>
      </c>
    </row>
    <row r="278" spans="1:14" ht="40" customHeight="1">
      <c r="A278" s="4" t="s">
        <v>3686</v>
      </c>
      <c r="B278" s="4" t="s">
        <v>107</v>
      </c>
      <c r="C278" s="4" t="s">
        <v>108</v>
      </c>
      <c r="D278" s="4" t="s">
        <v>5879</v>
      </c>
      <c r="E278" s="4" t="s">
        <v>41</v>
      </c>
      <c r="F278" s="4" t="s">
        <v>3688</v>
      </c>
      <c r="G278" s="4" t="s">
        <v>1051</v>
      </c>
      <c r="H278" s="4">
        <v>1</v>
      </c>
      <c r="I278" s="4">
        <v>1</v>
      </c>
      <c r="J278" s="4" t="s">
        <v>3687</v>
      </c>
      <c r="K278" s="4" t="s">
        <v>118</v>
      </c>
      <c r="L278" s="6">
        <v>46319</v>
      </c>
      <c r="M278" s="4" t="s">
        <v>5864</v>
      </c>
      <c r="N278" s="4" t="s">
        <v>5870</v>
      </c>
    </row>
    <row r="279" spans="1:14" ht="54" customHeight="1">
      <c r="A279" s="8" t="s">
        <v>6256</v>
      </c>
      <c r="B279" s="8" t="s">
        <v>107</v>
      </c>
      <c r="C279" s="8" t="s">
        <v>108</v>
      </c>
      <c r="D279" s="8" t="s">
        <v>2969</v>
      </c>
      <c r="E279" s="8" t="s">
        <v>41</v>
      </c>
      <c r="F279" s="8" t="s">
        <v>5881</v>
      </c>
      <c r="G279" s="8" t="s">
        <v>1051</v>
      </c>
      <c r="H279" s="8">
        <v>1</v>
      </c>
      <c r="I279" s="8">
        <v>1</v>
      </c>
      <c r="J279" s="8" t="s">
        <v>6257</v>
      </c>
      <c r="K279" s="8" t="s">
        <v>118</v>
      </c>
      <c r="L279" s="9">
        <v>46319</v>
      </c>
      <c r="M279" s="8" t="s">
        <v>5864</v>
      </c>
      <c r="N279" s="8" t="s">
        <v>5883</v>
      </c>
    </row>
    <row r="280" spans="1:14" ht="68" customHeight="1">
      <c r="A280" s="4" t="s">
        <v>6258</v>
      </c>
      <c r="B280" s="4" t="s">
        <v>107</v>
      </c>
      <c r="C280" s="4" t="s">
        <v>108</v>
      </c>
      <c r="D280" s="4" t="s">
        <v>2969</v>
      </c>
      <c r="E280" s="4" t="s">
        <v>41</v>
      </c>
      <c r="F280" s="4" t="s">
        <v>5885</v>
      </c>
      <c r="G280" s="4" t="s">
        <v>1051</v>
      </c>
      <c r="H280" s="4">
        <v>1</v>
      </c>
      <c r="I280" s="4">
        <v>1</v>
      </c>
      <c r="J280" s="4" t="s">
        <v>6259</v>
      </c>
      <c r="K280" s="4" t="s">
        <v>118</v>
      </c>
      <c r="L280" s="6">
        <v>46319</v>
      </c>
      <c r="M280" s="4" t="s">
        <v>5864</v>
      </c>
      <c r="N280" s="4" t="s">
        <v>5883</v>
      </c>
    </row>
    <row r="281" spans="1:14" ht="96" customHeight="1">
      <c r="A281" s="8" t="s">
        <v>6260</v>
      </c>
      <c r="B281" s="8" t="s">
        <v>107</v>
      </c>
      <c r="C281" s="8" t="s">
        <v>108</v>
      </c>
      <c r="D281" s="8" t="s">
        <v>2969</v>
      </c>
      <c r="E281" s="8" t="s">
        <v>41</v>
      </c>
      <c r="F281" s="8" t="s">
        <v>5888</v>
      </c>
      <c r="G281" s="8" t="s">
        <v>1051</v>
      </c>
      <c r="H281" s="8">
        <v>1</v>
      </c>
      <c r="I281" s="8">
        <v>1</v>
      </c>
      <c r="J281" s="8" t="s">
        <v>6261</v>
      </c>
      <c r="K281" s="8" t="s">
        <v>118</v>
      </c>
      <c r="L281" s="9">
        <v>46319</v>
      </c>
      <c r="M281" s="8" t="s">
        <v>5864</v>
      </c>
      <c r="N281" s="8" t="s">
        <v>5883</v>
      </c>
    </row>
    <row r="282" spans="1:14" ht="110" customHeight="1">
      <c r="A282" s="4" t="s">
        <v>6262</v>
      </c>
      <c r="B282" s="4" t="s">
        <v>121</v>
      </c>
      <c r="C282" s="4" t="s">
        <v>134</v>
      </c>
      <c r="D282" s="4" t="s">
        <v>5861</v>
      </c>
      <c r="E282" s="4" t="s">
        <v>41</v>
      </c>
      <c r="F282" s="4" t="s">
        <v>5862</v>
      </c>
      <c r="G282" s="4" t="s">
        <v>1074</v>
      </c>
      <c r="H282" s="4">
        <v>1</v>
      </c>
      <c r="I282" s="4">
        <v>1</v>
      </c>
      <c r="J282" s="4" t="s">
        <v>6263</v>
      </c>
      <c r="K282" s="4" t="s">
        <v>132</v>
      </c>
      <c r="L282" s="6">
        <v>46319</v>
      </c>
      <c r="M282" s="4" t="s">
        <v>5864</v>
      </c>
      <c r="N282" s="4" t="s">
        <v>5865</v>
      </c>
    </row>
    <row r="283" spans="1:14" ht="40" customHeight="1">
      <c r="A283" s="8" t="s">
        <v>6264</v>
      </c>
      <c r="B283" s="8" t="s">
        <v>121</v>
      </c>
      <c r="C283" s="8" t="s">
        <v>134</v>
      </c>
      <c r="D283" s="8" t="s">
        <v>5867</v>
      </c>
      <c r="E283" s="8" t="s">
        <v>41</v>
      </c>
      <c r="F283" s="8" t="s">
        <v>5868</v>
      </c>
      <c r="G283" s="8" t="s">
        <v>1074</v>
      </c>
      <c r="H283" s="8">
        <v>1</v>
      </c>
      <c r="I283" s="8">
        <v>1</v>
      </c>
      <c r="J283" s="8" t="s">
        <v>6265</v>
      </c>
      <c r="K283" s="8" t="s">
        <v>132</v>
      </c>
      <c r="L283" s="9">
        <v>46319</v>
      </c>
      <c r="M283" s="8" t="s">
        <v>5864</v>
      </c>
      <c r="N283" s="8" t="s">
        <v>5870</v>
      </c>
    </row>
    <row r="284" spans="1:14" ht="40" customHeight="1">
      <c r="A284" s="4" t="s">
        <v>6266</v>
      </c>
      <c r="B284" s="4" t="s">
        <v>121</v>
      </c>
      <c r="C284" s="4" t="s">
        <v>134</v>
      </c>
      <c r="D284" s="4" t="s">
        <v>5867</v>
      </c>
      <c r="E284" s="4" t="s">
        <v>41</v>
      </c>
      <c r="F284" s="4" t="s">
        <v>5872</v>
      </c>
      <c r="G284" s="4" t="s">
        <v>1074</v>
      </c>
      <c r="H284" s="4">
        <v>1</v>
      </c>
      <c r="I284" s="4">
        <v>1</v>
      </c>
      <c r="J284" s="4" t="s">
        <v>6267</v>
      </c>
      <c r="K284" s="4" t="s">
        <v>132</v>
      </c>
      <c r="L284" s="6">
        <v>46319</v>
      </c>
      <c r="M284" s="4" t="s">
        <v>5864</v>
      </c>
      <c r="N284" s="4" t="s">
        <v>5870</v>
      </c>
    </row>
    <row r="285" spans="1:14" ht="40" customHeight="1">
      <c r="A285" s="8" t="s">
        <v>6268</v>
      </c>
      <c r="B285" s="8" t="s">
        <v>121</v>
      </c>
      <c r="C285" s="8" t="s">
        <v>134</v>
      </c>
      <c r="D285" s="8" t="s">
        <v>637</v>
      </c>
      <c r="E285" s="8" t="s">
        <v>41</v>
      </c>
      <c r="F285" s="8" t="s">
        <v>904</v>
      </c>
      <c r="G285" s="8" t="s">
        <v>1074</v>
      </c>
      <c r="H285" s="8">
        <v>1</v>
      </c>
      <c r="I285" s="8">
        <v>1</v>
      </c>
      <c r="J285" s="8" t="s">
        <v>1072</v>
      </c>
      <c r="K285" s="8" t="s">
        <v>132</v>
      </c>
      <c r="L285" s="9">
        <v>46319</v>
      </c>
      <c r="M285" s="8" t="s">
        <v>5864</v>
      </c>
      <c r="N285" s="8" t="s">
        <v>5870</v>
      </c>
    </row>
    <row r="286" spans="1:14" ht="40" customHeight="1">
      <c r="A286" s="4" t="s">
        <v>6269</v>
      </c>
      <c r="B286" s="4" t="s">
        <v>121</v>
      </c>
      <c r="C286" s="4" t="s">
        <v>134</v>
      </c>
      <c r="D286" s="4" t="s">
        <v>637</v>
      </c>
      <c r="E286" s="4" t="s">
        <v>41</v>
      </c>
      <c r="F286" s="4" t="s">
        <v>912</v>
      </c>
      <c r="G286" s="4" t="s">
        <v>1074</v>
      </c>
      <c r="H286" s="4">
        <v>1</v>
      </c>
      <c r="I286" s="4">
        <v>1</v>
      </c>
      <c r="J286" s="4" t="s">
        <v>1076</v>
      </c>
      <c r="K286" s="4" t="s">
        <v>132</v>
      </c>
      <c r="L286" s="6">
        <v>46319</v>
      </c>
      <c r="M286" s="4" t="s">
        <v>5864</v>
      </c>
      <c r="N286" s="4" t="s">
        <v>5870</v>
      </c>
    </row>
    <row r="287" spans="1:14" ht="40" customHeight="1">
      <c r="A287" s="8" t="s">
        <v>6270</v>
      </c>
      <c r="B287" s="8" t="s">
        <v>121</v>
      </c>
      <c r="C287" s="8" t="s">
        <v>134</v>
      </c>
      <c r="D287" s="8" t="s">
        <v>637</v>
      </c>
      <c r="E287" s="8" t="s">
        <v>41</v>
      </c>
      <c r="F287" s="8" t="s">
        <v>1015</v>
      </c>
      <c r="G287" s="8" t="s">
        <v>1074</v>
      </c>
      <c r="H287" s="8">
        <v>1</v>
      </c>
      <c r="I287" s="8">
        <v>1</v>
      </c>
      <c r="J287" s="8" t="s">
        <v>1079</v>
      </c>
      <c r="K287" s="8" t="s">
        <v>132</v>
      </c>
      <c r="L287" s="9">
        <v>46319</v>
      </c>
      <c r="M287" s="8" t="s">
        <v>5864</v>
      </c>
      <c r="N287" s="8" t="s">
        <v>5870</v>
      </c>
    </row>
    <row r="288" spans="1:14" ht="40" customHeight="1">
      <c r="A288" s="4" t="s">
        <v>6271</v>
      </c>
      <c r="B288" s="4" t="s">
        <v>121</v>
      </c>
      <c r="C288" s="4" t="s">
        <v>134</v>
      </c>
      <c r="D288" s="4" t="s">
        <v>637</v>
      </c>
      <c r="E288" s="4" t="s">
        <v>41</v>
      </c>
      <c r="F288" s="4" t="s">
        <v>1019</v>
      </c>
      <c r="G288" s="4" t="s">
        <v>1074</v>
      </c>
      <c r="H288" s="4">
        <v>1</v>
      </c>
      <c r="I288" s="4">
        <v>1</v>
      </c>
      <c r="J288" s="4" t="s">
        <v>1082</v>
      </c>
      <c r="K288" s="4" t="s">
        <v>132</v>
      </c>
      <c r="L288" s="6">
        <v>46319</v>
      </c>
      <c r="M288" s="4" t="s">
        <v>5864</v>
      </c>
      <c r="N288" s="4" t="s">
        <v>5870</v>
      </c>
    </row>
    <row r="289" spans="1:14" ht="40" customHeight="1">
      <c r="A289" s="8" t="s">
        <v>6272</v>
      </c>
      <c r="B289" s="8" t="s">
        <v>121</v>
      </c>
      <c r="C289" s="8" t="s">
        <v>134</v>
      </c>
      <c r="D289" s="8" t="s">
        <v>637</v>
      </c>
      <c r="E289" s="8" t="s">
        <v>41</v>
      </c>
      <c r="F289" s="8" t="s">
        <v>1087</v>
      </c>
      <c r="G289" s="8" t="s">
        <v>1074</v>
      </c>
      <c r="H289" s="8">
        <v>1</v>
      </c>
      <c r="I289" s="8">
        <v>1</v>
      </c>
      <c r="J289" s="8" t="s">
        <v>1085</v>
      </c>
      <c r="K289" s="8" t="s">
        <v>132</v>
      </c>
      <c r="L289" s="9">
        <v>46319</v>
      </c>
      <c r="M289" s="8" t="s">
        <v>5864</v>
      </c>
      <c r="N289" s="8" t="s">
        <v>5865</v>
      </c>
    </row>
    <row r="290" spans="1:14" ht="40" customHeight="1">
      <c r="A290" s="4" t="s">
        <v>6273</v>
      </c>
      <c r="B290" s="4" t="s">
        <v>121</v>
      </c>
      <c r="C290" s="4" t="s">
        <v>134</v>
      </c>
      <c r="D290" s="4" t="s">
        <v>637</v>
      </c>
      <c r="E290" s="4" t="s">
        <v>41</v>
      </c>
      <c r="F290" s="4" t="s">
        <v>1091</v>
      </c>
      <c r="G290" s="4" t="s">
        <v>1074</v>
      </c>
      <c r="H290" s="4">
        <v>1</v>
      </c>
      <c r="I290" s="4">
        <v>1</v>
      </c>
      <c r="J290" s="4" t="s">
        <v>1089</v>
      </c>
      <c r="K290" s="4" t="s">
        <v>132</v>
      </c>
      <c r="L290" s="6">
        <v>46319</v>
      </c>
      <c r="M290" s="4" t="s">
        <v>5864</v>
      </c>
      <c r="N290" s="4" t="s">
        <v>5865</v>
      </c>
    </row>
    <row r="291" spans="1:14" ht="40" customHeight="1">
      <c r="A291" s="8" t="s">
        <v>6274</v>
      </c>
      <c r="B291" s="8" t="s">
        <v>121</v>
      </c>
      <c r="C291" s="8" t="s">
        <v>134</v>
      </c>
      <c r="D291" s="8" t="s">
        <v>637</v>
      </c>
      <c r="E291" s="8" t="s">
        <v>41</v>
      </c>
      <c r="F291" s="8" t="s">
        <v>1095</v>
      </c>
      <c r="G291" s="8" t="s">
        <v>1074</v>
      </c>
      <c r="H291" s="8">
        <v>1</v>
      </c>
      <c r="I291" s="8">
        <v>1</v>
      </c>
      <c r="J291" s="8" t="s">
        <v>1093</v>
      </c>
      <c r="K291" s="8" t="s">
        <v>132</v>
      </c>
      <c r="L291" s="9">
        <v>46319</v>
      </c>
      <c r="M291" s="8" t="s">
        <v>5864</v>
      </c>
      <c r="N291" s="8" t="s">
        <v>5865</v>
      </c>
    </row>
    <row r="292" spans="1:14" ht="40" customHeight="1">
      <c r="A292" s="4" t="s">
        <v>6275</v>
      </c>
      <c r="B292" s="4" t="s">
        <v>121</v>
      </c>
      <c r="C292" s="4" t="s">
        <v>134</v>
      </c>
      <c r="D292" s="4" t="s">
        <v>637</v>
      </c>
      <c r="E292" s="4" t="s">
        <v>41</v>
      </c>
      <c r="F292" s="4" t="s">
        <v>1099</v>
      </c>
      <c r="G292" s="4" t="s">
        <v>1074</v>
      </c>
      <c r="H292" s="4">
        <v>1</v>
      </c>
      <c r="I292" s="4">
        <v>1</v>
      </c>
      <c r="J292" s="4" t="s">
        <v>1097</v>
      </c>
      <c r="K292" s="4" t="s">
        <v>132</v>
      </c>
      <c r="L292" s="6">
        <v>46319</v>
      </c>
      <c r="M292" s="4" t="s">
        <v>5864</v>
      </c>
      <c r="N292" s="4" t="s">
        <v>5865</v>
      </c>
    </row>
    <row r="293" spans="1:14" ht="40" customHeight="1">
      <c r="A293" s="8" t="s">
        <v>6276</v>
      </c>
      <c r="B293" s="8" t="s">
        <v>121</v>
      </c>
      <c r="C293" s="8" t="s">
        <v>134</v>
      </c>
      <c r="D293" s="8" t="s">
        <v>637</v>
      </c>
      <c r="E293" s="8" t="s">
        <v>41</v>
      </c>
      <c r="F293" s="8" t="s">
        <v>1103</v>
      </c>
      <c r="G293" s="8" t="s">
        <v>1074</v>
      </c>
      <c r="H293" s="8">
        <v>1</v>
      </c>
      <c r="I293" s="8">
        <v>1</v>
      </c>
      <c r="J293" s="8" t="s">
        <v>1101</v>
      </c>
      <c r="K293" s="8" t="s">
        <v>132</v>
      </c>
      <c r="L293" s="9">
        <v>46319</v>
      </c>
      <c r="M293" s="8" t="s">
        <v>5864</v>
      </c>
      <c r="N293" s="8" t="s">
        <v>5865</v>
      </c>
    </row>
    <row r="294" spans="1:14" ht="40" customHeight="1">
      <c r="A294" s="4" t="s">
        <v>6277</v>
      </c>
      <c r="B294" s="4" t="s">
        <v>121</v>
      </c>
      <c r="C294" s="4" t="s">
        <v>134</v>
      </c>
      <c r="D294" s="4" t="s">
        <v>637</v>
      </c>
      <c r="E294" s="4" t="s">
        <v>41</v>
      </c>
      <c r="F294" s="4" t="s">
        <v>1107</v>
      </c>
      <c r="G294" s="4" t="s">
        <v>1074</v>
      </c>
      <c r="H294" s="4">
        <v>1</v>
      </c>
      <c r="I294" s="4">
        <v>1</v>
      </c>
      <c r="J294" s="4" t="s">
        <v>1105</v>
      </c>
      <c r="K294" s="4" t="s">
        <v>132</v>
      </c>
      <c r="L294" s="6">
        <v>46319</v>
      </c>
      <c r="M294" s="4" t="s">
        <v>5864</v>
      </c>
      <c r="N294" s="4" t="s">
        <v>5865</v>
      </c>
    </row>
    <row r="295" spans="1:14" ht="40" customHeight="1">
      <c r="A295" s="8" t="s">
        <v>6278</v>
      </c>
      <c r="B295" s="8" t="s">
        <v>121</v>
      </c>
      <c r="C295" s="8" t="s">
        <v>134</v>
      </c>
      <c r="D295" s="8" t="s">
        <v>637</v>
      </c>
      <c r="E295" s="8" t="s">
        <v>41</v>
      </c>
      <c r="F295" s="8" t="s">
        <v>1111</v>
      </c>
      <c r="G295" s="8" t="s">
        <v>1074</v>
      </c>
      <c r="H295" s="8">
        <v>1</v>
      </c>
      <c r="I295" s="8">
        <v>1</v>
      </c>
      <c r="J295" s="8" t="s">
        <v>1109</v>
      </c>
      <c r="K295" s="8" t="s">
        <v>132</v>
      </c>
      <c r="L295" s="9">
        <v>46319</v>
      </c>
      <c r="M295" s="8" t="s">
        <v>5864</v>
      </c>
      <c r="N295" s="8" t="s">
        <v>5865</v>
      </c>
    </row>
    <row r="296" spans="1:14" ht="40" customHeight="1">
      <c r="A296" s="4" t="s">
        <v>6279</v>
      </c>
      <c r="B296" s="4" t="s">
        <v>121</v>
      </c>
      <c r="C296" s="4" t="s">
        <v>134</v>
      </c>
      <c r="D296" s="4" t="s">
        <v>637</v>
      </c>
      <c r="E296" s="4" t="s">
        <v>41</v>
      </c>
      <c r="F296" s="4" t="s">
        <v>1115</v>
      </c>
      <c r="G296" s="4" t="s">
        <v>1074</v>
      </c>
      <c r="H296" s="4">
        <v>1</v>
      </c>
      <c r="I296" s="4">
        <v>1</v>
      </c>
      <c r="J296" s="4" t="s">
        <v>1113</v>
      </c>
      <c r="K296" s="4" t="s">
        <v>132</v>
      </c>
      <c r="L296" s="6">
        <v>46319</v>
      </c>
      <c r="M296" s="4" t="s">
        <v>5864</v>
      </c>
      <c r="N296" s="4" t="s">
        <v>5865</v>
      </c>
    </row>
    <row r="297" spans="1:14" ht="40" customHeight="1">
      <c r="A297" s="8" t="s">
        <v>6280</v>
      </c>
      <c r="B297" s="8" t="s">
        <v>121</v>
      </c>
      <c r="C297" s="8" t="s">
        <v>134</v>
      </c>
      <c r="D297" s="8" t="s">
        <v>637</v>
      </c>
      <c r="E297" s="8" t="s">
        <v>41</v>
      </c>
      <c r="F297" s="8" t="s">
        <v>1119</v>
      </c>
      <c r="G297" s="8" t="s">
        <v>1074</v>
      </c>
      <c r="H297" s="8">
        <v>1</v>
      </c>
      <c r="I297" s="8">
        <v>1</v>
      </c>
      <c r="J297" s="8" t="s">
        <v>1117</v>
      </c>
      <c r="K297" s="8" t="s">
        <v>132</v>
      </c>
      <c r="L297" s="9">
        <v>46319</v>
      </c>
      <c r="M297" s="8" t="s">
        <v>5864</v>
      </c>
      <c r="N297" s="8" t="s">
        <v>5865</v>
      </c>
    </row>
    <row r="298" spans="1:14" ht="40" customHeight="1">
      <c r="A298" s="4" t="s">
        <v>6281</v>
      </c>
      <c r="B298" s="4" t="s">
        <v>121</v>
      </c>
      <c r="C298" s="4" t="s">
        <v>134</v>
      </c>
      <c r="D298" s="4" t="s">
        <v>637</v>
      </c>
      <c r="E298" s="4" t="s">
        <v>41</v>
      </c>
      <c r="F298" s="4" t="s">
        <v>1123</v>
      </c>
      <c r="G298" s="4" t="s">
        <v>1074</v>
      </c>
      <c r="H298" s="4">
        <v>1</v>
      </c>
      <c r="I298" s="4">
        <v>1</v>
      </c>
      <c r="J298" s="4" t="s">
        <v>1121</v>
      </c>
      <c r="K298" s="4" t="s">
        <v>132</v>
      </c>
      <c r="L298" s="6">
        <v>46319</v>
      </c>
      <c r="M298" s="4" t="s">
        <v>5864</v>
      </c>
      <c r="N298" s="4" t="s">
        <v>5865</v>
      </c>
    </row>
    <row r="299" spans="1:14" ht="40" customHeight="1">
      <c r="A299" s="8" t="s">
        <v>6282</v>
      </c>
      <c r="B299" s="8" t="s">
        <v>121</v>
      </c>
      <c r="C299" s="8" t="s">
        <v>134</v>
      </c>
      <c r="D299" s="8" t="s">
        <v>637</v>
      </c>
      <c r="E299" s="8" t="s">
        <v>41</v>
      </c>
      <c r="F299" s="8" t="s">
        <v>1127</v>
      </c>
      <c r="G299" s="8" t="s">
        <v>1074</v>
      </c>
      <c r="H299" s="8">
        <v>1</v>
      </c>
      <c r="I299" s="8">
        <v>1</v>
      </c>
      <c r="J299" s="8" t="s">
        <v>1125</v>
      </c>
      <c r="K299" s="8" t="s">
        <v>132</v>
      </c>
      <c r="L299" s="9">
        <v>46319</v>
      </c>
      <c r="M299" s="8" t="s">
        <v>5864</v>
      </c>
      <c r="N299" s="8" t="s">
        <v>5865</v>
      </c>
    </row>
    <row r="300" spans="1:14" ht="40" customHeight="1">
      <c r="A300" s="4" t="s">
        <v>6283</v>
      </c>
      <c r="B300" s="4" t="s">
        <v>121</v>
      </c>
      <c r="C300" s="4" t="s">
        <v>134</v>
      </c>
      <c r="D300" s="4" t="s">
        <v>637</v>
      </c>
      <c r="E300" s="4" t="s">
        <v>41</v>
      </c>
      <c r="F300" s="4" t="s">
        <v>1131</v>
      </c>
      <c r="G300" s="4" t="s">
        <v>1074</v>
      </c>
      <c r="H300" s="4">
        <v>1</v>
      </c>
      <c r="I300" s="4">
        <v>1</v>
      </c>
      <c r="J300" s="4" t="s">
        <v>1129</v>
      </c>
      <c r="K300" s="4" t="s">
        <v>132</v>
      </c>
      <c r="L300" s="6">
        <v>46319</v>
      </c>
      <c r="M300" s="4" t="s">
        <v>5864</v>
      </c>
      <c r="N300" s="4" t="s">
        <v>5865</v>
      </c>
    </row>
    <row r="301" spans="1:14" ht="40" customHeight="1">
      <c r="A301" s="8" t="s">
        <v>4968</v>
      </c>
      <c r="B301" s="8" t="s">
        <v>121</v>
      </c>
      <c r="C301" s="8" t="s">
        <v>134</v>
      </c>
      <c r="D301" s="8" t="s">
        <v>7</v>
      </c>
      <c r="E301" s="8" t="s">
        <v>41</v>
      </c>
      <c r="F301" s="8" t="s">
        <v>6212</v>
      </c>
      <c r="G301" s="8" t="s">
        <v>1074</v>
      </c>
      <c r="H301" s="8">
        <v>1</v>
      </c>
      <c r="I301" s="8">
        <v>1</v>
      </c>
      <c r="J301" s="8" t="s">
        <v>4969</v>
      </c>
      <c r="K301" s="8" t="s">
        <v>132</v>
      </c>
      <c r="L301" s="9">
        <v>46319</v>
      </c>
      <c r="M301" s="8" t="s">
        <v>5864</v>
      </c>
      <c r="N301" s="8" t="s">
        <v>5870</v>
      </c>
    </row>
    <row r="302" spans="1:14" ht="40" customHeight="1">
      <c r="A302" s="4" t="s">
        <v>4970</v>
      </c>
      <c r="B302" s="4" t="s">
        <v>121</v>
      </c>
      <c r="C302" s="4" t="s">
        <v>134</v>
      </c>
      <c r="D302" s="4" t="s">
        <v>7</v>
      </c>
      <c r="E302" s="4" t="s">
        <v>41</v>
      </c>
      <c r="F302" s="4" t="s">
        <v>6213</v>
      </c>
      <c r="G302" s="4" t="s">
        <v>1074</v>
      </c>
      <c r="H302" s="4">
        <v>1</v>
      </c>
      <c r="I302" s="4">
        <v>1</v>
      </c>
      <c r="J302" s="4" t="s">
        <v>4971</v>
      </c>
      <c r="K302" s="4" t="s">
        <v>132</v>
      </c>
      <c r="L302" s="6">
        <v>46319</v>
      </c>
      <c r="M302" s="4" t="s">
        <v>5864</v>
      </c>
      <c r="N302" s="4" t="s">
        <v>5870</v>
      </c>
    </row>
    <row r="303" spans="1:14" ht="40" customHeight="1">
      <c r="A303" s="8" t="s">
        <v>4972</v>
      </c>
      <c r="B303" s="8" t="s">
        <v>121</v>
      </c>
      <c r="C303" s="8" t="s">
        <v>134</v>
      </c>
      <c r="D303" s="8" t="s">
        <v>7</v>
      </c>
      <c r="E303" s="8" t="s">
        <v>41</v>
      </c>
      <c r="F303" s="8" t="s">
        <v>6214</v>
      </c>
      <c r="G303" s="8" t="s">
        <v>1074</v>
      </c>
      <c r="H303" s="8">
        <v>1</v>
      </c>
      <c r="I303" s="8">
        <v>1</v>
      </c>
      <c r="J303" s="8" t="s">
        <v>4973</v>
      </c>
      <c r="K303" s="8" t="s">
        <v>132</v>
      </c>
      <c r="L303" s="9">
        <v>46319</v>
      </c>
      <c r="M303" s="8" t="s">
        <v>5864</v>
      </c>
      <c r="N303" s="8" t="s">
        <v>5870</v>
      </c>
    </row>
    <row r="304" spans="1:14" ht="40" customHeight="1">
      <c r="A304" s="4" t="s">
        <v>4974</v>
      </c>
      <c r="B304" s="4" t="s">
        <v>121</v>
      </c>
      <c r="C304" s="4" t="s">
        <v>134</v>
      </c>
      <c r="D304" s="4" t="s">
        <v>7</v>
      </c>
      <c r="E304" s="4" t="s">
        <v>41</v>
      </c>
      <c r="F304" s="4" t="s">
        <v>6215</v>
      </c>
      <c r="G304" s="4" t="s">
        <v>1074</v>
      </c>
      <c r="H304" s="4">
        <v>1</v>
      </c>
      <c r="I304" s="4">
        <v>1</v>
      </c>
      <c r="J304" s="4" t="s">
        <v>4975</v>
      </c>
      <c r="K304" s="4" t="s">
        <v>132</v>
      </c>
      <c r="L304" s="6">
        <v>46319</v>
      </c>
      <c r="M304" s="4" t="s">
        <v>5864</v>
      </c>
      <c r="N304" s="4" t="s">
        <v>5870</v>
      </c>
    </row>
    <row r="305" spans="1:14" ht="40" customHeight="1">
      <c r="A305" s="8" t="s">
        <v>4976</v>
      </c>
      <c r="B305" s="8" t="s">
        <v>121</v>
      </c>
      <c r="C305" s="8" t="s">
        <v>134</v>
      </c>
      <c r="D305" s="8" t="s">
        <v>7</v>
      </c>
      <c r="E305" s="8" t="s">
        <v>41</v>
      </c>
      <c r="F305" s="8" t="s">
        <v>6216</v>
      </c>
      <c r="G305" s="8" t="s">
        <v>1074</v>
      </c>
      <c r="H305" s="8">
        <v>1</v>
      </c>
      <c r="I305" s="8">
        <v>1</v>
      </c>
      <c r="J305" s="8" t="s">
        <v>4977</v>
      </c>
      <c r="K305" s="8" t="s">
        <v>132</v>
      </c>
      <c r="L305" s="9">
        <v>46319</v>
      </c>
      <c r="M305" s="8" t="s">
        <v>5864</v>
      </c>
      <c r="N305" s="8" t="s">
        <v>5870</v>
      </c>
    </row>
    <row r="306" spans="1:14" ht="40" customHeight="1">
      <c r="A306" s="4" t="s">
        <v>4978</v>
      </c>
      <c r="B306" s="4" t="s">
        <v>121</v>
      </c>
      <c r="C306" s="4" t="s">
        <v>134</v>
      </c>
      <c r="D306" s="4" t="s">
        <v>7</v>
      </c>
      <c r="E306" s="4" t="s">
        <v>41</v>
      </c>
      <c r="F306" s="4" t="s">
        <v>6284</v>
      </c>
      <c r="G306" s="4" t="s">
        <v>1074</v>
      </c>
      <c r="H306" s="4">
        <v>1</v>
      </c>
      <c r="I306" s="4">
        <v>1</v>
      </c>
      <c r="J306" s="4" t="s">
        <v>4979</v>
      </c>
      <c r="K306" s="4" t="s">
        <v>132</v>
      </c>
      <c r="L306" s="6">
        <v>46319</v>
      </c>
      <c r="M306" s="4" t="s">
        <v>5864</v>
      </c>
      <c r="N306" s="4" t="s">
        <v>5870</v>
      </c>
    </row>
    <row r="307" spans="1:14" ht="40" customHeight="1">
      <c r="A307" s="8" t="s">
        <v>4980</v>
      </c>
      <c r="B307" s="8" t="s">
        <v>121</v>
      </c>
      <c r="C307" s="8" t="s">
        <v>134</v>
      </c>
      <c r="D307" s="8" t="s">
        <v>7</v>
      </c>
      <c r="E307" s="8" t="s">
        <v>41</v>
      </c>
      <c r="F307" s="8" t="s">
        <v>6285</v>
      </c>
      <c r="G307" s="8" t="s">
        <v>1074</v>
      </c>
      <c r="H307" s="8">
        <v>1</v>
      </c>
      <c r="I307" s="8">
        <v>1</v>
      </c>
      <c r="J307" s="8" t="s">
        <v>4981</v>
      </c>
      <c r="K307" s="8" t="s">
        <v>132</v>
      </c>
      <c r="L307" s="9">
        <v>46319</v>
      </c>
      <c r="M307" s="8" t="s">
        <v>5864</v>
      </c>
      <c r="N307" s="8" t="s">
        <v>5870</v>
      </c>
    </row>
    <row r="308" spans="1:14" ht="40" customHeight="1">
      <c r="A308" s="4" t="s">
        <v>4982</v>
      </c>
      <c r="B308" s="4" t="s">
        <v>121</v>
      </c>
      <c r="C308" s="4" t="s">
        <v>134</v>
      </c>
      <c r="D308" s="4" t="s">
        <v>7</v>
      </c>
      <c r="E308" s="4" t="s">
        <v>41</v>
      </c>
      <c r="F308" s="4" t="s">
        <v>6286</v>
      </c>
      <c r="G308" s="4" t="s">
        <v>1074</v>
      </c>
      <c r="H308" s="4">
        <v>1</v>
      </c>
      <c r="I308" s="4">
        <v>1</v>
      </c>
      <c r="J308" s="4" t="s">
        <v>4983</v>
      </c>
      <c r="K308" s="4" t="s">
        <v>132</v>
      </c>
      <c r="L308" s="6">
        <v>46319</v>
      </c>
      <c r="M308" s="4" t="s">
        <v>5864</v>
      </c>
      <c r="N308" s="4" t="s">
        <v>5870</v>
      </c>
    </row>
    <row r="309" spans="1:14" ht="40" customHeight="1">
      <c r="A309" s="8" t="s">
        <v>4984</v>
      </c>
      <c r="B309" s="8" t="s">
        <v>121</v>
      </c>
      <c r="C309" s="8" t="s">
        <v>134</v>
      </c>
      <c r="D309" s="8" t="s">
        <v>7</v>
      </c>
      <c r="E309" s="8" t="s">
        <v>41</v>
      </c>
      <c r="F309" s="8" t="s">
        <v>6287</v>
      </c>
      <c r="G309" s="8" t="s">
        <v>1074</v>
      </c>
      <c r="H309" s="8">
        <v>1</v>
      </c>
      <c r="I309" s="8">
        <v>1</v>
      </c>
      <c r="J309" s="8" t="s">
        <v>4985</v>
      </c>
      <c r="K309" s="8" t="s">
        <v>132</v>
      </c>
      <c r="L309" s="9">
        <v>46319</v>
      </c>
      <c r="M309" s="8" t="s">
        <v>5864</v>
      </c>
      <c r="N309" s="8" t="s">
        <v>5870</v>
      </c>
    </row>
    <row r="310" spans="1:14" ht="40" customHeight="1">
      <c r="A310" s="4" t="s">
        <v>4986</v>
      </c>
      <c r="B310" s="4" t="s">
        <v>121</v>
      </c>
      <c r="C310" s="4" t="s">
        <v>134</v>
      </c>
      <c r="D310" s="4" t="s">
        <v>7</v>
      </c>
      <c r="E310" s="4" t="s">
        <v>41</v>
      </c>
      <c r="F310" s="4" t="s">
        <v>6288</v>
      </c>
      <c r="G310" s="4" t="s">
        <v>1074</v>
      </c>
      <c r="H310" s="4">
        <v>1</v>
      </c>
      <c r="I310" s="4">
        <v>1</v>
      </c>
      <c r="J310" s="4" t="s">
        <v>4987</v>
      </c>
      <c r="K310" s="4" t="s">
        <v>132</v>
      </c>
      <c r="L310" s="6">
        <v>46319</v>
      </c>
      <c r="M310" s="4" t="s">
        <v>5864</v>
      </c>
      <c r="N310" s="4" t="s">
        <v>5870</v>
      </c>
    </row>
    <row r="311" spans="1:14" ht="40" customHeight="1">
      <c r="A311" s="8" t="s">
        <v>4988</v>
      </c>
      <c r="B311" s="8" t="s">
        <v>121</v>
      </c>
      <c r="C311" s="8" t="s">
        <v>134</v>
      </c>
      <c r="D311" s="8" t="s">
        <v>7</v>
      </c>
      <c r="E311" s="8" t="s">
        <v>41</v>
      </c>
      <c r="F311" s="8" t="s">
        <v>6289</v>
      </c>
      <c r="G311" s="8" t="s">
        <v>1074</v>
      </c>
      <c r="H311" s="8">
        <v>1</v>
      </c>
      <c r="I311" s="8">
        <v>1</v>
      </c>
      <c r="J311" s="8" t="s">
        <v>4989</v>
      </c>
      <c r="K311" s="8" t="s">
        <v>132</v>
      </c>
      <c r="L311" s="9">
        <v>46319</v>
      </c>
      <c r="M311" s="8" t="s">
        <v>5864</v>
      </c>
      <c r="N311" s="8" t="s">
        <v>5870</v>
      </c>
    </row>
    <row r="312" spans="1:14" ht="54" customHeight="1">
      <c r="A312" s="4" t="s">
        <v>3689</v>
      </c>
      <c r="B312" s="4" t="s">
        <v>121</v>
      </c>
      <c r="C312" s="4" t="s">
        <v>134</v>
      </c>
      <c r="D312" s="4" t="s">
        <v>5879</v>
      </c>
      <c r="E312" s="4" t="s">
        <v>41</v>
      </c>
      <c r="F312" s="4" t="s">
        <v>3449</v>
      </c>
      <c r="G312" s="4" t="s">
        <v>1074</v>
      </c>
      <c r="H312" s="4">
        <v>1</v>
      </c>
      <c r="I312" s="4">
        <v>1</v>
      </c>
      <c r="J312" s="4" t="s">
        <v>3690</v>
      </c>
      <c r="K312" s="4" t="s">
        <v>132</v>
      </c>
      <c r="L312" s="6">
        <v>46319</v>
      </c>
      <c r="M312" s="4" t="s">
        <v>5864</v>
      </c>
      <c r="N312" s="4" t="s">
        <v>5865</v>
      </c>
    </row>
    <row r="313" spans="1:14" ht="40" customHeight="1">
      <c r="A313" s="8" t="s">
        <v>3691</v>
      </c>
      <c r="B313" s="8" t="s">
        <v>121</v>
      </c>
      <c r="C313" s="8" t="s">
        <v>134</v>
      </c>
      <c r="D313" s="8" t="s">
        <v>5879</v>
      </c>
      <c r="E313" s="8" t="s">
        <v>41</v>
      </c>
      <c r="F313" s="8" t="s">
        <v>3466</v>
      </c>
      <c r="G313" s="8" t="s">
        <v>1074</v>
      </c>
      <c r="H313" s="8">
        <v>1</v>
      </c>
      <c r="I313" s="8">
        <v>1</v>
      </c>
      <c r="J313" s="8" t="s">
        <v>3692</v>
      </c>
      <c r="K313" s="8" t="s">
        <v>132</v>
      </c>
      <c r="L313" s="9">
        <v>46319</v>
      </c>
      <c r="M313" s="8" t="s">
        <v>5864</v>
      </c>
      <c r="N313" s="8" t="s">
        <v>5865</v>
      </c>
    </row>
    <row r="314" spans="1:14" ht="40" customHeight="1">
      <c r="A314" s="4" t="s">
        <v>3693</v>
      </c>
      <c r="B314" s="4" t="s">
        <v>121</v>
      </c>
      <c r="C314" s="4" t="s">
        <v>134</v>
      </c>
      <c r="D314" s="4" t="s">
        <v>5879</v>
      </c>
      <c r="E314" s="4" t="s">
        <v>41</v>
      </c>
      <c r="F314" s="4" t="s">
        <v>3469</v>
      </c>
      <c r="G314" s="4" t="s">
        <v>1074</v>
      </c>
      <c r="H314" s="4">
        <v>1</v>
      </c>
      <c r="I314" s="4">
        <v>1</v>
      </c>
      <c r="J314" s="4" t="s">
        <v>3694</v>
      </c>
      <c r="K314" s="4" t="s">
        <v>132</v>
      </c>
      <c r="L314" s="6">
        <v>46319</v>
      </c>
      <c r="M314" s="4" t="s">
        <v>5864</v>
      </c>
      <c r="N314" s="4" t="s">
        <v>5865</v>
      </c>
    </row>
    <row r="315" spans="1:14" ht="40" customHeight="1">
      <c r="A315" s="8" t="s">
        <v>3695</v>
      </c>
      <c r="B315" s="8" t="s">
        <v>121</v>
      </c>
      <c r="C315" s="8" t="s">
        <v>134</v>
      </c>
      <c r="D315" s="8" t="s">
        <v>5879</v>
      </c>
      <c r="E315" s="8" t="s">
        <v>41</v>
      </c>
      <c r="F315" s="8" t="s">
        <v>3472</v>
      </c>
      <c r="G315" s="8" t="s">
        <v>1074</v>
      </c>
      <c r="H315" s="8">
        <v>1</v>
      </c>
      <c r="I315" s="8">
        <v>1</v>
      </c>
      <c r="J315" s="8" t="s">
        <v>3696</v>
      </c>
      <c r="K315" s="8" t="s">
        <v>132</v>
      </c>
      <c r="L315" s="9">
        <v>46319</v>
      </c>
      <c r="M315" s="8" t="s">
        <v>5864</v>
      </c>
      <c r="N315" s="8" t="s">
        <v>5865</v>
      </c>
    </row>
    <row r="316" spans="1:14" ht="40" customHeight="1">
      <c r="A316" s="4" t="s">
        <v>3697</v>
      </c>
      <c r="B316" s="4" t="s">
        <v>121</v>
      </c>
      <c r="C316" s="4" t="s">
        <v>134</v>
      </c>
      <c r="D316" s="4" t="s">
        <v>5879</v>
      </c>
      <c r="E316" s="4" t="s">
        <v>41</v>
      </c>
      <c r="F316" s="4" t="s">
        <v>3698</v>
      </c>
      <c r="G316" s="4" t="s">
        <v>1074</v>
      </c>
      <c r="H316" s="4">
        <v>1</v>
      </c>
      <c r="I316" s="4">
        <v>1</v>
      </c>
      <c r="J316" s="4" t="s">
        <v>2792</v>
      </c>
      <c r="K316" s="4" t="s">
        <v>132</v>
      </c>
      <c r="L316" s="6">
        <v>46319</v>
      </c>
      <c r="M316" s="4" t="s">
        <v>5864</v>
      </c>
      <c r="N316" s="4" t="s">
        <v>6087</v>
      </c>
    </row>
    <row r="317" spans="1:14" ht="40" customHeight="1">
      <c r="A317" s="8" t="s">
        <v>3699</v>
      </c>
      <c r="B317" s="8" t="s">
        <v>121</v>
      </c>
      <c r="C317" s="8" t="s">
        <v>134</v>
      </c>
      <c r="D317" s="8" t="s">
        <v>5879</v>
      </c>
      <c r="E317" s="8" t="s">
        <v>41</v>
      </c>
      <c r="F317" s="8" t="s">
        <v>3701</v>
      </c>
      <c r="G317" s="8" t="s">
        <v>1074</v>
      </c>
      <c r="H317" s="8">
        <v>1</v>
      </c>
      <c r="I317" s="8">
        <v>1</v>
      </c>
      <c r="J317" s="8" t="s">
        <v>3700</v>
      </c>
      <c r="K317" s="8" t="s">
        <v>132</v>
      </c>
      <c r="L317" s="9">
        <v>46319</v>
      </c>
      <c r="M317" s="8" t="s">
        <v>5864</v>
      </c>
      <c r="N317" s="8" t="s">
        <v>5865</v>
      </c>
    </row>
    <row r="318" spans="1:14" ht="54" customHeight="1">
      <c r="A318" s="4" t="s">
        <v>3702</v>
      </c>
      <c r="B318" s="4" t="s">
        <v>121</v>
      </c>
      <c r="C318" s="4" t="s">
        <v>134</v>
      </c>
      <c r="D318" s="4" t="s">
        <v>5879</v>
      </c>
      <c r="E318" s="4" t="s">
        <v>41</v>
      </c>
      <c r="F318" s="4" t="s">
        <v>3704</v>
      </c>
      <c r="G318" s="4" t="s">
        <v>1074</v>
      </c>
      <c r="H318" s="4">
        <v>1</v>
      </c>
      <c r="I318" s="4">
        <v>1</v>
      </c>
      <c r="J318" s="4" t="s">
        <v>3703</v>
      </c>
      <c r="K318" s="4" t="s">
        <v>132</v>
      </c>
      <c r="L318" s="6">
        <v>46319</v>
      </c>
      <c r="M318" s="4" t="s">
        <v>5864</v>
      </c>
      <c r="N318" s="4" t="s">
        <v>5865</v>
      </c>
    </row>
    <row r="319" spans="1:14" ht="54" customHeight="1">
      <c r="A319" s="8" t="s">
        <v>3705</v>
      </c>
      <c r="B319" s="8" t="s">
        <v>121</v>
      </c>
      <c r="C319" s="8" t="s">
        <v>134</v>
      </c>
      <c r="D319" s="8" t="s">
        <v>5879</v>
      </c>
      <c r="E319" s="8" t="s">
        <v>41</v>
      </c>
      <c r="F319" s="8" t="s">
        <v>3707</v>
      </c>
      <c r="G319" s="8" t="s">
        <v>1074</v>
      </c>
      <c r="H319" s="8">
        <v>1</v>
      </c>
      <c r="I319" s="8">
        <v>1</v>
      </c>
      <c r="J319" s="8" t="s">
        <v>3706</v>
      </c>
      <c r="K319" s="8" t="s">
        <v>132</v>
      </c>
      <c r="L319" s="9">
        <v>46319</v>
      </c>
      <c r="M319" s="8" t="s">
        <v>5864</v>
      </c>
      <c r="N319" s="8" t="s">
        <v>5865</v>
      </c>
    </row>
    <row r="320" spans="1:14" ht="68" customHeight="1">
      <c r="A320" s="4" t="s">
        <v>3708</v>
      </c>
      <c r="B320" s="4" t="s">
        <v>121</v>
      </c>
      <c r="C320" s="4" t="s">
        <v>134</v>
      </c>
      <c r="D320" s="4" t="s">
        <v>5879</v>
      </c>
      <c r="E320" s="4" t="s">
        <v>41</v>
      </c>
      <c r="F320" s="4" t="s">
        <v>3710</v>
      </c>
      <c r="G320" s="4" t="s">
        <v>1074</v>
      </c>
      <c r="H320" s="4">
        <v>1</v>
      </c>
      <c r="I320" s="4">
        <v>1</v>
      </c>
      <c r="J320" s="4" t="s">
        <v>3709</v>
      </c>
      <c r="K320" s="4" t="s">
        <v>132</v>
      </c>
      <c r="L320" s="6">
        <v>46319</v>
      </c>
      <c r="M320" s="4" t="s">
        <v>5864</v>
      </c>
      <c r="N320" s="4" t="s">
        <v>5865</v>
      </c>
    </row>
    <row r="321" spans="1:14" ht="54" customHeight="1">
      <c r="A321" s="8" t="s">
        <v>3711</v>
      </c>
      <c r="B321" s="8" t="s">
        <v>121</v>
      </c>
      <c r="C321" s="8" t="s">
        <v>134</v>
      </c>
      <c r="D321" s="8" t="s">
        <v>5879</v>
      </c>
      <c r="E321" s="8" t="s">
        <v>41</v>
      </c>
      <c r="F321" s="8" t="s">
        <v>3713</v>
      </c>
      <c r="G321" s="8" t="s">
        <v>1074</v>
      </c>
      <c r="H321" s="8">
        <v>1</v>
      </c>
      <c r="I321" s="8">
        <v>1</v>
      </c>
      <c r="J321" s="8" t="s">
        <v>3712</v>
      </c>
      <c r="K321" s="8" t="s">
        <v>132</v>
      </c>
      <c r="L321" s="9">
        <v>46319</v>
      </c>
      <c r="M321" s="8" t="s">
        <v>5864</v>
      </c>
      <c r="N321" s="8" t="s">
        <v>5865</v>
      </c>
    </row>
    <row r="322" spans="1:14" ht="40" customHeight="1">
      <c r="A322" s="4" t="s">
        <v>3714</v>
      </c>
      <c r="B322" s="4" t="s">
        <v>121</v>
      </c>
      <c r="C322" s="4" t="s">
        <v>134</v>
      </c>
      <c r="D322" s="4" t="s">
        <v>5879</v>
      </c>
      <c r="E322" s="4" t="s">
        <v>41</v>
      </c>
      <c r="F322" s="4" t="s">
        <v>3716</v>
      </c>
      <c r="G322" s="4" t="s">
        <v>1074</v>
      </c>
      <c r="H322" s="4">
        <v>1</v>
      </c>
      <c r="I322" s="4">
        <v>1</v>
      </c>
      <c r="J322" s="4" t="s">
        <v>3715</v>
      </c>
      <c r="K322" s="4" t="s">
        <v>132</v>
      </c>
      <c r="L322" s="6">
        <v>46319</v>
      </c>
      <c r="M322" s="4" t="s">
        <v>5864</v>
      </c>
      <c r="N322" s="4" t="s">
        <v>5865</v>
      </c>
    </row>
    <row r="323" spans="1:14" ht="40" customHeight="1">
      <c r="A323" s="8" t="s">
        <v>3717</v>
      </c>
      <c r="B323" s="8" t="s">
        <v>121</v>
      </c>
      <c r="C323" s="8" t="s">
        <v>134</v>
      </c>
      <c r="D323" s="8" t="s">
        <v>5879</v>
      </c>
      <c r="E323" s="8" t="s">
        <v>41</v>
      </c>
      <c r="F323" s="8" t="s">
        <v>3719</v>
      </c>
      <c r="G323" s="8" t="s">
        <v>1074</v>
      </c>
      <c r="H323" s="8">
        <v>1</v>
      </c>
      <c r="I323" s="8">
        <v>1</v>
      </c>
      <c r="J323" s="8" t="s">
        <v>3718</v>
      </c>
      <c r="K323" s="8" t="s">
        <v>132</v>
      </c>
      <c r="L323" s="9">
        <v>46319</v>
      </c>
      <c r="M323" s="8" t="s">
        <v>5864</v>
      </c>
      <c r="N323" s="8" t="s">
        <v>5865</v>
      </c>
    </row>
    <row r="324" spans="1:14" ht="40" customHeight="1">
      <c r="A324" s="4" t="s">
        <v>3720</v>
      </c>
      <c r="B324" s="4" t="s">
        <v>121</v>
      </c>
      <c r="C324" s="4" t="s">
        <v>134</v>
      </c>
      <c r="D324" s="4" t="s">
        <v>5879</v>
      </c>
      <c r="E324" s="4" t="s">
        <v>41</v>
      </c>
      <c r="F324" s="4" t="s">
        <v>3722</v>
      </c>
      <c r="G324" s="4" t="s">
        <v>1074</v>
      </c>
      <c r="H324" s="4">
        <v>1</v>
      </c>
      <c r="I324" s="4">
        <v>1</v>
      </c>
      <c r="J324" s="4" t="s">
        <v>3721</v>
      </c>
      <c r="K324" s="4" t="s">
        <v>132</v>
      </c>
      <c r="L324" s="6">
        <v>46319</v>
      </c>
      <c r="M324" s="4" t="s">
        <v>5864</v>
      </c>
      <c r="N324" s="4" t="s">
        <v>5865</v>
      </c>
    </row>
    <row r="325" spans="1:14" ht="40" customHeight="1">
      <c r="A325" s="8" t="s">
        <v>3723</v>
      </c>
      <c r="B325" s="8" t="s">
        <v>121</v>
      </c>
      <c r="C325" s="8" t="s">
        <v>134</v>
      </c>
      <c r="D325" s="8" t="s">
        <v>5879</v>
      </c>
      <c r="E325" s="8" t="s">
        <v>41</v>
      </c>
      <c r="F325" s="8" t="s">
        <v>3725</v>
      </c>
      <c r="G325" s="8" t="s">
        <v>1074</v>
      </c>
      <c r="H325" s="8">
        <v>1</v>
      </c>
      <c r="I325" s="8">
        <v>1</v>
      </c>
      <c r="J325" s="8" t="s">
        <v>3724</v>
      </c>
      <c r="K325" s="8" t="s">
        <v>132</v>
      </c>
      <c r="L325" s="9">
        <v>46319</v>
      </c>
      <c r="M325" s="8" t="s">
        <v>5864</v>
      </c>
      <c r="N325" s="8" t="s">
        <v>5865</v>
      </c>
    </row>
    <row r="326" spans="1:14" ht="40" customHeight="1">
      <c r="A326" s="4" t="s">
        <v>3726</v>
      </c>
      <c r="B326" s="4" t="s">
        <v>121</v>
      </c>
      <c r="C326" s="4" t="s">
        <v>134</v>
      </c>
      <c r="D326" s="4" t="s">
        <v>5879</v>
      </c>
      <c r="E326" s="4" t="s">
        <v>41</v>
      </c>
      <c r="F326" s="4" t="s">
        <v>3728</v>
      </c>
      <c r="G326" s="4" t="s">
        <v>1074</v>
      </c>
      <c r="H326" s="4">
        <v>1</v>
      </c>
      <c r="I326" s="4">
        <v>1</v>
      </c>
      <c r="J326" s="4" t="s">
        <v>3727</v>
      </c>
      <c r="K326" s="4" t="s">
        <v>132</v>
      </c>
      <c r="L326" s="6">
        <v>46319</v>
      </c>
      <c r="M326" s="4" t="s">
        <v>5864</v>
      </c>
      <c r="N326" s="4" t="s">
        <v>5865</v>
      </c>
    </row>
    <row r="327" spans="1:14" ht="54" customHeight="1">
      <c r="A327" s="8" t="s">
        <v>3729</v>
      </c>
      <c r="B327" s="8" t="s">
        <v>121</v>
      </c>
      <c r="C327" s="8" t="s">
        <v>134</v>
      </c>
      <c r="D327" s="8" t="s">
        <v>5879</v>
      </c>
      <c r="E327" s="8" t="s">
        <v>41</v>
      </c>
      <c r="F327" s="8" t="s">
        <v>3731</v>
      </c>
      <c r="G327" s="8" t="s">
        <v>1074</v>
      </c>
      <c r="H327" s="8">
        <v>1</v>
      </c>
      <c r="I327" s="8">
        <v>1</v>
      </c>
      <c r="J327" s="8" t="s">
        <v>3730</v>
      </c>
      <c r="K327" s="8" t="s">
        <v>132</v>
      </c>
      <c r="L327" s="9">
        <v>46319</v>
      </c>
      <c r="M327" s="8" t="s">
        <v>5864</v>
      </c>
      <c r="N327" s="8" t="s">
        <v>5865</v>
      </c>
    </row>
    <row r="328" spans="1:14" ht="40" customHeight="1">
      <c r="A328" s="4" t="s">
        <v>3732</v>
      </c>
      <c r="B328" s="4" t="s">
        <v>121</v>
      </c>
      <c r="C328" s="4" t="s">
        <v>134</v>
      </c>
      <c r="D328" s="4" t="s">
        <v>5879</v>
      </c>
      <c r="E328" s="4" t="s">
        <v>41</v>
      </c>
      <c r="F328" s="4" t="s">
        <v>3734</v>
      </c>
      <c r="G328" s="4" t="s">
        <v>1074</v>
      </c>
      <c r="H328" s="4">
        <v>1</v>
      </c>
      <c r="I328" s="4">
        <v>1</v>
      </c>
      <c r="J328" s="4" t="s">
        <v>3733</v>
      </c>
      <c r="K328" s="4" t="s">
        <v>132</v>
      </c>
      <c r="L328" s="6">
        <v>46319</v>
      </c>
      <c r="M328" s="4" t="s">
        <v>5864</v>
      </c>
      <c r="N328" s="4" t="s">
        <v>5865</v>
      </c>
    </row>
    <row r="329" spans="1:14" ht="68" customHeight="1">
      <c r="A329" s="8" t="s">
        <v>3735</v>
      </c>
      <c r="B329" s="8" t="s">
        <v>121</v>
      </c>
      <c r="C329" s="8" t="s">
        <v>134</v>
      </c>
      <c r="D329" s="8" t="s">
        <v>5879</v>
      </c>
      <c r="E329" s="8" t="s">
        <v>41</v>
      </c>
      <c r="F329" s="8" t="s">
        <v>3737</v>
      </c>
      <c r="G329" s="8" t="s">
        <v>1074</v>
      </c>
      <c r="H329" s="8">
        <v>1</v>
      </c>
      <c r="I329" s="8">
        <v>1</v>
      </c>
      <c r="J329" s="8" t="s">
        <v>3736</v>
      </c>
      <c r="K329" s="8" t="s">
        <v>132</v>
      </c>
      <c r="L329" s="9">
        <v>46319</v>
      </c>
      <c r="M329" s="8" t="s">
        <v>5864</v>
      </c>
      <c r="N329" s="8" t="s">
        <v>5865</v>
      </c>
    </row>
    <row r="330" spans="1:14" ht="40" customHeight="1">
      <c r="A330" s="4" t="s">
        <v>3738</v>
      </c>
      <c r="B330" s="4" t="s">
        <v>121</v>
      </c>
      <c r="C330" s="4" t="s">
        <v>134</v>
      </c>
      <c r="D330" s="4" t="s">
        <v>5879</v>
      </c>
      <c r="E330" s="4" t="s">
        <v>41</v>
      </c>
      <c r="F330" s="4" t="s">
        <v>3740</v>
      </c>
      <c r="G330" s="4" t="s">
        <v>1074</v>
      </c>
      <c r="H330" s="4">
        <v>1</v>
      </c>
      <c r="I330" s="4">
        <v>1</v>
      </c>
      <c r="J330" s="4" t="s">
        <v>3739</v>
      </c>
      <c r="K330" s="4" t="s">
        <v>132</v>
      </c>
      <c r="L330" s="6">
        <v>46319</v>
      </c>
      <c r="M330" s="4" t="s">
        <v>5864</v>
      </c>
      <c r="N330" s="4" t="s">
        <v>5865</v>
      </c>
    </row>
    <row r="331" spans="1:14" ht="54" customHeight="1">
      <c r="A331" s="8" t="s">
        <v>3741</v>
      </c>
      <c r="B331" s="8" t="s">
        <v>121</v>
      </c>
      <c r="C331" s="8" t="s">
        <v>134</v>
      </c>
      <c r="D331" s="8" t="s">
        <v>5879</v>
      </c>
      <c r="E331" s="8" t="s">
        <v>41</v>
      </c>
      <c r="F331" s="8" t="s">
        <v>3743</v>
      </c>
      <c r="G331" s="8" t="s">
        <v>1074</v>
      </c>
      <c r="H331" s="8">
        <v>1</v>
      </c>
      <c r="I331" s="8">
        <v>1</v>
      </c>
      <c r="J331" s="8" t="s">
        <v>3742</v>
      </c>
      <c r="K331" s="8" t="s">
        <v>132</v>
      </c>
      <c r="L331" s="9">
        <v>46319</v>
      </c>
      <c r="M331" s="8" t="s">
        <v>5864</v>
      </c>
      <c r="N331" s="8" t="s">
        <v>5865</v>
      </c>
    </row>
    <row r="332" spans="1:14" ht="40" customHeight="1">
      <c r="A332" s="4" t="s">
        <v>3744</v>
      </c>
      <c r="B332" s="4" t="s">
        <v>121</v>
      </c>
      <c r="C332" s="4" t="s">
        <v>134</v>
      </c>
      <c r="D332" s="4" t="s">
        <v>5879</v>
      </c>
      <c r="E332" s="4" t="s">
        <v>41</v>
      </c>
      <c r="F332" s="4" t="s">
        <v>3746</v>
      </c>
      <c r="G332" s="4" t="s">
        <v>1074</v>
      </c>
      <c r="H332" s="4">
        <v>1</v>
      </c>
      <c r="I332" s="4">
        <v>1</v>
      </c>
      <c r="J332" s="4" t="s">
        <v>3745</v>
      </c>
      <c r="K332" s="4" t="s">
        <v>132</v>
      </c>
      <c r="L332" s="6">
        <v>46319</v>
      </c>
      <c r="M332" s="4" t="s">
        <v>5864</v>
      </c>
      <c r="N332" s="4" t="s">
        <v>5865</v>
      </c>
    </row>
    <row r="333" spans="1:14" ht="40" customHeight="1">
      <c r="A333" s="8" t="s">
        <v>3747</v>
      </c>
      <c r="B333" s="8" t="s">
        <v>121</v>
      </c>
      <c r="C333" s="8" t="s">
        <v>134</v>
      </c>
      <c r="D333" s="8" t="s">
        <v>5879</v>
      </c>
      <c r="E333" s="8" t="s">
        <v>41</v>
      </c>
      <c r="F333" s="8" t="s">
        <v>3749</v>
      </c>
      <c r="G333" s="8" t="s">
        <v>1074</v>
      </c>
      <c r="H333" s="8">
        <v>1</v>
      </c>
      <c r="I333" s="8">
        <v>1</v>
      </c>
      <c r="J333" s="8" t="s">
        <v>3748</v>
      </c>
      <c r="K333" s="8" t="s">
        <v>132</v>
      </c>
      <c r="L333" s="9">
        <v>46319</v>
      </c>
      <c r="M333" s="8" t="s">
        <v>5864</v>
      </c>
      <c r="N333" s="8" t="s">
        <v>6087</v>
      </c>
    </row>
    <row r="334" spans="1:14" ht="54" customHeight="1">
      <c r="A334" s="4" t="s">
        <v>3750</v>
      </c>
      <c r="B334" s="4" t="s">
        <v>121</v>
      </c>
      <c r="C334" s="4" t="s">
        <v>134</v>
      </c>
      <c r="D334" s="4" t="s">
        <v>5879</v>
      </c>
      <c r="E334" s="4" t="s">
        <v>41</v>
      </c>
      <c r="F334" s="4" t="s">
        <v>3752</v>
      </c>
      <c r="G334" s="4" t="s">
        <v>1074</v>
      </c>
      <c r="H334" s="4">
        <v>1</v>
      </c>
      <c r="I334" s="4">
        <v>1</v>
      </c>
      <c r="J334" s="4" t="s">
        <v>3751</v>
      </c>
      <c r="K334" s="4" t="s">
        <v>132</v>
      </c>
      <c r="L334" s="6">
        <v>46319</v>
      </c>
      <c r="M334" s="4" t="s">
        <v>5864</v>
      </c>
      <c r="N334" s="4" t="s">
        <v>5865</v>
      </c>
    </row>
    <row r="335" spans="1:14" ht="54" customHeight="1">
      <c r="A335" s="8" t="s">
        <v>3753</v>
      </c>
      <c r="B335" s="8" t="s">
        <v>121</v>
      </c>
      <c r="C335" s="8" t="s">
        <v>134</v>
      </c>
      <c r="D335" s="8" t="s">
        <v>5879</v>
      </c>
      <c r="E335" s="8" t="s">
        <v>41</v>
      </c>
      <c r="F335" s="8" t="s">
        <v>3755</v>
      </c>
      <c r="G335" s="8" t="s">
        <v>1074</v>
      </c>
      <c r="H335" s="8">
        <v>1</v>
      </c>
      <c r="I335" s="8">
        <v>1</v>
      </c>
      <c r="J335" s="8" t="s">
        <v>3754</v>
      </c>
      <c r="K335" s="8" t="s">
        <v>132</v>
      </c>
      <c r="L335" s="9">
        <v>46319</v>
      </c>
      <c r="M335" s="8" t="s">
        <v>5864</v>
      </c>
      <c r="N335" s="8" t="s">
        <v>5865</v>
      </c>
    </row>
    <row r="336" spans="1:14" ht="54" customHeight="1">
      <c r="A336" s="4" t="s">
        <v>3756</v>
      </c>
      <c r="B336" s="4" t="s">
        <v>121</v>
      </c>
      <c r="C336" s="4" t="s">
        <v>134</v>
      </c>
      <c r="D336" s="4" t="s">
        <v>5879</v>
      </c>
      <c r="E336" s="4" t="s">
        <v>41</v>
      </c>
      <c r="F336" s="4" t="s">
        <v>3758</v>
      </c>
      <c r="G336" s="4" t="s">
        <v>1074</v>
      </c>
      <c r="H336" s="4">
        <v>1</v>
      </c>
      <c r="I336" s="4">
        <v>1</v>
      </c>
      <c r="J336" s="4" t="s">
        <v>3757</v>
      </c>
      <c r="K336" s="4" t="s">
        <v>132</v>
      </c>
      <c r="L336" s="6">
        <v>46319</v>
      </c>
      <c r="M336" s="4" t="s">
        <v>5864</v>
      </c>
      <c r="N336" s="4" t="s">
        <v>5865</v>
      </c>
    </row>
    <row r="337" spans="1:14" ht="40" customHeight="1">
      <c r="A337" s="8" t="s">
        <v>3759</v>
      </c>
      <c r="B337" s="8" t="s">
        <v>121</v>
      </c>
      <c r="C337" s="8" t="s">
        <v>134</v>
      </c>
      <c r="D337" s="8" t="s">
        <v>5879</v>
      </c>
      <c r="E337" s="8" t="s">
        <v>41</v>
      </c>
      <c r="F337" s="8" t="s">
        <v>3761</v>
      </c>
      <c r="G337" s="8" t="s">
        <v>1074</v>
      </c>
      <c r="H337" s="8">
        <v>1</v>
      </c>
      <c r="I337" s="8">
        <v>1</v>
      </c>
      <c r="J337" s="8" t="s">
        <v>3760</v>
      </c>
      <c r="K337" s="8" t="s">
        <v>132</v>
      </c>
      <c r="L337" s="9">
        <v>46319</v>
      </c>
      <c r="M337" s="8" t="s">
        <v>5864</v>
      </c>
      <c r="N337" s="8" t="s">
        <v>5865</v>
      </c>
    </row>
    <row r="338" spans="1:14" ht="40" customHeight="1">
      <c r="A338" s="4" t="s">
        <v>3762</v>
      </c>
      <c r="B338" s="4" t="s">
        <v>121</v>
      </c>
      <c r="C338" s="4" t="s">
        <v>134</v>
      </c>
      <c r="D338" s="4" t="s">
        <v>5879</v>
      </c>
      <c r="E338" s="4" t="s">
        <v>41</v>
      </c>
      <c r="F338" s="4" t="s">
        <v>3764</v>
      </c>
      <c r="G338" s="4" t="s">
        <v>1074</v>
      </c>
      <c r="H338" s="4">
        <v>1</v>
      </c>
      <c r="I338" s="4">
        <v>1</v>
      </c>
      <c r="J338" s="4" t="s">
        <v>3763</v>
      </c>
      <c r="K338" s="4" t="s">
        <v>132</v>
      </c>
      <c r="L338" s="6">
        <v>46319</v>
      </c>
      <c r="M338" s="4" t="s">
        <v>5864</v>
      </c>
      <c r="N338" s="4" t="s">
        <v>5865</v>
      </c>
    </row>
    <row r="339" spans="1:14" ht="40" customHeight="1">
      <c r="A339" s="8" t="s">
        <v>3765</v>
      </c>
      <c r="B339" s="8" t="s">
        <v>121</v>
      </c>
      <c r="C339" s="8" t="s">
        <v>134</v>
      </c>
      <c r="D339" s="8" t="s">
        <v>5879</v>
      </c>
      <c r="E339" s="8" t="s">
        <v>41</v>
      </c>
      <c r="F339" s="8" t="s">
        <v>3767</v>
      </c>
      <c r="G339" s="8" t="s">
        <v>1074</v>
      </c>
      <c r="H339" s="8">
        <v>1</v>
      </c>
      <c r="I339" s="8">
        <v>1</v>
      </c>
      <c r="J339" s="8" t="s">
        <v>3766</v>
      </c>
      <c r="K339" s="8" t="s">
        <v>132</v>
      </c>
      <c r="L339" s="9">
        <v>46319</v>
      </c>
      <c r="M339" s="8" t="s">
        <v>5864</v>
      </c>
      <c r="N339" s="8" t="s">
        <v>5865</v>
      </c>
    </row>
    <row r="340" spans="1:14" ht="68" customHeight="1">
      <c r="A340" s="4" t="s">
        <v>6290</v>
      </c>
      <c r="B340" s="4" t="s">
        <v>121</v>
      </c>
      <c r="C340" s="4" t="s">
        <v>134</v>
      </c>
      <c r="D340" s="4" t="s">
        <v>2969</v>
      </c>
      <c r="E340" s="4" t="s">
        <v>41</v>
      </c>
      <c r="F340" s="4" t="s">
        <v>5881</v>
      </c>
      <c r="G340" s="4" t="s">
        <v>1074</v>
      </c>
      <c r="H340" s="4">
        <v>1</v>
      </c>
      <c r="I340" s="4">
        <v>1</v>
      </c>
      <c r="J340" s="4" t="s">
        <v>6291</v>
      </c>
      <c r="K340" s="4" t="s">
        <v>132</v>
      </c>
      <c r="L340" s="6">
        <v>46319</v>
      </c>
      <c r="M340" s="4" t="s">
        <v>5864</v>
      </c>
      <c r="N340" s="4" t="s">
        <v>5883</v>
      </c>
    </row>
    <row r="341" spans="1:14" ht="68" customHeight="1">
      <c r="A341" s="8" t="s">
        <v>6292</v>
      </c>
      <c r="B341" s="8" t="s">
        <v>121</v>
      </c>
      <c r="C341" s="8" t="s">
        <v>134</v>
      </c>
      <c r="D341" s="8" t="s">
        <v>2969</v>
      </c>
      <c r="E341" s="8" t="s">
        <v>41</v>
      </c>
      <c r="F341" s="8" t="s">
        <v>5885</v>
      </c>
      <c r="G341" s="8" t="s">
        <v>1074</v>
      </c>
      <c r="H341" s="8">
        <v>1</v>
      </c>
      <c r="I341" s="8">
        <v>1</v>
      </c>
      <c r="J341" s="8" t="s">
        <v>6293</v>
      </c>
      <c r="K341" s="8" t="s">
        <v>132</v>
      </c>
      <c r="L341" s="9">
        <v>46319</v>
      </c>
      <c r="M341" s="8" t="s">
        <v>5864</v>
      </c>
      <c r="N341" s="8" t="s">
        <v>5883</v>
      </c>
    </row>
    <row r="342" spans="1:14" ht="40" customHeight="1">
      <c r="A342" s="4" t="s">
        <v>6294</v>
      </c>
      <c r="B342" s="4" t="s">
        <v>121</v>
      </c>
      <c r="C342" s="4" t="s">
        <v>134</v>
      </c>
      <c r="D342" s="4" t="s">
        <v>2969</v>
      </c>
      <c r="E342" s="4" t="s">
        <v>41</v>
      </c>
      <c r="F342" s="4" t="s">
        <v>5888</v>
      </c>
      <c r="G342" s="4" t="s">
        <v>1074</v>
      </c>
      <c r="H342" s="4">
        <v>1</v>
      </c>
      <c r="I342" s="4">
        <v>1</v>
      </c>
      <c r="J342" s="4" t="s">
        <v>6295</v>
      </c>
      <c r="K342" s="4" t="s">
        <v>132</v>
      </c>
      <c r="L342" s="6">
        <v>46319</v>
      </c>
      <c r="M342" s="4" t="s">
        <v>5864</v>
      </c>
      <c r="N342" s="4" t="s">
        <v>5883</v>
      </c>
    </row>
    <row r="343" spans="1:14" ht="54" customHeight="1">
      <c r="A343" s="8" t="s">
        <v>6296</v>
      </c>
      <c r="B343" s="8" t="s">
        <v>121</v>
      </c>
      <c r="C343" s="8" t="s">
        <v>134</v>
      </c>
      <c r="D343" s="8" t="s">
        <v>2969</v>
      </c>
      <c r="E343" s="8" t="s">
        <v>41</v>
      </c>
      <c r="F343" s="8" t="s">
        <v>5891</v>
      </c>
      <c r="G343" s="8" t="s">
        <v>1074</v>
      </c>
      <c r="H343" s="8">
        <v>1</v>
      </c>
      <c r="I343" s="8">
        <v>1</v>
      </c>
      <c r="J343" s="8" t="s">
        <v>6297</v>
      </c>
      <c r="K343" s="8" t="s">
        <v>132</v>
      </c>
      <c r="L343" s="9">
        <v>46319</v>
      </c>
      <c r="M343" s="8" t="s">
        <v>5864</v>
      </c>
      <c r="N343" s="8" t="s">
        <v>5883</v>
      </c>
    </row>
    <row r="344" spans="1:14" ht="40" customHeight="1">
      <c r="A344" s="4" t="s">
        <v>6298</v>
      </c>
      <c r="B344" s="4" t="s">
        <v>121</v>
      </c>
      <c r="C344" s="4" t="s">
        <v>134</v>
      </c>
      <c r="D344" s="4" t="s">
        <v>2969</v>
      </c>
      <c r="E344" s="4" t="s">
        <v>41</v>
      </c>
      <c r="F344" s="4" t="s">
        <v>5894</v>
      </c>
      <c r="G344" s="4" t="s">
        <v>1074</v>
      </c>
      <c r="H344" s="4">
        <v>1</v>
      </c>
      <c r="I344" s="4">
        <v>1</v>
      </c>
      <c r="J344" s="4" t="s">
        <v>6299</v>
      </c>
      <c r="K344" s="4" t="s">
        <v>132</v>
      </c>
      <c r="L344" s="6">
        <v>46319</v>
      </c>
      <c r="M344" s="4" t="s">
        <v>5864</v>
      </c>
      <c r="N344" s="4" t="s">
        <v>5883</v>
      </c>
    </row>
    <row r="345" spans="1:14" ht="40" customHeight="1">
      <c r="A345" s="8" t="s">
        <v>6300</v>
      </c>
      <c r="B345" s="8" t="s">
        <v>121</v>
      </c>
      <c r="C345" s="8" t="s">
        <v>134</v>
      </c>
      <c r="D345" s="8" t="s">
        <v>2969</v>
      </c>
      <c r="E345" s="8" t="s">
        <v>41</v>
      </c>
      <c r="F345" s="8" t="s">
        <v>5897</v>
      </c>
      <c r="G345" s="8" t="s">
        <v>1074</v>
      </c>
      <c r="H345" s="8">
        <v>1</v>
      </c>
      <c r="I345" s="8">
        <v>1</v>
      </c>
      <c r="J345" s="8" t="s">
        <v>6301</v>
      </c>
      <c r="K345" s="8" t="s">
        <v>132</v>
      </c>
      <c r="L345" s="9">
        <v>46319</v>
      </c>
      <c r="M345" s="8" t="s">
        <v>5864</v>
      </c>
      <c r="N345" s="8" t="s">
        <v>5883</v>
      </c>
    </row>
    <row r="346" spans="1:14" ht="40" customHeight="1">
      <c r="A346" s="4" t="s">
        <v>6302</v>
      </c>
      <c r="B346" s="4" t="s">
        <v>121</v>
      </c>
      <c r="C346" s="4" t="s">
        <v>134</v>
      </c>
      <c r="D346" s="4" t="s">
        <v>2969</v>
      </c>
      <c r="E346" s="4" t="s">
        <v>41</v>
      </c>
      <c r="F346" s="4" t="s">
        <v>5900</v>
      </c>
      <c r="G346" s="4" t="s">
        <v>1074</v>
      </c>
      <c r="H346" s="4">
        <v>1</v>
      </c>
      <c r="I346" s="4">
        <v>1</v>
      </c>
      <c r="J346" s="4" t="s">
        <v>6303</v>
      </c>
      <c r="K346" s="4" t="s">
        <v>132</v>
      </c>
      <c r="L346" s="6">
        <v>46319</v>
      </c>
      <c r="M346" s="4" t="s">
        <v>5864</v>
      </c>
      <c r="N346" s="4" t="s">
        <v>5883</v>
      </c>
    </row>
    <row r="347" spans="1:14" ht="40" customHeight="1">
      <c r="A347" s="8" t="s">
        <v>6304</v>
      </c>
      <c r="B347" s="8" t="s">
        <v>121</v>
      </c>
      <c r="C347" s="8" t="s">
        <v>134</v>
      </c>
      <c r="D347" s="8" t="s">
        <v>2969</v>
      </c>
      <c r="E347" s="8" t="s">
        <v>41</v>
      </c>
      <c r="F347" s="8" t="s">
        <v>5903</v>
      </c>
      <c r="G347" s="8" t="s">
        <v>1074</v>
      </c>
      <c r="H347" s="8">
        <v>1</v>
      </c>
      <c r="I347" s="8">
        <v>1</v>
      </c>
      <c r="J347" s="8" t="s">
        <v>6305</v>
      </c>
      <c r="K347" s="8" t="s">
        <v>132</v>
      </c>
      <c r="L347" s="9">
        <v>46319</v>
      </c>
      <c r="M347" s="8" t="s">
        <v>5864</v>
      </c>
      <c r="N347" s="8" t="s">
        <v>5883</v>
      </c>
    </row>
    <row r="348" spans="1:14" ht="40" customHeight="1">
      <c r="A348" s="4" t="s">
        <v>6306</v>
      </c>
      <c r="B348" s="4" t="s">
        <v>121</v>
      </c>
      <c r="C348" s="4" t="s">
        <v>134</v>
      </c>
      <c r="D348" s="4" t="s">
        <v>2969</v>
      </c>
      <c r="E348" s="4" t="s">
        <v>41</v>
      </c>
      <c r="F348" s="4" t="s">
        <v>5906</v>
      </c>
      <c r="G348" s="4" t="s">
        <v>1074</v>
      </c>
      <c r="H348" s="4">
        <v>1</v>
      </c>
      <c r="I348" s="4">
        <v>1</v>
      </c>
      <c r="J348" s="4" t="s">
        <v>6307</v>
      </c>
      <c r="K348" s="4" t="s">
        <v>132</v>
      </c>
      <c r="L348" s="6">
        <v>46319</v>
      </c>
      <c r="M348" s="4" t="s">
        <v>5864</v>
      </c>
      <c r="N348" s="4" t="s">
        <v>5883</v>
      </c>
    </row>
    <row r="349" spans="1:14" ht="40" customHeight="1">
      <c r="A349" s="8" t="s">
        <v>6308</v>
      </c>
      <c r="B349" s="8" t="s">
        <v>121</v>
      </c>
      <c r="C349" s="8" t="s">
        <v>134</v>
      </c>
      <c r="D349" s="8" t="s">
        <v>2969</v>
      </c>
      <c r="E349" s="8" t="s">
        <v>41</v>
      </c>
      <c r="F349" s="8" t="s">
        <v>5909</v>
      </c>
      <c r="G349" s="8" t="s">
        <v>1074</v>
      </c>
      <c r="H349" s="8">
        <v>1</v>
      </c>
      <c r="I349" s="8">
        <v>1</v>
      </c>
      <c r="J349" s="8" t="s">
        <v>6309</v>
      </c>
      <c r="K349" s="8" t="s">
        <v>132</v>
      </c>
      <c r="L349" s="9">
        <v>46319</v>
      </c>
      <c r="M349" s="8" t="s">
        <v>5864</v>
      </c>
      <c r="N349" s="8" t="s">
        <v>5883</v>
      </c>
    </row>
    <row r="350" spans="1:14" ht="54" customHeight="1">
      <c r="A350" s="4" t="s">
        <v>6310</v>
      </c>
      <c r="B350" s="4" t="s">
        <v>121</v>
      </c>
      <c r="C350" s="4" t="s">
        <v>134</v>
      </c>
      <c r="D350" s="4" t="s">
        <v>2969</v>
      </c>
      <c r="E350" s="4" t="s">
        <v>41</v>
      </c>
      <c r="F350" s="4" t="s">
        <v>5912</v>
      </c>
      <c r="G350" s="4" t="s">
        <v>1074</v>
      </c>
      <c r="H350" s="4">
        <v>1</v>
      </c>
      <c r="I350" s="4">
        <v>1</v>
      </c>
      <c r="J350" s="4" t="s">
        <v>6311</v>
      </c>
      <c r="K350" s="4" t="s">
        <v>132</v>
      </c>
      <c r="L350" s="6">
        <v>46319</v>
      </c>
      <c r="M350" s="4" t="s">
        <v>5864</v>
      </c>
      <c r="N350" s="4" t="s">
        <v>5883</v>
      </c>
    </row>
    <row r="351" spans="1:14" ht="54" customHeight="1">
      <c r="A351" s="8" t="s">
        <v>6312</v>
      </c>
      <c r="B351" s="8" t="s">
        <v>121</v>
      </c>
      <c r="C351" s="8" t="s">
        <v>134</v>
      </c>
      <c r="D351" s="8" t="s">
        <v>2969</v>
      </c>
      <c r="E351" s="8" t="s">
        <v>41</v>
      </c>
      <c r="F351" s="8" t="s">
        <v>5973</v>
      </c>
      <c r="G351" s="8" t="s">
        <v>1074</v>
      </c>
      <c r="H351" s="8">
        <v>1</v>
      </c>
      <c r="I351" s="8">
        <v>1</v>
      </c>
      <c r="J351" s="8" t="s">
        <v>6313</v>
      </c>
      <c r="K351" s="8" t="s">
        <v>132</v>
      </c>
      <c r="L351" s="9">
        <v>46319</v>
      </c>
      <c r="M351" s="8" t="s">
        <v>5864</v>
      </c>
      <c r="N351" s="8" t="s">
        <v>5883</v>
      </c>
    </row>
    <row r="352" spans="1:14" ht="40" customHeight="1">
      <c r="A352" s="4" t="s">
        <v>6314</v>
      </c>
      <c r="B352" s="4" t="s">
        <v>121</v>
      </c>
      <c r="C352" s="4" t="s">
        <v>134</v>
      </c>
      <c r="D352" s="4" t="s">
        <v>2969</v>
      </c>
      <c r="E352" s="4" t="s">
        <v>41</v>
      </c>
      <c r="F352" s="4" t="s">
        <v>5976</v>
      </c>
      <c r="G352" s="4" t="s">
        <v>1074</v>
      </c>
      <c r="H352" s="4">
        <v>1</v>
      </c>
      <c r="I352" s="4">
        <v>1</v>
      </c>
      <c r="J352" s="4" t="s">
        <v>6315</v>
      </c>
      <c r="K352" s="4" t="s">
        <v>132</v>
      </c>
      <c r="L352" s="6">
        <v>46319</v>
      </c>
      <c r="M352" s="4" t="s">
        <v>5864</v>
      </c>
      <c r="N352" s="4" t="s">
        <v>5883</v>
      </c>
    </row>
    <row r="353" spans="1:14" ht="68" customHeight="1">
      <c r="A353" s="8" t="s">
        <v>6316</v>
      </c>
      <c r="B353" s="8" t="s">
        <v>121</v>
      </c>
      <c r="C353" s="8" t="s">
        <v>134</v>
      </c>
      <c r="D353" s="8" t="s">
        <v>2969</v>
      </c>
      <c r="E353" s="8" t="s">
        <v>41</v>
      </c>
      <c r="F353" s="8" t="s">
        <v>5979</v>
      </c>
      <c r="G353" s="8" t="s">
        <v>1074</v>
      </c>
      <c r="H353" s="8">
        <v>1</v>
      </c>
      <c r="I353" s="8">
        <v>1</v>
      </c>
      <c r="J353" s="8" t="s">
        <v>6317</v>
      </c>
      <c r="K353" s="8" t="s">
        <v>132</v>
      </c>
      <c r="L353" s="9">
        <v>46319</v>
      </c>
      <c r="M353" s="8" t="s">
        <v>5864</v>
      </c>
      <c r="N353" s="8" t="s">
        <v>5883</v>
      </c>
    </row>
    <row r="354" spans="1:14" ht="54" customHeight="1">
      <c r="A354" s="4" t="s">
        <v>6318</v>
      </c>
      <c r="B354" s="4" t="s">
        <v>121</v>
      </c>
      <c r="C354" s="4" t="s">
        <v>134</v>
      </c>
      <c r="D354" s="4" t="s">
        <v>2969</v>
      </c>
      <c r="E354" s="4" t="s">
        <v>41</v>
      </c>
      <c r="F354" s="4" t="s">
        <v>5982</v>
      </c>
      <c r="G354" s="4" t="s">
        <v>1074</v>
      </c>
      <c r="H354" s="4">
        <v>1</v>
      </c>
      <c r="I354" s="4">
        <v>1</v>
      </c>
      <c r="J354" s="4" t="s">
        <v>6319</v>
      </c>
      <c r="K354" s="4" t="s">
        <v>132</v>
      </c>
      <c r="L354" s="6">
        <v>46319</v>
      </c>
      <c r="M354" s="4" t="s">
        <v>5864</v>
      </c>
      <c r="N354" s="4" t="s">
        <v>5883</v>
      </c>
    </row>
    <row r="355" spans="1:14" ht="54" customHeight="1">
      <c r="A355" s="8" t="s">
        <v>6320</v>
      </c>
      <c r="B355" s="8" t="s">
        <v>121</v>
      </c>
      <c r="C355" s="8" t="s">
        <v>134</v>
      </c>
      <c r="D355" s="8" t="s">
        <v>2969</v>
      </c>
      <c r="E355" s="8" t="s">
        <v>41</v>
      </c>
      <c r="F355" s="8" t="s">
        <v>5985</v>
      </c>
      <c r="G355" s="8" t="s">
        <v>1074</v>
      </c>
      <c r="H355" s="8">
        <v>1</v>
      </c>
      <c r="I355" s="8">
        <v>1</v>
      </c>
      <c r="J355" s="8" t="s">
        <v>6321</v>
      </c>
      <c r="K355" s="8" t="s">
        <v>132</v>
      </c>
      <c r="L355" s="9">
        <v>46319</v>
      </c>
      <c r="M355" s="8" t="s">
        <v>5864</v>
      </c>
      <c r="N355" s="8" t="s">
        <v>5883</v>
      </c>
    </row>
    <row r="356" spans="1:14" ht="40" customHeight="1">
      <c r="A356" s="4" t="s">
        <v>6322</v>
      </c>
      <c r="B356" s="4" t="s">
        <v>121</v>
      </c>
      <c r="C356" s="4" t="s">
        <v>134</v>
      </c>
      <c r="D356" s="4" t="s">
        <v>2969</v>
      </c>
      <c r="E356" s="4" t="s">
        <v>41</v>
      </c>
      <c r="F356" s="4" t="s">
        <v>5988</v>
      </c>
      <c r="G356" s="4" t="s">
        <v>1074</v>
      </c>
      <c r="H356" s="4">
        <v>1</v>
      </c>
      <c r="I356" s="4">
        <v>1</v>
      </c>
      <c r="J356" s="4" t="s">
        <v>6323</v>
      </c>
      <c r="K356" s="4" t="s">
        <v>132</v>
      </c>
      <c r="L356" s="6">
        <v>46319</v>
      </c>
      <c r="M356" s="4" t="s">
        <v>5864</v>
      </c>
      <c r="N356" s="4" t="s">
        <v>5883</v>
      </c>
    </row>
    <row r="357" spans="1:14" ht="82" customHeight="1">
      <c r="A357" s="8" t="s">
        <v>6324</v>
      </c>
      <c r="B357" s="8" t="s">
        <v>121</v>
      </c>
      <c r="C357" s="8" t="s">
        <v>134</v>
      </c>
      <c r="D357" s="8" t="s">
        <v>2969</v>
      </c>
      <c r="E357" s="8" t="s">
        <v>41</v>
      </c>
      <c r="F357" s="8" t="s">
        <v>5991</v>
      </c>
      <c r="G357" s="8" t="s">
        <v>1074</v>
      </c>
      <c r="H357" s="8">
        <v>1</v>
      </c>
      <c r="I357" s="8">
        <v>1</v>
      </c>
      <c r="J357" s="8" t="s">
        <v>6325</v>
      </c>
      <c r="K357" s="8" t="s">
        <v>132</v>
      </c>
      <c r="L357" s="9">
        <v>46319</v>
      </c>
      <c r="M357" s="8" t="s">
        <v>5864</v>
      </c>
      <c r="N357" s="8" t="s">
        <v>5883</v>
      </c>
    </row>
    <row r="358" spans="1:14" ht="96" customHeight="1">
      <c r="A358" s="4" t="s">
        <v>6326</v>
      </c>
      <c r="B358" s="4" t="s">
        <v>121</v>
      </c>
      <c r="C358" s="4" t="s">
        <v>134</v>
      </c>
      <c r="D358" s="4" t="s">
        <v>2969</v>
      </c>
      <c r="E358" s="4" t="s">
        <v>41</v>
      </c>
      <c r="F358" s="4" t="s">
        <v>6327</v>
      </c>
      <c r="G358" s="4" t="s">
        <v>1074</v>
      </c>
      <c r="H358" s="4">
        <v>1</v>
      </c>
      <c r="I358" s="4">
        <v>1</v>
      </c>
      <c r="J358" s="4" t="s">
        <v>6328</v>
      </c>
      <c r="K358" s="4" t="s">
        <v>132</v>
      </c>
      <c r="L358" s="6">
        <v>46319</v>
      </c>
      <c r="M358" s="4" t="s">
        <v>5864</v>
      </c>
      <c r="N358" s="4" t="s">
        <v>5883</v>
      </c>
    </row>
    <row r="359" spans="1:14" ht="82" customHeight="1">
      <c r="A359" s="8" t="s">
        <v>6329</v>
      </c>
      <c r="B359" s="8" t="s">
        <v>121</v>
      </c>
      <c r="C359" s="8" t="s">
        <v>134</v>
      </c>
      <c r="D359" s="8" t="s">
        <v>2969</v>
      </c>
      <c r="E359" s="8" t="s">
        <v>41</v>
      </c>
      <c r="F359" s="8" t="s">
        <v>6330</v>
      </c>
      <c r="G359" s="8" t="s">
        <v>1074</v>
      </c>
      <c r="H359" s="8">
        <v>1</v>
      </c>
      <c r="I359" s="8">
        <v>1</v>
      </c>
      <c r="J359" s="8" t="s">
        <v>6331</v>
      </c>
      <c r="K359" s="8" t="s">
        <v>132</v>
      </c>
      <c r="L359" s="9">
        <v>46319</v>
      </c>
      <c r="M359" s="8" t="s">
        <v>5864</v>
      </c>
      <c r="N359" s="8" t="s">
        <v>5883</v>
      </c>
    </row>
    <row r="360" spans="1:14" ht="40" customHeight="1">
      <c r="A360" s="4" t="s">
        <v>6332</v>
      </c>
      <c r="B360" s="4" t="s">
        <v>121</v>
      </c>
      <c r="C360" s="4" t="s">
        <v>134</v>
      </c>
      <c r="D360" s="4" t="s">
        <v>2969</v>
      </c>
      <c r="E360" s="4" t="s">
        <v>41</v>
      </c>
      <c r="F360" s="4" t="s">
        <v>6333</v>
      </c>
      <c r="G360" s="4" t="s">
        <v>1074</v>
      </c>
      <c r="H360" s="4">
        <v>1</v>
      </c>
      <c r="I360" s="4">
        <v>1</v>
      </c>
      <c r="J360" s="4" t="s">
        <v>6334</v>
      </c>
      <c r="K360" s="4" t="s">
        <v>132</v>
      </c>
      <c r="L360" s="6">
        <v>46319</v>
      </c>
      <c r="M360" s="4" t="s">
        <v>5864</v>
      </c>
      <c r="N360" s="4" t="s">
        <v>5883</v>
      </c>
    </row>
    <row r="361" spans="1:14" ht="40" customHeight="1">
      <c r="A361" s="8" t="s">
        <v>6335</v>
      </c>
      <c r="B361" s="8" t="s">
        <v>121</v>
      </c>
      <c r="C361" s="8" t="s">
        <v>134</v>
      </c>
      <c r="D361" s="8" t="s">
        <v>2969</v>
      </c>
      <c r="E361" s="8" t="s">
        <v>41</v>
      </c>
      <c r="F361" s="8" t="s">
        <v>6336</v>
      </c>
      <c r="G361" s="8" t="s">
        <v>1074</v>
      </c>
      <c r="H361" s="8">
        <v>1</v>
      </c>
      <c r="I361" s="8">
        <v>1</v>
      </c>
      <c r="J361" s="8" t="s">
        <v>6337</v>
      </c>
      <c r="K361" s="8" t="s">
        <v>132</v>
      </c>
      <c r="L361" s="9">
        <v>46319</v>
      </c>
      <c r="M361" s="8" t="s">
        <v>5864</v>
      </c>
      <c r="N361" s="8" t="s">
        <v>5883</v>
      </c>
    </row>
    <row r="362" spans="1:14" ht="40" customHeight="1">
      <c r="A362" s="4" t="s">
        <v>6338</v>
      </c>
      <c r="B362" s="4" t="s">
        <v>121</v>
      </c>
      <c r="C362" s="4" t="s">
        <v>134</v>
      </c>
      <c r="D362" s="4" t="s">
        <v>2969</v>
      </c>
      <c r="E362" s="4" t="s">
        <v>41</v>
      </c>
      <c r="F362" s="4" t="s">
        <v>6339</v>
      </c>
      <c r="G362" s="4" t="s">
        <v>1074</v>
      </c>
      <c r="H362" s="4">
        <v>1</v>
      </c>
      <c r="I362" s="4">
        <v>1</v>
      </c>
      <c r="J362" s="4" t="s">
        <v>6340</v>
      </c>
      <c r="K362" s="4" t="s">
        <v>132</v>
      </c>
      <c r="L362" s="6">
        <v>46319</v>
      </c>
      <c r="M362" s="4" t="s">
        <v>5864</v>
      </c>
      <c r="N362" s="4" t="s">
        <v>5883</v>
      </c>
    </row>
    <row r="363" spans="1:14" ht="68" customHeight="1">
      <c r="A363" s="8" t="s">
        <v>6341</v>
      </c>
      <c r="B363" s="8" t="s">
        <v>121</v>
      </c>
      <c r="C363" s="8" t="s">
        <v>134</v>
      </c>
      <c r="D363" s="8" t="s">
        <v>2969</v>
      </c>
      <c r="E363" s="8" t="s">
        <v>41</v>
      </c>
      <c r="F363" s="8" t="s">
        <v>6342</v>
      </c>
      <c r="G363" s="8" t="s">
        <v>1074</v>
      </c>
      <c r="H363" s="8">
        <v>1</v>
      </c>
      <c r="I363" s="8">
        <v>1</v>
      </c>
      <c r="J363" s="8" t="s">
        <v>6343</v>
      </c>
      <c r="K363" s="8" t="s">
        <v>132</v>
      </c>
      <c r="L363" s="9">
        <v>46319</v>
      </c>
      <c r="M363" s="8" t="s">
        <v>5864</v>
      </c>
      <c r="N363" s="8" t="s">
        <v>5883</v>
      </c>
    </row>
    <row r="364" spans="1:14" ht="82" customHeight="1">
      <c r="A364" s="4" t="s">
        <v>6344</v>
      </c>
      <c r="B364" s="4" t="s">
        <v>121</v>
      </c>
      <c r="C364" s="4" t="s">
        <v>134</v>
      </c>
      <c r="D364" s="4" t="s">
        <v>2969</v>
      </c>
      <c r="E364" s="4" t="s">
        <v>41</v>
      </c>
      <c r="F364" s="4" t="s">
        <v>6345</v>
      </c>
      <c r="G364" s="4" t="s">
        <v>1074</v>
      </c>
      <c r="H364" s="4">
        <v>1</v>
      </c>
      <c r="I364" s="4">
        <v>1</v>
      </c>
      <c r="J364" s="4" t="s">
        <v>6346</v>
      </c>
      <c r="K364" s="4" t="s">
        <v>132</v>
      </c>
      <c r="L364" s="6">
        <v>46319</v>
      </c>
      <c r="M364" s="4" t="s">
        <v>5864</v>
      </c>
      <c r="N364" s="4" t="s">
        <v>5883</v>
      </c>
    </row>
    <row r="365" spans="1:14" ht="54" customHeight="1">
      <c r="A365" s="8" t="s">
        <v>6347</v>
      </c>
      <c r="B365" s="8" t="s">
        <v>121</v>
      </c>
      <c r="C365" s="8" t="s">
        <v>134</v>
      </c>
      <c r="D365" s="8" t="s">
        <v>2969</v>
      </c>
      <c r="E365" s="8" t="s">
        <v>41</v>
      </c>
      <c r="F365" s="8" t="s">
        <v>6348</v>
      </c>
      <c r="G365" s="8" t="s">
        <v>1074</v>
      </c>
      <c r="H365" s="8">
        <v>1</v>
      </c>
      <c r="I365" s="8">
        <v>1</v>
      </c>
      <c r="J365" s="8" t="s">
        <v>6349</v>
      </c>
      <c r="K365" s="8" t="s">
        <v>132</v>
      </c>
      <c r="L365" s="9">
        <v>46319</v>
      </c>
      <c r="M365" s="8" t="s">
        <v>5864</v>
      </c>
      <c r="N365" s="8" t="s">
        <v>5883</v>
      </c>
    </row>
    <row r="366" spans="1:14" ht="40" customHeight="1">
      <c r="A366" s="4" t="s">
        <v>6350</v>
      </c>
      <c r="B366" s="4" t="s">
        <v>121</v>
      </c>
      <c r="C366" s="4" t="s">
        <v>134</v>
      </c>
      <c r="D366" s="4" t="s">
        <v>2969</v>
      </c>
      <c r="E366" s="4" t="s">
        <v>41</v>
      </c>
      <c r="F366" s="4" t="s">
        <v>6351</v>
      </c>
      <c r="G366" s="4" t="s">
        <v>1074</v>
      </c>
      <c r="H366" s="4">
        <v>1</v>
      </c>
      <c r="I366" s="4">
        <v>1</v>
      </c>
      <c r="J366" s="4" t="s">
        <v>6352</v>
      </c>
      <c r="K366" s="4" t="s">
        <v>132</v>
      </c>
      <c r="L366" s="6">
        <v>46319</v>
      </c>
      <c r="M366" s="4" t="s">
        <v>5864</v>
      </c>
      <c r="N366" s="4" t="s">
        <v>5883</v>
      </c>
    </row>
    <row r="367" spans="1:14" ht="68" customHeight="1">
      <c r="A367" s="8" t="s">
        <v>6353</v>
      </c>
      <c r="B367" s="8" t="s">
        <v>121</v>
      </c>
      <c r="C367" s="8" t="s">
        <v>134</v>
      </c>
      <c r="D367" s="8" t="s">
        <v>2969</v>
      </c>
      <c r="E367" s="8" t="s">
        <v>41</v>
      </c>
      <c r="F367" s="8" t="s">
        <v>6354</v>
      </c>
      <c r="G367" s="8" t="s">
        <v>1074</v>
      </c>
      <c r="H367" s="8">
        <v>1</v>
      </c>
      <c r="I367" s="8">
        <v>1</v>
      </c>
      <c r="J367" s="8" t="s">
        <v>6355</v>
      </c>
      <c r="K367" s="8" t="s">
        <v>132</v>
      </c>
      <c r="L367" s="9">
        <v>46319</v>
      </c>
      <c r="M367" s="8" t="s">
        <v>5864</v>
      </c>
      <c r="N367" s="8" t="s">
        <v>5883</v>
      </c>
    </row>
    <row r="368" spans="1:14" ht="40" customHeight="1">
      <c r="A368" s="4" t="s">
        <v>6356</v>
      </c>
      <c r="B368" s="4" t="s">
        <v>121</v>
      </c>
      <c r="C368" s="4" t="s">
        <v>134</v>
      </c>
      <c r="D368" s="4" t="s">
        <v>2969</v>
      </c>
      <c r="E368" s="4" t="s">
        <v>41</v>
      </c>
      <c r="F368" s="4" t="s">
        <v>6357</v>
      </c>
      <c r="G368" s="4" t="s">
        <v>1074</v>
      </c>
      <c r="H368" s="4">
        <v>1</v>
      </c>
      <c r="I368" s="4">
        <v>1</v>
      </c>
      <c r="J368" s="4" t="s">
        <v>6358</v>
      </c>
      <c r="K368" s="4" t="s">
        <v>132</v>
      </c>
      <c r="L368" s="6">
        <v>46319</v>
      </c>
      <c r="M368" s="4" t="s">
        <v>5864</v>
      </c>
      <c r="N368" s="4" t="s">
        <v>5883</v>
      </c>
    </row>
    <row r="369" spans="1:14" ht="40" customHeight="1">
      <c r="A369" s="8" t="s">
        <v>6359</v>
      </c>
      <c r="B369" s="8" t="s">
        <v>121</v>
      </c>
      <c r="C369" s="8" t="s">
        <v>134</v>
      </c>
      <c r="D369" s="8" t="s">
        <v>2969</v>
      </c>
      <c r="E369" s="8" t="s">
        <v>41</v>
      </c>
      <c r="F369" s="8" t="s">
        <v>6360</v>
      </c>
      <c r="G369" s="8" t="s">
        <v>1074</v>
      </c>
      <c r="H369" s="8">
        <v>1</v>
      </c>
      <c r="I369" s="8">
        <v>1</v>
      </c>
      <c r="J369" s="8" t="s">
        <v>6361</v>
      </c>
      <c r="K369" s="8" t="s">
        <v>132</v>
      </c>
      <c r="L369" s="9">
        <v>46319</v>
      </c>
      <c r="M369" s="8" t="s">
        <v>5864</v>
      </c>
      <c r="N369" s="8" t="s">
        <v>5883</v>
      </c>
    </row>
    <row r="370" spans="1:14" ht="40" customHeight="1">
      <c r="A370" s="4" t="s">
        <v>6362</v>
      </c>
      <c r="B370" s="4" t="s">
        <v>121</v>
      </c>
      <c r="C370" s="4" t="s">
        <v>134</v>
      </c>
      <c r="D370" s="4" t="s">
        <v>2969</v>
      </c>
      <c r="E370" s="4" t="s">
        <v>41</v>
      </c>
      <c r="F370" s="4" t="s">
        <v>6363</v>
      </c>
      <c r="G370" s="4" t="s">
        <v>1074</v>
      </c>
      <c r="H370" s="4">
        <v>1</v>
      </c>
      <c r="I370" s="4">
        <v>1</v>
      </c>
      <c r="J370" s="4" t="s">
        <v>6364</v>
      </c>
      <c r="K370" s="4" t="s">
        <v>132</v>
      </c>
      <c r="L370" s="6">
        <v>46319</v>
      </c>
      <c r="M370" s="4" t="s">
        <v>5864</v>
      </c>
      <c r="N370" s="4" t="s">
        <v>5883</v>
      </c>
    </row>
    <row r="371" spans="1:14" ht="40" customHeight="1">
      <c r="A371" s="8" t="s">
        <v>6365</v>
      </c>
      <c r="B371" s="8" t="s">
        <v>121</v>
      </c>
      <c r="C371" s="8" t="s">
        <v>134</v>
      </c>
      <c r="D371" s="8" t="s">
        <v>2969</v>
      </c>
      <c r="E371" s="8" t="s">
        <v>41</v>
      </c>
      <c r="F371" s="8" t="s">
        <v>6366</v>
      </c>
      <c r="G371" s="8" t="s">
        <v>1074</v>
      </c>
      <c r="H371" s="8">
        <v>1</v>
      </c>
      <c r="I371" s="8">
        <v>1</v>
      </c>
      <c r="J371" s="8" t="s">
        <v>6367</v>
      </c>
      <c r="K371" s="8" t="s">
        <v>132</v>
      </c>
      <c r="L371" s="9">
        <v>46319</v>
      </c>
      <c r="M371" s="8" t="s">
        <v>5864</v>
      </c>
      <c r="N371" s="8" t="s">
        <v>5883</v>
      </c>
    </row>
    <row r="372" spans="1:14" ht="40" customHeight="1">
      <c r="A372" s="4" t="s">
        <v>6368</v>
      </c>
      <c r="B372" s="4" t="s">
        <v>121</v>
      </c>
      <c r="C372" s="4" t="s">
        <v>134</v>
      </c>
      <c r="D372" s="4" t="s">
        <v>2969</v>
      </c>
      <c r="E372" s="4" t="s">
        <v>41</v>
      </c>
      <c r="F372" s="4" t="s">
        <v>6369</v>
      </c>
      <c r="G372" s="4" t="s">
        <v>1074</v>
      </c>
      <c r="H372" s="4">
        <v>1</v>
      </c>
      <c r="I372" s="4">
        <v>1</v>
      </c>
      <c r="J372" s="4" t="s">
        <v>6370</v>
      </c>
      <c r="K372" s="4" t="s">
        <v>132</v>
      </c>
      <c r="L372" s="6">
        <v>46319</v>
      </c>
      <c r="M372" s="4" t="s">
        <v>5864</v>
      </c>
      <c r="N372" s="4" t="s">
        <v>5883</v>
      </c>
    </row>
    <row r="373" spans="1:14" ht="68" customHeight="1">
      <c r="A373" s="8" t="s">
        <v>6371</v>
      </c>
      <c r="B373" s="8" t="s">
        <v>121</v>
      </c>
      <c r="C373" s="8" t="s">
        <v>134</v>
      </c>
      <c r="D373" s="8" t="s">
        <v>2969</v>
      </c>
      <c r="E373" s="8" t="s">
        <v>41</v>
      </c>
      <c r="F373" s="8" t="s">
        <v>6372</v>
      </c>
      <c r="G373" s="8" t="s">
        <v>1074</v>
      </c>
      <c r="H373" s="8">
        <v>1</v>
      </c>
      <c r="I373" s="8">
        <v>1</v>
      </c>
      <c r="J373" s="8" t="s">
        <v>6373</v>
      </c>
      <c r="K373" s="8" t="s">
        <v>132</v>
      </c>
      <c r="L373" s="9">
        <v>46319</v>
      </c>
      <c r="M373" s="8" t="s">
        <v>5864</v>
      </c>
      <c r="N373" s="8" t="s">
        <v>5883</v>
      </c>
    </row>
    <row r="374" spans="1:14" ht="54" customHeight="1">
      <c r="A374" s="4" t="s">
        <v>6374</v>
      </c>
      <c r="B374" s="4" t="s">
        <v>121</v>
      </c>
      <c r="C374" s="4" t="s">
        <v>134</v>
      </c>
      <c r="D374" s="4" t="s">
        <v>2969</v>
      </c>
      <c r="E374" s="4" t="s">
        <v>41</v>
      </c>
      <c r="F374" s="4" t="s">
        <v>6375</v>
      </c>
      <c r="G374" s="4" t="s">
        <v>1074</v>
      </c>
      <c r="H374" s="4">
        <v>1</v>
      </c>
      <c r="I374" s="4">
        <v>1</v>
      </c>
      <c r="J374" s="4" t="s">
        <v>6376</v>
      </c>
      <c r="K374" s="4" t="s">
        <v>132</v>
      </c>
      <c r="L374" s="6">
        <v>46319</v>
      </c>
      <c r="M374" s="4" t="s">
        <v>5864</v>
      </c>
      <c r="N374" s="4" t="s">
        <v>5883</v>
      </c>
    </row>
    <row r="375" spans="1:14" ht="68" customHeight="1">
      <c r="A375" s="8" t="s">
        <v>6377</v>
      </c>
      <c r="B375" s="8" t="s">
        <v>121</v>
      </c>
      <c r="C375" s="8" t="s">
        <v>134</v>
      </c>
      <c r="D375" s="8" t="s">
        <v>2969</v>
      </c>
      <c r="E375" s="8" t="s">
        <v>41</v>
      </c>
      <c r="F375" s="8" t="s">
        <v>6378</v>
      </c>
      <c r="G375" s="8" t="s">
        <v>1074</v>
      </c>
      <c r="H375" s="8">
        <v>1</v>
      </c>
      <c r="I375" s="8">
        <v>1</v>
      </c>
      <c r="J375" s="8" t="s">
        <v>6379</v>
      </c>
      <c r="K375" s="8" t="s">
        <v>132</v>
      </c>
      <c r="L375" s="9">
        <v>46319</v>
      </c>
      <c r="M375" s="8" t="s">
        <v>5864</v>
      </c>
      <c r="N375" s="8" t="s">
        <v>5883</v>
      </c>
    </row>
    <row r="376" spans="1:14" ht="54" customHeight="1">
      <c r="A376" s="4" t="s">
        <v>6380</v>
      </c>
      <c r="B376" s="4" t="s">
        <v>121</v>
      </c>
      <c r="C376" s="4" t="s">
        <v>134</v>
      </c>
      <c r="D376" s="4" t="s">
        <v>2969</v>
      </c>
      <c r="E376" s="4" t="s">
        <v>41</v>
      </c>
      <c r="F376" s="4" t="s">
        <v>6381</v>
      </c>
      <c r="G376" s="4" t="s">
        <v>1074</v>
      </c>
      <c r="H376" s="4">
        <v>1</v>
      </c>
      <c r="I376" s="4">
        <v>1</v>
      </c>
      <c r="J376" s="4" t="s">
        <v>6382</v>
      </c>
      <c r="K376" s="4" t="s">
        <v>132</v>
      </c>
      <c r="L376" s="6">
        <v>46319</v>
      </c>
      <c r="M376" s="4" t="s">
        <v>5864</v>
      </c>
      <c r="N376" s="4" t="s">
        <v>5883</v>
      </c>
    </row>
    <row r="377" spans="1:14" ht="54" customHeight="1">
      <c r="A377" s="8" t="s">
        <v>6383</v>
      </c>
      <c r="B377" s="8" t="s">
        <v>121</v>
      </c>
      <c r="C377" s="8" t="s">
        <v>134</v>
      </c>
      <c r="D377" s="8" t="s">
        <v>2969</v>
      </c>
      <c r="E377" s="8" t="s">
        <v>41</v>
      </c>
      <c r="F377" s="8" t="s">
        <v>6384</v>
      </c>
      <c r="G377" s="8" t="s">
        <v>1074</v>
      </c>
      <c r="H377" s="8">
        <v>1</v>
      </c>
      <c r="I377" s="8">
        <v>1</v>
      </c>
      <c r="J377" s="8" t="s">
        <v>6385</v>
      </c>
      <c r="K377" s="8" t="s">
        <v>132</v>
      </c>
      <c r="L377" s="9">
        <v>46319</v>
      </c>
      <c r="M377" s="8" t="s">
        <v>5864</v>
      </c>
      <c r="N377" s="8" t="s">
        <v>5883</v>
      </c>
    </row>
    <row r="378" spans="1:14" ht="82" customHeight="1">
      <c r="A378" s="4" t="s">
        <v>6386</v>
      </c>
      <c r="B378" s="4" t="s">
        <v>136</v>
      </c>
      <c r="C378" s="4" t="s">
        <v>145</v>
      </c>
      <c r="D378" s="4" t="s">
        <v>5861</v>
      </c>
      <c r="E378" s="4" t="s">
        <v>41</v>
      </c>
      <c r="F378" s="4" t="s">
        <v>5862</v>
      </c>
      <c r="G378" s="4" t="s">
        <v>1135</v>
      </c>
      <c r="H378" s="4">
        <v>1</v>
      </c>
      <c r="I378" s="4">
        <v>1</v>
      </c>
      <c r="J378" s="4" t="s">
        <v>6387</v>
      </c>
      <c r="K378" s="4" t="s">
        <v>144</v>
      </c>
      <c r="L378" s="6">
        <v>46319</v>
      </c>
      <c r="M378" s="4" t="s">
        <v>5864</v>
      </c>
      <c r="N378" s="4" t="s">
        <v>5865</v>
      </c>
    </row>
    <row r="379" spans="1:14" ht="40" customHeight="1">
      <c r="A379" s="8" t="s">
        <v>6388</v>
      </c>
      <c r="B379" s="8" t="s">
        <v>136</v>
      </c>
      <c r="C379" s="8" t="s">
        <v>145</v>
      </c>
      <c r="D379" s="8" t="s">
        <v>5867</v>
      </c>
      <c r="E379" s="8" t="s">
        <v>41</v>
      </c>
      <c r="F379" s="8" t="s">
        <v>6248</v>
      </c>
      <c r="G379" s="8" t="s">
        <v>1135</v>
      </c>
      <c r="H379" s="8">
        <v>1</v>
      </c>
      <c r="I379" s="8">
        <v>1</v>
      </c>
      <c r="J379" s="8" t="s">
        <v>6389</v>
      </c>
      <c r="K379" s="8" t="s">
        <v>144</v>
      </c>
      <c r="L379" s="9">
        <v>46319</v>
      </c>
      <c r="M379" s="8" t="s">
        <v>5864</v>
      </c>
      <c r="N379" s="8" t="s">
        <v>5865</v>
      </c>
    </row>
    <row r="380" spans="1:14" ht="68" customHeight="1">
      <c r="A380" s="4" t="s">
        <v>6390</v>
      </c>
      <c r="B380" s="4" t="s">
        <v>136</v>
      </c>
      <c r="C380" s="4" t="s">
        <v>145</v>
      </c>
      <c r="D380" s="4" t="s">
        <v>5867</v>
      </c>
      <c r="E380" s="4" t="s">
        <v>41</v>
      </c>
      <c r="F380" s="4" t="s">
        <v>6391</v>
      </c>
      <c r="G380" s="4" t="s">
        <v>1135</v>
      </c>
      <c r="H380" s="4">
        <v>1</v>
      </c>
      <c r="I380" s="4">
        <v>1</v>
      </c>
      <c r="J380" s="4" t="s">
        <v>6392</v>
      </c>
      <c r="K380" s="4" t="s">
        <v>144</v>
      </c>
      <c r="L380" s="6">
        <v>46319</v>
      </c>
      <c r="M380" s="4" t="s">
        <v>5864</v>
      </c>
      <c r="N380" s="4" t="s">
        <v>5865</v>
      </c>
    </row>
    <row r="381" spans="1:14" ht="54" customHeight="1">
      <c r="A381" s="8" t="s">
        <v>6393</v>
      </c>
      <c r="B381" s="8" t="s">
        <v>136</v>
      </c>
      <c r="C381" s="8" t="s">
        <v>145</v>
      </c>
      <c r="D381" s="8" t="s">
        <v>5867</v>
      </c>
      <c r="E381" s="8" t="s">
        <v>41</v>
      </c>
      <c r="F381" s="8" t="s">
        <v>6394</v>
      </c>
      <c r="G381" s="8" t="s">
        <v>1135</v>
      </c>
      <c r="H381" s="8">
        <v>1</v>
      </c>
      <c r="I381" s="8">
        <v>1</v>
      </c>
      <c r="J381" s="8" t="s">
        <v>6395</v>
      </c>
      <c r="K381" s="8" t="s">
        <v>144</v>
      </c>
      <c r="L381" s="9">
        <v>46319</v>
      </c>
      <c r="M381" s="8" t="s">
        <v>5864</v>
      </c>
      <c r="N381" s="8" t="s">
        <v>5865</v>
      </c>
    </row>
    <row r="382" spans="1:14" ht="40" customHeight="1">
      <c r="A382" s="4" t="s">
        <v>6396</v>
      </c>
      <c r="B382" s="4" t="s">
        <v>136</v>
      </c>
      <c r="C382" s="4" t="s">
        <v>145</v>
      </c>
      <c r="D382" s="4" t="s">
        <v>637</v>
      </c>
      <c r="E382" s="4" t="s">
        <v>41</v>
      </c>
      <c r="F382" s="4" t="s">
        <v>904</v>
      </c>
      <c r="G382" s="4" t="s">
        <v>1135</v>
      </c>
      <c r="H382" s="4">
        <v>1</v>
      </c>
      <c r="I382" s="4">
        <v>1</v>
      </c>
      <c r="J382" s="4" t="s">
        <v>1072</v>
      </c>
      <c r="K382" s="4" t="s">
        <v>144</v>
      </c>
      <c r="L382" s="6">
        <v>46319</v>
      </c>
      <c r="M382" s="4" t="s">
        <v>5864</v>
      </c>
      <c r="N382" s="4" t="s">
        <v>5870</v>
      </c>
    </row>
    <row r="383" spans="1:14" ht="40" customHeight="1">
      <c r="A383" s="8" t="s">
        <v>6397</v>
      </c>
      <c r="B383" s="8" t="s">
        <v>136</v>
      </c>
      <c r="C383" s="8" t="s">
        <v>145</v>
      </c>
      <c r="D383" s="8" t="s">
        <v>637</v>
      </c>
      <c r="E383" s="8" t="s">
        <v>41</v>
      </c>
      <c r="F383" s="8" t="s">
        <v>912</v>
      </c>
      <c r="G383" s="8" t="s">
        <v>1135</v>
      </c>
      <c r="H383" s="8">
        <v>1</v>
      </c>
      <c r="I383" s="8">
        <v>1</v>
      </c>
      <c r="J383" s="8" t="s">
        <v>1137</v>
      </c>
      <c r="K383" s="8" t="s">
        <v>144</v>
      </c>
      <c r="L383" s="9">
        <v>46319</v>
      </c>
      <c r="M383" s="8" t="s">
        <v>5864</v>
      </c>
      <c r="N383" s="8" t="s">
        <v>5870</v>
      </c>
    </row>
    <row r="384" spans="1:14" ht="40" customHeight="1">
      <c r="A384" s="4" t="s">
        <v>6398</v>
      </c>
      <c r="B384" s="4" t="s">
        <v>136</v>
      </c>
      <c r="C384" s="4" t="s">
        <v>145</v>
      </c>
      <c r="D384" s="4" t="s">
        <v>637</v>
      </c>
      <c r="E384" s="4" t="s">
        <v>41</v>
      </c>
      <c r="F384" s="4" t="s">
        <v>1015</v>
      </c>
      <c r="G384" s="4" t="s">
        <v>1135</v>
      </c>
      <c r="H384" s="4">
        <v>1</v>
      </c>
      <c r="I384" s="4">
        <v>1</v>
      </c>
      <c r="J384" s="4" t="s">
        <v>1140</v>
      </c>
      <c r="K384" s="4" t="s">
        <v>144</v>
      </c>
      <c r="L384" s="6">
        <v>46319</v>
      </c>
      <c r="M384" s="4" t="s">
        <v>5864</v>
      </c>
      <c r="N384" s="4" t="s">
        <v>5870</v>
      </c>
    </row>
    <row r="385" spans="1:14" ht="40" customHeight="1">
      <c r="A385" s="8" t="s">
        <v>6399</v>
      </c>
      <c r="B385" s="8" t="s">
        <v>136</v>
      </c>
      <c r="C385" s="8" t="s">
        <v>145</v>
      </c>
      <c r="D385" s="8" t="s">
        <v>637</v>
      </c>
      <c r="E385" s="8" t="s">
        <v>41</v>
      </c>
      <c r="F385" s="8" t="s">
        <v>1019</v>
      </c>
      <c r="G385" s="8" t="s">
        <v>1135</v>
      </c>
      <c r="H385" s="8">
        <v>1</v>
      </c>
      <c r="I385" s="8">
        <v>1</v>
      </c>
      <c r="J385" s="8" t="s">
        <v>1143</v>
      </c>
      <c r="K385" s="8" t="s">
        <v>144</v>
      </c>
      <c r="L385" s="9">
        <v>46319</v>
      </c>
      <c r="M385" s="8" t="s">
        <v>5864</v>
      </c>
      <c r="N385" s="8" t="s">
        <v>5870</v>
      </c>
    </row>
    <row r="386" spans="1:14" ht="40" customHeight="1">
      <c r="A386" s="4" t="s">
        <v>6400</v>
      </c>
      <c r="B386" s="4" t="s">
        <v>136</v>
      </c>
      <c r="C386" s="4" t="s">
        <v>145</v>
      </c>
      <c r="D386" s="4" t="s">
        <v>637</v>
      </c>
      <c r="E386" s="4" t="s">
        <v>41</v>
      </c>
      <c r="F386" s="4" t="s">
        <v>1147</v>
      </c>
      <c r="G386" s="4" t="s">
        <v>1135</v>
      </c>
      <c r="H386" s="4">
        <v>1</v>
      </c>
      <c r="I386" s="4">
        <v>1</v>
      </c>
      <c r="J386" s="4" t="s">
        <v>1079</v>
      </c>
      <c r="K386" s="4" t="s">
        <v>144</v>
      </c>
      <c r="L386" s="6">
        <v>46319</v>
      </c>
      <c r="M386" s="4" t="s">
        <v>5864</v>
      </c>
      <c r="N386" s="4" t="s">
        <v>5870</v>
      </c>
    </row>
    <row r="387" spans="1:14" ht="40" customHeight="1">
      <c r="A387" s="8" t="s">
        <v>4990</v>
      </c>
      <c r="B387" s="8" t="s">
        <v>136</v>
      </c>
      <c r="C387" s="8" t="s">
        <v>145</v>
      </c>
      <c r="D387" s="8" t="s">
        <v>7</v>
      </c>
      <c r="E387" s="8" t="s">
        <v>41</v>
      </c>
      <c r="F387" s="8" t="s">
        <v>6212</v>
      </c>
      <c r="G387" s="8" t="s">
        <v>1135</v>
      </c>
      <c r="H387" s="8">
        <v>1</v>
      </c>
      <c r="I387" s="8">
        <v>1</v>
      </c>
      <c r="J387" s="8" t="s">
        <v>4969</v>
      </c>
      <c r="K387" s="8" t="s">
        <v>144</v>
      </c>
      <c r="L387" s="9">
        <v>46319</v>
      </c>
      <c r="M387" s="8" t="s">
        <v>5864</v>
      </c>
      <c r="N387" s="8" t="s">
        <v>5870</v>
      </c>
    </row>
    <row r="388" spans="1:14" ht="40" customHeight="1">
      <c r="A388" s="4" t="s">
        <v>4991</v>
      </c>
      <c r="B388" s="4" t="s">
        <v>136</v>
      </c>
      <c r="C388" s="4" t="s">
        <v>145</v>
      </c>
      <c r="D388" s="4" t="s">
        <v>7</v>
      </c>
      <c r="E388" s="4" t="s">
        <v>41</v>
      </c>
      <c r="F388" s="4" t="s">
        <v>6213</v>
      </c>
      <c r="G388" s="4" t="s">
        <v>1135</v>
      </c>
      <c r="H388" s="4">
        <v>1</v>
      </c>
      <c r="I388" s="4">
        <v>1</v>
      </c>
      <c r="J388" s="4" t="s">
        <v>4971</v>
      </c>
      <c r="K388" s="4" t="s">
        <v>144</v>
      </c>
      <c r="L388" s="6">
        <v>46319</v>
      </c>
      <c r="M388" s="4" t="s">
        <v>5864</v>
      </c>
      <c r="N388" s="4" t="s">
        <v>5870</v>
      </c>
    </row>
    <row r="389" spans="1:14" ht="40" customHeight="1">
      <c r="A389" s="8" t="s">
        <v>4992</v>
      </c>
      <c r="B389" s="8" t="s">
        <v>136</v>
      </c>
      <c r="C389" s="8" t="s">
        <v>145</v>
      </c>
      <c r="D389" s="8" t="s">
        <v>7</v>
      </c>
      <c r="E389" s="8" t="s">
        <v>41</v>
      </c>
      <c r="F389" s="8" t="s">
        <v>6214</v>
      </c>
      <c r="G389" s="8" t="s">
        <v>1135</v>
      </c>
      <c r="H389" s="8">
        <v>1</v>
      </c>
      <c r="I389" s="8">
        <v>1</v>
      </c>
      <c r="J389" s="8" t="s">
        <v>4993</v>
      </c>
      <c r="K389" s="8" t="s">
        <v>144</v>
      </c>
      <c r="L389" s="9">
        <v>46319</v>
      </c>
      <c r="M389" s="8" t="s">
        <v>5864</v>
      </c>
      <c r="N389" s="8" t="s">
        <v>5870</v>
      </c>
    </row>
    <row r="390" spans="1:14" ht="40" customHeight="1">
      <c r="A390" s="4" t="s">
        <v>4994</v>
      </c>
      <c r="B390" s="4" t="s">
        <v>136</v>
      </c>
      <c r="C390" s="4" t="s">
        <v>145</v>
      </c>
      <c r="D390" s="4" t="s">
        <v>7</v>
      </c>
      <c r="E390" s="4" t="s">
        <v>41</v>
      </c>
      <c r="F390" s="4" t="s">
        <v>6215</v>
      </c>
      <c r="G390" s="4" t="s">
        <v>1135</v>
      </c>
      <c r="H390" s="4">
        <v>1</v>
      </c>
      <c r="I390" s="4">
        <v>1</v>
      </c>
      <c r="J390" s="4" t="s">
        <v>4995</v>
      </c>
      <c r="K390" s="4" t="s">
        <v>144</v>
      </c>
      <c r="L390" s="6">
        <v>46319</v>
      </c>
      <c r="M390" s="4" t="s">
        <v>5864</v>
      </c>
      <c r="N390" s="4" t="s">
        <v>5870</v>
      </c>
    </row>
    <row r="391" spans="1:14" ht="40" customHeight="1">
      <c r="A391" s="8" t="s">
        <v>4996</v>
      </c>
      <c r="B391" s="8" t="s">
        <v>136</v>
      </c>
      <c r="C391" s="8" t="s">
        <v>145</v>
      </c>
      <c r="D391" s="8" t="s">
        <v>7</v>
      </c>
      <c r="E391" s="8" t="s">
        <v>41</v>
      </c>
      <c r="F391" s="8" t="s">
        <v>6216</v>
      </c>
      <c r="G391" s="8" t="s">
        <v>1135</v>
      </c>
      <c r="H391" s="8">
        <v>1</v>
      </c>
      <c r="I391" s="8">
        <v>1</v>
      </c>
      <c r="J391" s="8" t="s">
        <v>4973</v>
      </c>
      <c r="K391" s="8" t="s">
        <v>144</v>
      </c>
      <c r="L391" s="9">
        <v>46319</v>
      </c>
      <c r="M391" s="8" t="s">
        <v>5864</v>
      </c>
      <c r="N391" s="8" t="s">
        <v>5870</v>
      </c>
    </row>
    <row r="392" spans="1:14" ht="40" customHeight="1">
      <c r="A392" s="4" t="s">
        <v>4997</v>
      </c>
      <c r="B392" s="4" t="s">
        <v>136</v>
      </c>
      <c r="C392" s="4" t="s">
        <v>145</v>
      </c>
      <c r="D392" s="4" t="s">
        <v>7</v>
      </c>
      <c r="E392" s="4" t="s">
        <v>41</v>
      </c>
      <c r="F392" s="4" t="s">
        <v>6284</v>
      </c>
      <c r="G392" s="4" t="s">
        <v>1135</v>
      </c>
      <c r="H392" s="4">
        <v>1</v>
      </c>
      <c r="I392" s="4">
        <v>1</v>
      </c>
      <c r="J392" s="4" t="s">
        <v>4975</v>
      </c>
      <c r="K392" s="4" t="s">
        <v>144</v>
      </c>
      <c r="L392" s="6">
        <v>46319</v>
      </c>
      <c r="M392" s="4" t="s">
        <v>5864</v>
      </c>
      <c r="N392" s="4" t="s">
        <v>5870</v>
      </c>
    </row>
    <row r="393" spans="1:14" ht="40" customHeight="1">
      <c r="A393" s="8" t="s">
        <v>4998</v>
      </c>
      <c r="B393" s="8" t="s">
        <v>136</v>
      </c>
      <c r="C393" s="8" t="s">
        <v>145</v>
      </c>
      <c r="D393" s="8" t="s">
        <v>7</v>
      </c>
      <c r="E393" s="8" t="s">
        <v>41</v>
      </c>
      <c r="F393" s="8" t="s">
        <v>6285</v>
      </c>
      <c r="G393" s="8" t="s">
        <v>1135</v>
      </c>
      <c r="H393" s="8">
        <v>1</v>
      </c>
      <c r="I393" s="8">
        <v>1</v>
      </c>
      <c r="J393" s="8" t="s">
        <v>4977</v>
      </c>
      <c r="K393" s="8" t="s">
        <v>144</v>
      </c>
      <c r="L393" s="9">
        <v>46319</v>
      </c>
      <c r="M393" s="8" t="s">
        <v>5864</v>
      </c>
      <c r="N393" s="8" t="s">
        <v>5870</v>
      </c>
    </row>
    <row r="394" spans="1:14" ht="40" customHeight="1">
      <c r="A394" s="4" t="s">
        <v>3768</v>
      </c>
      <c r="B394" s="4" t="s">
        <v>136</v>
      </c>
      <c r="C394" s="4" t="s">
        <v>145</v>
      </c>
      <c r="D394" s="4" t="s">
        <v>5879</v>
      </c>
      <c r="E394" s="4" t="s">
        <v>41</v>
      </c>
      <c r="F394" s="4" t="s">
        <v>3769</v>
      </c>
      <c r="G394" s="4" t="s">
        <v>1135</v>
      </c>
      <c r="H394" s="4">
        <v>1</v>
      </c>
      <c r="I394" s="4">
        <v>1</v>
      </c>
      <c r="J394" s="4" t="s">
        <v>2792</v>
      </c>
      <c r="K394" s="4" t="s">
        <v>144</v>
      </c>
      <c r="L394" s="6">
        <v>46319</v>
      </c>
      <c r="M394" s="4" t="s">
        <v>5864</v>
      </c>
      <c r="N394" s="4" t="s">
        <v>6087</v>
      </c>
    </row>
    <row r="395" spans="1:14" ht="40" customHeight="1">
      <c r="A395" s="8" t="s">
        <v>3770</v>
      </c>
      <c r="B395" s="8" t="s">
        <v>136</v>
      </c>
      <c r="C395" s="8" t="s">
        <v>145</v>
      </c>
      <c r="D395" s="8" t="s">
        <v>5879</v>
      </c>
      <c r="E395" s="8" t="s">
        <v>41</v>
      </c>
      <c r="F395" s="8" t="s">
        <v>3469</v>
      </c>
      <c r="G395" s="8" t="s">
        <v>1135</v>
      </c>
      <c r="H395" s="8">
        <v>1</v>
      </c>
      <c r="I395" s="8">
        <v>1</v>
      </c>
      <c r="J395" s="8" t="s">
        <v>3700</v>
      </c>
      <c r="K395" s="8" t="s">
        <v>144</v>
      </c>
      <c r="L395" s="9">
        <v>46319</v>
      </c>
      <c r="M395" s="8" t="s">
        <v>5864</v>
      </c>
      <c r="N395" s="8" t="s">
        <v>5865</v>
      </c>
    </row>
    <row r="396" spans="1:14" ht="54" customHeight="1">
      <c r="A396" s="4" t="s">
        <v>3771</v>
      </c>
      <c r="B396" s="4" t="s">
        <v>136</v>
      </c>
      <c r="C396" s="4" t="s">
        <v>145</v>
      </c>
      <c r="D396" s="4" t="s">
        <v>5879</v>
      </c>
      <c r="E396" s="4" t="s">
        <v>41</v>
      </c>
      <c r="F396" s="4" t="s">
        <v>3475</v>
      </c>
      <c r="G396" s="4" t="s">
        <v>1135</v>
      </c>
      <c r="H396" s="4">
        <v>1</v>
      </c>
      <c r="I396" s="4">
        <v>1</v>
      </c>
      <c r="J396" s="4" t="s">
        <v>3703</v>
      </c>
      <c r="K396" s="4" t="s">
        <v>144</v>
      </c>
      <c r="L396" s="6">
        <v>46319</v>
      </c>
      <c r="M396" s="4" t="s">
        <v>5864</v>
      </c>
      <c r="N396" s="4" t="s">
        <v>5865</v>
      </c>
    </row>
    <row r="397" spans="1:14" ht="54" customHeight="1">
      <c r="A397" s="8" t="s">
        <v>3772</v>
      </c>
      <c r="B397" s="8" t="s">
        <v>136</v>
      </c>
      <c r="C397" s="8" t="s">
        <v>145</v>
      </c>
      <c r="D397" s="8" t="s">
        <v>5879</v>
      </c>
      <c r="E397" s="8" t="s">
        <v>41</v>
      </c>
      <c r="F397" s="8" t="s">
        <v>3603</v>
      </c>
      <c r="G397" s="8" t="s">
        <v>1135</v>
      </c>
      <c r="H397" s="8">
        <v>1</v>
      </c>
      <c r="I397" s="8">
        <v>1</v>
      </c>
      <c r="J397" s="8" t="s">
        <v>3706</v>
      </c>
      <c r="K397" s="8" t="s">
        <v>144</v>
      </c>
      <c r="L397" s="9">
        <v>46319</v>
      </c>
      <c r="M397" s="8" t="s">
        <v>5864</v>
      </c>
      <c r="N397" s="8" t="s">
        <v>5865</v>
      </c>
    </row>
    <row r="398" spans="1:14" ht="68" customHeight="1">
      <c r="A398" s="4" t="s">
        <v>3773</v>
      </c>
      <c r="B398" s="4" t="s">
        <v>136</v>
      </c>
      <c r="C398" s="4" t="s">
        <v>145</v>
      </c>
      <c r="D398" s="4" t="s">
        <v>5879</v>
      </c>
      <c r="E398" s="4" t="s">
        <v>41</v>
      </c>
      <c r="F398" s="4" t="s">
        <v>3608</v>
      </c>
      <c r="G398" s="4" t="s">
        <v>1135</v>
      </c>
      <c r="H398" s="4">
        <v>1</v>
      </c>
      <c r="I398" s="4">
        <v>1</v>
      </c>
      <c r="J398" s="4" t="s">
        <v>3709</v>
      </c>
      <c r="K398" s="4" t="s">
        <v>144</v>
      </c>
      <c r="L398" s="6">
        <v>46319</v>
      </c>
      <c r="M398" s="4" t="s">
        <v>5864</v>
      </c>
      <c r="N398" s="4" t="s">
        <v>5865</v>
      </c>
    </row>
    <row r="399" spans="1:14" ht="54" customHeight="1">
      <c r="A399" s="8" t="s">
        <v>3774</v>
      </c>
      <c r="B399" s="8" t="s">
        <v>136</v>
      </c>
      <c r="C399" s="8" t="s">
        <v>145</v>
      </c>
      <c r="D399" s="8" t="s">
        <v>5879</v>
      </c>
      <c r="E399" s="8" t="s">
        <v>41</v>
      </c>
      <c r="F399" s="8" t="s">
        <v>3775</v>
      </c>
      <c r="G399" s="8" t="s">
        <v>1135</v>
      </c>
      <c r="H399" s="8">
        <v>1</v>
      </c>
      <c r="I399" s="8">
        <v>1</v>
      </c>
      <c r="J399" s="8" t="s">
        <v>3712</v>
      </c>
      <c r="K399" s="8" t="s">
        <v>144</v>
      </c>
      <c r="L399" s="9">
        <v>46319</v>
      </c>
      <c r="M399" s="8" t="s">
        <v>5864</v>
      </c>
      <c r="N399" s="8" t="s">
        <v>5865</v>
      </c>
    </row>
    <row r="400" spans="1:14" ht="40" customHeight="1">
      <c r="A400" s="4" t="s">
        <v>3776</v>
      </c>
      <c r="B400" s="4" t="s">
        <v>136</v>
      </c>
      <c r="C400" s="4" t="s">
        <v>145</v>
      </c>
      <c r="D400" s="4" t="s">
        <v>5879</v>
      </c>
      <c r="E400" s="4" t="s">
        <v>41</v>
      </c>
      <c r="F400" s="4" t="s">
        <v>3777</v>
      </c>
      <c r="G400" s="4" t="s">
        <v>1135</v>
      </c>
      <c r="H400" s="4">
        <v>1</v>
      </c>
      <c r="I400" s="4">
        <v>1</v>
      </c>
      <c r="J400" s="4" t="s">
        <v>3715</v>
      </c>
      <c r="K400" s="4" t="s">
        <v>144</v>
      </c>
      <c r="L400" s="6">
        <v>46319</v>
      </c>
      <c r="M400" s="4" t="s">
        <v>5864</v>
      </c>
      <c r="N400" s="4" t="s">
        <v>5865</v>
      </c>
    </row>
    <row r="401" spans="1:14" ht="40" customHeight="1">
      <c r="A401" s="8" t="s">
        <v>3778</v>
      </c>
      <c r="B401" s="8" t="s">
        <v>136</v>
      </c>
      <c r="C401" s="8" t="s">
        <v>145</v>
      </c>
      <c r="D401" s="8" t="s">
        <v>5879</v>
      </c>
      <c r="E401" s="8" t="s">
        <v>41</v>
      </c>
      <c r="F401" s="8" t="s">
        <v>3779</v>
      </c>
      <c r="G401" s="8" t="s">
        <v>1135</v>
      </c>
      <c r="H401" s="8">
        <v>1</v>
      </c>
      <c r="I401" s="8">
        <v>1</v>
      </c>
      <c r="J401" s="8" t="s">
        <v>3718</v>
      </c>
      <c r="K401" s="8" t="s">
        <v>144</v>
      </c>
      <c r="L401" s="9">
        <v>46319</v>
      </c>
      <c r="M401" s="8" t="s">
        <v>5864</v>
      </c>
      <c r="N401" s="8" t="s">
        <v>5865</v>
      </c>
    </row>
    <row r="402" spans="1:14" ht="40" customHeight="1">
      <c r="A402" s="4" t="s">
        <v>3780</v>
      </c>
      <c r="B402" s="4" t="s">
        <v>136</v>
      </c>
      <c r="C402" s="4" t="s">
        <v>145</v>
      </c>
      <c r="D402" s="4" t="s">
        <v>5879</v>
      </c>
      <c r="E402" s="4" t="s">
        <v>41</v>
      </c>
      <c r="F402" s="4" t="s">
        <v>3781</v>
      </c>
      <c r="G402" s="4" t="s">
        <v>1135</v>
      </c>
      <c r="H402" s="4">
        <v>1</v>
      </c>
      <c r="I402" s="4">
        <v>1</v>
      </c>
      <c r="J402" s="4" t="s">
        <v>3721</v>
      </c>
      <c r="K402" s="4" t="s">
        <v>144</v>
      </c>
      <c r="L402" s="6">
        <v>46319</v>
      </c>
      <c r="M402" s="4" t="s">
        <v>5864</v>
      </c>
      <c r="N402" s="4" t="s">
        <v>5865</v>
      </c>
    </row>
    <row r="403" spans="1:14" ht="40" customHeight="1">
      <c r="A403" s="8" t="s">
        <v>3782</v>
      </c>
      <c r="B403" s="8" t="s">
        <v>136</v>
      </c>
      <c r="C403" s="8" t="s">
        <v>145</v>
      </c>
      <c r="D403" s="8" t="s">
        <v>5879</v>
      </c>
      <c r="E403" s="8" t="s">
        <v>41</v>
      </c>
      <c r="F403" s="8" t="s">
        <v>3783</v>
      </c>
      <c r="G403" s="8" t="s">
        <v>1135</v>
      </c>
      <c r="H403" s="8">
        <v>1</v>
      </c>
      <c r="I403" s="8">
        <v>1</v>
      </c>
      <c r="J403" s="8" t="s">
        <v>3724</v>
      </c>
      <c r="K403" s="8" t="s">
        <v>144</v>
      </c>
      <c r="L403" s="9">
        <v>46319</v>
      </c>
      <c r="M403" s="8" t="s">
        <v>5864</v>
      </c>
      <c r="N403" s="8" t="s">
        <v>5865</v>
      </c>
    </row>
    <row r="404" spans="1:14" ht="40" customHeight="1">
      <c r="A404" s="4" t="s">
        <v>3784</v>
      </c>
      <c r="B404" s="4" t="s">
        <v>136</v>
      </c>
      <c r="C404" s="4" t="s">
        <v>145</v>
      </c>
      <c r="D404" s="4" t="s">
        <v>5879</v>
      </c>
      <c r="E404" s="4" t="s">
        <v>41</v>
      </c>
      <c r="F404" s="4" t="s">
        <v>3785</v>
      </c>
      <c r="G404" s="4" t="s">
        <v>1135</v>
      </c>
      <c r="H404" s="4">
        <v>1</v>
      </c>
      <c r="I404" s="4">
        <v>1</v>
      </c>
      <c r="J404" s="4" t="s">
        <v>3727</v>
      </c>
      <c r="K404" s="4" t="s">
        <v>144</v>
      </c>
      <c r="L404" s="6">
        <v>46319</v>
      </c>
      <c r="M404" s="4" t="s">
        <v>5864</v>
      </c>
      <c r="N404" s="4" t="s">
        <v>5865</v>
      </c>
    </row>
    <row r="405" spans="1:14" ht="54" customHeight="1">
      <c r="A405" s="8" t="s">
        <v>3786</v>
      </c>
      <c r="B405" s="8" t="s">
        <v>136</v>
      </c>
      <c r="C405" s="8" t="s">
        <v>145</v>
      </c>
      <c r="D405" s="8" t="s">
        <v>5879</v>
      </c>
      <c r="E405" s="8" t="s">
        <v>41</v>
      </c>
      <c r="F405" s="8" t="s">
        <v>3787</v>
      </c>
      <c r="G405" s="8" t="s">
        <v>1135</v>
      </c>
      <c r="H405" s="8">
        <v>1</v>
      </c>
      <c r="I405" s="8">
        <v>1</v>
      </c>
      <c r="J405" s="8" t="s">
        <v>3730</v>
      </c>
      <c r="K405" s="8" t="s">
        <v>144</v>
      </c>
      <c r="L405" s="9">
        <v>46319</v>
      </c>
      <c r="M405" s="8" t="s">
        <v>5864</v>
      </c>
      <c r="N405" s="8" t="s">
        <v>5865</v>
      </c>
    </row>
    <row r="406" spans="1:14" ht="40" customHeight="1">
      <c r="A406" s="4" t="s">
        <v>3788</v>
      </c>
      <c r="B406" s="4" t="s">
        <v>136</v>
      </c>
      <c r="C406" s="4" t="s">
        <v>145</v>
      </c>
      <c r="D406" s="4" t="s">
        <v>5879</v>
      </c>
      <c r="E406" s="4" t="s">
        <v>41</v>
      </c>
      <c r="F406" s="4" t="s">
        <v>3789</v>
      </c>
      <c r="G406" s="4" t="s">
        <v>1135</v>
      </c>
      <c r="H406" s="4">
        <v>1</v>
      </c>
      <c r="I406" s="4">
        <v>1</v>
      </c>
      <c r="J406" s="4" t="s">
        <v>3733</v>
      </c>
      <c r="K406" s="4" t="s">
        <v>144</v>
      </c>
      <c r="L406" s="6">
        <v>46319</v>
      </c>
      <c r="M406" s="4" t="s">
        <v>5864</v>
      </c>
      <c r="N406" s="4" t="s">
        <v>5865</v>
      </c>
    </row>
    <row r="407" spans="1:14" ht="68" customHeight="1">
      <c r="A407" s="8" t="s">
        <v>3790</v>
      </c>
      <c r="B407" s="8" t="s">
        <v>136</v>
      </c>
      <c r="C407" s="8" t="s">
        <v>145</v>
      </c>
      <c r="D407" s="8" t="s">
        <v>5879</v>
      </c>
      <c r="E407" s="8" t="s">
        <v>41</v>
      </c>
      <c r="F407" s="8" t="s">
        <v>3791</v>
      </c>
      <c r="G407" s="8" t="s">
        <v>1135</v>
      </c>
      <c r="H407" s="8">
        <v>1</v>
      </c>
      <c r="I407" s="8">
        <v>1</v>
      </c>
      <c r="J407" s="8" t="s">
        <v>3736</v>
      </c>
      <c r="K407" s="8" t="s">
        <v>144</v>
      </c>
      <c r="L407" s="9">
        <v>46319</v>
      </c>
      <c r="M407" s="8" t="s">
        <v>5864</v>
      </c>
      <c r="N407" s="8" t="s">
        <v>5865</v>
      </c>
    </row>
    <row r="408" spans="1:14" ht="40" customHeight="1">
      <c r="A408" s="4" t="s">
        <v>3792</v>
      </c>
      <c r="B408" s="4" t="s">
        <v>136</v>
      </c>
      <c r="C408" s="4" t="s">
        <v>145</v>
      </c>
      <c r="D408" s="4" t="s">
        <v>5879</v>
      </c>
      <c r="E408" s="4" t="s">
        <v>41</v>
      </c>
      <c r="F408" s="4" t="s">
        <v>3793</v>
      </c>
      <c r="G408" s="4" t="s">
        <v>1135</v>
      </c>
      <c r="H408" s="4">
        <v>1</v>
      </c>
      <c r="I408" s="4">
        <v>1</v>
      </c>
      <c r="J408" s="4" t="s">
        <v>3739</v>
      </c>
      <c r="K408" s="4" t="s">
        <v>144</v>
      </c>
      <c r="L408" s="6">
        <v>46319</v>
      </c>
      <c r="M408" s="4" t="s">
        <v>5864</v>
      </c>
      <c r="N408" s="4" t="s">
        <v>5865</v>
      </c>
    </row>
    <row r="409" spans="1:14" ht="54" customHeight="1">
      <c r="A409" s="8" t="s">
        <v>3794</v>
      </c>
      <c r="B409" s="8" t="s">
        <v>136</v>
      </c>
      <c r="C409" s="8" t="s">
        <v>145</v>
      </c>
      <c r="D409" s="8" t="s">
        <v>5879</v>
      </c>
      <c r="E409" s="8" t="s">
        <v>41</v>
      </c>
      <c r="F409" s="8" t="s">
        <v>3795</v>
      </c>
      <c r="G409" s="8" t="s">
        <v>1135</v>
      </c>
      <c r="H409" s="8">
        <v>1</v>
      </c>
      <c r="I409" s="8">
        <v>1</v>
      </c>
      <c r="J409" s="8" t="s">
        <v>3742</v>
      </c>
      <c r="K409" s="8" t="s">
        <v>144</v>
      </c>
      <c r="L409" s="9">
        <v>46319</v>
      </c>
      <c r="M409" s="8" t="s">
        <v>5864</v>
      </c>
      <c r="N409" s="8" t="s">
        <v>5865</v>
      </c>
    </row>
    <row r="410" spans="1:14" ht="40" customHeight="1">
      <c r="A410" s="4" t="s">
        <v>3796</v>
      </c>
      <c r="B410" s="4" t="s">
        <v>136</v>
      </c>
      <c r="C410" s="4" t="s">
        <v>145</v>
      </c>
      <c r="D410" s="4" t="s">
        <v>5879</v>
      </c>
      <c r="E410" s="4" t="s">
        <v>41</v>
      </c>
      <c r="F410" s="4" t="s">
        <v>3797</v>
      </c>
      <c r="G410" s="4" t="s">
        <v>1135</v>
      </c>
      <c r="H410" s="4">
        <v>1</v>
      </c>
      <c r="I410" s="4">
        <v>1</v>
      </c>
      <c r="J410" s="4" t="s">
        <v>3745</v>
      </c>
      <c r="K410" s="4" t="s">
        <v>144</v>
      </c>
      <c r="L410" s="6">
        <v>46319</v>
      </c>
      <c r="M410" s="4" t="s">
        <v>5864</v>
      </c>
      <c r="N410" s="4" t="s">
        <v>5865</v>
      </c>
    </row>
    <row r="411" spans="1:14" ht="40" customHeight="1">
      <c r="A411" s="8" t="s">
        <v>3798</v>
      </c>
      <c r="B411" s="8" t="s">
        <v>136</v>
      </c>
      <c r="C411" s="8" t="s">
        <v>145</v>
      </c>
      <c r="D411" s="8" t="s">
        <v>5879</v>
      </c>
      <c r="E411" s="8" t="s">
        <v>41</v>
      </c>
      <c r="F411" s="8" t="s">
        <v>3799</v>
      </c>
      <c r="G411" s="8" t="s">
        <v>1135</v>
      </c>
      <c r="H411" s="8">
        <v>1</v>
      </c>
      <c r="I411" s="8">
        <v>1</v>
      </c>
      <c r="J411" s="8" t="s">
        <v>3748</v>
      </c>
      <c r="K411" s="8" t="s">
        <v>144</v>
      </c>
      <c r="L411" s="9">
        <v>46319</v>
      </c>
      <c r="M411" s="8" t="s">
        <v>5864</v>
      </c>
      <c r="N411" s="8" t="s">
        <v>6087</v>
      </c>
    </row>
    <row r="412" spans="1:14" ht="54" customHeight="1">
      <c r="A412" s="4" t="s">
        <v>3800</v>
      </c>
      <c r="B412" s="4" t="s">
        <v>136</v>
      </c>
      <c r="C412" s="4" t="s">
        <v>145</v>
      </c>
      <c r="D412" s="4" t="s">
        <v>5879</v>
      </c>
      <c r="E412" s="4" t="s">
        <v>41</v>
      </c>
      <c r="F412" s="4" t="s">
        <v>3801</v>
      </c>
      <c r="G412" s="4" t="s">
        <v>1135</v>
      </c>
      <c r="H412" s="4">
        <v>1</v>
      </c>
      <c r="I412" s="4">
        <v>1</v>
      </c>
      <c r="J412" s="4" t="s">
        <v>3751</v>
      </c>
      <c r="K412" s="4" t="s">
        <v>144</v>
      </c>
      <c r="L412" s="6">
        <v>46319</v>
      </c>
      <c r="M412" s="4" t="s">
        <v>5864</v>
      </c>
      <c r="N412" s="4" t="s">
        <v>5865</v>
      </c>
    </row>
    <row r="413" spans="1:14" ht="54" customHeight="1">
      <c r="A413" s="8" t="s">
        <v>3802</v>
      </c>
      <c r="B413" s="8" t="s">
        <v>136</v>
      </c>
      <c r="C413" s="8" t="s">
        <v>145</v>
      </c>
      <c r="D413" s="8" t="s">
        <v>5879</v>
      </c>
      <c r="E413" s="8" t="s">
        <v>41</v>
      </c>
      <c r="F413" s="8" t="s">
        <v>3803</v>
      </c>
      <c r="G413" s="8" t="s">
        <v>1135</v>
      </c>
      <c r="H413" s="8">
        <v>1</v>
      </c>
      <c r="I413" s="8">
        <v>1</v>
      </c>
      <c r="J413" s="8" t="s">
        <v>3754</v>
      </c>
      <c r="K413" s="8" t="s">
        <v>144</v>
      </c>
      <c r="L413" s="9">
        <v>46319</v>
      </c>
      <c r="M413" s="8" t="s">
        <v>5864</v>
      </c>
      <c r="N413" s="8" t="s">
        <v>5865</v>
      </c>
    </row>
    <row r="414" spans="1:14" ht="54" customHeight="1">
      <c r="A414" s="4" t="s">
        <v>3804</v>
      </c>
      <c r="B414" s="4" t="s">
        <v>136</v>
      </c>
      <c r="C414" s="4" t="s">
        <v>145</v>
      </c>
      <c r="D414" s="4" t="s">
        <v>5879</v>
      </c>
      <c r="E414" s="4" t="s">
        <v>41</v>
      </c>
      <c r="F414" s="4" t="s">
        <v>3805</v>
      </c>
      <c r="G414" s="4" t="s">
        <v>1135</v>
      </c>
      <c r="H414" s="4">
        <v>1</v>
      </c>
      <c r="I414" s="4">
        <v>1</v>
      </c>
      <c r="J414" s="4" t="s">
        <v>3757</v>
      </c>
      <c r="K414" s="4" t="s">
        <v>144</v>
      </c>
      <c r="L414" s="6">
        <v>46319</v>
      </c>
      <c r="M414" s="4" t="s">
        <v>5864</v>
      </c>
      <c r="N414" s="4" t="s">
        <v>5865</v>
      </c>
    </row>
    <row r="415" spans="1:14" ht="40" customHeight="1">
      <c r="A415" s="8" t="s">
        <v>3806</v>
      </c>
      <c r="B415" s="8" t="s">
        <v>136</v>
      </c>
      <c r="C415" s="8" t="s">
        <v>145</v>
      </c>
      <c r="D415" s="8" t="s">
        <v>5879</v>
      </c>
      <c r="E415" s="8" t="s">
        <v>41</v>
      </c>
      <c r="F415" s="8" t="s">
        <v>3807</v>
      </c>
      <c r="G415" s="8" t="s">
        <v>1135</v>
      </c>
      <c r="H415" s="8">
        <v>1</v>
      </c>
      <c r="I415" s="8">
        <v>1</v>
      </c>
      <c r="J415" s="8" t="s">
        <v>3760</v>
      </c>
      <c r="K415" s="8" t="s">
        <v>144</v>
      </c>
      <c r="L415" s="9">
        <v>46319</v>
      </c>
      <c r="M415" s="8" t="s">
        <v>5864</v>
      </c>
      <c r="N415" s="8" t="s">
        <v>5865</v>
      </c>
    </row>
    <row r="416" spans="1:14" ht="40" customHeight="1">
      <c r="A416" s="4" t="s">
        <v>3808</v>
      </c>
      <c r="B416" s="4" t="s">
        <v>136</v>
      </c>
      <c r="C416" s="4" t="s">
        <v>145</v>
      </c>
      <c r="D416" s="4" t="s">
        <v>5879</v>
      </c>
      <c r="E416" s="4" t="s">
        <v>41</v>
      </c>
      <c r="F416" s="4" t="s">
        <v>3809</v>
      </c>
      <c r="G416" s="4" t="s">
        <v>1135</v>
      </c>
      <c r="H416" s="4">
        <v>1</v>
      </c>
      <c r="I416" s="4">
        <v>1</v>
      </c>
      <c r="J416" s="4" t="s">
        <v>3763</v>
      </c>
      <c r="K416" s="4" t="s">
        <v>144</v>
      </c>
      <c r="L416" s="6">
        <v>46319</v>
      </c>
      <c r="M416" s="4" t="s">
        <v>5864</v>
      </c>
      <c r="N416" s="4" t="s">
        <v>5865</v>
      </c>
    </row>
    <row r="417" spans="1:14" ht="40" customHeight="1">
      <c r="A417" s="8" t="s">
        <v>3810</v>
      </c>
      <c r="B417" s="8" t="s">
        <v>136</v>
      </c>
      <c r="C417" s="8" t="s">
        <v>145</v>
      </c>
      <c r="D417" s="8" t="s">
        <v>5879</v>
      </c>
      <c r="E417" s="8" t="s">
        <v>41</v>
      </c>
      <c r="F417" s="8" t="s">
        <v>3811</v>
      </c>
      <c r="G417" s="8" t="s">
        <v>1135</v>
      </c>
      <c r="H417" s="8">
        <v>1</v>
      </c>
      <c r="I417" s="8">
        <v>1</v>
      </c>
      <c r="J417" s="8" t="s">
        <v>3766</v>
      </c>
      <c r="K417" s="8" t="s">
        <v>144</v>
      </c>
      <c r="L417" s="9">
        <v>46319</v>
      </c>
      <c r="M417" s="8" t="s">
        <v>5864</v>
      </c>
      <c r="N417" s="8" t="s">
        <v>5865</v>
      </c>
    </row>
    <row r="418" spans="1:14" ht="40" customHeight="1">
      <c r="A418" s="4" t="s">
        <v>3812</v>
      </c>
      <c r="B418" s="4" t="s">
        <v>136</v>
      </c>
      <c r="C418" s="4" t="s">
        <v>145</v>
      </c>
      <c r="D418" s="4" t="s">
        <v>5879</v>
      </c>
      <c r="E418" s="4" t="s">
        <v>41</v>
      </c>
      <c r="F418" s="4" t="s">
        <v>3460</v>
      </c>
      <c r="G418" s="4" t="s">
        <v>1135</v>
      </c>
      <c r="H418" s="4">
        <v>1</v>
      </c>
      <c r="I418" s="4">
        <v>1</v>
      </c>
      <c r="J418" s="4" t="s">
        <v>3813</v>
      </c>
      <c r="K418" s="4" t="s">
        <v>144</v>
      </c>
      <c r="L418" s="6">
        <v>46319</v>
      </c>
      <c r="M418" s="4" t="s">
        <v>5864</v>
      </c>
      <c r="N418" s="4" t="s">
        <v>5865</v>
      </c>
    </row>
    <row r="419" spans="1:14" ht="40" customHeight="1">
      <c r="A419" s="8" t="s">
        <v>3814</v>
      </c>
      <c r="B419" s="8" t="s">
        <v>136</v>
      </c>
      <c r="C419" s="8" t="s">
        <v>145</v>
      </c>
      <c r="D419" s="8" t="s">
        <v>5879</v>
      </c>
      <c r="E419" s="8" t="s">
        <v>41</v>
      </c>
      <c r="F419" s="8" t="s">
        <v>3815</v>
      </c>
      <c r="G419" s="8" t="s">
        <v>1135</v>
      </c>
      <c r="H419" s="8">
        <v>1</v>
      </c>
      <c r="I419" s="8">
        <v>1</v>
      </c>
      <c r="J419" s="8" t="s">
        <v>3692</v>
      </c>
      <c r="K419" s="8" t="s">
        <v>144</v>
      </c>
      <c r="L419" s="9">
        <v>46319</v>
      </c>
      <c r="M419" s="8" t="s">
        <v>5864</v>
      </c>
      <c r="N419" s="8" t="s">
        <v>5865</v>
      </c>
    </row>
    <row r="420" spans="1:14" ht="40" customHeight="1">
      <c r="A420" s="4" t="s">
        <v>3816</v>
      </c>
      <c r="B420" s="4" t="s">
        <v>136</v>
      </c>
      <c r="C420" s="4" t="s">
        <v>145</v>
      </c>
      <c r="D420" s="4" t="s">
        <v>5879</v>
      </c>
      <c r="E420" s="4" t="s">
        <v>41</v>
      </c>
      <c r="F420" s="4" t="s">
        <v>3701</v>
      </c>
      <c r="G420" s="4" t="s">
        <v>1135</v>
      </c>
      <c r="H420" s="4">
        <v>1</v>
      </c>
      <c r="I420" s="4">
        <v>1</v>
      </c>
      <c r="J420" s="4" t="s">
        <v>3817</v>
      </c>
      <c r="K420" s="4" t="s">
        <v>144</v>
      </c>
      <c r="L420" s="6">
        <v>46319</v>
      </c>
      <c r="M420" s="4" t="s">
        <v>5864</v>
      </c>
      <c r="N420" s="4" t="s">
        <v>5865</v>
      </c>
    </row>
    <row r="421" spans="1:14" ht="40" customHeight="1">
      <c r="A421" s="8" t="s">
        <v>3818</v>
      </c>
      <c r="B421" s="8" t="s">
        <v>136</v>
      </c>
      <c r="C421" s="8" t="s">
        <v>145</v>
      </c>
      <c r="D421" s="8" t="s">
        <v>5879</v>
      </c>
      <c r="E421" s="8" t="s">
        <v>41</v>
      </c>
      <c r="F421" s="8" t="s">
        <v>3819</v>
      </c>
      <c r="G421" s="8" t="s">
        <v>1135</v>
      </c>
      <c r="H421" s="8">
        <v>1</v>
      </c>
      <c r="I421" s="8">
        <v>1</v>
      </c>
      <c r="J421" s="8" t="s">
        <v>3696</v>
      </c>
      <c r="K421" s="8" t="s">
        <v>144</v>
      </c>
      <c r="L421" s="9">
        <v>46319</v>
      </c>
      <c r="M421" s="8" t="s">
        <v>5864</v>
      </c>
      <c r="N421" s="8" t="s">
        <v>5865</v>
      </c>
    </row>
    <row r="422" spans="1:14" ht="54" customHeight="1">
      <c r="A422" s="4" t="s">
        <v>6401</v>
      </c>
      <c r="B422" s="4" t="s">
        <v>136</v>
      </c>
      <c r="C422" s="4" t="s">
        <v>145</v>
      </c>
      <c r="D422" s="4" t="s">
        <v>2969</v>
      </c>
      <c r="E422" s="4" t="s">
        <v>41</v>
      </c>
      <c r="F422" s="4" t="s">
        <v>5881</v>
      </c>
      <c r="G422" s="4" t="s">
        <v>1135</v>
      </c>
      <c r="H422" s="4">
        <v>1</v>
      </c>
      <c r="I422" s="4">
        <v>1</v>
      </c>
      <c r="J422" s="4" t="s">
        <v>6402</v>
      </c>
      <c r="K422" s="4" t="s">
        <v>144</v>
      </c>
      <c r="L422" s="6">
        <v>46319</v>
      </c>
      <c r="M422" s="4" t="s">
        <v>5864</v>
      </c>
      <c r="N422" s="4" t="s">
        <v>5883</v>
      </c>
    </row>
    <row r="423" spans="1:14" ht="82" customHeight="1">
      <c r="A423" s="8" t="s">
        <v>6403</v>
      </c>
      <c r="B423" s="8" t="s">
        <v>136</v>
      </c>
      <c r="C423" s="8" t="s">
        <v>145</v>
      </c>
      <c r="D423" s="8" t="s">
        <v>2969</v>
      </c>
      <c r="E423" s="8" t="s">
        <v>41</v>
      </c>
      <c r="F423" s="8" t="s">
        <v>5885</v>
      </c>
      <c r="G423" s="8" t="s">
        <v>1135</v>
      </c>
      <c r="H423" s="8">
        <v>1</v>
      </c>
      <c r="I423" s="8">
        <v>1</v>
      </c>
      <c r="J423" s="8" t="s">
        <v>6404</v>
      </c>
      <c r="K423" s="8" t="s">
        <v>144</v>
      </c>
      <c r="L423" s="9">
        <v>46319</v>
      </c>
      <c r="M423" s="8" t="s">
        <v>5864</v>
      </c>
      <c r="N423" s="8" t="s">
        <v>5883</v>
      </c>
    </row>
    <row r="424" spans="1:14" ht="68" customHeight="1">
      <c r="A424" s="4" t="s">
        <v>6405</v>
      </c>
      <c r="B424" s="4" t="s">
        <v>136</v>
      </c>
      <c r="C424" s="4" t="s">
        <v>145</v>
      </c>
      <c r="D424" s="4" t="s">
        <v>2969</v>
      </c>
      <c r="E424" s="4" t="s">
        <v>41</v>
      </c>
      <c r="F424" s="4" t="s">
        <v>5888</v>
      </c>
      <c r="G424" s="4" t="s">
        <v>1135</v>
      </c>
      <c r="H424" s="4">
        <v>1</v>
      </c>
      <c r="I424" s="4">
        <v>1</v>
      </c>
      <c r="J424" s="4" t="s">
        <v>6406</v>
      </c>
      <c r="K424" s="4" t="s">
        <v>144</v>
      </c>
      <c r="L424" s="6">
        <v>46319</v>
      </c>
      <c r="M424" s="4" t="s">
        <v>5864</v>
      </c>
      <c r="N424" s="4" t="s">
        <v>5883</v>
      </c>
    </row>
    <row r="425" spans="1:14" ht="54" customHeight="1">
      <c r="A425" s="8" t="s">
        <v>6407</v>
      </c>
      <c r="B425" s="8" t="s">
        <v>136</v>
      </c>
      <c r="C425" s="8" t="s">
        <v>145</v>
      </c>
      <c r="D425" s="8" t="s">
        <v>2969</v>
      </c>
      <c r="E425" s="8" t="s">
        <v>41</v>
      </c>
      <c r="F425" s="8" t="s">
        <v>5891</v>
      </c>
      <c r="G425" s="8" t="s">
        <v>1135</v>
      </c>
      <c r="H425" s="8">
        <v>1</v>
      </c>
      <c r="I425" s="8">
        <v>1</v>
      </c>
      <c r="J425" s="8" t="s">
        <v>6408</v>
      </c>
      <c r="K425" s="8" t="s">
        <v>144</v>
      </c>
      <c r="L425" s="9">
        <v>46319</v>
      </c>
      <c r="M425" s="8" t="s">
        <v>5864</v>
      </c>
      <c r="N425" s="8" t="s">
        <v>5883</v>
      </c>
    </row>
    <row r="426" spans="1:14" ht="40" customHeight="1">
      <c r="A426" s="4" t="s">
        <v>6409</v>
      </c>
      <c r="B426" s="4" t="s">
        <v>136</v>
      </c>
      <c r="C426" s="4" t="s">
        <v>145</v>
      </c>
      <c r="D426" s="4" t="s">
        <v>2969</v>
      </c>
      <c r="E426" s="4" t="s">
        <v>41</v>
      </c>
      <c r="F426" s="4" t="s">
        <v>5894</v>
      </c>
      <c r="G426" s="4" t="s">
        <v>1135</v>
      </c>
      <c r="H426" s="4">
        <v>1</v>
      </c>
      <c r="I426" s="4">
        <v>1</v>
      </c>
      <c r="J426" s="4" t="s">
        <v>6410</v>
      </c>
      <c r="K426" s="4" t="s">
        <v>144</v>
      </c>
      <c r="L426" s="6">
        <v>46319</v>
      </c>
      <c r="M426" s="4" t="s">
        <v>5864</v>
      </c>
      <c r="N426" s="4" t="s">
        <v>5883</v>
      </c>
    </row>
    <row r="427" spans="1:14" ht="68" customHeight="1">
      <c r="A427" s="8" t="s">
        <v>6411</v>
      </c>
      <c r="B427" s="8" t="s">
        <v>136</v>
      </c>
      <c r="C427" s="8" t="s">
        <v>145</v>
      </c>
      <c r="D427" s="8" t="s">
        <v>2969</v>
      </c>
      <c r="E427" s="8" t="s">
        <v>41</v>
      </c>
      <c r="F427" s="8" t="s">
        <v>5897</v>
      </c>
      <c r="G427" s="8" t="s">
        <v>1135</v>
      </c>
      <c r="H427" s="8">
        <v>1</v>
      </c>
      <c r="I427" s="8">
        <v>1</v>
      </c>
      <c r="J427" s="8" t="s">
        <v>6412</v>
      </c>
      <c r="K427" s="8" t="s">
        <v>144</v>
      </c>
      <c r="L427" s="9">
        <v>46319</v>
      </c>
      <c r="M427" s="8" t="s">
        <v>5864</v>
      </c>
      <c r="N427" s="8" t="s">
        <v>5883</v>
      </c>
    </row>
    <row r="428" spans="1:14" ht="54" customHeight="1">
      <c r="A428" s="4" t="s">
        <v>6413</v>
      </c>
      <c r="B428" s="4" t="s">
        <v>136</v>
      </c>
      <c r="C428" s="4" t="s">
        <v>145</v>
      </c>
      <c r="D428" s="4" t="s">
        <v>2969</v>
      </c>
      <c r="E428" s="4" t="s">
        <v>41</v>
      </c>
      <c r="F428" s="4" t="s">
        <v>5900</v>
      </c>
      <c r="G428" s="4" t="s">
        <v>1135</v>
      </c>
      <c r="H428" s="4">
        <v>1</v>
      </c>
      <c r="I428" s="4">
        <v>1</v>
      </c>
      <c r="J428" s="4" t="s">
        <v>6414</v>
      </c>
      <c r="K428" s="4" t="s">
        <v>144</v>
      </c>
      <c r="L428" s="6">
        <v>46319</v>
      </c>
      <c r="M428" s="4" t="s">
        <v>5864</v>
      </c>
      <c r="N428" s="4" t="s">
        <v>5883</v>
      </c>
    </row>
    <row r="429" spans="1:14" ht="40" customHeight="1">
      <c r="A429" s="8" t="s">
        <v>6415</v>
      </c>
      <c r="B429" s="8" t="s">
        <v>136</v>
      </c>
      <c r="C429" s="8" t="s">
        <v>145</v>
      </c>
      <c r="D429" s="8" t="s">
        <v>2969</v>
      </c>
      <c r="E429" s="8" t="s">
        <v>41</v>
      </c>
      <c r="F429" s="8" t="s">
        <v>5903</v>
      </c>
      <c r="G429" s="8" t="s">
        <v>1135</v>
      </c>
      <c r="H429" s="8">
        <v>1</v>
      </c>
      <c r="I429" s="8">
        <v>1</v>
      </c>
      <c r="J429" s="8" t="s">
        <v>6301</v>
      </c>
      <c r="K429" s="8" t="s">
        <v>144</v>
      </c>
      <c r="L429" s="9">
        <v>46319</v>
      </c>
      <c r="M429" s="8" t="s">
        <v>5864</v>
      </c>
      <c r="N429" s="8" t="s">
        <v>5883</v>
      </c>
    </row>
    <row r="430" spans="1:14" ht="54" customHeight="1">
      <c r="A430" s="4" t="s">
        <v>6416</v>
      </c>
      <c r="B430" s="4" t="s">
        <v>136</v>
      </c>
      <c r="C430" s="4" t="s">
        <v>145</v>
      </c>
      <c r="D430" s="4" t="s">
        <v>2969</v>
      </c>
      <c r="E430" s="4" t="s">
        <v>41</v>
      </c>
      <c r="F430" s="4" t="s">
        <v>5906</v>
      </c>
      <c r="G430" s="4" t="s">
        <v>1135</v>
      </c>
      <c r="H430" s="4">
        <v>1</v>
      </c>
      <c r="I430" s="4">
        <v>1</v>
      </c>
      <c r="J430" s="4" t="s">
        <v>6311</v>
      </c>
      <c r="K430" s="4" t="s">
        <v>144</v>
      </c>
      <c r="L430" s="6">
        <v>46319</v>
      </c>
      <c r="M430" s="4" t="s">
        <v>5864</v>
      </c>
      <c r="N430" s="4" t="s">
        <v>5883</v>
      </c>
    </row>
    <row r="431" spans="1:14" ht="54" customHeight="1">
      <c r="A431" s="8" t="s">
        <v>6417</v>
      </c>
      <c r="B431" s="8" t="s">
        <v>136</v>
      </c>
      <c r="C431" s="8" t="s">
        <v>145</v>
      </c>
      <c r="D431" s="8" t="s">
        <v>2969</v>
      </c>
      <c r="E431" s="8" t="s">
        <v>41</v>
      </c>
      <c r="F431" s="8" t="s">
        <v>5909</v>
      </c>
      <c r="G431" s="8" t="s">
        <v>1135</v>
      </c>
      <c r="H431" s="8">
        <v>1</v>
      </c>
      <c r="I431" s="8">
        <v>1</v>
      </c>
      <c r="J431" s="8" t="s">
        <v>6313</v>
      </c>
      <c r="K431" s="8" t="s">
        <v>144</v>
      </c>
      <c r="L431" s="9">
        <v>46319</v>
      </c>
      <c r="M431" s="8" t="s">
        <v>5864</v>
      </c>
      <c r="N431" s="8" t="s">
        <v>5883</v>
      </c>
    </row>
    <row r="432" spans="1:14" ht="40" customHeight="1">
      <c r="A432" s="4" t="s">
        <v>6418</v>
      </c>
      <c r="B432" s="4" t="s">
        <v>136</v>
      </c>
      <c r="C432" s="4" t="s">
        <v>145</v>
      </c>
      <c r="D432" s="4" t="s">
        <v>2969</v>
      </c>
      <c r="E432" s="4" t="s">
        <v>41</v>
      </c>
      <c r="F432" s="4" t="s">
        <v>5912</v>
      </c>
      <c r="G432" s="4" t="s">
        <v>1135</v>
      </c>
      <c r="H432" s="4">
        <v>1</v>
      </c>
      <c r="I432" s="4">
        <v>1</v>
      </c>
      <c r="J432" s="4" t="s">
        <v>6315</v>
      </c>
      <c r="K432" s="4" t="s">
        <v>144</v>
      </c>
      <c r="L432" s="6">
        <v>46319</v>
      </c>
      <c r="M432" s="4" t="s">
        <v>5864</v>
      </c>
      <c r="N432" s="4" t="s">
        <v>5883</v>
      </c>
    </row>
    <row r="433" spans="1:14" ht="68" customHeight="1">
      <c r="A433" s="8" t="s">
        <v>6419</v>
      </c>
      <c r="B433" s="8" t="s">
        <v>136</v>
      </c>
      <c r="C433" s="8" t="s">
        <v>145</v>
      </c>
      <c r="D433" s="8" t="s">
        <v>2969</v>
      </c>
      <c r="E433" s="8" t="s">
        <v>41</v>
      </c>
      <c r="F433" s="8" t="s">
        <v>5973</v>
      </c>
      <c r="G433" s="8" t="s">
        <v>1135</v>
      </c>
      <c r="H433" s="8">
        <v>1</v>
      </c>
      <c r="I433" s="8">
        <v>1</v>
      </c>
      <c r="J433" s="8" t="s">
        <v>6317</v>
      </c>
      <c r="K433" s="8" t="s">
        <v>144</v>
      </c>
      <c r="L433" s="9">
        <v>46319</v>
      </c>
      <c r="M433" s="8" t="s">
        <v>5864</v>
      </c>
      <c r="N433" s="8" t="s">
        <v>5883</v>
      </c>
    </row>
    <row r="434" spans="1:14" ht="54" customHeight="1">
      <c r="A434" s="4" t="s">
        <v>6420</v>
      </c>
      <c r="B434" s="4" t="s">
        <v>136</v>
      </c>
      <c r="C434" s="4" t="s">
        <v>145</v>
      </c>
      <c r="D434" s="4" t="s">
        <v>2969</v>
      </c>
      <c r="E434" s="4" t="s">
        <v>41</v>
      </c>
      <c r="F434" s="4" t="s">
        <v>5976</v>
      </c>
      <c r="G434" s="4" t="s">
        <v>1135</v>
      </c>
      <c r="H434" s="4">
        <v>1</v>
      </c>
      <c r="I434" s="4">
        <v>1</v>
      </c>
      <c r="J434" s="4" t="s">
        <v>6319</v>
      </c>
      <c r="K434" s="4" t="s">
        <v>144</v>
      </c>
      <c r="L434" s="6">
        <v>46319</v>
      </c>
      <c r="M434" s="4" t="s">
        <v>5864</v>
      </c>
      <c r="N434" s="4" t="s">
        <v>5883</v>
      </c>
    </row>
    <row r="435" spans="1:14" ht="54" customHeight="1">
      <c r="A435" s="8" t="s">
        <v>6421</v>
      </c>
      <c r="B435" s="8" t="s">
        <v>136</v>
      </c>
      <c r="C435" s="8" t="s">
        <v>145</v>
      </c>
      <c r="D435" s="8" t="s">
        <v>2969</v>
      </c>
      <c r="E435" s="8" t="s">
        <v>41</v>
      </c>
      <c r="F435" s="8" t="s">
        <v>5979</v>
      </c>
      <c r="G435" s="8" t="s">
        <v>1135</v>
      </c>
      <c r="H435" s="8">
        <v>1</v>
      </c>
      <c r="I435" s="8">
        <v>1</v>
      </c>
      <c r="J435" s="8" t="s">
        <v>6321</v>
      </c>
      <c r="K435" s="8" t="s">
        <v>144</v>
      </c>
      <c r="L435" s="9">
        <v>46319</v>
      </c>
      <c r="M435" s="8" t="s">
        <v>5864</v>
      </c>
      <c r="N435" s="8" t="s">
        <v>5883</v>
      </c>
    </row>
    <row r="436" spans="1:14" ht="40" customHeight="1">
      <c r="A436" s="4" t="s">
        <v>6422</v>
      </c>
      <c r="B436" s="4" t="s">
        <v>136</v>
      </c>
      <c r="C436" s="4" t="s">
        <v>145</v>
      </c>
      <c r="D436" s="4" t="s">
        <v>2969</v>
      </c>
      <c r="E436" s="4" t="s">
        <v>41</v>
      </c>
      <c r="F436" s="4" t="s">
        <v>5982</v>
      </c>
      <c r="G436" s="4" t="s">
        <v>1135</v>
      </c>
      <c r="H436" s="4">
        <v>1</v>
      </c>
      <c r="I436" s="4">
        <v>1</v>
      </c>
      <c r="J436" s="4" t="s">
        <v>6323</v>
      </c>
      <c r="K436" s="4" t="s">
        <v>144</v>
      </c>
      <c r="L436" s="6">
        <v>46319</v>
      </c>
      <c r="M436" s="4" t="s">
        <v>5864</v>
      </c>
      <c r="N436" s="4" t="s">
        <v>5883</v>
      </c>
    </row>
    <row r="437" spans="1:14" ht="82" customHeight="1">
      <c r="A437" s="8" t="s">
        <v>6423</v>
      </c>
      <c r="B437" s="8" t="s">
        <v>136</v>
      </c>
      <c r="C437" s="8" t="s">
        <v>145</v>
      </c>
      <c r="D437" s="8" t="s">
        <v>2969</v>
      </c>
      <c r="E437" s="8" t="s">
        <v>41</v>
      </c>
      <c r="F437" s="8" t="s">
        <v>5985</v>
      </c>
      <c r="G437" s="8" t="s">
        <v>1135</v>
      </c>
      <c r="H437" s="8">
        <v>1</v>
      </c>
      <c r="I437" s="8">
        <v>1</v>
      </c>
      <c r="J437" s="8" t="s">
        <v>6325</v>
      </c>
      <c r="K437" s="8" t="s">
        <v>144</v>
      </c>
      <c r="L437" s="9">
        <v>46319</v>
      </c>
      <c r="M437" s="8" t="s">
        <v>5864</v>
      </c>
      <c r="N437" s="8" t="s">
        <v>5883</v>
      </c>
    </row>
    <row r="438" spans="1:14" ht="96" customHeight="1">
      <c r="A438" s="4" t="s">
        <v>6424</v>
      </c>
      <c r="B438" s="4" t="s">
        <v>136</v>
      </c>
      <c r="C438" s="4" t="s">
        <v>145</v>
      </c>
      <c r="D438" s="4" t="s">
        <v>2969</v>
      </c>
      <c r="E438" s="4" t="s">
        <v>41</v>
      </c>
      <c r="F438" s="4" t="s">
        <v>5988</v>
      </c>
      <c r="G438" s="4" t="s">
        <v>1135</v>
      </c>
      <c r="H438" s="4">
        <v>1</v>
      </c>
      <c r="I438" s="4">
        <v>1</v>
      </c>
      <c r="J438" s="4" t="s">
        <v>6328</v>
      </c>
      <c r="K438" s="4" t="s">
        <v>144</v>
      </c>
      <c r="L438" s="6">
        <v>46319</v>
      </c>
      <c r="M438" s="4" t="s">
        <v>5864</v>
      </c>
      <c r="N438" s="4" t="s">
        <v>5883</v>
      </c>
    </row>
    <row r="439" spans="1:14" ht="82" customHeight="1">
      <c r="A439" s="8" t="s">
        <v>6425</v>
      </c>
      <c r="B439" s="8" t="s">
        <v>136</v>
      </c>
      <c r="C439" s="8" t="s">
        <v>145</v>
      </c>
      <c r="D439" s="8" t="s">
        <v>2969</v>
      </c>
      <c r="E439" s="8" t="s">
        <v>41</v>
      </c>
      <c r="F439" s="8" t="s">
        <v>5991</v>
      </c>
      <c r="G439" s="8" t="s">
        <v>1135</v>
      </c>
      <c r="H439" s="8">
        <v>1</v>
      </c>
      <c r="I439" s="8">
        <v>1</v>
      </c>
      <c r="J439" s="8" t="s">
        <v>6331</v>
      </c>
      <c r="K439" s="8" t="s">
        <v>144</v>
      </c>
      <c r="L439" s="9">
        <v>46319</v>
      </c>
      <c r="M439" s="8" t="s">
        <v>5864</v>
      </c>
      <c r="N439" s="8" t="s">
        <v>5883</v>
      </c>
    </row>
    <row r="440" spans="1:14" ht="40" customHeight="1">
      <c r="A440" s="4" t="s">
        <v>6426</v>
      </c>
      <c r="B440" s="4" t="s">
        <v>136</v>
      </c>
      <c r="C440" s="4" t="s">
        <v>145</v>
      </c>
      <c r="D440" s="4" t="s">
        <v>2969</v>
      </c>
      <c r="E440" s="4" t="s">
        <v>41</v>
      </c>
      <c r="F440" s="4" t="s">
        <v>6327</v>
      </c>
      <c r="G440" s="4" t="s">
        <v>1135</v>
      </c>
      <c r="H440" s="4">
        <v>1</v>
      </c>
      <c r="I440" s="4">
        <v>1</v>
      </c>
      <c r="J440" s="4" t="s">
        <v>6334</v>
      </c>
      <c r="K440" s="4" t="s">
        <v>144</v>
      </c>
      <c r="L440" s="6">
        <v>46319</v>
      </c>
      <c r="M440" s="4" t="s">
        <v>5864</v>
      </c>
      <c r="N440" s="4" t="s">
        <v>5883</v>
      </c>
    </row>
    <row r="441" spans="1:14" ht="40" customHeight="1">
      <c r="A441" s="8" t="s">
        <v>6427</v>
      </c>
      <c r="B441" s="8" t="s">
        <v>136</v>
      </c>
      <c r="C441" s="8" t="s">
        <v>145</v>
      </c>
      <c r="D441" s="8" t="s">
        <v>2969</v>
      </c>
      <c r="E441" s="8" t="s">
        <v>41</v>
      </c>
      <c r="F441" s="8" t="s">
        <v>6330</v>
      </c>
      <c r="G441" s="8" t="s">
        <v>1135</v>
      </c>
      <c r="H441" s="8">
        <v>1</v>
      </c>
      <c r="I441" s="8">
        <v>1</v>
      </c>
      <c r="J441" s="8" t="s">
        <v>6337</v>
      </c>
      <c r="K441" s="8" t="s">
        <v>144</v>
      </c>
      <c r="L441" s="9">
        <v>46319</v>
      </c>
      <c r="M441" s="8" t="s">
        <v>5864</v>
      </c>
      <c r="N441" s="8" t="s">
        <v>5883</v>
      </c>
    </row>
    <row r="442" spans="1:14" ht="40" customHeight="1">
      <c r="A442" s="4" t="s">
        <v>6428</v>
      </c>
      <c r="B442" s="4" t="s">
        <v>136</v>
      </c>
      <c r="C442" s="4" t="s">
        <v>145</v>
      </c>
      <c r="D442" s="4" t="s">
        <v>2969</v>
      </c>
      <c r="E442" s="4" t="s">
        <v>41</v>
      </c>
      <c r="F442" s="4" t="s">
        <v>6333</v>
      </c>
      <c r="G442" s="4" t="s">
        <v>1135</v>
      </c>
      <c r="H442" s="4">
        <v>1</v>
      </c>
      <c r="I442" s="4">
        <v>1</v>
      </c>
      <c r="J442" s="4" t="s">
        <v>6340</v>
      </c>
      <c r="K442" s="4" t="s">
        <v>144</v>
      </c>
      <c r="L442" s="6">
        <v>46319</v>
      </c>
      <c r="M442" s="4" t="s">
        <v>5864</v>
      </c>
      <c r="N442" s="4" t="s">
        <v>5883</v>
      </c>
    </row>
    <row r="443" spans="1:14" ht="68" customHeight="1">
      <c r="A443" s="8" t="s">
        <v>6429</v>
      </c>
      <c r="B443" s="8" t="s">
        <v>136</v>
      </c>
      <c r="C443" s="8" t="s">
        <v>145</v>
      </c>
      <c r="D443" s="8" t="s">
        <v>2969</v>
      </c>
      <c r="E443" s="8" t="s">
        <v>41</v>
      </c>
      <c r="F443" s="8" t="s">
        <v>6336</v>
      </c>
      <c r="G443" s="8" t="s">
        <v>1135</v>
      </c>
      <c r="H443" s="8">
        <v>1</v>
      </c>
      <c r="I443" s="8">
        <v>1</v>
      </c>
      <c r="J443" s="8" t="s">
        <v>6343</v>
      </c>
      <c r="K443" s="8" t="s">
        <v>144</v>
      </c>
      <c r="L443" s="9">
        <v>46319</v>
      </c>
      <c r="M443" s="8" t="s">
        <v>5864</v>
      </c>
      <c r="N443" s="8" t="s">
        <v>5883</v>
      </c>
    </row>
    <row r="444" spans="1:14" ht="82" customHeight="1">
      <c r="A444" s="4" t="s">
        <v>6430</v>
      </c>
      <c r="B444" s="4" t="s">
        <v>136</v>
      </c>
      <c r="C444" s="4" t="s">
        <v>145</v>
      </c>
      <c r="D444" s="4" t="s">
        <v>2969</v>
      </c>
      <c r="E444" s="4" t="s">
        <v>41</v>
      </c>
      <c r="F444" s="4" t="s">
        <v>6339</v>
      </c>
      <c r="G444" s="4" t="s">
        <v>1135</v>
      </c>
      <c r="H444" s="4">
        <v>1</v>
      </c>
      <c r="I444" s="4">
        <v>1</v>
      </c>
      <c r="J444" s="4" t="s">
        <v>6346</v>
      </c>
      <c r="K444" s="4" t="s">
        <v>144</v>
      </c>
      <c r="L444" s="6">
        <v>46319</v>
      </c>
      <c r="M444" s="4" t="s">
        <v>5864</v>
      </c>
      <c r="N444" s="4" t="s">
        <v>5883</v>
      </c>
    </row>
    <row r="445" spans="1:14" ht="54" customHeight="1">
      <c r="A445" s="8" t="s">
        <v>6431</v>
      </c>
      <c r="B445" s="8" t="s">
        <v>136</v>
      </c>
      <c r="C445" s="8" t="s">
        <v>145</v>
      </c>
      <c r="D445" s="8" t="s">
        <v>2969</v>
      </c>
      <c r="E445" s="8" t="s">
        <v>41</v>
      </c>
      <c r="F445" s="8" t="s">
        <v>6342</v>
      </c>
      <c r="G445" s="8" t="s">
        <v>1135</v>
      </c>
      <c r="H445" s="8">
        <v>1</v>
      </c>
      <c r="I445" s="8">
        <v>1</v>
      </c>
      <c r="J445" s="8" t="s">
        <v>6349</v>
      </c>
      <c r="K445" s="8" t="s">
        <v>144</v>
      </c>
      <c r="L445" s="9">
        <v>46319</v>
      </c>
      <c r="M445" s="8" t="s">
        <v>5864</v>
      </c>
      <c r="N445" s="8" t="s">
        <v>5883</v>
      </c>
    </row>
    <row r="446" spans="1:14" ht="68" customHeight="1">
      <c r="A446" s="4" t="s">
        <v>6432</v>
      </c>
      <c r="B446" s="4" t="s">
        <v>136</v>
      </c>
      <c r="C446" s="4" t="s">
        <v>145</v>
      </c>
      <c r="D446" s="4" t="s">
        <v>2969</v>
      </c>
      <c r="E446" s="4" t="s">
        <v>41</v>
      </c>
      <c r="F446" s="4" t="s">
        <v>6345</v>
      </c>
      <c r="G446" s="4" t="s">
        <v>1135</v>
      </c>
      <c r="H446" s="4">
        <v>1</v>
      </c>
      <c r="I446" s="4">
        <v>1</v>
      </c>
      <c r="J446" s="4" t="s">
        <v>6355</v>
      </c>
      <c r="K446" s="4" t="s">
        <v>144</v>
      </c>
      <c r="L446" s="6">
        <v>46319</v>
      </c>
      <c r="M446" s="4" t="s">
        <v>5864</v>
      </c>
      <c r="N446" s="4" t="s">
        <v>5883</v>
      </c>
    </row>
    <row r="447" spans="1:14" ht="40" customHeight="1">
      <c r="A447" s="8" t="s">
        <v>6433</v>
      </c>
      <c r="B447" s="8" t="s">
        <v>136</v>
      </c>
      <c r="C447" s="8" t="s">
        <v>145</v>
      </c>
      <c r="D447" s="8" t="s">
        <v>2969</v>
      </c>
      <c r="E447" s="8" t="s">
        <v>41</v>
      </c>
      <c r="F447" s="8" t="s">
        <v>6348</v>
      </c>
      <c r="G447" s="8" t="s">
        <v>1135</v>
      </c>
      <c r="H447" s="8">
        <v>1</v>
      </c>
      <c r="I447" s="8">
        <v>1</v>
      </c>
      <c r="J447" s="8" t="s">
        <v>6434</v>
      </c>
      <c r="K447" s="8" t="s">
        <v>144</v>
      </c>
      <c r="L447" s="9">
        <v>46319</v>
      </c>
      <c r="M447" s="8" t="s">
        <v>5864</v>
      </c>
      <c r="N447" s="8" t="s">
        <v>5883</v>
      </c>
    </row>
    <row r="448" spans="1:14" ht="40" customHeight="1">
      <c r="A448" s="4" t="s">
        <v>6435</v>
      </c>
      <c r="B448" s="4" t="s">
        <v>136</v>
      </c>
      <c r="C448" s="4" t="s">
        <v>145</v>
      </c>
      <c r="D448" s="4" t="s">
        <v>2969</v>
      </c>
      <c r="E448" s="4" t="s">
        <v>41</v>
      </c>
      <c r="F448" s="4" t="s">
        <v>6351</v>
      </c>
      <c r="G448" s="4" t="s">
        <v>1135</v>
      </c>
      <c r="H448" s="4">
        <v>1</v>
      </c>
      <c r="I448" s="4">
        <v>1</v>
      </c>
      <c r="J448" s="4" t="s">
        <v>6358</v>
      </c>
      <c r="K448" s="4" t="s">
        <v>144</v>
      </c>
      <c r="L448" s="6">
        <v>46319</v>
      </c>
      <c r="M448" s="4" t="s">
        <v>5864</v>
      </c>
      <c r="N448" s="4" t="s">
        <v>5883</v>
      </c>
    </row>
    <row r="449" spans="1:14" ht="40" customHeight="1">
      <c r="A449" s="8" t="s">
        <v>6436</v>
      </c>
      <c r="B449" s="8" t="s">
        <v>136</v>
      </c>
      <c r="C449" s="8" t="s">
        <v>145</v>
      </c>
      <c r="D449" s="8" t="s">
        <v>2969</v>
      </c>
      <c r="E449" s="8" t="s">
        <v>41</v>
      </c>
      <c r="F449" s="8" t="s">
        <v>6354</v>
      </c>
      <c r="G449" s="8" t="s">
        <v>1135</v>
      </c>
      <c r="H449" s="8">
        <v>1</v>
      </c>
      <c r="I449" s="8">
        <v>1</v>
      </c>
      <c r="J449" s="8" t="s">
        <v>6364</v>
      </c>
      <c r="K449" s="8" t="s">
        <v>144</v>
      </c>
      <c r="L449" s="9">
        <v>46319</v>
      </c>
      <c r="M449" s="8" t="s">
        <v>5864</v>
      </c>
      <c r="N449" s="8" t="s">
        <v>5883</v>
      </c>
    </row>
    <row r="450" spans="1:14" ht="40" customHeight="1">
      <c r="A450" s="4" t="s">
        <v>6437</v>
      </c>
      <c r="B450" s="4" t="s">
        <v>136</v>
      </c>
      <c r="C450" s="4" t="s">
        <v>145</v>
      </c>
      <c r="D450" s="4" t="s">
        <v>2969</v>
      </c>
      <c r="E450" s="4" t="s">
        <v>41</v>
      </c>
      <c r="F450" s="4" t="s">
        <v>6357</v>
      </c>
      <c r="G450" s="4" t="s">
        <v>1135</v>
      </c>
      <c r="H450" s="4">
        <v>1</v>
      </c>
      <c r="I450" s="4">
        <v>1</v>
      </c>
      <c r="J450" s="4" t="s">
        <v>6367</v>
      </c>
      <c r="K450" s="4" t="s">
        <v>144</v>
      </c>
      <c r="L450" s="6">
        <v>46319</v>
      </c>
      <c r="M450" s="4" t="s">
        <v>5864</v>
      </c>
      <c r="N450" s="4" t="s">
        <v>5883</v>
      </c>
    </row>
    <row r="451" spans="1:14" ht="40" customHeight="1">
      <c r="A451" s="8" t="s">
        <v>6438</v>
      </c>
      <c r="B451" s="8" t="s">
        <v>136</v>
      </c>
      <c r="C451" s="8" t="s">
        <v>145</v>
      </c>
      <c r="D451" s="8" t="s">
        <v>2969</v>
      </c>
      <c r="E451" s="8" t="s">
        <v>41</v>
      </c>
      <c r="F451" s="8" t="s">
        <v>6360</v>
      </c>
      <c r="G451" s="8" t="s">
        <v>1135</v>
      </c>
      <c r="H451" s="8">
        <v>1</v>
      </c>
      <c r="I451" s="8">
        <v>1</v>
      </c>
      <c r="J451" s="8" t="s">
        <v>6370</v>
      </c>
      <c r="K451" s="8" t="s">
        <v>144</v>
      </c>
      <c r="L451" s="9">
        <v>46319</v>
      </c>
      <c r="M451" s="8" t="s">
        <v>5864</v>
      </c>
      <c r="N451" s="8" t="s">
        <v>5883</v>
      </c>
    </row>
    <row r="452" spans="1:14" ht="68" customHeight="1">
      <c r="A452" s="4" t="s">
        <v>6439</v>
      </c>
      <c r="B452" s="4" t="s">
        <v>136</v>
      </c>
      <c r="C452" s="4" t="s">
        <v>145</v>
      </c>
      <c r="D452" s="4" t="s">
        <v>2969</v>
      </c>
      <c r="E452" s="4" t="s">
        <v>41</v>
      </c>
      <c r="F452" s="4" t="s">
        <v>6363</v>
      </c>
      <c r="G452" s="4" t="s">
        <v>1135</v>
      </c>
      <c r="H452" s="4">
        <v>1</v>
      </c>
      <c r="I452" s="4">
        <v>1</v>
      </c>
      <c r="J452" s="4" t="s">
        <v>6373</v>
      </c>
      <c r="K452" s="4" t="s">
        <v>144</v>
      </c>
      <c r="L452" s="6">
        <v>46319</v>
      </c>
      <c r="M452" s="4" t="s">
        <v>5864</v>
      </c>
      <c r="N452" s="4" t="s">
        <v>5883</v>
      </c>
    </row>
    <row r="453" spans="1:14" ht="54" customHeight="1">
      <c r="A453" s="8" t="s">
        <v>6440</v>
      </c>
      <c r="B453" s="8" t="s">
        <v>136</v>
      </c>
      <c r="C453" s="8" t="s">
        <v>145</v>
      </c>
      <c r="D453" s="8" t="s">
        <v>2969</v>
      </c>
      <c r="E453" s="8" t="s">
        <v>41</v>
      </c>
      <c r="F453" s="8" t="s">
        <v>6366</v>
      </c>
      <c r="G453" s="8" t="s">
        <v>1135</v>
      </c>
      <c r="H453" s="8">
        <v>1</v>
      </c>
      <c r="I453" s="8">
        <v>1</v>
      </c>
      <c r="J453" s="8" t="s">
        <v>6376</v>
      </c>
      <c r="K453" s="8" t="s">
        <v>144</v>
      </c>
      <c r="L453" s="9">
        <v>46319</v>
      </c>
      <c r="M453" s="8" t="s">
        <v>5864</v>
      </c>
      <c r="N453" s="8" t="s">
        <v>5883</v>
      </c>
    </row>
    <row r="454" spans="1:14" ht="68" customHeight="1">
      <c r="A454" s="4" t="s">
        <v>6441</v>
      </c>
      <c r="B454" s="4" t="s">
        <v>136</v>
      </c>
      <c r="C454" s="4" t="s">
        <v>145</v>
      </c>
      <c r="D454" s="4" t="s">
        <v>2969</v>
      </c>
      <c r="E454" s="4" t="s">
        <v>41</v>
      </c>
      <c r="F454" s="4" t="s">
        <v>6369</v>
      </c>
      <c r="G454" s="4" t="s">
        <v>1135</v>
      </c>
      <c r="H454" s="4">
        <v>1</v>
      </c>
      <c r="I454" s="4">
        <v>1</v>
      </c>
      <c r="J454" s="4" t="s">
        <v>6379</v>
      </c>
      <c r="K454" s="4" t="s">
        <v>144</v>
      </c>
      <c r="L454" s="6">
        <v>46319</v>
      </c>
      <c r="M454" s="4" t="s">
        <v>5864</v>
      </c>
      <c r="N454" s="4" t="s">
        <v>5883</v>
      </c>
    </row>
    <row r="455" spans="1:14" ht="54" customHeight="1">
      <c r="A455" s="8" t="s">
        <v>6442</v>
      </c>
      <c r="B455" s="8" t="s">
        <v>136</v>
      </c>
      <c r="C455" s="8" t="s">
        <v>145</v>
      </c>
      <c r="D455" s="8" t="s">
        <v>2969</v>
      </c>
      <c r="E455" s="8" t="s">
        <v>41</v>
      </c>
      <c r="F455" s="8" t="s">
        <v>6372</v>
      </c>
      <c r="G455" s="8" t="s">
        <v>1135</v>
      </c>
      <c r="H455" s="8">
        <v>1</v>
      </c>
      <c r="I455" s="8">
        <v>1</v>
      </c>
      <c r="J455" s="8" t="s">
        <v>6382</v>
      </c>
      <c r="K455" s="8" t="s">
        <v>144</v>
      </c>
      <c r="L455" s="9">
        <v>46319</v>
      </c>
      <c r="M455" s="8" t="s">
        <v>5864</v>
      </c>
      <c r="N455" s="8" t="s">
        <v>5883</v>
      </c>
    </row>
    <row r="456" spans="1:14" ht="54" customHeight="1">
      <c r="A456" s="4" t="s">
        <v>6443</v>
      </c>
      <c r="B456" s="4" t="s">
        <v>136</v>
      </c>
      <c r="C456" s="4" t="s">
        <v>145</v>
      </c>
      <c r="D456" s="4" t="s">
        <v>2969</v>
      </c>
      <c r="E456" s="4" t="s">
        <v>41</v>
      </c>
      <c r="F456" s="4" t="s">
        <v>6375</v>
      </c>
      <c r="G456" s="4" t="s">
        <v>1135</v>
      </c>
      <c r="H456" s="4">
        <v>1</v>
      </c>
      <c r="I456" s="4">
        <v>1</v>
      </c>
      <c r="J456" s="4" t="s">
        <v>6385</v>
      </c>
      <c r="K456" s="4" t="s">
        <v>144</v>
      </c>
      <c r="L456" s="6">
        <v>46319</v>
      </c>
      <c r="M456" s="4" t="s">
        <v>5864</v>
      </c>
      <c r="N456" s="4" t="s">
        <v>5883</v>
      </c>
    </row>
    <row r="457" spans="1:14" ht="40" customHeight="1">
      <c r="A457" s="8" t="s">
        <v>6444</v>
      </c>
      <c r="B457" s="8" t="s">
        <v>147</v>
      </c>
      <c r="C457" s="8" t="s">
        <v>148</v>
      </c>
      <c r="D457" s="8" t="s">
        <v>637</v>
      </c>
      <c r="E457" s="8" t="s">
        <v>837</v>
      </c>
      <c r="F457" s="8" t="s">
        <v>1151</v>
      </c>
      <c r="G457" s="8" t="s">
        <v>1152</v>
      </c>
      <c r="H457" s="8">
        <v>1</v>
      </c>
      <c r="I457" s="8">
        <v>1</v>
      </c>
      <c r="J457" s="8" t="s">
        <v>838</v>
      </c>
      <c r="K457" s="8" t="s">
        <v>157</v>
      </c>
      <c r="L457" s="9">
        <v>46318</v>
      </c>
      <c r="M457" s="8" t="s">
        <v>5864</v>
      </c>
      <c r="N457" s="8" t="s">
        <v>6445</v>
      </c>
    </row>
    <row r="458" spans="1:14" ht="40" customHeight="1">
      <c r="A458" s="4" t="s">
        <v>6446</v>
      </c>
      <c r="B458" s="4" t="s">
        <v>147</v>
      </c>
      <c r="C458" s="4" t="s">
        <v>148</v>
      </c>
      <c r="D458" s="4" t="s">
        <v>637</v>
      </c>
      <c r="E458" s="4" t="s">
        <v>841</v>
      </c>
      <c r="F458" s="4" t="s">
        <v>1155</v>
      </c>
      <c r="G458" s="4" t="s">
        <v>1152</v>
      </c>
      <c r="H458" s="4">
        <v>1</v>
      </c>
      <c r="I458" s="4">
        <v>1</v>
      </c>
      <c r="J458" s="4" t="s">
        <v>842</v>
      </c>
      <c r="K458" s="4" t="s">
        <v>157</v>
      </c>
      <c r="L458" s="6">
        <v>46318</v>
      </c>
      <c r="M458" s="4" t="s">
        <v>5864</v>
      </c>
      <c r="N458" s="4" t="s">
        <v>6445</v>
      </c>
    </row>
    <row r="459" spans="1:14" ht="40" customHeight="1">
      <c r="A459" s="8" t="s">
        <v>6447</v>
      </c>
      <c r="B459" s="8" t="s">
        <v>147</v>
      </c>
      <c r="C459" s="8" t="s">
        <v>148</v>
      </c>
      <c r="D459" s="8" t="s">
        <v>637</v>
      </c>
      <c r="E459" s="8" t="s">
        <v>755</v>
      </c>
      <c r="F459" s="8" t="s">
        <v>1158</v>
      </c>
      <c r="G459" s="8" t="s">
        <v>1152</v>
      </c>
      <c r="H459" s="8">
        <v>1</v>
      </c>
      <c r="I459" s="8">
        <v>1</v>
      </c>
      <c r="J459" s="8" t="s">
        <v>845</v>
      </c>
      <c r="K459" s="8" t="s">
        <v>157</v>
      </c>
      <c r="L459" s="9">
        <v>46318</v>
      </c>
      <c r="M459" s="8" t="s">
        <v>5864</v>
      </c>
      <c r="N459" s="8" t="s">
        <v>6445</v>
      </c>
    </row>
    <row r="460" spans="1:14" ht="40" customHeight="1">
      <c r="A460" s="4" t="s">
        <v>6448</v>
      </c>
      <c r="B460" s="4" t="s">
        <v>147</v>
      </c>
      <c r="C460" s="4" t="s">
        <v>148</v>
      </c>
      <c r="D460" s="4" t="s">
        <v>637</v>
      </c>
      <c r="E460" s="4" t="s">
        <v>848</v>
      </c>
      <c r="F460" s="4" t="s">
        <v>1161</v>
      </c>
      <c r="G460" s="4" t="s">
        <v>1152</v>
      </c>
      <c r="H460" s="4">
        <v>1</v>
      </c>
      <c r="I460" s="4">
        <v>1</v>
      </c>
      <c r="J460" s="4" t="s">
        <v>849</v>
      </c>
      <c r="K460" s="4" t="s">
        <v>157</v>
      </c>
      <c r="L460" s="6">
        <v>46318</v>
      </c>
      <c r="M460" s="4" t="s">
        <v>5864</v>
      </c>
      <c r="N460" s="4" t="s">
        <v>6445</v>
      </c>
    </row>
    <row r="461" spans="1:14" ht="40" customHeight="1">
      <c r="A461" s="8" t="s">
        <v>6449</v>
      </c>
      <c r="B461" s="8" t="s">
        <v>147</v>
      </c>
      <c r="C461" s="8" t="s">
        <v>148</v>
      </c>
      <c r="D461" s="8" t="s">
        <v>637</v>
      </c>
      <c r="E461" s="8" t="s">
        <v>852</v>
      </c>
      <c r="F461" s="8" t="s">
        <v>1164</v>
      </c>
      <c r="G461" s="8" t="s">
        <v>1152</v>
      </c>
      <c r="H461" s="8">
        <v>1</v>
      </c>
      <c r="I461" s="8">
        <v>1</v>
      </c>
      <c r="J461" s="8" t="s">
        <v>853</v>
      </c>
      <c r="K461" s="8" t="s">
        <v>157</v>
      </c>
      <c r="L461" s="9">
        <v>46318</v>
      </c>
      <c r="M461" s="8" t="s">
        <v>5864</v>
      </c>
      <c r="N461" s="8" t="s">
        <v>6445</v>
      </c>
    </row>
    <row r="462" spans="1:14" ht="40" customHeight="1">
      <c r="A462" s="4" t="s">
        <v>6450</v>
      </c>
      <c r="B462" s="4" t="s">
        <v>147</v>
      </c>
      <c r="C462" s="4" t="s">
        <v>148</v>
      </c>
      <c r="D462" s="4" t="s">
        <v>637</v>
      </c>
      <c r="E462" s="4" t="s">
        <v>856</v>
      </c>
      <c r="F462" s="4" t="s">
        <v>1167</v>
      </c>
      <c r="G462" s="4" t="s">
        <v>1152</v>
      </c>
      <c r="H462" s="4">
        <v>1</v>
      </c>
      <c r="I462" s="4">
        <v>1</v>
      </c>
      <c r="J462" s="4" t="s">
        <v>857</v>
      </c>
      <c r="K462" s="4" t="s">
        <v>157</v>
      </c>
      <c r="L462" s="6">
        <v>46318</v>
      </c>
      <c r="M462" s="4" t="s">
        <v>5864</v>
      </c>
      <c r="N462" s="4" t="s">
        <v>6445</v>
      </c>
    </row>
    <row r="463" spans="1:14" ht="40" customHeight="1">
      <c r="A463" s="8" t="s">
        <v>6451</v>
      </c>
      <c r="B463" s="8" t="s">
        <v>147</v>
      </c>
      <c r="C463" s="8" t="s">
        <v>148</v>
      </c>
      <c r="D463" s="8" t="s">
        <v>637</v>
      </c>
      <c r="E463" s="8" t="s">
        <v>860</v>
      </c>
      <c r="F463" s="8" t="s">
        <v>1170</v>
      </c>
      <c r="G463" s="8" t="s">
        <v>1152</v>
      </c>
      <c r="H463" s="8">
        <v>1</v>
      </c>
      <c r="I463" s="8">
        <v>1</v>
      </c>
      <c r="J463" s="8" t="s">
        <v>861</v>
      </c>
      <c r="K463" s="8" t="s">
        <v>157</v>
      </c>
      <c r="L463" s="9">
        <v>46318</v>
      </c>
      <c r="M463" s="8" t="s">
        <v>5864</v>
      </c>
      <c r="N463" s="8" t="s">
        <v>6445</v>
      </c>
    </row>
    <row r="464" spans="1:14" ht="40" customHeight="1">
      <c r="A464" s="4" t="s">
        <v>6452</v>
      </c>
      <c r="B464" s="4" t="s">
        <v>147</v>
      </c>
      <c r="C464" s="4" t="s">
        <v>148</v>
      </c>
      <c r="D464" s="4" t="s">
        <v>637</v>
      </c>
      <c r="E464" s="4" t="s">
        <v>865</v>
      </c>
      <c r="F464" s="4" t="s">
        <v>1173</v>
      </c>
      <c r="G464" s="4" t="s">
        <v>1152</v>
      </c>
      <c r="H464" s="4">
        <v>1</v>
      </c>
      <c r="I464" s="4">
        <v>1</v>
      </c>
      <c r="J464" s="4" t="s">
        <v>866</v>
      </c>
      <c r="K464" s="4" t="s">
        <v>157</v>
      </c>
      <c r="L464" s="6">
        <v>46318</v>
      </c>
      <c r="M464" s="4" t="s">
        <v>5864</v>
      </c>
      <c r="N464" s="4" t="s">
        <v>6445</v>
      </c>
    </row>
    <row r="465" spans="1:14" ht="40" customHeight="1">
      <c r="A465" s="8" t="s">
        <v>6453</v>
      </c>
      <c r="B465" s="8" t="s">
        <v>147</v>
      </c>
      <c r="C465" s="8" t="s">
        <v>148</v>
      </c>
      <c r="D465" s="8" t="s">
        <v>637</v>
      </c>
      <c r="E465" s="8" t="s">
        <v>870</v>
      </c>
      <c r="F465" s="8" t="s">
        <v>1177</v>
      </c>
      <c r="G465" s="8" t="s">
        <v>1152</v>
      </c>
      <c r="H465" s="8">
        <v>1</v>
      </c>
      <c r="I465" s="8">
        <v>1</v>
      </c>
      <c r="J465" s="8" t="s">
        <v>871</v>
      </c>
      <c r="K465" s="8" t="s">
        <v>157</v>
      </c>
      <c r="L465" s="9">
        <v>46318</v>
      </c>
      <c r="M465" s="8" t="s">
        <v>5864</v>
      </c>
      <c r="N465" s="8" t="s">
        <v>6445</v>
      </c>
    </row>
    <row r="466" spans="1:14" ht="54" customHeight="1">
      <c r="A466" s="4" t="s">
        <v>4999</v>
      </c>
      <c r="B466" s="4" t="s">
        <v>147</v>
      </c>
      <c r="C466" s="4" t="s">
        <v>148</v>
      </c>
      <c r="D466" s="4" t="s">
        <v>7</v>
      </c>
      <c r="E466" s="4" t="s">
        <v>41</v>
      </c>
      <c r="F466" s="4" t="s">
        <v>6454</v>
      </c>
      <c r="G466" s="4" t="s">
        <v>1152</v>
      </c>
      <c r="H466" s="4">
        <v>1</v>
      </c>
      <c r="I466" s="4">
        <v>1</v>
      </c>
      <c r="J466" s="4" t="s">
        <v>150</v>
      </c>
      <c r="K466" s="4" t="s">
        <v>157</v>
      </c>
      <c r="L466" s="6">
        <v>46318</v>
      </c>
      <c r="M466" s="4" t="s">
        <v>5864</v>
      </c>
      <c r="N466" s="4" t="s">
        <v>6445</v>
      </c>
    </row>
    <row r="467" spans="1:14" ht="40" customHeight="1">
      <c r="A467" s="8" t="s">
        <v>3820</v>
      </c>
      <c r="B467" s="8" t="s">
        <v>147</v>
      </c>
      <c r="C467" s="8" t="s">
        <v>148</v>
      </c>
      <c r="D467" s="8" t="s">
        <v>5879</v>
      </c>
      <c r="E467" s="8" t="s">
        <v>41</v>
      </c>
      <c r="F467" s="8" t="s">
        <v>3821</v>
      </c>
      <c r="G467" s="8" t="s">
        <v>1152</v>
      </c>
      <c r="H467" s="8">
        <v>1</v>
      </c>
      <c r="I467" s="8">
        <v>1</v>
      </c>
      <c r="J467" s="8" t="s">
        <v>151</v>
      </c>
      <c r="K467" s="8" t="s">
        <v>157</v>
      </c>
      <c r="L467" s="9">
        <v>46318</v>
      </c>
      <c r="M467" s="8" t="s">
        <v>5864</v>
      </c>
      <c r="N467" s="8" t="s">
        <v>6445</v>
      </c>
    </row>
    <row r="468" spans="1:14" ht="40" customHeight="1">
      <c r="A468" s="4" t="s">
        <v>6455</v>
      </c>
      <c r="B468" s="4" t="s">
        <v>147</v>
      </c>
      <c r="C468" s="4" t="s">
        <v>148</v>
      </c>
      <c r="D468" s="4" t="s">
        <v>5867</v>
      </c>
      <c r="E468" s="4" t="s">
        <v>41</v>
      </c>
      <c r="F468" s="4" t="s">
        <v>6456</v>
      </c>
      <c r="G468" s="4" t="s">
        <v>1152</v>
      </c>
      <c r="H468" s="4">
        <v>1</v>
      </c>
      <c r="I468" s="4">
        <v>1</v>
      </c>
      <c r="J468" s="4" t="s">
        <v>149</v>
      </c>
      <c r="K468" s="4" t="s">
        <v>157</v>
      </c>
      <c r="L468" s="6">
        <v>46318</v>
      </c>
      <c r="M468" s="4" t="s">
        <v>5864</v>
      </c>
      <c r="N468" s="4" t="s">
        <v>6445</v>
      </c>
    </row>
    <row r="469" spans="1:14" ht="40" customHeight="1">
      <c r="A469" s="8" t="s">
        <v>6457</v>
      </c>
      <c r="B469" s="8" t="s">
        <v>163</v>
      </c>
      <c r="C469" s="8" t="s">
        <v>164</v>
      </c>
      <c r="D469" s="8" t="s">
        <v>637</v>
      </c>
      <c r="E469" s="8" t="s">
        <v>875</v>
      </c>
      <c r="F469" s="8" t="s">
        <v>1151</v>
      </c>
      <c r="G469" s="8" t="s">
        <v>1180</v>
      </c>
      <c r="H469" s="8">
        <v>1</v>
      </c>
      <c r="I469" s="8">
        <v>1</v>
      </c>
      <c r="J469" s="8" t="s">
        <v>876</v>
      </c>
      <c r="K469" s="8" t="s">
        <v>170</v>
      </c>
      <c r="L469" s="9">
        <v>46318</v>
      </c>
      <c r="M469" s="8" t="s">
        <v>5864</v>
      </c>
      <c r="N469" s="8" t="s">
        <v>6445</v>
      </c>
    </row>
    <row r="470" spans="1:14" ht="40" customHeight="1">
      <c r="A470" s="4" t="s">
        <v>6458</v>
      </c>
      <c r="B470" s="4" t="s">
        <v>163</v>
      </c>
      <c r="C470" s="4" t="s">
        <v>164</v>
      </c>
      <c r="D470" s="4" t="s">
        <v>637</v>
      </c>
      <c r="E470" s="4" t="s">
        <v>880</v>
      </c>
      <c r="F470" s="4" t="s">
        <v>1155</v>
      </c>
      <c r="G470" s="4" t="s">
        <v>1180</v>
      </c>
      <c r="H470" s="4">
        <v>1</v>
      </c>
      <c r="I470" s="4">
        <v>1</v>
      </c>
      <c r="J470" s="4" t="s">
        <v>881</v>
      </c>
      <c r="K470" s="4" t="s">
        <v>170</v>
      </c>
      <c r="L470" s="6">
        <v>46318</v>
      </c>
      <c r="M470" s="4" t="s">
        <v>5864</v>
      </c>
      <c r="N470" s="4" t="s">
        <v>6445</v>
      </c>
    </row>
    <row r="471" spans="1:14" ht="40" customHeight="1">
      <c r="A471" s="8" t="s">
        <v>6459</v>
      </c>
      <c r="B471" s="8" t="s">
        <v>163</v>
      </c>
      <c r="C471" s="8" t="s">
        <v>164</v>
      </c>
      <c r="D471" s="8" t="s">
        <v>637</v>
      </c>
      <c r="E471" s="8" t="s">
        <v>755</v>
      </c>
      <c r="F471" s="8" t="s">
        <v>1158</v>
      </c>
      <c r="G471" s="8" t="s">
        <v>1180</v>
      </c>
      <c r="H471" s="8">
        <v>1</v>
      </c>
      <c r="I471" s="8">
        <v>1</v>
      </c>
      <c r="J471" s="8" t="s">
        <v>885</v>
      </c>
      <c r="K471" s="8" t="s">
        <v>170</v>
      </c>
      <c r="L471" s="9">
        <v>46318</v>
      </c>
      <c r="M471" s="8" t="s">
        <v>5864</v>
      </c>
      <c r="N471" s="8" t="s">
        <v>6445</v>
      </c>
    </row>
    <row r="472" spans="1:14" ht="40" customHeight="1">
      <c r="A472" s="4" t="s">
        <v>6460</v>
      </c>
      <c r="B472" s="4" t="s">
        <v>163</v>
      </c>
      <c r="C472" s="4" t="s">
        <v>164</v>
      </c>
      <c r="D472" s="4" t="s">
        <v>637</v>
      </c>
      <c r="E472" s="4" t="s">
        <v>889</v>
      </c>
      <c r="F472" s="4" t="s">
        <v>1161</v>
      </c>
      <c r="G472" s="4" t="s">
        <v>1180</v>
      </c>
      <c r="H472" s="4">
        <v>1</v>
      </c>
      <c r="I472" s="4">
        <v>1</v>
      </c>
      <c r="J472" s="4" t="s">
        <v>890</v>
      </c>
      <c r="K472" s="4" t="s">
        <v>170</v>
      </c>
      <c r="L472" s="6">
        <v>46318</v>
      </c>
      <c r="M472" s="4" t="s">
        <v>5864</v>
      </c>
      <c r="N472" s="4" t="s">
        <v>6445</v>
      </c>
    </row>
    <row r="473" spans="1:14" ht="40" customHeight="1">
      <c r="A473" s="8" t="s">
        <v>6461</v>
      </c>
      <c r="B473" s="8" t="s">
        <v>163</v>
      </c>
      <c r="C473" s="8" t="s">
        <v>164</v>
      </c>
      <c r="D473" s="8" t="s">
        <v>637</v>
      </c>
      <c r="E473" s="8" t="s">
        <v>892</v>
      </c>
      <c r="F473" s="8" t="s">
        <v>1164</v>
      </c>
      <c r="G473" s="8" t="s">
        <v>1180</v>
      </c>
      <c r="H473" s="8">
        <v>1</v>
      </c>
      <c r="I473" s="8">
        <v>1</v>
      </c>
      <c r="J473" s="8" t="s">
        <v>893</v>
      </c>
      <c r="K473" s="8" t="s">
        <v>170</v>
      </c>
      <c r="L473" s="9">
        <v>46318</v>
      </c>
      <c r="M473" s="8" t="s">
        <v>5864</v>
      </c>
      <c r="N473" s="8" t="s">
        <v>6445</v>
      </c>
    </row>
    <row r="474" spans="1:14" ht="40" customHeight="1">
      <c r="A474" s="4" t="s">
        <v>6462</v>
      </c>
      <c r="B474" s="4" t="s">
        <v>163</v>
      </c>
      <c r="C474" s="4" t="s">
        <v>164</v>
      </c>
      <c r="D474" s="4" t="s">
        <v>637</v>
      </c>
      <c r="E474" s="4" t="s">
        <v>896</v>
      </c>
      <c r="F474" s="4" t="s">
        <v>1167</v>
      </c>
      <c r="G474" s="4" t="s">
        <v>1180</v>
      </c>
      <c r="H474" s="4">
        <v>1</v>
      </c>
      <c r="I474" s="4">
        <v>1</v>
      </c>
      <c r="J474" s="4" t="s">
        <v>897</v>
      </c>
      <c r="K474" s="4" t="s">
        <v>170</v>
      </c>
      <c r="L474" s="6">
        <v>46318</v>
      </c>
      <c r="M474" s="4" t="s">
        <v>5864</v>
      </c>
      <c r="N474" s="4" t="s">
        <v>6445</v>
      </c>
    </row>
    <row r="475" spans="1:14" ht="40" customHeight="1">
      <c r="A475" s="8" t="s">
        <v>5000</v>
      </c>
      <c r="B475" s="8" t="s">
        <v>163</v>
      </c>
      <c r="C475" s="8" t="s">
        <v>164</v>
      </c>
      <c r="D475" s="8" t="s">
        <v>7</v>
      </c>
      <c r="E475" s="8" t="s">
        <v>41</v>
      </c>
      <c r="F475" s="8" t="s">
        <v>6454</v>
      </c>
      <c r="G475" s="8" t="s">
        <v>1180</v>
      </c>
      <c r="H475" s="8">
        <v>1</v>
      </c>
      <c r="I475" s="8">
        <v>1</v>
      </c>
      <c r="J475" s="8" t="s">
        <v>166</v>
      </c>
      <c r="K475" s="8" t="s">
        <v>170</v>
      </c>
      <c r="L475" s="9">
        <v>46318</v>
      </c>
      <c r="M475" s="8" t="s">
        <v>5864</v>
      </c>
      <c r="N475" s="8" t="s">
        <v>6445</v>
      </c>
    </row>
    <row r="476" spans="1:14" ht="40" customHeight="1">
      <c r="A476" s="4" t="s">
        <v>3822</v>
      </c>
      <c r="B476" s="4" t="s">
        <v>163</v>
      </c>
      <c r="C476" s="4" t="s">
        <v>164</v>
      </c>
      <c r="D476" s="4" t="s">
        <v>5879</v>
      </c>
      <c r="E476" s="4" t="s">
        <v>41</v>
      </c>
      <c r="F476" s="4" t="s">
        <v>3821</v>
      </c>
      <c r="G476" s="4" t="s">
        <v>1180</v>
      </c>
      <c r="H476" s="4">
        <v>1</v>
      </c>
      <c r="I476" s="4">
        <v>1</v>
      </c>
      <c r="J476" s="4" t="s">
        <v>167</v>
      </c>
      <c r="K476" s="4" t="s">
        <v>170</v>
      </c>
      <c r="L476" s="6">
        <v>46318</v>
      </c>
      <c r="M476" s="4" t="s">
        <v>5864</v>
      </c>
      <c r="N476" s="4" t="s">
        <v>6445</v>
      </c>
    </row>
    <row r="477" spans="1:14" ht="40" customHeight="1">
      <c r="A477" s="8" t="s">
        <v>6463</v>
      </c>
      <c r="B477" s="8" t="s">
        <v>163</v>
      </c>
      <c r="C477" s="8" t="s">
        <v>164</v>
      </c>
      <c r="D477" s="8" t="s">
        <v>5867</v>
      </c>
      <c r="E477" s="8" t="s">
        <v>41</v>
      </c>
      <c r="F477" s="8" t="s">
        <v>6456</v>
      </c>
      <c r="G477" s="8" t="s">
        <v>1180</v>
      </c>
      <c r="H477" s="8">
        <v>1</v>
      </c>
      <c r="I477" s="8">
        <v>1</v>
      </c>
      <c r="J477" s="8" t="s">
        <v>165</v>
      </c>
      <c r="K477" s="8" t="s">
        <v>170</v>
      </c>
      <c r="L477" s="9">
        <v>46318</v>
      </c>
      <c r="M477" s="8" t="s">
        <v>5864</v>
      </c>
      <c r="N477" s="8" t="s">
        <v>6445</v>
      </c>
    </row>
    <row r="478" spans="1:14" ht="96" customHeight="1">
      <c r="A478" s="4" t="s">
        <v>6464</v>
      </c>
      <c r="B478" s="4" t="s">
        <v>173</v>
      </c>
      <c r="C478" s="4" t="s">
        <v>174</v>
      </c>
      <c r="D478" s="4" t="s">
        <v>5861</v>
      </c>
      <c r="E478" s="4" t="s">
        <v>41</v>
      </c>
      <c r="F478" s="4" t="s">
        <v>5862</v>
      </c>
      <c r="G478" s="4" t="s">
        <v>1194</v>
      </c>
      <c r="H478" s="4">
        <v>1</v>
      </c>
      <c r="I478" s="4">
        <v>1</v>
      </c>
      <c r="J478" s="4" t="s">
        <v>6465</v>
      </c>
      <c r="K478" s="4" t="s">
        <v>182</v>
      </c>
      <c r="L478" s="6">
        <v>46319</v>
      </c>
      <c r="M478" s="4" t="s">
        <v>5864</v>
      </c>
      <c r="N478" s="4" t="s">
        <v>5865</v>
      </c>
    </row>
    <row r="479" spans="1:14" ht="40" customHeight="1">
      <c r="A479" s="8" t="s">
        <v>6466</v>
      </c>
      <c r="B479" s="8" t="s">
        <v>173</v>
      </c>
      <c r="C479" s="8" t="s">
        <v>174</v>
      </c>
      <c r="D479" s="8" t="s">
        <v>5861</v>
      </c>
      <c r="E479" s="8" t="s">
        <v>6467</v>
      </c>
      <c r="F479" s="8" t="s">
        <v>5918</v>
      </c>
      <c r="G479" s="8" t="s">
        <v>1194</v>
      </c>
      <c r="H479" s="8">
        <v>1</v>
      </c>
      <c r="I479" s="8">
        <v>1</v>
      </c>
      <c r="J479" s="8" t="s">
        <v>6467</v>
      </c>
      <c r="K479" s="8" t="s">
        <v>182</v>
      </c>
      <c r="L479" s="9">
        <v>46319</v>
      </c>
      <c r="M479" s="8" t="s">
        <v>5864</v>
      </c>
      <c r="N479" s="8" t="s">
        <v>5865</v>
      </c>
    </row>
    <row r="480" spans="1:14" ht="40" customHeight="1">
      <c r="A480" s="4" t="s">
        <v>6468</v>
      </c>
      <c r="B480" s="4" t="s">
        <v>173</v>
      </c>
      <c r="C480" s="4" t="s">
        <v>174</v>
      </c>
      <c r="D480" s="4" t="s">
        <v>5861</v>
      </c>
      <c r="E480" s="4" t="s">
        <v>6469</v>
      </c>
      <c r="F480" s="4" t="s">
        <v>5920</v>
      </c>
      <c r="G480" s="4" t="s">
        <v>1194</v>
      </c>
      <c r="H480" s="4">
        <v>1</v>
      </c>
      <c r="I480" s="4">
        <v>1</v>
      </c>
      <c r="J480" s="4" t="s">
        <v>6469</v>
      </c>
      <c r="K480" s="4" t="s">
        <v>182</v>
      </c>
      <c r="L480" s="6">
        <v>46319</v>
      </c>
      <c r="M480" s="4" t="s">
        <v>5864</v>
      </c>
      <c r="N480" s="4" t="s">
        <v>5865</v>
      </c>
    </row>
    <row r="481" spans="1:14" ht="40" customHeight="1">
      <c r="A481" s="8" t="s">
        <v>6470</v>
      </c>
      <c r="B481" s="8" t="s">
        <v>173</v>
      </c>
      <c r="C481" s="8" t="s">
        <v>174</v>
      </c>
      <c r="D481" s="8" t="s">
        <v>5861</v>
      </c>
      <c r="E481" s="8" t="s">
        <v>6469</v>
      </c>
      <c r="F481" s="8" t="s">
        <v>6092</v>
      </c>
      <c r="G481" s="8" t="s">
        <v>1194</v>
      </c>
      <c r="H481" s="8">
        <v>1</v>
      </c>
      <c r="I481" s="8">
        <v>1</v>
      </c>
      <c r="J481" s="8" t="s">
        <v>6471</v>
      </c>
      <c r="K481" s="8" t="s">
        <v>182</v>
      </c>
      <c r="L481" s="9">
        <v>46319</v>
      </c>
      <c r="M481" s="8" t="s">
        <v>5864</v>
      </c>
      <c r="N481" s="8" t="s">
        <v>5870</v>
      </c>
    </row>
    <row r="482" spans="1:14" ht="40" customHeight="1">
      <c r="A482" s="4" t="s">
        <v>6472</v>
      </c>
      <c r="B482" s="4" t="s">
        <v>173</v>
      </c>
      <c r="C482" s="4" t="s">
        <v>174</v>
      </c>
      <c r="D482" s="4" t="s">
        <v>5861</v>
      </c>
      <c r="E482" s="4" t="s">
        <v>6469</v>
      </c>
      <c r="F482" s="4" t="s">
        <v>6473</v>
      </c>
      <c r="G482" s="4" t="s">
        <v>1194</v>
      </c>
      <c r="H482" s="4">
        <v>1</v>
      </c>
      <c r="I482" s="4">
        <v>1</v>
      </c>
      <c r="J482" s="4" t="s">
        <v>6474</v>
      </c>
      <c r="K482" s="4" t="s">
        <v>182</v>
      </c>
      <c r="L482" s="6">
        <v>46319</v>
      </c>
      <c r="M482" s="4" t="s">
        <v>5864</v>
      </c>
      <c r="N482" s="4" t="s">
        <v>5870</v>
      </c>
    </row>
    <row r="483" spans="1:14" ht="40" customHeight="1">
      <c r="A483" s="8" t="s">
        <v>6475</v>
      </c>
      <c r="B483" s="8" t="s">
        <v>173</v>
      </c>
      <c r="C483" s="8" t="s">
        <v>174</v>
      </c>
      <c r="D483" s="8" t="s">
        <v>5861</v>
      </c>
      <c r="E483" s="8" t="s">
        <v>6469</v>
      </c>
      <c r="F483" s="8" t="s">
        <v>6476</v>
      </c>
      <c r="G483" s="8" t="s">
        <v>1194</v>
      </c>
      <c r="H483" s="8">
        <v>1</v>
      </c>
      <c r="I483" s="8">
        <v>1</v>
      </c>
      <c r="J483" s="8" t="s">
        <v>6477</v>
      </c>
      <c r="K483" s="8" t="s">
        <v>182</v>
      </c>
      <c r="L483" s="9">
        <v>46319</v>
      </c>
      <c r="M483" s="8" t="s">
        <v>5864</v>
      </c>
      <c r="N483" s="8" t="s">
        <v>5870</v>
      </c>
    </row>
    <row r="484" spans="1:14" ht="40" customHeight="1">
      <c r="A484" s="4" t="s">
        <v>6478</v>
      </c>
      <c r="B484" s="4" t="s">
        <v>173</v>
      </c>
      <c r="C484" s="4" t="s">
        <v>174</v>
      </c>
      <c r="D484" s="4" t="s">
        <v>5861</v>
      </c>
      <c r="E484" s="4" t="s">
        <v>6469</v>
      </c>
      <c r="F484" s="4" t="s">
        <v>6479</v>
      </c>
      <c r="G484" s="4" t="s">
        <v>1194</v>
      </c>
      <c r="H484" s="4">
        <v>1</v>
      </c>
      <c r="I484" s="4">
        <v>1</v>
      </c>
      <c r="J484" s="4" t="s">
        <v>6480</v>
      </c>
      <c r="K484" s="4" t="s">
        <v>182</v>
      </c>
      <c r="L484" s="6">
        <v>46319</v>
      </c>
      <c r="M484" s="4" t="s">
        <v>5864</v>
      </c>
      <c r="N484" s="4" t="s">
        <v>5870</v>
      </c>
    </row>
    <row r="485" spans="1:14" ht="40" customHeight="1">
      <c r="A485" s="8" t="s">
        <v>6481</v>
      </c>
      <c r="B485" s="8" t="s">
        <v>173</v>
      </c>
      <c r="C485" s="8" t="s">
        <v>174</v>
      </c>
      <c r="D485" s="8" t="s">
        <v>5861</v>
      </c>
      <c r="E485" s="8" t="s">
        <v>6482</v>
      </c>
      <c r="F485" s="8" t="s">
        <v>5926</v>
      </c>
      <c r="G485" s="8" t="s">
        <v>1194</v>
      </c>
      <c r="H485" s="8">
        <v>1</v>
      </c>
      <c r="I485" s="8">
        <v>1</v>
      </c>
      <c r="J485" s="8" t="s">
        <v>6482</v>
      </c>
      <c r="K485" s="8" t="s">
        <v>182</v>
      </c>
      <c r="L485" s="9">
        <v>46319</v>
      </c>
      <c r="M485" s="8" t="s">
        <v>5864</v>
      </c>
      <c r="N485" s="8" t="s">
        <v>5865</v>
      </c>
    </row>
    <row r="486" spans="1:14" ht="40" customHeight="1">
      <c r="A486" s="4" t="s">
        <v>6483</v>
      </c>
      <c r="B486" s="4" t="s">
        <v>173</v>
      </c>
      <c r="C486" s="4" t="s">
        <v>174</v>
      </c>
      <c r="D486" s="4" t="s">
        <v>5861</v>
      </c>
      <c r="E486" s="4" t="s">
        <v>6482</v>
      </c>
      <c r="F486" s="4" t="s">
        <v>6096</v>
      </c>
      <c r="G486" s="4" t="s">
        <v>1194</v>
      </c>
      <c r="H486" s="4">
        <v>1</v>
      </c>
      <c r="I486" s="4">
        <v>1</v>
      </c>
      <c r="J486" s="4" t="s">
        <v>6484</v>
      </c>
      <c r="K486" s="4" t="s">
        <v>182</v>
      </c>
      <c r="L486" s="6">
        <v>46319</v>
      </c>
      <c r="M486" s="4" t="s">
        <v>5864</v>
      </c>
      <c r="N486" s="4" t="s">
        <v>5870</v>
      </c>
    </row>
    <row r="487" spans="1:14" ht="40" customHeight="1">
      <c r="A487" s="8" t="s">
        <v>6485</v>
      </c>
      <c r="B487" s="8" t="s">
        <v>173</v>
      </c>
      <c r="C487" s="8" t="s">
        <v>174</v>
      </c>
      <c r="D487" s="8" t="s">
        <v>5861</v>
      </c>
      <c r="E487" s="8" t="s">
        <v>6482</v>
      </c>
      <c r="F487" s="8" t="s">
        <v>6486</v>
      </c>
      <c r="G487" s="8" t="s">
        <v>1194</v>
      </c>
      <c r="H487" s="8">
        <v>1</v>
      </c>
      <c r="I487" s="8">
        <v>1</v>
      </c>
      <c r="J487" s="8" t="s">
        <v>6487</v>
      </c>
      <c r="K487" s="8" t="s">
        <v>182</v>
      </c>
      <c r="L487" s="9">
        <v>46319</v>
      </c>
      <c r="M487" s="8" t="s">
        <v>5864</v>
      </c>
      <c r="N487" s="8" t="s">
        <v>5870</v>
      </c>
    </row>
    <row r="488" spans="1:14" ht="40" customHeight="1">
      <c r="A488" s="4" t="s">
        <v>6488</v>
      </c>
      <c r="B488" s="4" t="s">
        <v>173</v>
      </c>
      <c r="C488" s="4" t="s">
        <v>174</v>
      </c>
      <c r="D488" s="4" t="s">
        <v>5861</v>
      </c>
      <c r="E488" s="4" t="s">
        <v>6482</v>
      </c>
      <c r="F488" s="4" t="s">
        <v>6489</v>
      </c>
      <c r="G488" s="4" t="s">
        <v>1194</v>
      </c>
      <c r="H488" s="4">
        <v>1</v>
      </c>
      <c r="I488" s="4">
        <v>1</v>
      </c>
      <c r="J488" s="4" t="s">
        <v>6490</v>
      </c>
      <c r="K488" s="4" t="s">
        <v>182</v>
      </c>
      <c r="L488" s="6">
        <v>46319</v>
      </c>
      <c r="M488" s="4" t="s">
        <v>5864</v>
      </c>
      <c r="N488" s="4" t="s">
        <v>5870</v>
      </c>
    </row>
    <row r="489" spans="1:14" ht="40" customHeight="1">
      <c r="A489" s="8" t="s">
        <v>6491</v>
      </c>
      <c r="B489" s="8" t="s">
        <v>173</v>
      </c>
      <c r="C489" s="8" t="s">
        <v>174</v>
      </c>
      <c r="D489" s="8" t="s">
        <v>5861</v>
      </c>
      <c r="E489" s="8" t="s">
        <v>6482</v>
      </c>
      <c r="F489" s="8" t="s">
        <v>6492</v>
      </c>
      <c r="G489" s="8" t="s">
        <v>1194</v>
      </c>
      <c r="H489" s="8">
        <v>1</v>
      </c>
      <c r="I489" s="8">
        <v>1</v>
      </c>
      <c r="J489" s="8" t="s">
        <v>6493</v>
      </c>
      <c r="K489" s="8" t="s">
        <v>182</v>
      </c>
      <c r="L489" s="9">
        <v>46319</v>
      </c>
      <c r="M489" s="8" t="s">
        <v>5864</v>
      </c>
      <c r="N489" s="8" t="s">
        <v>5870</v>
      </c>
    </row>
    <row r="490" spans="1:14" ht="40" customHeight="1">
      <c r="A490" s="4" t="s">
        <v>6494</v>
      </c>
      <c r="B490" s="4" t="s">
        <v>173</v>
      </c>
      <c r="C490" s="4" t="s">
        <v>174</v>
      </c>
      <c r="D490" s="4" t="s">
        <v>5861</v>
      </c>
      <c r="E490" s="4" t="s">
        <v>6482</v>
      </c>
      <c r="F490" s="4" t="s">
        <v>6495</v>
      </c>
      <c r="G490" s="4" t="s">
        <v>1194</v>
      </c>
      <c r="H490" s="4">
        <v>1</v>
      </c>
      <c r="I490" s="4">
        <v>1</v>
      </c>
      <c r="J490" s="4" t="s">
        <v>6496</v>
      </c>
      <c r="K490" s="4" t="s">
        <v>182</v>
      </c>
      <c r="L490" s="6">
        <v>46319</v>
      </c>
      <c r="M490" s="4" t="s">
        <v>5864</v>
      </c>
      <c r="N490" s="4" t="s">
        <v>5870</v>
      </c>
    </row>
    <row r="491" spans="1:14" ht="68" customHeight="1">
      <c r="A491" s="8" t="s">
        <v>6497</v>
      </c>
      <c r="B491" s="8" t="s">
        <v>173</v>
      </c>
      <c r="C491" s="8" t="s">
        <v>174</v>
      </c>
      <c r="D491" s="8" t="s">
        <v>5867</v>
      </c>
      <c r="E491" s="8" t="s">
        <v>41</v>
      </c>
      <c r="F491" s="8" t="s">
        <v>6248</v>
      </c>
      <c r="G491" s="8" t="s">
        <v>1194</v>
      </c>
      <c r="H491" s="8">
        <v>1</v>
      </c>
      <c r="I491" s="8">
        <v>1</v>
      </c>
      <c r="J491" s="8" t="s">
        <v>6498</v>
      </c>
      <c r="K491" s="8" t="s">
        <v>182</v>
      </c>
      <c r="L491" s="9">
        <v>46319</v>
      </c>
      <c r="M491" s="8" t="s">
        <v>5864</v>
      </c>
      <c r="N491" s="8" t="s">
        <v>5865</v>
      </c>
    </row>
    <row r="492" spans="1:14" ht="68" customHeight="1">
      <c r="A492" s="4" t="s">
        <v>6499</v>
      </c>
      <c r="B492" s="4" t="s">
        <v>173</v>
      </c>
      <c r="C492" s="4" t="s">
        <v>174</v>
      </c>
      <c r="D492" s="4" t="s">
        <v>5867</v>
      </c>
      <c r="E492" s="4" t="s">
        <v>41</v>
      </c>
      <c r="F492" s="4" t="s">
        <v>6142</v>
      </c>
      <c r="G492" s="4" t="s">
        <v>1194</v>
      </c>
      <c r="H492" s="4">
        <v>1</v>
      </c>
      <c r="I492" s="4">
        <v>1</v>
      </c>
      <c r="J492" s="4" t="s">
        <v>6500</v>
      </c>
      <c r="K492" s="4" t="s">
        <v>182</v>
      </c>
      <c r="L492" s="6">
        <v>46319</v>
      </c>
      <c r="M492" s="4" t="s">
        <v>5864</v>
      </c>
      <c r="N492" s="4" t="s">
        <v>5865</v>
      </c>
    </row>
    <row r="493" spans="1:14" ht="40" customHeight="1">
      <c r="A493" s="8" t="s">
        <v>6501</v>
      </c>
      <c r="B493" s="8" t="s">
        <v>173</v>
      </c>
      <c r="C493" s="8" t="s">
        <v>174</v>
      </c>
      <c r="D493" s="8" t="s">
        <v>637</v>
      </c>
      <c r="E493" s="8" t="s">
        <v>1192</v>
      </c>
      <c r="F493" s="8" t="s">
        <v>920</v>
      </c>
      <c r="G493" s="8" t="s">
        <v>1194</v>
      </c>
      <c r="H493" s="8">
        <v>1</v>
      </c>
      <c r="I493" s="8">
        <v>1</v>
      </c>
      <c r="J493" s="8" t="s">
        <v>1192</v>
      </c>
      <c r="K493" s="8" t="s">
        <v>182</v>
      </c>
      <c r="L493" s="9">
        <v>46319</v>
      </c>
      <c r="M493" s="8" t="s">
        <v>5864</v>
      </c>
      <c r="N493" s="8" t="s">
        <v>5865</v>
      </c>
    </row>
    <row r="494" spans="1:14" ht="54" customHeight="1">
      <c r="A494" s="4" t="s">
        <v>6502</v>
      </c>
      <c r="B494" s="4" t="s">
        <v>173</v>
      </c>
      <c r="C494" s="4" t="s">
        <v>174</v>
      </c>
      <c r="D494" s="4" t="s">
        <v>637</v>
      </c>
      <c r="E494" s="4" t="s">
        <v>1192</v>
      </c>
      <c r="F494" s="4" t="s">
        <v>988</v>
      </c>
      <c r="G494" s="4" t="s">
        <v>1194</v>
      </c>
      <c r="H494" s="4">
        <v>1</v>
      </c>
      <c r="I494" s="4">
        <v>1</v>
      </c>
      <c r="J494" s="4" t="s">
        <v>1196</v>
      </c>
      <c r="K494" s="4" t="s">
        <v>182</v>
      </c>
      <c r="L494" s="6">
        <v>46319</v>
      </c>
      <c r="M494" s="4" t="s">
        <v>5864</v>
      </c>
      <c r="N494" s="4" t="s">
        <v>5870</v>
      </c>
    </row>
    <row r="495" spans="1:14" ht="40" customHeight="1">
      <c r="A495" s="8" t="s">
        <v>6503</v>
      </c>
      <c r="B495" s="8" t="s">
        <v>173</v>
      </c>
      <c r="C495" s="8" t="s">
        <v>174</v>
      </c>
      <c r="D495" s="8" t="s">
        <v>637</v>
      </c>
      <c r="E495" s="8" t="s">
        <v>1192</v>
      </c>
      <c r="F495" s="8" t="s">
        <v>992</v>
      </c>
      <c r="G495" s="8" t="s">
        <v>1194</v>
      </c>
      <c r="H495" s="8">
        <v>1</v>
      </c>
      <c r="I495" s="8">
        <v>1</v>
      </c>
      <c r="J495" s="8" t="s">
        <v>1199</v>
      </c>
      <c r="K495" s="8" t="s">
        <v>182</v>
      </c>
      <c r="L495" s="9">
        <v>46319</v>
      </c>
      <c r="M495" s="8" t="s">
        <v>5864</v>
      </c>
      <c r="N495" s="8" t="s">
        <v>5870</v>
      </c>
    </row>
    <row r="496" spans="1:14" ht="40" customHeight="1">
      <c r="A496" s="4" t="s">
        <v>6504</v>
      </c>
      <c r="B496" s="4" t="s">
        <v>173</v>
      </c>
      <c r="C496" s="4" t="s">
        <v>174</v>
      </c>
      <c r="D496" s="4" t="s">
        <v>637</v>
      </c>
      <c r="E496" s="4" t="s">
        <v>1192</v>
      </c>
      <c r="F496" s="4" t="s">
        <v>996</v>
      </c>
      <c r="G496" s="4" t="s">
        <v>1194</v>
      </c>
      <c r="H496" s="4">
        <v>1</v>
      </c>
      <c r="I496" s="4">
        <v>1</v>
      </c>
      <c r="J496" s="4" t="s">
        <v>1202</v>
      </c>
      <c r="K496" s="4" t="s">
        <v>182</v>
      </c>
      <c r="L496" s="6">
        <v>46319</v>
      </c>
      <c r="M496" s="4" t="s">
        <v>5864</v>
      </c>
      <c r="N496" s="4" t="s">
        <v>5870</v>
      </c>
    </row>
    <row r="497" spans="1:14" ht="40" customHeight="1">
      <c r="A497" s="8" t="s">
        <v>6505</v>
      </c>
      <c r="B497" s="8" t="s">
        <v>173</v>
      </c>
      <c r="C497" s="8" t="s">
        <v>174</v>
      </c>
      <c r="D497" s="8" t="s">
        <v>637</v>
      </c>
      <c r="E497" s="8" t="s">
        <v>1192</v>
      </c>
      <c r="F497" s="8" t="s">
        <v>1000</v>
      </c>
      <c r="G497" s="8" t="s">
        <v>1194</v>
      </c>
      <c r="H497" s="8">
        <v>1</v>
      </c>
      <c r="I497" s="8">
        <v>1</v>
      </c>
      <c r="J497" s="8" t="s">
        <v>1205</v>
      </c>
      <c r="K497" s="8" t="s">
        <v>182</v>
      </c>
      <c r="L497" s="9">
        <v>46319</v>
      </c>
      <c r="M497" s="8" t="s">
        <v>5864</v>
      </c>
      <c r="N497" s="8" t="s">
        <v>5870</v>
      </c>
    </row>
    <row r="498" spans="1:14" ht="40" customHeight="1">
      <c r="A498" s="4" t="s">
        <v>6506</v>
      </c>
      <c r="B498" s="4" t="s">
        <v>173</v>
      </c>
      <c r="C498" s="4" t="s">
        <v>174</v>
      </c>
      <c r="D498" s="4" t="s">
        <v>637</v>
      </c>
      <c r="E498" s="4" t="s">
        <v>1192</v>
      </c>
      <c r="F498" s="4" t="s">
        <v>1210</v>
      </c>
      <c r="G498" s="4" t="s">
        <v>1194</v>
      </c>
      <c r="H498" s="4">
        <v>1</v>
      </c>
      <c r="I498" s="4">
        <v>1</v>
      </c>
      <c r="J498" s="4" t="s">
        <v>1208</v>
      </c>
      <c r="K498" s="4" t="s">
        <v>182</v>
      </c>
      <c r="L498" s="6">
        <v>46319</v>
      </c>
      <c r="M498" s="4" t="s">
        <v>5864</v>
      </c>
      <c r="N498" s="4" t="s">
        <v>5870</v>
      </c>
    </row>
    <row r="499" spans="1:14" ht="40" customHeight="1">
      <c r="A499" s="8" t="s">
        <v>6507</v>
      </c>
      <c r="B499" s="8" t="s">
        <v>173</v>
      </c>
      <c r="C499" s="8" t="s">
        <v>174</v>
      </c>
      <c r="D499" s="8" t="s">
        <v>637</v>
      </c>
      <c r="E499" s="8" t="s">
        <v>1192</v>
      </c>
      <c r="F499" s="8" t="s">
        <v>1214</v>
      </c>
      <c r="G499" s="8" t="s">
        <v>1194</v>
      </c>
      <c r="H499" s="8">
        <v>1</v>
      </c>
      <c r="I499" s="8">
        <v>1</v>
      </c>
      <c r="J499" s="8" t="s">
        <v>1212</v>
      </c>
      <c r="K499" s="8" t="s">
        <v>182</v>
      </c>
      <c r="L499" s="9">
        <v>46319</v>
      </c>
      <c r="M499" s="8" t="s">
        <v>5864</v>
      </c>
      <c r="N499" s="8" t="s">
        <v>5870</v>
      </c>
    </row>
    <row r="500" spans="1:14" ht="40" customHeight="1">
      <c r="A500" s="4" t="s">
        <v>6508</v>
      </c>
      <c r="B500" s="4" t="s">
        <v>173</v>
      </c>
      <c r="C500" s="4" t="s">
        <v>174</v>
      </c>
      <c r="D500" s="4" t="s">
        <v>637</v>
      </c>
      <c r="E500" s="4" t="s">
        <v>1216</v>
      </c>
      <c r="F500" s="4" t="s">
        <v>1091</v>
      </c>
      <c r="G500" s="4" t="s">
        <v>1194</v>
      </c>
      <c r="H500" s="4">
        <v>1</v>
      </c>
      <c r="I500" s="4">
        <v>1</v>
      </c>
      <c r="J500" s="4" t="s">
        <v>1216</v>
      </c>
      <c r="K500" s="4" t="s">
        <v>182</v>
      </c>
      <c r="L500" s="6">
        <v>46319</v>
      </c>
      <c r="M500" s="4" t="s">
        <v>5864</v>
      </c>
      <c r="N500" s="4" t="s">
        <v>5865</v>
      </c>
    </row>
    <row r="501" spans="1:14" ht="40" customHeight="1">
      <c r="A501" s="8" t="s">
        <v>6509</v>
      </c>
      <c r="B501" s="8" t="s">
        <v>173</v>
      </c>
      <c r="C501" s="8" t="s">
        <v>174</v>
      </c>
      <c r="D501" s="8" t="s">
        <v>637</v>
      </c>
      <c r="E501" s="8" t="s">
        <v>1216</v>
      </c>
      <c r="F501" s="8" t="s">
        <v>1221</v>
      </c>
      <c r="G501" s="8" t="s">
        <v>1194</v>
      </c>
      <c r="H501" s="8">
        <v>1</v>
      </c>
      <c r="I501" s="8">
        <v>1</v>
      </c>
      <c r="J501" s="8" t="s">
        <v>1219</v>
      </c>
      <c r="K501" s="8" t="s">
        <v>182</v>
      </c>
      <c r="L501" s="9">
        <v>46319</v>
      </c>
      <c r="M501" s="8" t="s">
        <v>5864</v>
      </c>
      <c r="N501" s="8" t="s">
        <v>5870</v>
      </c>
    </row>
    <row r="502" spans="1:14" ht="40" customHeight="1">
      <c r="A502" s="4" t="s">
        <v>6510</v>
      </c>
      <c r="B502" s="4" t="s">
        <v>173</v>
      </c>
      <c r="C502" s="4" t="s">
        <v>174</v>
      </c>
      <c r="D502" s="4" t="s">
        <v>637</v>
      </c>
      <c r="E502" s="4" t="s">
        <v>1216</v>
      </c>
      <c r="F502" s="4" t="s">
        <v>1225</v>
      </c>
      <c r="G502" s="4" t="s">
        <v>1194</v>
      </c>
      <c r="H502" s="4">
        <v>1</v>
      </c>
      <c r="I502" s="4">
        <v>1</v>
      </c>
      <c r="J502" s="4" t="s">
        <v>1223</v>
      </c>
      <c r="K502" s="4" t="s">
        <v>182</v>
      </c>
      <c r="L502" s="6">
        <v>46319</v>
      </c>
      <c r="M502" s="4" t="s">
        <v>5864</v>
      </c>
      <c r="N502" s="4" t="s">
        <v>5870</v>
      </c>
    </row>
    <row r="503" spans="1:14" ht="40" customHeight="1">
      <c r="A503" s="8" t="s">
        <v>6511</v>
      </c>
      <c r="B503" s="8" t="s">
        <v>173</v>
      </c>
      <c r="C503" s="8" t="s">
        <v>174</v>
      </c>
      <c r="D503" s="8" t="s">
        <v>637</v>
      </c>
      <c r="E503" s="8" t="s">
        <v>1216</v>
      </c>
      <c r="F503" s="8" t="s">
        <v>1229</v>
      </c>
      <c r="G503" s="8" t="s">
        <v>1194</v>
      </c>
      <c r="H503" s="8">
        <v>1</v>
      </c>
      <c r="I503" s="8">
        <v>1</v>
      </c>
      <c r="J503" s="8" t="s">
        <v>1227</v>
      </c>
      <c r="K503" s="8" t="s">
        <v>182</v>
      </c>
      <c r="L503" s="9">
        <v>46319</v>
      </c>
      <c r="M503" s="8" t="s">
        <v>5864</v>
      </c>
      <c r="N503" s="8" t="s">
        <v>5870</v>
      </c>
    </row>
    <row r="504" spans="1:14" ht="40" customHeight="1">
      <c r="A504" s="4" t="s">
        <v>6512</v>
      </c>
      <c r="B504" s="4" t="s">
        <v>173</v>
      </c>
      <c r="C504" s="4" t="s">
        <v>174</v>
      </c>
      <c r="D504" s="4" t="s">
        <v>637</v>
      </c>
      <c r="E504" s="4" t="s">
        <v>1216</v>
      </c>
      <c r="F504" s="4" t="s">
        <v>1233</v>
      </c>
      <c r="G504" s="4" t="s">
        <v>1194</v>
      </c>
      <c r="H504" s="4">
        <v>1</v>
      </c>
      <c r="I504" s="4">
        <v>1</v>
      </c>
      <c r="J504" s="4" t="s">
        <v>1231</v>
      </c>
      <c r="K504" s="4" t="s">
        <v>182</v>
      </c>
      <c r="L504" s="6">
        <v>46319</v>
      </c>
      <c r="M504" s="4" t="s">
        <v>5864</v>
      </c>
      <c r="N504" s="4" t="s">
        <v>5870</v>
      </c>
    </row>
    <row r="505" spans="1:14" ht="40" customHeight="1">
      <c r="A505" s="8" t="s">
        <v>5001</v>
      </c>
      <c r="B505" s="8" t="s">
        <v>173</v>
      </c>
      <c r="C505" s="8" t="s">
        <v>174</v>
      </c>
      <c r="D505" s="8" t="s">
        <v>7</v>
      </c>
      <c r="E505" s="8" t="s">
        <v>41</v>
      </c>
      <c r="F505" s="8" t="s">
        <v>6212</v>
      </c>
      <c r="G505" s="8" t="s">
        <v>1194</v>
      </c>
      <c r="H505" s="8">
        <v>1</v>
      </c>
      <c r="I505" s="8">
        <v>1</v>
      </c>
      <c r="J505" s="8" t="s">
        <v>5002</v>
      </c>
      <c r="K505" s="8" t="s">
        <v>182</v>
      </c>
      <c r="L505" s="9">
        <v>46319</v>
      </c>
      <c r="M505" s="8" t="s">
        <v>5864</v>
      </c>
      <c r="N505" s="8" t="s">
        <v>5870</v>
      </c>
    </row>
    <row r="506" spans="1:14" ht="40" customHeight="1">
      <c r="A506" s="4" t="s">
        <v>5003</v>
      </c>
      <c r="B506" s="4" t="s">
        <v>173</v>
      </c>
      <c r="C506" s="4" t="s">
        <v>174</v>
      </c>
      <c r="D506" s="4" t="s">
        <v>7</v>
      </c>
      <c r="E506" s="4" t="s">
        <v>41</v>
      </c>
      <c r="F506" s="4" t="s">
        <v>6213</v>
      </c>
      <c r="G506" s="4" t="s">
        <v>1194</v>
      </c>
      <c r="H506" s="4">
        <v>1</v>
      </c>
      <c r="I506" s="4">
        <v>1</v>
      </c>
      <c r="J506" s="4" t="s">
        <v>5004</v>
      </c>
      <c r="K506" s="4" t="s">
        <v>182</v>
      </c>
      <c r="L506" s="6">
        <v>46319</v>
      </c>
      <c r="M506" s="4" t="s">
        <v>5864</v>
      </c>
      <c r="N506" s="4" t="s">
        <v>5870</v>
      </c>
    </row>
    <row r="507" spans="1:14" ht="40" customHeight="1">
      <c r="A507" s="8" t="s">
        <v>5005</v>
      </c>
      <c r="B507" s="8" t="s">
        <v>173</v>
      </c>
      <c r="C507" s="8" t="s">
        <v>174</v>
      </c>
      <c r="D507" s="8" t="s">
        <v>7</v>
      </c>
      <c r="E507" s="8" t="s">
        <v>41</v>
      </c>
      <c r="F507" s="8" t="s">
        <v>6214</v>
      </c>
      <c r="G507" s="8" t="s">
        <v>1194</v>
      </c>
      <c r="H507" s="8">
        <v>1</v>
      </c>
      <c r="I507" s="8">
        <v>1</v>
      </c>
      <c r="J507" s="8" t="s">
        <v>5006</v>
      </c>
      <c r="K507" s="8" t="s">
        <v>182</v>
      </c>
      <c r="L507" s="9">
        <v>46319</v>
      </c>
      <c r="M507" s="8" t="s">
        <v>5864</v>
      </c>
      <c r="N507" s="8" t="s">
        <v>5870</v>
      </c>
    </row>
    <row r="508" spans="1:14" ht="40" customHeight="1">
      <c r="A508" s="4" t="s">
        <v>5007</v>
      </c>
      <c r="B508" s="4" t="s">
        <v>173</v>
      </c>
      <c r="C508" s="4" t="s">
        <v>174</v>
      </c>
      <c r="D508" s="4" t="s">
        <v>7</v>
      </c>
      <c r="E508" s="4" t="s">
        <v>41</v>
      </c>
      <c r="F508" s="4" t="s">
        <v>6215</v>
      </c>
      <c r="G508" s="4" t="s">
        <v>1194</v>
      </c>
      <c r="H508" s="4">
        <v>1</v>
      </c>
      <c r="I508" s="4">
        <v>1</v>
      </c>
      <c r="J508" s="4" t="s">
        <v>5008</v>
      </c>
      <c r="K508" s="4" t="s">
        <v>182</v>
      </c>
      <c r="L508" s="6">
        <v>46319</v>
      </c>
      <c r="M508" s="4" t="s">
        <v>5864</v>
      </c>
      <c r="N508" s="4" t="s">
        <v>5870</v>
      </c>
    </row>
    <row r="509" spans="1:14" ht="40" customHeight="1">
      <c r="A509" s="8" t="s">
        <v>5009</v>
      </c>
      <c r="B509" s="8" t="s">
        <v>173</v>
      </c>
      <c r="C509" s="8" t="s">
        <v>174</v>
      </c>
      <c r="D509" s="8" t="s">
        <v>7</v>
      </c>
      <c r="E509" s="8" t="s">
        <v>41</v>
      </c>
      <c r="F509" s="8" t="s">
        <v>6216</v>
      </c>
      <c r="G509" s="8" t="s">
        <v>1194</v>
      </c>
      <c r="H509" s="8">
        <v>1</v>
      </c>
      <c r="I509" s="8">
        <v>1</v>
      </c>
      <c r="J509" s="8" t="s">
        <v>5010</v>
      </c>
      <c r="K509" s="8" t="s">
        <v>182</v>
      </c>
      <c r="L509" s="9">
        <v>46319</v>
      </c>
      <c r="M509" s="8" t="s">
        <v>5864</v>
      </c>
      <c r="N509" s="8" t="s">
        <v>5870</v>
      </c>
    </row>
    <row r="510" spans="1:14" ht="40" customHeight="1">
      <c r="A510" s="4" t="s">
        <v>3823</v>
      </c>
      <c r="B510" s="4" t="s">
        <v>173</v>
      </c>
      <c r="C510" s="4" t="s">
        <v>174</v>
      </c>
      <c r="D510" s="4" t="s">
        <v>5879</v>
      </c>
      <c r="E510" s="4" t="s">
        <v>2792</v>
      </c>
      <c r="F510" s="4" t="s">
        <v>3449</v>
      </c>
      <c r="G510" s="4" t="s">
        <v>1194</v>
      </c>
      <c r="H510" s="4">
        <v>1</v>
      </c>
      <c r="I510" s="4">
        <v>1</v>
      </c>
      <c r="J510" s="4" t="s">
        <v>2792</v>
      </c>
      <c r="K510" s="4" t="s">
        <v>182</v>
      </c>
      <c r="L510" s="6">
        <v>46319</v>
      </c>
      <c r="M510" s="4" t="s">
        <v>5864</v>
      </c>
      <c r="N510" s="4" t="s">
        <v>5865</v>
      </c>
    </row>
    <row r="511" spans="1:14" ht="40" customHeight="1">
      <c r="A511" s="8" t="s">
        <v>3824</v>
      </c>
      <c r="B511" s="8" t="s">
        <v>173</v>
      </c>
      <c r="C511" s="8" t="s">
        <v>174</v>
      </c>
      <c r="D511" s="8" t="s">
        <v>5879</v>
      </c>
      <c r="E511" s="8" t="s">
        <v>2792</v>
      </c>
      <c r="F511" s="8" t="s">
        <v>3466</v>
      </c>
      <c r="G511" s="8" t="s">
        <v>1194</v>
      </c>
      <c r="H511" s="8">
        <v>1</v>
      </c>
      <c r="I511" s="8">
        <v>1</v>
      </c>
      <c r="J511" s="8" t="s">
        <v>3825</v>
      </c>
      <c r="K511" s="8" t="s">
        <v>182</v>
      </c>
      <c r="L511" s="9">
        <v>46319</v>
      </c>
      <c r="M511" s="8" t="s">
        <v>5864</v>
      </c>
      <c r="N511" s="8" t="s">
        <v>5865</v>
      </c>
    </row>
    <row r="512" spans="1:14" ht="40" customHeight="1">
      <c r="A512" s="4" t="s">
        <v>3826</v>
      </c>
      <c r="B512" s="4" t="s">
        <v>173</v>
      </c>
      <c r="C512" s="4" t="s">
        <v>174</v>
      </c>
      <c r="D512" s="4" t="s">
        <v>5879</v>
      </c>
      <c r="E512" s="4" t="s">
        <v>2792</v>
      </c>
      <c r="F512" s="4" t="s">
        <v>3469</v>
      </c>
      <c r="G512" s="4" t="s">
        <v>1194</v>
      </c>
      <c r="H512" s="4">
        <v>1</v>
      </c>
      <c r="I512" s="4">
        <v>1</v>
      </c>
      <c r="J512" s="4" t="s">
        <v>3827</v>
      </c>
      <c r="K512" s="4" t="s">
        <v>182</v>
      </c>
      <c r="L512" s="6">
        <v>46319</v>
      </c>
      <c r="M512" s="4" t="s">
        <v>5864</v>
      </c>
      <c r="N512" s="4" t="s">
        <v>5865</v>
      </c>
    </row>
    <row r="513" spans="1:14" ht="40" customHeight="1">
      <c r="A513" s="8" t="s">
        <v>3828</v>
      </c>
      <c r="B513" s="8" t="s">
        <v>173</v>
      </c>
      <c r="C513" s="8" t="s">
        <v>174</v>
      </c>
      <c r="D513" s="8" t="s">
        <v>5879</v>
      </c>
      <c r="E513" s="8" t="s">
        <v>2792</v>
      </c>
      <c r="F513" s="8" t="s">
        <v>3472</v>
      </c>
      <c r="G513" s="8" t="s">
        <v>1194</v>
      </c>
      <c r="H513" s="8">
        <v>1</v>
      </c>
      <c r="I513" s="8">
        <v>1</v>
      </c>
      <c r="J513" s="8" t="s">
        <v>3829</v>
      </c>
      <c r="K513" s="8" t="s">
        <v>182</v>
      </c>
      <c r="L513" s="9">
        <v>46319</v>
      </c>
      <c r="M513" s="8" t="s">
        <v>5864</v>
      </c>
      <c r="N513" s="8" t="s">
        <v>5865</v>
      </c>
    </row>
    <row r="514" spans="1:14" ht="40" customHeight="1">
      <c r="A514" s="4" t="s">
        <v>3830</v>
      </c>
      <c r="B514" s="4" t="s">
        <v>173</v>
      </c>
      <c r="C514" s="4" t="s">
        <v>174</v>
      </c>
      <c r="D514" s="4" t="s">
        <v>5879</v>
      </c>
      <c r="E514" s="4" t="s">
        <v>2792</v>
      </c>
      <c r="F514" s="4" t="s">
        <v>3475</v>
      </c>
      <c r="G514" s="4" t="s">
        <v>1194</v>
      </c>
      <c r="H514" s="4">
        <v>1</v>
      </c>
      <c r="I514" s="4">
        <v>1</v>
      </c>
      <c r="J514" s="4" t="s">
        <v>3831</v>
      </c>
      <c r="K514" s="4" t="s">
        <v>182</v>
      </c>
      <c r="L514" s="6">
        <v>46319</v>
      </c>
      <c r="M514" s="4" t="s">
        <v>5864</v>
      </c>
      <c r="N514" s="4" t="s">
        <v>5865</v>
      </c>
    </row>
    <row r="515" spans="1:14" ht="40" customHeight="1">
      <c r="A515" s="8" t="s">
        <v>3832</v>
      </c>
      <c r="B515" s="8" t="s">
        <v>173</v>
      </c>
      <c r="C515" s="8" t="s">
        <v>174</v>
      </c>
      <c r="D515" s="8" t="s">
        <v>5879</v>
      </c>
      <c r="E515" s="8" t="s">
        <v>2792</v>
      </c>
      <c r="F515" s="8" t="s">
        <v>3478</v>
      </c>
      <c r="G515" s="8" t="s">
        <v>1194</v>
      </c>
      <c r="H515" s="8">
        <v>1</v>
      </c>
      <c r="I515" s="8">
        <v>1</v>
      </c>
      <c r="J515" s="8" t="s">
        <v>3833</v>
      </c>
      <c r="K515" s="8" t="s">
        <v>182</v>
      </c>
      <c r="L515" s="9">
        <v>46319</v>
      </c>
      <c r="M515" s="8" t="s">
        <v>5864</v>
      </c>
      <c r="N515" s="8" t="s">
        <v>5865</v>
      </c>
    </row>
    <row r="516" spans="1:14" ht="40" customHeight="1">
      <c r="A516" s="4" t="s">
        <v>3834</v>
      </c>
      <c r="B516" s="4" t="s">
        <v>173</v>
      </c>
      <c r="C516" s="4" t="s">
        <v>174</v>
      </c>
      <c r="D516" s="4" t="s">
        <v>5879</v>
      </c>
      <c r="E516" s="4" t="s">
        <v>2792</v>
      </c>
      <c r="F516" s="4" t="s">
        <v>3603</v>
      </c>
      <c r="G516" s="4" t="s">
        <v>1194</v>
      </c>
      <c r="H516" s="4">
        <v>1</v>
      </c>
      <c r="I516" s="4">
        <v>1</v>
      </c>
      <c r="J516" s="4" t="s">
        <v>3835</v>
      </c>
      <c r="K516" s="4" t="s">
        <v>182</v>
      </c>
      <c r="L516" s="6">
        <v>46319</v>
      </c>
      <c r="M516" s="4" t="s">
        <v>5864</v>
      </c>
      <c r="N516" s="4" t="s">
        <v>5865</v>
      </c>
    </row>
    <row r="517" spans="1:14" ht="40" customHeight="1">
      <c r="A517" s="8" t="s">
        <v>3836</v>
      </c>
      <c r="B517" s="8" t="s">
        <v>173</v>
      </c>
      <c r="C517" s="8" t="s">
        <v>174</v>
      </c>
      <c r="D517" s="8" t="s">
        <v>5879</v>
      </c>
      <c r="E517" s="8" t="s">
        <v>3837</v>
      </c>
      <c r="F517" s="8" t="s">
        <v>3838</v>
      </c>
      <c r="G517" s="8" t="s">
        <v>1194</v>
      </c>
      <c r="H517" s="8">
        <v>1</v>
      </c>
      <c r="I517" s="8">
        <v>1</v>
      </c>
      <c r="J517" s="8" t="s">
        <v>3837</v>
      </c>
      <c r="K517" s="8" t="s">
        <v>182</v>
      </c>
      <c r="L517" s="9">
        <v>46319</v>
      </c>
      <c r="M517" s="8" t="s">
        <v>5864</v>
      </c>
      <c r="N517" s="8" t="s">
        <v>5865</v>
      </c>
    </row>
    <row r="518" spans="1:14" ht="40" customHeight="1">
      <c r="A518" s="4" t="s">
        <v>3839</v>
      </c>
      <c r="B518" s="4" t="s">
        <v>173</v>
      </c>
      <c r="C518" s="4" t="s">
        <v>174</v>
      </c>
      <c r="D518" s="4" t="s">
        <v>5879</v>
      </c>
      <c r="E518" s="4" t="s">
        <v>3837</v>
      </c>
      <c r="F518" s="4" t="s">
        <v>3608</v>
      </c>
      <c r="G518" s="4" t="s">
        <v>1194</v>
      </c>
      <c r="H518" s="4">
        <v>1</v>
      </c>
      <c r="I518" s="4">
        <v>1</v>
      </c>
      <c r="J518" s="4" t="s">
        <v>3840</v>
      </c>
      <c r="K518" s="4" t="s">
        <v>182</v>
      </c>
      <c r="L518" s="6">
        <v>46319</v>
      </c>
      <c r="M518" s="4" t="s">
        <v>5864</v>
      </c>
      <c r="N518" s="4" t="s">
        <v>5865</v>
      </c>
    </row>
    <row r="519" spans="1:14" ht="40" customHeight="1">
      <c r="A519" s="8" t="s">
        <v>3841</v>
      </c>
      <c r="B519" s="8" t="s">
        <v>173</v>
      </c>
      <c r="C519" s="8" t="s">
        <v>174</v>
      </c>
      <c r="D519" s="8" t="s">
        <v>5879</v>
      </c>
      <c r="E519" s="8" t="s">
        <v>3837</v>
      </c>
      <c r="F519" s="8" t="s">
        <v>3611</v>
      </c>
      <c r="G519" s="8" t="s">
        <v>1194</v>
      </c>
      <c r="H519" s="8">
        <v>1</v>
      </c>
      <c r="I519" s="8">
        <v>1</v>
      </c>
      <c r="J519" s="8" t="s">
        <v>3842</v>
      </c>
      <c r="K519" s="8" t="s">
        <v>182</v>
      </c>
      <c r="L519" s="9">
        <v>46319</v>
      </c>
      <c r="M519" s="8" t="s">
        <v>5864</v>
      </c>
      <c r="N519" s="8" t="s">
        <v>5865</v>
      </c>
    </row>
    <row r="520" spans="1:14" ht="40" customHeight="1">
      <c r="A520" s="4" t="s">
        <v>3843</v>
      </c>
      <c r="B520" s="4" t="s">
        <v>173</v>
      </c>
      <c r="C520" s="4" t="s">
        <v>174</v>
      </c>
      <c r="D520" s="4" t="s">
        <v>5879</v>
      </c>
      <c r="E520" s="4" t="s">
        <v>3837</v>
      </c>
      <c r="F520" s="4" t="s">
        <v>3775</v>
      </c>
      <c r="G520" s="4" t="s">
        <v>1194</v>
      </c>
      <c r="H520" s="4">
        <v>1</v>
      </c>
      <c r="I520" s="4">
        <v>1</v>
      </c>
      <c r="J520" s="4" t="s">
        <v>3844</v>
      </c>
      <c r="K520" s="4" t="s">
        <v>182</v>
      </c>
      <c r="L520" s="6">
        <v>46319</v>
      </c>
      <c r="M520" s="4" t="s">
        <v>5864</v>
      </c>
      <c r="N520" s="4" t="s">
        <v>5865</v>
      </c>
    </row>
    <row r="521" spans="1:14" ht="40" customHeight="1">
      <c r="A521" s="8" t="s">
        <v>3845</v>
      </c>
      <c r="B521" s="8" t="s">
        <v>173</v>
      </c>
      <c r="C521" s="8" t="s">
        <v>174</v>
      </c>
      <c r="D521" s="8" t="s">
        <v>5879</v>
      </c>
      <c r="E521" s="8" t="s">
        <v>3837</v>
      </c>
      <c r="F521" s="8" t="s">
        <v>3847</v>
      </c>
      <c r="G521" s="8" t="s">
        <v>1194</v>
      </c>
      <c r="H521" s="8">
        <v>1</v>
      </c>
      <c r="I521" s="8">
        <v>1</v>
      </c>
      <c r="J521" s="8" t="s">
        <v>3846</v>
      </c>
      <c r="K521" s="8" t="s">
        <v>182</v>
      </c>
      <c r="L521" s="9">
        <v>46319</v>
      </c>
      <c r="M521" s="8" t="s">
        <v>5864</v>
      </c>
      <c r="N521" s="8" t="s">
        <v>5865</v>
      </c>
    </row>
    <row r="522" spans="1:14" ht="54" customHeight="1">
      <c r="A522" s="4" t="s">
        <v>6513</v>
      </c>
      <c r="B522" s="4" t="s">
        <v>173</v>
      </c>
      <c r="C522" s="4" t="s">
        <v>174</v>
      </c>
      <c r="D522" s="4" t="s">
        <v>2969</v>
      </c>
      <c r="E522" s="4" t="s">
        <v>41</v>
      </c>
      <c r="F522" s="4" t="s">
        <v>5881</v>
      </c>
      <c r="G522" s="4" t="s">
        <v>1194</v>
      </c>
      <c r="H522" s="4">
        <v>1</v>
      </c>
      <c r="I522" s="4">
        <v>1</v>
      </c>
      <c r="J522" s="4" t="s">
        <v>6514</v>
      </c>
      <c r="K522" s="4" t="s">
        <v>182</v>
      </c>
      <c r="L522" s="6">
        <v>46319</v>
      </c>
      <c r="M522" s="4" t="s">
        <v>5864</v>
      </c>
      <c r="N522" s="4" t="s">
        <v>5883</v>
      </c>
    </row>
    <row r="523" spans="1:14" ht="54" customHeight="1">
      <c r="A523" s="8" t="s">
        <v>6515</v>
      </c>
      <c r="B523" s="8" t="s">
        <v>173</v>
      </c>
      <c r="C523" s="8" t="s">
        <v>174</v>
      </c>
      <c r="D523" s="8" t="s">
        <v>2969</v>
      </c>
      <c r="E523" s="8" t="s">
        <v>41</v>
      </c>
      <c r="F523" s="8" t="s">
        <v>5885</v>
      </c>
      <c r="G523" s="8" t="s">
        <v>1194</v>
      </c>
      <c r="H523" s="8">
        <v>1</v>
      </c>
      <c r="I523" s="8">
        <v>1</v>
      </c>
      <c r="J523" s="8" t="s">
        <v>6516</v>
      </c>
      <c r="K523" s="8" t="s">
        <v>182</v>
      </c>
      <c r="L523" s="9">
        <v>46319</v>
      </c>
      <c r="M523" s="8" t="s">
        <v>5864</v>
      </c>
      <c r="N523" s="8" t="s">
        <v>5883</v>
      </c>
    </row>
    <row r="524" spans="1:14" ht="54" customHeight="1">
      <c r="A524" s="4" t="s">
        <v>6517</v>
      </c>
      <c r="B524" s="4" t="s">
        <v>173</v>
      </c>
      <c r="C524" s="4" t="s">
        <v>174</v>
      </c>
      <c r="D524" s="4" t="s">
        <v>2969</v>
      </c>
      <c r="E524" s="4" t="s">
        <v>41</v>
      </c>
      <c r="F524" s="4" t="s">
        <v>5888</v>
      </c>
      <c r="G524" s="4" t="s">
        <v>1194</v>
      </c>
      <c r="H524" s="4">
        <v>1</v>
      </c>
      <c r="I524" s="4">
        <v>1</v>
      </c>
      <c r="J524" s="4" t="s">
        <v>6518</v>
      </c>
      <c r="K524" s="4" t="s">
        <v>182</v>
      </c>
      <c r="L524" s="6">
        <v>46319</v>
      </c>
      <c r="M524" s="4" t="s">
        <v>5864</v>
      </c>
      <c r="N524" s="4" t="s">
        <v>5883</v>
      </c>
    </row>
    <row r="525" spans="1:14" ht="40" customHeight="1">
      <c r="A525" s="8" t="s">
        <v>6519</v>
      </c>
      <c r="B525" s="8" t="s">
        <v>173</v>
      </c>
      <c r="C525" s="8" t="s">
        <v>174</v>
      </c>
      <c r="D525" s="8" t="s">
        <v>2969</v>
      </c>
      <c r="E525" s="8" t="s">
        <v>41</v>
      </c>
      <c r="F525" s="8" t="s">
        <v>5891</v>
      </c>
      <c r="G525" s="8" t="s">
        <v>1194</v>
      </c>
      <c r="H525" s="8">
        <v>1</v>
      </c>
      <c r="I525" s="8">
        <v>1</v>
      </c>
      <c r="J525" s="8" t="s">
        <v>6520</v>
      </c>
      <c r="K525" s="8" t="s">
        <v>182</v>
      </c>
      <c r="L525" s="9">
        <v>46319</v>
      </c>
      <c r="M525" s="8" t="s">
        <v>5864</v>
      </c>
      <c r="N525" s="8" t="s">
        <v>5883</v>
      </c>
    </row>
    <row r="526" spans="1:14" ht="54" customHeight="1">
      <c r="A526" s="4" t="s">
        <v>6521</v>
      </c>
      <c r="B526" s="4" t="s">
        <v>173</v>
      </c>
      <c r="C526" s="4" t="s">
        <v>174</v>
      </c>
      <c r="D526" s="4" t="s">
        <v>2969</v>
      </c>
      <c r="E526" s="4" t="s">
        <v>41</v>
      </c>
      <c r="F526" s="4" t="s">
        <v>5894</v>
      </c>
      <c r="G526" s="4" t="s">
        <v>1194</v>
      </c>
      <c r="H526" s="4">
        <v>1</v>
      </c>
      <c r="I526" s="4">
        <v>1</v>
      </c>
      <c r="J526" s="4" t="s">
        <v>6522</v>
      </c>
      <c r="K526" s="4" t="s">
        <v>182</v>
      </c>
      <c r="L526" s="6">
        <v>46319</v>
      </c>
      <c r="M526" s="4" t="s">
        <v>5864</v>
      </c>
      <c r="N526" s="4" t="s">
        <v>5883</v>
      </c>
    </row>
    <row r="527" spans="1:14" ht="40" customHeight="1">
      <c r="A527" s="8" t="s">
        <v>6523</v>
      </c>
      <c r="B527" s="8" t="s">
        <v>173</v>
      </c>
      <c r="C527" s="8" t="s">
        <v>174</v>
      </c>
      <c r="D527" s="8" t="s">
        <v>2969</v>
      </c>
      <c r="E527" s="8" t="s">
        <v>41</v>
      </c>
      <c r="F527" s="8" t="s">
        <v>5897</v>
      </c>
      <c r="G527" s="8" t="s">
        <v>1194</v>
      </c>
      <c r="H527" s="8">
        <v>1</v>
      </c>
      <c r="I527" s="8">
        <v>1</v>
      </c>
      <c r="J527" s="8" t="s">
        <v>6524</v>
      </c>
      <c r="K527" s="8" t="s">
        <v>182</v>
      </c>
      <c r="L527" s="9">
        <v>46319</v>
      </c>
      <c r="M527" s="8" t="s">
        <v>5864</v>
      </c>
      <c r="N527" s="8" t="s">
        <v>5883</v>
      </c>
    </row>
    <row r="528" spans="1:14" ht="40" customHeight="1">
      <c r="A528" s="4" t="s">
        <v>6525</v>
      </c>
      <c r="B528" s="4" t="s">
        <v>173</v>
      </c>
      <c r="C528" s="4" t="s">
        <v>174</v>
      </c>
      <c r="D528" s="4" t="s">
        <v>2969</v>
      </c>
      <c r="E528" s="4" t="s">
        <v>41</v>
      </c>
      <c r="F528" s="4" t="s">
        <v>5900</v>
      </c>
      <c r="G528" s="4" t="s">
        <v>1194</v>
      </c>
      <c r="H528" s="4">
        <v>1</v>
      </c>
      <c r="I528" s="4">
        <v>1</v>
      </c>
      <c r="J528" s="4" t="s">
        <v>6526</v>
      </c>
      <c r="K528" s="4" t="s">
        <v>182</v>
      </c>
      <c r="L528" s="6">
        <v>46319</v>
      </c>
      <c r="M528" s="4" t="s">
        <v>5864</v>
      </c>
      <c r="N528" s="4" t="s">
        <v>5883</v>
      </c>
    </row>
    <row r="529" spans="1:14" ht="54" customHeight="1">
      <c r="A529" s="8" t="s">
        <v>6527</v>
      </c>
      <c r="B529" s="8" t="s">
        <v>173</v>
      </c>
      <c r="C529" s="8" t="s">
        <v>174</v>
      </c>
      <c r="D529" s="8" t="s">
        <v>2969</v>
      </c>
      <c r="E529" s="8" t="s">
        <v>41</v>
      </c>
      <c r="F529" s="8" t="s">
        <v>5903</v>
      </c>
      <c r="G529" s="8" t="s">
        <v>1194</v>
      </c>
      <c r="H529" s="8">
        <v>1</v>
      </c>
      <c r="I529" s="8">
        <v>1</v>
      </c>
      <c r="J529" s="8" t="s">
        <v>6528</v>
      </c>
      <c r="K529" s="8" t="s">
        <v>182</v>
      </c>
      <c r="L529" s="9">
        <v>46319</v>
      </c>
      <c r="M529" s="8" t="s">
        <v>5864</v>
      </c>
      <c r="N529" s="8" t="s">
        <v>5883</v>
      </c>
    </row>
    <row r="530" spans="1:14" ht="40" customHeight="1">
      <c r="A530" s="4" t="s">
        <v>6529</v>
      </c>
      <c r="B530" s="4" t="s">
        <v>173</v>
      </c>
      <c r="C530" s="4" t="s">
        <v>174</v>
      </c>
      <c r="D530" s="4" t="s">
        <v>2969</v>
      </c>
      <c r="E530" s="4" t="s">
        <v>41</v>
      </c>
      <c r="F530" s="4" t="s">
        <v>5906</v>
      </c>
      <c r="G530" s="4" t="s">
        <v>1194</v>
      </c>
      <c r="H530" s="4">
        <v>1</v>
      </c>
      <c r="I530" s="4">
        <v>1</v>
      </c>
      <c r="J530" s="4" t="s">
        <v>6530</v>
      </c>
      <c r="K530" s="4" t="s">
        <v>182</v>
      </c>
      <c r="L530" s="6">
        <v>46319</v>
      </c>
      <c r="M530" s="4" t="s">
        <v>5864</v>
      </c>
      <c r="N530" s="4" t="s">
        <v>5883</v>
      </c>
    </row>
    <row r="531" spans="1:14" ht="138" customHeight="1">
      <c r="A531" s="8" t="s">
        <v>6531</v>
      </c>
      <c r="B531" s="8" t="s">
        <v>186</v>
      </c>
      <c r="C531" s="8" t="s">
        <v>187</v>
      </c>
      <c r="D531" s="8" t="s">
        <v>5861</v>
      </c>
      <c r="E531" s="8" t="s">
        <v>41</v>
      </c>
      <c r="F531" s="8" t="s">
        <v>5862</v>
      </c>
      <c r="G531" s="8" t="s">
        <v>1238</v>
      </c>
      <c r="H531" s="8">
        <v>1</v>
      </c>
      <c r="I531" s="8">
        <v>1</v>
      </c>
      <c r="J531" s="8" t="s">
        <v>6532</v>
      </c>
      <c r="K531" s="8" t="s">
        <v>195</v>
      </c>
      <c r="L531" s="9">
        <v>46319</v>
      </c>
      <c r="M531" s="8" t="s">
        <v>5864</v>
      </c>
      <c r="N531" s="8" t="s">
        <v>5865</v>
      </c>
    </row>
    <row r="532" spans="1:14" ht="40" customHeight="1">
      <c r="A532" s="4" t="s">
        <v>6533</v>
      </c>
      <c r="B532" s="4" t="s">
        <v>186</v>
      </c>
      <c r="C532" s="4" t="s">
        <v>187</v>
      </c>
      <c r="D532" s="4" t="s">
        <v>5867</v>
      </c>
      <c r="E532" s="4" t="s">
        <v>41</v>
      </c>
      <c r="F532" s="4" t="s">
        <v>5868</v>
      </c>
      <c r="G532" s="4" t="s">
        <v>1238</v>
      </c>
      <c r="H532" s="4">
        <v>1</v>
      </c>
      <c r="I532" s="4">
        <v>1</v>
      </c>
      <c r="J532" s="4" t="s">
        <v>6534</v>
      </c>
      <c r="K532" s="4" t="s">
        <v>195</v>
      </c>
      <c r="L532" s="6">
        <v>46319</v>
      </c>
      <c r="M532" s="4" t="s">
        <v>5864</v>
      </c>
      <c r="N532" s="4" t="s">
        <v>5870</v>
      </c>
    </row>
    <row r="533" spans="1:14" ht="40" customHeight="1">
      <c r="A533" s="8" t="s">
        <v>6535</v>
      </c>
      <c r="B533" s="8" t="s">
        <v>186</v>
      </c>
      <c r="C533" s="8" t="s">
        <v>187</v>
      </c>
      <c r="D533" s="8" t="s">
        <v>5867</v>
      </c>
      <c r="E533" s="8" t="s">
        <v>41</v>
      </c>
      <c r="F533" s="8" t="s">
        <v>5872</v>
      </c>
      <c r="G533" s="8" t="s">
        <v>1238</v>
      </c>
      <c r="H533" s="8">
        <v>1</v>
      </c>
      <c r="I533" s="8">
        <v>1</v>
      </c>
      <c r="J533" s="8" t="s">
        <v>6536</v>
      </c>
      <c r="K533" s="8" t="s">
        <v>195</v>
      </c>
      <c r="L533" s="9">
        <v>46319</v>
      </c>
      <c r="M533" s="8" t="s">
        <v>5864</v>
      </c>
      <c r="N533" s="8" t="s">
        <v>5870</v>
      </c>
    </row>
    <row r="534" spans="1:14" ht="40" customHeight="1">
      <c r="A534" s="4" t="s">
        <v>6537</v>
      </c>
      <c r="B534" s="4" t="s">
        <v>186</v>
      </c>
      <c r="C534" s="4" t="s">
        <v>187</v>
      </c>
      <c r="D534" s="4" t="s">
        <v>5867</v>
      </c>
      <c r="E534" s="4" t="s">
        <v>41</v>
      </c>
      <c r="F534" s="4" t="s">
        <v>5875</v>
      </c>
      <c r="G534" s="4" t="s">
        <v>1238</v>
      </c>
      <c r="H534" s="4">
        <v>1</v>
      </c>
      <c r="I534" s="4">
        <v>1</v>
      </c>
      <c r="J534" s="4" t="s">
        <v>6538</v>
      </c>
      <c r="K534" s="4" t="s">
        <v>195</v>
      </c>
      <c r="L534" s="6">
        <v>46319</v>
      </c>
      <c r="M534" s="4" t="s">
        <v>5864</v>
      </c>
      <c r="N534" s="4" t="s">
        <v>5870</v>
      </c>
    </row>
    <row r="535" spans="1:14" ht="40" customHeight="1">
      <c r="A535" s="8" t="s">
        <v>6539</v>
      </c>
      <c r="B535" s="8" t="s">
        <v>186</v>
      </c>
      <c r="C535" s="8" t="s">
        <v>187</v>
      </c>
      <c r="D535" s="8" t="s">
        <v>5867</v>
      </c>
      <c r="E535" s="8" t="s">
        <v>41</v>
      </c>
      <c r="F535" s="8" t="s">
        <v>6176</v>
      </c>
      <c r="G535" s="8" t="s">
        <v>1238</v>
      </c>
      <c r="H535" s="8">
        <v>1</v>
      </c>
      <c r="I535" s="8">
        <v>1</v>
      </c>
      <c r="J535" s="8" t="s">
        <v>6540</v>
      </c>
      <c r="K535" s="8" t="s">
        <v>195</v>
      </c>
      <c r="L535" s="9">
        <v>46319</v>
      </c>
      <c r="M535" s="8" t="s">
        <v>5864</v>
      </c>
      <c r="N535" s="8" t="s">
        <v>6087</v>
      </c>
    </row>
    <row r="536" spans="1:14" ht="40" customHeight="1">
      <c r="A536" s="4" t="s">
        <v>6541</v>
      </c>
      <c r="B536" s="4" t="s">
        <v>186</v>
      </c>
      <c r="C536" s="4" t="s">
        <v>187</v>
      </c>
      <c r="D536" s="4" t="s">
        <v>5867</v>
      </c>
      <c r="E536" s="4" t="s">
        <v>41</v>
      </c>
      <c r="F536" s="4" t="s">
        <v>6006</v>
      </c>
      <c r="G536" s="4" t="s">
        <v>1238</v>
      </c>
      <c r="H536" s="4">
        <v>1</v>
      </c>
      <c r="I536" s="4">
        <v>1</v>
      </c>
      <c r="J536" s="4" t="s">
        <v>6542</v>
      </c>
      <c r="K536" s="4" t="s">
        <v>195</v>
      </c>
      <c r="L536" s="6">
        <v>46319</v>
      </c>
      <c r="M536" s="4" t="s">
        <v>5864</v>
      </c>
      <c r="N536" s="4" t="s">
        <v>5870</v>
      </c>
    </row>
    <row r="537" spans="1:14" ht="40" customHeight="1">
      <c r="A537" s="8" t="s">
        <v>6543</v>
      </c>
      <c r="B537" s="8" t="s">
        <v>186</v>
      </c>
      <c r="C537" s="8" t="s">
        <v>187</v>
      </c>
      <c r="D537" s="8" t="s">
        <v>5867</v>
      </c>
      <c r="E537" s="8" t="s">
        <v>41</v>
      </c>
      <c r="F537" s="8" t="s">
        <v>6544</v>
      </c>
      <c r="G537" s="8" t="s">
        <v>1238</v>
      </c>
      <c r="H537" s="8">
        <v>1</v>
      </c>
      <c r="I537" s="8">
        <v>1</v>
      </c>
      <c r="J537" s="8" t="s">
        <v>6545</v>
      </c>
      <c r="K537" s="8" t="s">
        <v>195</v>
      </c>
      <c r="L537" s="9">
        <v>46319</v>
      </c>
      <c r="M537" s="8" t="s">
        <v>5864</v>
      </c>
      <c r="N537" s="8" t="s">
        <v>5870</v>
      </c>
    </row>
    <row r="538" spans="1:14" ht="40" customHeight="1">
      <c r="A538" s="4" t="s">
        <v>6546</v>
      </c>
      <c r="B538" s="4" t="s">
        <v>186</v>
      </c>
      <c r="C538" s="4" t="s">
        <v>187</v>
      </c>
      <c r="D538" s="4" t="s">
        <v>5867</v>
      </c>
      <c r="E538" s="4" t="s">
        <v>41</v>
      </c>
      <c r="F538" s="4" t="s">
        <v>6547</v>
      </c>
      <c r="G538" s="4" t="s">
        <v>1238</v>
      </c>
      <c r="H538" s="4">
        <v>1</v>
      </c>
      <c r="I538" s="4">
        <v>1</v>
      </c>
      <c r="J538" s="4" t="s">
        <v>6548</v>
      </c>
      <c r="K538" s="4" t="s">
        <v>195</v>
      </c>
      <c r="L538" s="6">
        <v>46319</v>
      </c>
      <c r="M538" s="4" t="s">
        <v>5864</v>
      </c>
      <c r="N538" s="4" t="s">
        <v>5870</v>
      </c>
    </row>
    <row r="539" spans="1:14" ht="40" customHeight="1">
      <c r="A539" s="8" t="s">
        <v>6549</v>
      </c>
      <c r="B539" s="8" t="s">
        <v>186</v>
      </c>
      <c r="C539" s="8" t="s">
        <v>187</v>
      </c>
      <c r="D539" s="8" t="s">
        <v>5867</v>
      </c>
      <c r="E539" s="8" t="s">
        <v>41</v>
      </c>
      <c r="F539" s="8" t="s">
        <v>6184</v>
      </c>
      <c r="G539" s="8" t="s">
        <v>1238</v>
      </c>
      <c r="H539" s="8">
        <v>1</v>
      </c>
      <c r="I539" s="8">
        <v>1</v>
      </c>
      <c r="J539" s="8" t="s">
        <v>6550</v>
      </c>
      <c r="K539" s="8" t="s">
        <v>195</v>
      </c>
      <c r="L539" s="9">
        <v>46319</v>
      </c>
      <c r="M539" s="8" t="s">
        <v>5864</v>
      </c>
      <c r="N539" s="8" t="s">
        <v>6087</v>
      </c>
    </row>
    <row r="540" spans="1:14" ht="40" customHeight="1">
      <c r="A540" s="4" t="s">
        <v>6551</v>
      </c>
      <c r="B540" s="4" t="s">
        <v>186</v>
      </c>
      <c r="C540" s="4" t="s">
        <v>187</v>
      </c>
      <c r="D540" s="4" t="s">
        <v>5867</v>
      </c>
      <c r="E540" s="4" t="s">
        <v>41</v>
      </c>
      <c r="F540" s="4" t="s">
        <v>6015</v>
      </c>
      <c r="G540" s="4" t="s">
        <v>1238</v>
      </c>
      <c r="H540" s="4">
        <v>1</v>
      </c>
      <c r="I540" s="4">
        <v>1</v>
      </c>
      <c r="J540" s="4" t="s">
        <v>6552</v>
      </c>
      <c r="K540" s="4" t="s">
        <v>195</v>
      </c>
      <c r="L540" s="6">
        <v>46319</v>
      </c>
      <c r="M540" s="4" t="s">
        <v>5864</v>
      </c>
      <c r="N540" s="4" t="s">
        <v>5870</v>
      </c>
    </row>
    <row r="541" spans="1:14" ht="40" customHeight="1">
      <c r="A541" s="8" t="s">
        <v>6553</v>
      </c>
      <c r="B541" s="8" t="s">
        <v>186</v>
      </c>
      <c r="C541" s="8" t="s">
        <v>187</v>
      </c>
      <c r="D541" s="8" t="s">
        <v>5867</v>
      </c>
      <c r="E541" s="8" t="s">
        <v>41</v>
      </c>
      <c r="F541" s="8" t="s">
        <v>6554</v>
      </c>
      <c r="G541" s="8" t="s">
        <v>1238</v>
      </c>
      <c r="H541" s="8">
        <v>1</v>
      </c>
      <c r="I541" s="8">
        <v>1</v>
      </c>
      <c r="J541" s="8" t="s">
        <v>6555</v>
      </c>
      <c r="K541" s="8" t="s">
        <v>195</v>
      </c>
      <c r="L541" s="9">
        <v>46319</v>
      </c>
      <c r="M541" s="8" t="s">
        <v>5864</v>
      </c>
      <c r="N541" s="8" t="s">
        <v>5870</v>
      </c>
    </row>
    <row r="542" spans="1:14" ht="40" customHeight="1">
      <c r="A542" s="4" t="s">
        <v>6556</v>
      </c>
      <c r="B542" s="4" t="s">
        <v>186</v>
      </c>
      <c r="C542" s="4" t="s">
        <v>187</v>
      </c>
      <c r="D542" s="4" t="s">
        <v>5867</v>
      </c>
      <c r="E542" s="4" t="s">
        <v>41</v>
      </c>
      <c r="F542" s="4" t="s">
        <v>6557</v>
      </c>
      <c r="G542" s="4" t="s">
        <v>1238</v>
      </c>
      <c r="H542" s="4">
        <v>1</v>
      </c>
      <c r="I542" s="4">
        <v>1</v>
      </c>
      <c r="J542" s="4" t="s">
        <v>6558</v>
      </c>
      <c r="K542" s="4" t="s">
        <v>195</v>
      </c>
      <c r="L542" s="6">
        <v>46319</v>
      </c>
      <c r="M542" s="4" t="s">
        <v>5864</v>
      </c>
      <c r="N542" s="4" t="s">
        <v>5870</v>
      </c>
    </row>
    <row r="543" spans="1:14" ht="40" customHeight="1">
      <c r="A543" s="8" t="s">
        <v>6559</v>
      </c>
      <c r="B543" s="8" t="s">
        <v>186</v>
      </c>
      <c r="C543" s="8" t="s">
        <v>187</v>
      </c>
      <c r="D543" s="8" t="s">
        <v>5867</v>
      </c>
      <c r="E543" s="8" t="s">
        <v>41</v>
      </c>
      <c r="F543" s="8" t="s">
        <v>6560</v>
      </c>
      <c r="G543" s="8" t="s">
        <v>1238</v>
      </c>
      <c r="H543" s="8">
        <v>1</v>
      </c>
      <c r="I543" s="8">
        <v>1</v>
      </c>
      <c r="J543" s="8" t="s">
        <v>6561</v>
      </c>
      <c r="K543" s="8" t="s">
        <v>195</v>
      </c>
      <c r="L543" s="9">
        <v>46319</v>
      </c>
      <c r="M543" s="8" t="s">
        <v>5864</v>
      </c>
      <c r="N543" s="8" t="s">
        <v>5870</v>
      </c>
    </row>
    <row r="544" spans="1:14" ht="54" customHeight="1">
      <c r="A544" s="4" t="s">
        <v>6562</v>
      </c>
      <c r="B544" s="4" t="s">
        <v>186</v>
      </c>
      <c r="C544" s="4" t="s">
        <v>187</v>
      </c>
      <c r="D544" s="4" t="s">
        <v>637</v>
      </c>
      <c r="E544" s="4" t="s">
        <v>41</v>
      </c>
      <c r="F544" s="4" t="s">
        <v>904</v>
      </c>
      <c r="G544" s="4" t="s">
        <v>1238</v>
      </c>
      <c r="H544" s="4">
        <v>1</v>
      </c>
      <c r="I544" s="4">
        <v>1</v>
      </c>
      <c r="J544" s="4" t="s">
        <v>1236</v>
      </c>
      <c r="K544" s="4" t="s">
        <v>195</v>
      </c>
      <c r="L544" s="6">
        <v>46319</v>
      </c>
      <c r="M544" s="4" t="s">
        <v>5864</v>
      </c>
      <c r="N544" s="4" t="s">
        <v>5870</v>
      </c>
    </row>
    <row r="545" spans="1:14" ht="40" customHeight="1">
      <c r="A545" s="8" t="s">
        <v>6563</v>
      </c>
      <c r="B545" s="8" t="s">
        <v>186</v>
      </c>
      <c r="C545" s="8" t="s">
        <v>187</v>
      </c>
      <c r="D545" s="8" t="s">
        <v>637</v>
      </c>
      <c r="E545" s="8" t="s">
        <v>41</v>
      </c>
      <c r="F545" s="8" t="s">
        <v>912</v>
      </c>
      <c r="G545" s="8" t="s">
        <v>1238</v>
      </c>
      <c r="H545" s="8">
        <v>1</v>
      </c>
      <c r="I545" s="8">
        <v>1</v>
      </c>
      <c r="J545" s="8" t="s">
        <v>1240</v>
      </c>
      <c r="K545" s="8" t="s">
        <v>195</v>
      </c>
      <c r="L545" s="9">
        <v>46319</v>
      </c>
      <c r="M545" s="8" t="s">
        <v>5864</v>
      </c>
      <c r="N545" s="8" t="s">
        <v>5870</v>
      </c>
    </row>
    <row r="546" spans="1:14" ht="40" customHeight="1">
      <c r="A546" s="4" t="s">
        <v>6564</v>
      </c>
      <c r="B546" s="4" t="s">
        <v>186</v>
      </c>
      <c r="C546" s="4" t="s">
        <v>187</v>
      </c>
      <c r="D546" s="4" t="s">
        <v>637</v>
      </c>
      <c r="E546" s="4" t="s">
        <v>41</v>
      </c>
      <c r="F546" s="4" t="s">
        <v>1015</v>
      </c>
      <c r="G546" s="4" t="s">
        <v>1238</v>
      </c>
      <c r="H546" s="4">
        <v>1</v>
      </c>
      <c r="I546" s="4">
        <v>1</v>
      </c>
      <c r="J546" s="4" t="s">
        <v>1243</v>
      </c>
      <c r="K546" s="4" t="s">
        <v>195</v>
      </c>
      <c r="L546" s="6">
        <v>46319</v>
      </c>
      <c r="M546" s="4" t="s">
        <v>5864</v>
      </c>
      <c r="N546" s="4" t="s">
        <v>5870</v>
      </c>
    </row>
    <row r="547" spans="1:14" ht="54" customHeight="1">
      <c r="A547" s="8" t="s">
        <v>6565</v>
      </c>
      <c r="B547" s="8" t="s">
        <v>186</v>
      </c>
      <c r="C547" s="8" t="s">
        <v>187</v>
      </c>
      <c r="D547" s="8" t="s">
        <v>637</v>
      </c>
      <c r="E547" s="8" t="s">
        <v>41</v>
      </c>
      <c r="F547" s="8" t="s">
        <v>1019</v>
      </c>
      <c r="G547" s="8" t="s">
        <v>1238</v>
      </c>
      <c r="H547" s="8">
        <v>1</v>
      </c>
      <c r="I547" s="8">
        <v>1</v>
      </c>
      <c r="J547" s="8" t="s">
        <v>1246</v>
      </c>
      <c r="K547" s="8" t="s">
        <v>195</v>
      </c>
      <c r="L547" s="9">
        <v>46319</v>
      </c>
      <c r="M547" s="8" t="s">
        <v>5864</v>
      </c>
      <c r="N547" s="8" t="s">
        <v>5870</v>
      </c>
    </row>
    <row r="548" spans="1:14" ht="54" customHeight="1">
      <c r="A548" s="4" t="s">
        <v>6566</v>
      </c>
      <c r="B548" s="4" t="s">
        <v>186</v>
      </c>
      <c r="C548" s="4" t="s">
        <v>187</v>
      </c>
      <c r="D548" s="4" t="s">
        <v>637</v>
      </c>
      <c r="E548" s="4" t="s">
        <v>41</v>
      </c>
      <c r="F548" s="4" t="s">
        <v>1147</v>
      </c>
      <c r="G548" s="4" t="s">
        <v>1238</v>
      </c>
      <c r="H548" s="4">
        <v>1</v>
      </c>
      <c r="I548" s="4">
        <v>1</v>
      </c>
      <c r="J548" s="4" t="s">
        <v>1249</v>
      </c>
      <c r="K548" s="4" t="s">
        <v>195</v>
      </c>
      <c r="L548" s="6">
        <v>46319</v>
      </c>
      <c r="M548" s="4" t="s">
        <v>5864</v>
      </c>
      <c r="N548" s="4" t="s">
        <v>5870</v>
      </c>
    </row>
    <row r="549" spans="1:14" ht="40" customHeight="1">
      <c r="A549" s="8" t="s">
        <v>6567</v>
      </c>
      <c r="B549" s="8" t="s">
        <v>186</v>
      </c>
      <c r="C549" s="8" t="s">
        <v>187</v>
      </c>
      <c r="D549" s="8" t="s">
        <v>637</v>
      </c>
      <c r="E549" s="8" t="s">
        <v>41</v>
      </c>
      <c r="F549" s="8" t="s">
        <v>1254</v>
      </c>
      <c r="G549" s="8" t="s">
        <v>1238</v>
      </c>
      <c r="H549" s="8">
        <v>1</v>
      </c>
      <c r="I549" s="8">
        <v>1</v>
      </c>
      <c r="J549" s="8" t="s">
        <v>1252</v>
      </c>
      <c r="K549" s="8" t="s">
        <v>195</v>
      </c>
      <c r="L549" s="9">
        <v>46319</v>
      </c>
      <c r="M549" s="8" t="s">
        <v>5864</v>
      </c>
      <c r="N549" s="8" t="s">
        <v>5870</v>
      </c>
    </row>
    <row r="550" spans="1:14" ht="40" customHeight="1">
      <c r="A550" s="4" t="s">
        <v>6568</v>
      </c>
      <c r="B550" s="4" t="s">
        <v>186</v>
      </c>
      <c r="C550" s="4" t="s">
        <v>187</v>
      </c>
      <c r="D550" s="4" t="s">
        <v>637</v>
      </c>
      <c r="E550" s="4" t="s">
        <v>41</v>
      </c>
      <c r="F550" s="4" t="s">
        <v>1258</v>
      </c>
      <c r="G550" s="4" t="s">
        <v>1238</v>
      </c>
      <c r="H550" s="4">
        <v>1</v>
      </c>
      <c r="I550" s="4">
        <v>1</v>
      </c>
      <c r="J550" s="4" t="s">
        <v>1256</v>
      </c>
      <c r="K550" s="4" t="s">
        <v>195</v>
      </c>
      <c r="L550" s="6">
        <v>46319</v>
      </c>
      <c r="M550" s="4" t="s">
        <v>5864</v>
      </c>
      <c r="N550" s="4" t="s">
        <v>5870</v>
      </c>
    </row>
    <row r="551" spans="1:14" ht="40" customHeight="1">
      <c r="A551" s="8" t="s">
        <v>6569</v>
      </c>
      <c r="B551" s="8" t="s">
        <v>186</v>
      </c>
      <c r="C551" s="8" t="s">
        <v>187</v>
      </c>
      <c r="D551" s="8" t="s">
        <v>637</v>
      </c>
      <c r="E551" s="8" t="s">
        <v>41</v>
      </c>
      <c r="F551" s="8" t="s">
        <v>1262</v>
      </c>
      <c r="G551" s="8" t="s">
        <v>1238</v>
      </c>
      <c r="H551" s="8">
        <v>1</v>
      </c>
      <c r="I551" s="8">
        <v>1</v>
      </c>
      <c r="J551" s="8" t="s">
        <v>1260</v>
      </c>
      <c r="K551" s="8" t="s">
        <v>195</v>
      </c>
      <c r="L551" s="9">
        <v>46319</v>
      </c>
      <c r="M551" s="8" t="s">
        <v>5864</v>
      </c>
      <c r="N551" s="8" t="s">
        <v>5870</v>
      </c>
    </row>
    <row r="552" spans="1:14" ht="40" customHeight="1">
      <c r="A552" s="4" t="s">
        <v>6570</v>
      </c>
      <c r="B552" s="4" t="s">
        <v>186</v>
      </c>
      <c r="C552" s="4" t="s">
        <v>187</v>
      </c>
      <c r="D552" s="4" t="s">
        <v>637</v>
      </c>
      <c r="E552" s="4" t="s">
        <v>41</v>
      </c>
      <c r="F552" s="4" t="s">
        <v>1266</v>
      </c>
      <c r="G552" s="4" t="s">
        <v>1238</v>
      </c>
      <c r="H552" s="4">
        <v>1</v>
      </c>
      <c r="I552" s="4">
        <v>1</v>
      </c>
      <c r="J552" s="4" t="s">
        <v>1264</v>
      </c>
      <c r="K552" s="4" t="s">
        <v>195</v>
      </c>
      <c r="L552" s="6">
        <v>46319</v>
      </c>
      <c r="M552" s="4" t="s">
        <v>5864</v>
      </c>
      <c r="N552" s="4" t="s">
        <v>5870</v>
      </c>
    </row>
    <row r="553" spans="1:14" ht="40" customHeight="1">
      <c r="A553" s="8" t="s">
        <v>6571</v>
      </c>
      <c r="B553" s="8" t="s">
        <v>186</v>
      </c>
      <c r="C553" s="8" t="s">
        <v>187</v>
      </c>
      <c r="D553" s="8" t="s">
        <v>637</v>
      </c>
      <c r="E553" s="8" t="s">
        <v>41</v>
      </c>
      <c r="F553" s="8" t="s">
        <v>988</v>
      </c>
      <c r="G553" s="8" t="s">
        <v>1238</v>
      </c>
      <c r="H553" s="8">
        <v>1</v>
      </c>
      <c r="I553" s="8">
        <v>1</v>
      </c>
      <c r="J553" s="8" t="s">
        <v>1268</v>
      </c>
      <c r="K553" s="8" t="s">
        <v>195</v>
      </c>
      <c r="L553" s="9">
        <v>46319</v>
      </c>
      <c r="M553" s="8" t="s">
        <v>5864</v>
      </c>
      <c r="N553" s="8" t="s">
        <v>6087</v>
      </c>
    </row>
    <row r="554" spans="1:14" ht="40" customHeight="1">
      <c r="A554" s="4" t="s">
        <v>6572</v>
      </c>
      <c r="B554" s="4" t="s">
        <v>186</v>
      </c>
      <c r="C554" s="4" t="s">
        <v>187</v>
      </c>
      <c r="D554" s="4" t="s">
        <v>637</v>
      </c>
      <c r="E554" s="4" t="s">
        <v>41</v>
      </c>
      <c r="F554" s="4" t="s">
        <v>1055</v>
      </c>
      <c r="G554" s="4" t="s">
        <v>1238</v>
      </c>
      <c r="H554" s="4">
        <v>1</v>
      </c>
      <c r="I554" s="4">
        <v>1</v>
      </c>
      <c r="J554" s="4" t="s">
        <v>1271</v>
      </c>
      <c r="K554" s="4" t="s">
        <v>195</v>
      </c>
      <c r="L554" s="6">
        <v>46319</v>
      </c>
      <c r="M554" s="4" t="s">
        <v>5864</v>
      </c>
      <c r="N554" s="4" t="s">
        <v>5870</v>
      </c>
    </row>
    <row r="555" spans="1:14" ht="40" customHeight="1">
      <c r="A555" s="8" t="s">
        <v>6573</v>
      </c>
      <c r="B555" s="8" t="s">
        <v>186</v>
      </c>
      <c r="C555" s="8" t="s">
        <v>187</v>
      </c>
      <c r="D555" s="8" t="s">
        <v>637</v>
      </c>
      <c r="E555" s="8" t="s">
        <v>41</v>
      </c>
      <c r="F555" s="8" t="s">
        <v>1059</v>
      </c>
      <c r="G555" s="8" t="s">
        <v>1238</v>
      </c>
      <c r="H555" s="8">
        <v>1</v>
      </c>
      <c r="I555" s="8">
        <v>1</v>
      </c>
      <c r="J555" s="8" t="s">
        <v>1274</v>
      </c>
      <c r="K555" s="8" t="s">
        <v>195</v>
      </c>
      <c r="L555" s="9">
        <v>46319</v>
      </c>
      <c r="M555" s="8" t="s">
        <v>5864</v>
      </c>
      <c r="N555" s="8" t="s">
        <v>5870</v>
      </c>
    </row>
    <row r="556" spans="1:14" ht="40" customHeight="1">
      <c r="A556" s="4" t="s">
        <v>6574</v>
      </c>
      <c r="B556" s="4" t="s">
        <v>186</v>
      </c>
      <c r="C556" s="4" t="s">
        <v>187</v>
      </c>
      <c r="D556" s="4" t="s">
        <v>637</v>
      </c>
      <c r="E556" s="4" t="s">
        <v>41</v>
      </c>
      <c r="F556" s="4" t="s">
        <v>1221</v>
      </c>
      <c r="G556" s="4" t="s">
        <v>1238</v>
      </c>
      <c r="H556" s="4">
        <v>1</v>
      </c>
      <c r="I556" s="4">
        <v>1</v>
      </c>
      <c r="J556" s="4" t="s">
        <v>1278</v>
      </c>
      <c r="K556" s="4" t="s">
        <v>195</v>
      </c>
      <c r="L556" s="6">
        <v>46319</v>
      </c>
      <c r="M556" s="4" t="s">
        <v>5864</v>
      </c>
      <c r="N556" s="4" t="s">
        <v>6087</v>
      </c>
    </row>
    <row r="557" spans="1:14" ht="40" customHeight="1">
      <c r="A557" s="8" t="s">
        <v>6575</v>
      </c>
      <c r="B557" s="8" t="s">
        <v>186</v>
      </c>
      <c r="C557" s="8" t="s">
        <v>187</v>
      </c>
      <c r="D557" s="8" t="s">
        <v>637</v>
      </c>
      <c r="E557" s="8" t="s">
        <v>41</v>
      </c>
      <c r="F557" s="8" t="s">
        <v>1283</v>
      </c>
      <c r="G557" s="8" t="s">
        <v>1238</v>
      </c>
      <c r="H557" s="8">
        <v>1</v>
      </c>
      <c r="I557" s="8">
        <v>1</v>
      </c>
      <c r="J557" s="8" t="s">
        <v>1281</v>
      </c>
      <c r="K557" s="8" t="s">
        <v>195</v>
      </c>
      <c r="L557" s="9">
        <v>46319</v>
      </c>
      <c r="M557" s="8" t="s">
        <v>5864</v>
      </c>
      <c r="N557" s="8" t="s">
        <v>5870</v>
      </c>
    </row>
    <row r="558" spans="1:14" ht="40" customHeight="1">
      <c r="A558" s="4" t="s">
        <v>6576</v>
      </c>
      <c r="B558" s="4" t="s">
        <v>186</v>
      </c>
      <c r="C558" s="4" t="s">
        <v>187</v>
      </c>
      <c r="D558" s="4" t="s">
        <v>637</v>
      </c>
      <c r="E558" s="4" t="s">
        <v>41</v>
      </c>
      <c r="F558" s="4" t="s">
        <v>1287</v>
      </c>
      <c r="G558" s="4" t="s">
        <v>1238</v>
      </c>
      <c r="H558" s="4">
        <v>1</v>
      </c>
      <c r="I558" s="4">
        <v>1</v>
      </c>
      <c r="J558" s="4" t="s">
        <v>1285</v>
      </c>
      <c r="K558" s="4" t="s">
        <v>195</v>
      </c>
      <c r="L558" s="6">
        <v>46319</v>
      </c>
      <c r="M558" s="4" t="s">
        <v>5864</v>
      </c>
      <c r="N558" s="4" t="s">
        <v>5870</v>
      </c>
    </row>
    <row r="559" spans="1:14" ht="40" customHeight="1">
      <c r="A559" s="8" t="s">
        <v>5011</v>
      </c>
      <c r="B559" s="8" t="s">
        <v>186</v>
      </c>
      <c r="C559" s="8" t="s">
        <v>187</v>
      </c>
      <c r="D559" s="8" t="s">
        <v>7</v>
      </c>
      <c r="E559" s="8" t="s">
        <v>41</v>
      </c>
      <c r="F559" s="8" t="s">
        <v>6212</v>
      </c>
      <c r="G559" s="8" t="s">
        <v>1238</v>
      </c>
      <c r="H559" s="8">
        <v>1</v>
      </c>
      <c r="I559" s="8">
        <v>1</v>
      </c>
      <c r="J559" s="8" t="s">
        <v>5012</v>
      </c>
      <c r="K559" s="8" t="s">
        <v>195</v>
      </c>
      <c r="L559" s="9">
        <v>46319</v>
      </c>
      <c r="M559" s="8" t="s">
        <v>5864</v>
      </c>
      <c r="N559" s="8" t="s">
        <v>6087</v>
      </c>
    </row>
    <row r="560" spans="1:14" ht="40" customHeight="1">
      <c r="A560" s="4" t="s">
        <v>5013</v>
      </c>
      <c r="B560" s="4" t="s">
        <v>186</v>
      </c>
      <c r="C560" s="4" t="s">
        <v>187</v>
      </c>
      <c r="D560" s="4" t="s">
        <v>7</v>
      </c>
      <c r="E560" s="4" t="s">
        <v>41</v>
      </c>
      <c r="F560" s="4" t="s">
        <v>6577</v>
      </c>
      <c r="G560" s="4" t="s">
        <v>1238</v>
      </c>
      <c r="H560" s="4">
        <v>1</v>
      </c>
      <c r="I560" s="4">
        <v>1</v>
      </c>
      <c r="J560" s="4" t="s">
        <v>5014</v>
      </c>
      <c r="K560" s="4" t="s">
        <v>195</v>
      </c>
      <c r="L560" s="6">
        <v>46319</v>
      </c>
      <c r="M560" s="4" t="s">
        <v>5864</v>
      </c>
      <c r="N560" s="4" t="s">
        <v>5870</v>
      </c>
    </row>
    <row r="561" spans="1:14" ht="54" customHeight="1">
      <c r="A561" s="8" t="s">
        <v>5015</v>
      </c>
      <c r="B561" s="8" t="s">
        <v>186</v>
      </c>
      <c r="C561" s="8" t="s">
        <v>187</v>
      </c>
      <c r="D561" s="8" t="s">
        <v>7</v>
      </c>
      <c r="E561" s="8" t="s">
        <v>41</v>
      </c>
      <c r="F561" s="8" t="s">
        <v>6578</v>
      </c>
      <c r="G561" s="8" t="s">
        <v>1238</v>
      </c>
      <c r="H561" s="8">
        <v>1</v>
      </c>
      <c r="I561" s="8">
        <v>1</v>
      </c>
      <c r="J561" s="8" t="s">
        <v>5016</v>
      </c>
      <c r="K561" s="8" t="s">
        <v>195</v>
      </c>
      <c r="L561" s="9">
        <v>46319</v>
      </c>
      <c r="M561" s="8" t="s">
        <v>5864</v>
      </c>
      <c r="N561" s="8" t="s">
        <v>5870</v>
      </c>
    </row>
    <row r="562" spans="1:14" ht="40" customHeight="1">
      <c r="A562" s="4" t="s">
        <v>5017</v>
      </c>
      <c r="B562" s="4" t="s">
        <v>186</v>
      </c>
      <c r="C562" s="4" t="s">
        <v>187</v>
      </c>
      <c r="D562" s="4" t="s">
        <v>7</v>
      </c>
      <c r="E562" s="4" t="s">
        <v>41</v>
      </c>
      <c r="F562" s="4" t="s">
        <v>6579</v>
      </c>
      <c r="G562" s="4" t="s">
        <v>1238</v>
      </c>
      <c r="H562" s="4">
        <v>1</v>
      </c>
      <c r="I562" s="4">
        <v>1</v>
      </c>
      <c r="J562" s="4" t="s">
        <v>5018</v>
      </c>
      <c r="K562" s="4" t="s">
        <v>195</v>
      </c>
      <c r="L562" s="6">
        <v>46319</v>
      </c>
      <c r="M562" s="4" t="s">
        <v>5864</v>
      </c>
      <c r="N562" s="4" t="s">
        <v>5870</v>
      </c>
    </row>
    <row r="563" spans="1:14" ht="40" customHeight="1">
      <c r="A563" s="8" t="s">
        <v>5019</v>
      </c>
      <c r="B563" s="8" t="s">
        <v>186</v>
      </c>
      <c r="C563" s="8" t="s">
        <v>187</v>
      </c>
      <c r="D563" s="8" t="s">
        <v>7</v>
      </c>
      <c r="E563" s="8" t="s">
        <v>41</v>
      </c>
      <c r="F563" s="8" t="s">
        <v>6580</v>
      </c>
      <c r="G563" s="8" t="s">
        <v>1238</v>
      </c>
      <c r="H563" s="8">
        <v>1</v>
      </c>
      <c r="I563" s="8">
        <v>1</v>
      </c>
      <c r="J563" s="8" t="s">
        <v>5020</v>
      </c>
      <c r="K563" s="8" t="s">
        <v>195</v>
      </c>
      <c r="L563" s="9">
        <v>46319</v>
      </c>
      <c r="M563" s="8" t="s">
        <v>5864</v>
      </c>
      <c r="N563" s="8" t="s">
        <v>5870</v>
      </c>
    </row>
    <row r="564" spans="1:14" ht="40" customHeight="1">
      <c r="A564" s="4" t="s">
        <v>5021</v>
      </c>
      <c r="B564" s="4" t="s">
        <v>186</v>
      </c>
      <c r="C564" s="4" t="s">
        <v>187</v>
      </c>
      <c r="D564" s="4" t="s">
        <v>7</v>
      </c>
      <c r="E564" s="4" t="s">
        <v>41</v>
      </c>
      <c r="F564" s="4" t="s">
        <v>6581</v>
      </c>
      <c r="G564" s="4" t="s">
        <v>1238</v>
      </c>
      <c r="H564" s="4">
        <v>1</v>
      </c>
      <c r="I564" s="4">
        <v>1</v>
      </c>
      <c r="J564" s="4" t="s">
        <v>5022</v>
      </c>
      <c r="K564" s="4" t="s">
        <v>195</v>
      </c>
      <c r="L564" s="6">
        <v>46319</v>
      </c>
      <c r="M564" s="4" t="s">
        <v>5864</v>
      </c>
      <c r="N564" s="4" t="s">
        <v>5870</v>
      </c>
    </row>
    <row r="565" spans="1:14" ht="40" customHeight="1">
      <c r="A565" s="8" t="s">
        <v>5023</v>
      </c>
      <c r="B565" s="8" t="s">
        <v>186</v>
      </c>
      <c r="C565" s="8" t="s">
        <v>187</v>
      </c>
      <c r="D565" s="8" t="s">
        <v>7</v>
      </c>
      <c r="E565" s="8" t="s">
        <v>41</v>
      </c>
      <c r="F565" s="8" t="s">
        <v>6582</v>
      </c>
      <c r="G565" s="8" t="s">
        <v>1238</v>
      </c>
      <c r="H565" s="8">
        <v>1</v>
      </c>
      <c r="I565" s="8">
        <v>1</v>
      </c>
      <c r="J565" s="8" t="s">
        <v>5024</v>
      </c>
      <c r="K565" s="8" t="s">
        <v>195</v>
      </c>
      <c r="L565" s="9">
        <v>46319</v>
      </c>
      <c r="M565" s="8" t="s">
        <v>5864</v>
      </c>
      <c r="N565" s="8" t="s">
        <v>5870</v>
      </c>
    </row>
    <row r="566" spans="1:14" ht="40" customHeight="1">
      <c r="A566" s="4" t="s">
        <v>5025</v>
      </c>
      <c r="B566" s="4" t="s">
        <v>186</v>
      </c>
      <c r="C566" s="4" t="s">
        <v>187</v>
      </c>
      <c r="D566" s="4" t="s">
        <v>7</v>
      </c>
      <c r="E566" s="4" t="s">
        <v>41</v>
      </c>
      <c r="F566" s="4" t="s">
        <v>6583</v>
      </c>
      <c r="G566" s="4" t="s">
        <v>1238</v>
      </c>
      <c r="H566" s="4">
        <v>1</v>
      </c>
      <c r="I566" s="4">
        <v>1</v>
      </c>
      <c r="J566" s="4" t="s">
        <v>5026</v>
      </c>
      <c r="K566" s="4" t="s">
        <v>195</v>
      </c>
      <c r="L566" s="6">
        <v>46319</v>
      </c>
      <c r="M566" s="4" t="s">
        <v>5864</v>
      </c>
      <c r="N566" s="4" t="s">
        <v>5870</v>
      </c>
    </row>
    <row r="567" spans="1:14" ht="40" customHeight="1">
      <c r="A567" s="8" t="s">
        <v>5027</v>
      </c>
      <c r="B567" s="8" t="s">
        <v>186</v>
      </c>
      <c r="C567" s="8" t="s">
        <v>187</v>
      </c>
      <c r="D567" s="8" t="s">
        <v>7</v>
      </c>
      <c r="E567" s="8" t="s">
        <v>41</v>
      </c>
      <c r="F567" s="8" t="s">
        <v>6584</v>
      </c>
      <c r="G567" s="8" t="s">
        <v>1238</v>
      </c>
      <c r="H567" s="8">
        <v>1</v>
      </c>
      <c r="I567" s="8">
        <v>1</v>
      </c>
      <c r="J567" s="8" t="s">
        <v>5028</v>
      </c>
      <c r="K567" s="8" t="s">
        <v>195</v>
      </c>
      <c r="L567" s="9">
        <v>46319</v>
      </c>
      <c r="M567" s="8" t="s">
        <v>5864</v>
      </c>
      <c r="N567" s="8" t="s">
        <v>5870</v>
      </c>
    </row>
    <row r="568" spans="1:14" ht="40" customHeight="1">
      <c r="A568" s="4" t="s">
        <v>5029</v>
      </c>
      <c r="B568" s="4" t="s">
        <v>186</v>
      </c>
      <c r="C568" s="4" t="s">
        <v>187</v>
      </c>
      <c r="D568" s="4" t="s">
        <v>7</v>
      </c>
      <c r="E568" s="4" t="s">
        <v>41</v>
      </c>
      <c r="F568" s="4" t="s">
        <v>6585</v>
      </c>
      <c r="G568" s="4" t="s">
        <v>1238</v>
      </c>
      <c r="H568" s="4">
        <v>1</v>
      </c>
      <c r="I568" s="4">
        <v>1</v>
      </c>
      <c r="J568" s="4" t="s">
        <v>5030</v>
      </c>
      <c r="K568" s="4" t="s">
        <v>195</v>
      </c>
      <c r="L568" s="6">
        <v>46319</v>
      </c>
      <c r="M568" s="4" t="s">
        <v>5864</v>
      </c>
      <c r="N568" s="4" t="s">
        <v>6087</v>
      </c>
    </row>
    <row r="569" spans="1:14" ht="40" customHeight="1">
      <c r="A569" s="8" t="s">
        <v>5031</v>
      </c>
      <c r="B569" s="8" t="s">
        <v>186</v>
      </c>
      <c r="C569" s="8" t="s">
        <v>187</v>
      </c>
      <c r="D569" s="8" t="s">
        <v>7</v>
      </c>
      <c r="E569" s="8" t="s">
        <v>41</v>
      </c>
      <c r="F569" s="8" t="s">
        <v>6586</v>
      </c>
      <c r="G569" s="8" t="s">
        <v>1238</v>
      </c>
      <c r="H569" s="8">
        <v>1</v>
      </c>
      <c r="I569" s="8">
        <v>1</v>
      </c>
      <c r="J569" s="8" t="s">
        <v>5032</v>
      </c>
      <c r="K569" s="8" t="s">
        <v>195</v>
      </c>
      <c r="L569" s="9">
        <v>46319</v>
      </c>
      <c r="M569" s="8" t="s">
        <v>5864</v>
      </c>
      <c r="N569" s="8" t="s">
        <v>5870</v>
      </c>
    </row>
    <row r="570" spans="1:14" ht="40" customHeight="1">
      <c r="A570" s="4" t="s">
        <v>5033</v>
      </c>
      <c r="B570" s="4" t="s">
        <v>186</v>
      </c>
      <c r="C570" s="4" t="s">
        <v>187</v>
      </c>
      <c r="D570" s="4" t="s">
        <v>7</v>
      </c>
      <c r="E570" s="4" t="s">
        <v>41</v>
      </c>
      <c r="F570" s="4" t="s">
        <v>6587</v>
      </c>
      <c r="G570" s="4" t="s">
        <v>1238</v>
      </c>
      <c r="H570" s="4">
        <v>1</v>
      </c>
      <c r="I570" s="4">
        <v>1</v>
      </c>
      <c r="J570" s="4" t="s">
        <v>5034</v>
      </c>
      <c r="K570" s="4" t="s">
        <v>195</v>
      </c>
      <c r="L570" s="6">
        <v>46319</v>
      </c>
      <c r="M570" s="4" t="s">
        <v>5864</v>
      </c>
      <c r="N570" s="4" t="s">
        <v>5870</v>
      </c>
    </row>
    <row r="571" spans="1:14" ht="40" customHeight="1">
      <c r="A571" s="8" t="s">
        <v>5035</v>
      </c>
      <c r="B571" s="8" t="s">
        <v>186</v>
      </c>
      <c r="C571" s="8" t="s">
        <v>187</v>
      </c>
      <c r="D571" s="8" t="s">
        <v>7</v>
      </c>
      <c r="E571" s="8" t="s">
        <v>41</v>
      </c>
      <c r="F571" s="8" t="s">
        <v>6588</v>
      </c>
      <c r="G571" s="8" t="s">
        <v>1238</v>
      </c>
      <c r="H571" s="8">
        <v>1</v>
      </c>
      <c r="I571" s="8">
        <v>1</v>
      </c>
      <c r="J571" s="8" t="s">
        <v>5036</v>
      </c>
      <c r="K571" s="8" t="s">
        <v>195</v>
      </c>
      <c r="L571" s="9">
        <v>46319</v>
      </c>
      <c r="M571" s="8" t="s">
        <v>5864</v>
      </c>
      <c r="N571" s="8" t="s">
        <v>5870</v>
      </c>
    </row>
    <row r="572" spans="1:14" ht="40" customHeight="1">
      <c r="A572" s="4" t="s">
        <v>5037</v>
      </c>
      <c r="B572" s="4" t="s">
        <v>186</v>
      </c>
      <c r="C572" s="4" t="s">
        <v>187</v>
      </c>
      <c r="D572" s="4" t="s">
        <v>7</v>
      </c>
      <c r="E572" s="4" t="s">
        <v>41</v>
      </c>
      <c r="F572" s="4" t="s">
        <v>6589</v>
      </c>
      <c r="G572" s="4" t="s">
        <v>1238</v>
      </c>
      <c r="H572" s="4">
        <v>1</v>
      </c>
      <c r="I572" s="4">
        <v>1</v>
      </c>
      <c r="J572" s="4" t="s">
        <v>5038</v>
      </c>
      <c r="K572" s="4" t="s">
        <v>195</v>
      </c>
      <c r="L572" s="6">
        <v>46319</v>
      </c>
      <c r="M572" s="4" t="s">
        <v>5864</v>
      </c>
      <c r="N572" s="4" t="s">
        <v>5870</v>
      </c>
    </row>
    <row r="573" spans="1:14" ht="40" customHeight="1">
      <c r="A573" s="8" t="s">
        <v>5039</v>
      </c>
      <c r="B573" s="8" t="s">
        <v>186</v>
      </c>
      <c r="C573" s="8" t="s">
        <v>187</v>
      </c>
      <c r="D573" s="8" t="s">
        <v>7</v>
      </c>
      <c r="E573" s="8" t="s">
        <v>41</v>
      </c>
      <c r="F573" s="8" t="s">
        <v>6590</v>
      </c>
      <c r="G573" s="8" t="s">
        <v>1238</v>
      </c>
      <c r="H573" s="8">
        <v>1</v>
      </c>
      <c r="I573" s="8">
        <v>1</v>
      </c>
      <c r="J573" s="8" t="s">
        <v>5040</v>
      </c>
      <c r="K573" s="8" t="s">
        <v>195</v>
      </c>
      <c r="L573" s="9">
        <v>46319</v>
      </c>
      <c r="M573" s="8" t="s">
        <v>5864</v>
      </c>
      <c r="N573" s="8" t="s">
        <v>6087</v>
      </c>
    </row>
    <row r="574" spans="1:14" ht="40" customHeight="1">
      <c r="A574" s="4" t="s">
        <v>5041</v>
      </c>
      <c r="B574" s="4" t="s">
        <v>186</v>
      </c>
      <c r="C574" s="4" t="s">
        <v>187</v>
      </c>
      <c r="D574" s="4" t="s">
        <v>7</v>
      </c>
      <c r="E574" s="4" t="s">
        <v>41</v>
      </c>
      <c r="F574" s="4" t="s">
        <v>6591</v>
      </c>
      <c r="G574" s="4" t="s">
        <v>1238</v>
      </c>
      <c r="H574" s="4">
        <v>1</v>
      </c>
      <c r="I574" s="4">
        <v>1</v>
      </c>
      <c r="J574" s="4" t="s">
        <v>5042</v>
      </c>
      <c r="K574" s="4" t="s">
        <v>195</v>
      </c>
      <c r="L574" s="6">
        <v>46319</v>
      </c>
      <c r="M574" s="4" t="s">
        <v>5864</v>
      </c>
      <c r="N574" s="4" t="s">
        <v>5870</v>
      </c>
    </row>
    <row r="575" spans="1:14" ht="40" customHeight="1">
      <c r="A575" s="8" t="s">
        <v>5043</v>
      </c>
      <c r="B575" s="8" t="s">
        <v>186</v>
      </c>
      <c r="C575" s="8" t="s">
        <v>187</v>
      </c>
      <c r="D575" s="8" t="s">
        <v>7</v>
      </c>
      <c r="E575" s="8" t="s">
        <v>41</v>
      </c>
      <c r="F575" s="8" t="s">
        <v>6592</v>
      </c>
      <c r="G575" s="8" t="s">
        <v>1238</v>
      </c>
      <c r="H575" s="8">
        <v>1</v>
      </c>
      <c r="I575" s="8">
        <v>1</v>
      </c>
      <c r="J575" s="8" t="s">
        <v>5044</v>
      </c>
      <c r="K575" s="8" t="s">
        <v>195</v>
      </c>
      <c r="L575" s="9">
        <v>46319</v>
      </c>
      <c r="M575" s="8" t="s">
        <v>5864</v>
      </c>
      <c r="N575" s="8" t="s">
        <v>5870</v>
      </c>
    </row>
    <row r="576" spans="1:14" ht="40" customHeight="1">
      <c r="A576" s="4" t="s">
        <v>5045</v>
      </c>
      <c r="B576" s="4" t="s">
        <v>186</v>
      </c>
      <c r="C576" s="4" t="s">
        <v>187</v>
      </c>
      <c r="D576" s="4" t="s">
        <v>7</v>
      </c>
      <c r="E576" s="4" t="s">
        <v>41</v>
      </c>
      <c r="F576" s="4" t="s">
        <v>6593</v>
      </c>
      <c r="G576" s="4" t="s">
        <v>1238</v>
      </c>
      <c r="H576" s="4">
        <v>1</v>
      </c>
      <c r="I576" s="4">
        <v>1</v>
      </c>
      <c r="J576" s="4" t="s">
        <v>5046</v>
      </c>
      <c r="K576" s="4" t="s">
        <v>195</v>
      </c>
      <c r="L576" s="6">
        <v>46319</v>
      </c>
      <c r="M576" s="4" t="s">
        <v>5864</v>
      </c>
      <c r="N576" s="4" t="s">
        <v>5870</v>
      </c>
    </row>
    <row r="577" spans="1:14" ht="40" customHeight="1">
      <c r="A577" s="8" t="s">
        <v>5047</v>
      </c>
      <c r="B577" s="8" t="s">
        <v>186</v>
      </c>
      <c r="C577" s="8" t="s">
        <v>187</v>
      </c>
      <c r="D577" s="8" t="s">
        <v>7</v>
      </c>
      <c r="E577" s="8" t="s">
        <v>41</v>
      </c>
      <c r="F577" s="8" t="s">
        <v>6594</v>
      </c>
      <c r="G577" s="8" t="s">
        <v>1238</v>
      </c>
      <c r="H577" s="8">
        <v>1</v>
      </c>
      <c r="I577" s="8">
        <v>1</v>
      </c>
      <c r="J577" s="8" t="s">
        <v>5048</v>
      </c>
      <c r="K577" s="8" t="s">
        <v>195</v>
      </c>
      <c r="L577" s="9">
        <v>46319</v>
      </c>
      <c r="M577" s="8" t="s">
        <v>5864</v>
      </c>
      <c r="N577" s="8" t="s">
        <v>5870</v>
      </c>
    </row>
    <row r="578" spans="1:14" ht="40" customHeight="1">
      <c r="A578" s="4" t="s">
        <v>5049</v>
      </c>
      <c r="B578" s="4" t="s">
        <v>186</v>
      </c>
      <c r="C578" s="4" t="s">
        <v>187</v>
      </c>
      <c r="D578" s="4" t="s">
        <v>7</v>
      </c>
      <c r="E578" s="4" t="s">
        <v>41</v>
      </c>
      <c r="F578" s="4" t="s">
        <v>6595</v>
      </c>
      <c r="G578" s="4" t="s">
        <v>1238</v>
      </c>
      <c r="H578" s="4">
        <v>1</v>
      </c>
      <c r="I578" s="4">
        <v>1</v>
      </c>
      <c r="J578" s="4" t="s">
        <v>5050</v>
      </c>
      <c r="K578" s="4" t="s">
        <v>195</v>
      </c>
      <c r="L578" s="6">
        <v>46319</v>
      </c>
      <c r="M578" s="4" t="s">
        <v>5864</v>
      </c>
      <c r="N578" s="4" t="s">
        <v>5870</v>
      </c>
    </row>
    <row r="579" spans="1:14" ht="40" customHeight="1">
      <c r="A579" s="8" t="s">
        <v>5051</v>
      </c>
      <c r="B579" s="8" t="s">
        <v>186</v>
      </c>
      <c r="C579" s="8" t="s">
        <v>187</v>
      </c>
      <c r="D579" s="8" t="s">
        <v>7</v>
      </c>
      <c r="E579" s="8" t="s">
        <v>41</v>
      </c>
      <c r="F579" s="8" t="s">
        <v>6596</v>
      </c>
      <c r="G579" s="8" t="s">
        <v>1238</v>
      </c>
      <c r="H579" s="8">
        <v>1</v>
      </c>
      <c r="I579" s="8">
        <v>1</v>
      </c>
      <c r="J579" s="8" t="s">
        <v>5052</v>
      </c>
      <c r="K579" s="8" t="s">
        <v>195</v>
      </c>
      <c r="L579" s="9">
        <v>46319</v>
      </c>
      <c r="M579" s="8" t="s">
        <v>5864</v>
      </c>
      <c r="N579" s="8" t="s">
        <v>5870</v>
      </c>
    </row>
    <row r="580" spans="1:14" ht="40" customHeight="1">
      <c r="A580" s="4" t="s">
        <v>5053</v>
      </c>
      <c r="B580" s="4" t="s">
        <v>186</v>
      </c>
      <c r="C580" s="4" t="s">
        <v>187</v>
      </c>
      <c r="D580" s="4" t="s">
        <v>7</v>
      </c>
      <c r="E580" s="4" t="s">
        <v>41</v>
      </c>
      <c r="F580" s="4" t="s">
        <v>6597</v>
      </c>
      <c r="G580" s="4" t="s">
        <v>1238</v>
      </c>
      <c r="H580" s="4">
        <v>1</v>
      </c>
      <c r="I580" s="4">
        <v>1</v>
      </c>
      <c r="J580" s="4" t="s">
        <v>5054</v>
      </c>
      <c r="K580" s="4" t="s">
        <v>195</v>
      </c>
      <c r="L580" s="6">
        <v>46319</v>
      </c>
      <c r="M580" s="4" t="s">
        <v>5864</v>
      </c>
      <c r="N580" s="4" t="s">
        <v>5870</v>
      </c>
    </row>
    <row r="581" spans="1:14" ht="40" customHeight="1">
      <c r="A581" s="8" t="s">
        <v>5055</v>
      </c>
      <c r="B581" s="8" t="s">
        <v>186</v>
      </c>
      <c r="C581" s="8" t="s">
        <v>187</v>
      </c>
      <c r="D581" s="8" t="s">
        <v>7</v>
      </c>
      <c r="E581" s="8" t="s">
        <v>41</v>
      </c>
      <c r="F581" s="8" t="s">
        <v>6598</v>
      </c>
      <c r="G581" s="8" t="s">
        <v>1238</v>
      </c>
      <c r="H581" s="8">
        <v>1</v>
      </c>
      <c r="I581" s="8">
        <v>1</v>
      </c>
      <c r="J581" s="8" t="s">
        <v>5056</v>
      </c>
      <c r="K581" s="8" t="s">
        <v>195</v>
      </c>
      <c r="L581" s="9">
        <v>46319</v>
      </c>
      <c r="M581" s="8" t="s">
        <v>5864</v>
      </c>
      <c r="N581" s="8" t="s">
        <v>5870</v>
      </c>
    </row>
    <row r="582" spans="1:14" ht="40" customHeight="1">
      <c r="A582" s="4" t="s">
        <v>5057</v>
      </c>
      <c r="B582" s="4" t="s">
        <v>186</v>
      </c>
      <c r="C582" s="4" t="s">
        <v>187</v>
      </c>
      <c r="D582" s="4" t="s">
        <v>7</v>
      </c>
      <c r="E582" s="4" t="s">
        <v>41</v>
      </c>
      <c r="F582" s="4" t="s">
        <v>6599</v>
      </c>
      <c r="G582" s="4" t="s">
        <v>1238</v>
      </c>
      <c r="H582" s="4">
        <v>1</v>
      </c>
      <c r="I582" s="4">
        <v>1</v>
      </c>
      <c r="J582" s="4" t="s">
        <v>5058</v>
      </c>
      <c r="K582" s="4" t="s">
        <v>195</v>
      </c>
      <c r="L582" s="6">
        <v>46319</v>
      </c>
      <c r="M582" s="4" t="s">
        <v>5864</v>
      </c>
      <c r="N582" s="4" t="s">
        <v>5870</v>
      </c>
    </row>
    <row r="583" spans="1:14" ht="40" customHeight="1">
      <c r="A583" s="8" t="s">
        <v>5059</v>
      </c>
      <c r="B583" s="8" t="s">
        <v>186</v>
      </c>
      <c r="C583" s="8" t="s">
        <v>187</v>
      </c>
      <c r="D583" s="8" t="s">
        <v>7</v>
      </c>
      <c r="E583" s="8" t="s">
        <v>41</v>
      </c>
      <c r="F583" s="8" t="s">
        <v>6600</v>
      </c>
      <c r="G583" s="8" t="s">
        <v>1238</v>
      </c>
      <c r="H583" s="8">
        <v>1</v>
      </c>
      <c r="I583" s="8">
        <v>1</v>
      </c>
      <c r="J583" s="8" t="s">
        <v>5060</v>
      </c>
      <c r="K583" s="8" t="s">
        <v>195</v>
      </c>
      <c r="L583" s="9">
        <v>46319</v>
      </c>
      <c r="M583" s="8" t="s">
        <v>5864</v>
      </c>
      <c r="N583" s="8" t="s">
        <v>5870</v>
      </c>
    </row>
    <row r="584" spans="1:14" ht="40" customHeight="1">
      <c r="A584" s="4" t="s">
        <v>5061</v>
      </c>
      <c r="B584" s="4" t="s">
        <v>186</v>
      </c>
      <c r="C584" s="4" t="s">
        <v>187</v>
      </c>
      <c r="D584" s="4" t="s">
        <v>7</v>
      </c>
      <c r="E584" s="4" t="s">
        <v>41</v>
      </c>
      <c r="F584" s="4" t="s">
        <v>6601</v>
      </c>
      <c r="G584" s="4" t="s">
        <v>1238</v>
      </c>
      <c r="H584" s="4">
        <v>1</v>
      </c>
      <c r="I584" s="4">
        <v>1</v>
      </c>
      <c r="J584" s="4" t="s">
        <v>5062</v>
      </c>
      <c r="K584" s="4" t="s">
        <v>195</v>
      </c>
      <c r="L584" s="6">
        <v>46319</v>
      </c>
      <c r="M584" s="4" t="s">
        <v>5864</v>
      </c>
      <c r="N584" s="4" t="s">
        <v>5870</v>
      </c>
    </row>
    <row r="585" spans="1:14" ht="40" customHeight="1">
      <c r="A585" s="8" t="s">
        <v>3848</v>
      </c>
      <c r="B585" s="8" t="s">
        <v>186</v>
      </c>
      <c r="C585" s="8" t="s">
        <v>187</v>
      </c>
      <c r="D585" s="8" t="s">
        <v>5879</v>
      </c>
      <c r="E585" s="8" t="s">
        <v>41</v>
      </c>
      <c r="F585" s="8" t="s">
        <v>3463</v>
      </c>
      <c r="G585" s="8" t="s">
        <v>1238</v>
      </c>
      <c r="H585" s="8">
        <v>1</v>
      </c>
      <c r="I585" s="8">
        <v>1</v>
      </c>
      <c r="J585" s="8" t="s">
        <v>3849</v>
      </c>
      <c r="K585" s="8" t="s">
        <v>195</v>
      </c>
      <c r="L585" s="9">
        <v>46319</v>
      </c>
      <c r="M585" s="8" t="s">
        <v>5864</v>
      </c>
      <c r="N585" s="8" t="s">
        <v>6087</v>
      </c>
    </row>
    <row r="586" spans="1:14" ht="40" customHeight="1">
      <c r="A586" s="4" t="s">
        <v>3850</v>
      </c>
      <c r="B586" s="4" t="s">
        <v>186</v>
      </c>
      <c r="C586" s="4" t="s">
        <v>187</v>
      </c>
      <c r="D586" s="4" t="s">
        <v>5879</v>
      </c>
      <c r="E586" s="4" t="s">
        <v>3851</v>
      </c>
      <c r="F586" s="4" t="s">
        <v>3466</v>
      </c>
      <c r="G586" s="4" t="s">
        <v>1238</v>
      </c>
      <c r="H586" s="4">
        <v>1</v>
      </c>
      <c r="I586" s="4">
        <v>1</v>
      </c>
      <c r="J586" s="4" t="s">
        <v>3851</v>
      </c>
      <c r="K586" s="4" t="s">
        <v>195</v>
      </c>
      <c r="L586" s="6">
        <v>46319</v>
      </c>
      <c r="M586" s="4" t="s">
        <v>5864</v>
      </c>
      <c r="N586" s="4" t="s">
        <v>5865</v>
      </c>
    </row>
    <row r="587" spans="1:14" ht="54" customHeight="1">
      <c r="A587" s="8" t="s">
        <v>3852</v>
      </c>
      <c r="B587" s="8" t="s">
        <v>186</v>
      </c>
      <c r="C587" s="8" t="s">
        <v>187</v>
      </c>
      <c r="D587" s="8" t="s">
        <v>5879</v>
      </c>
      <c r="E587" s="8" t="s">
        <v>3851</v>
      </c>
      <c r="F587" s="8" t="s">
        <v>3469</v>
      </c>
      <c r="G587" s="8" t="s">
        <v>1238</v>
      </c>
      <c r="H587" s="8">
        <v>1</v>
      </c>
      <c r="I587" s="8">
        <v>1</v>
      </c>
      <c r="J587" s="8" t="s">
        <v>3853</v>
      </c>
      <c r="K587" s="8" t="s">
        <v>195</v>
      </c>
      <c r="L587" s="9">
        <v>46319</v>
      </c>
      <c r="M587" s="8" t="s">
        <v>5864</v>
      </c>
      <c r="N587" s="8" t="s">
        <v>5865</v>
      </c>
    </row>
    <row r="588" spans="1:14" ht="40" customHeight="1">
      <c r="A588" s="4" t="s">
        <v>3854</v>
      </c>
      <c r="B588" s="4" t="s">
        <v>186</v>
      </c>
      <c r="C588" s="4" t="s">
        <v>187</v>
      </c>
      <c r="D588" s="4" t="s">
        <v>5879</v>
      </c>
      <c r="E588" s="4" t="s">
        <v>3855</v>
      </c>
      <c r="F588" s="4" t="s">
        <v>3472</v>
      </c>
      <c r="G588" s="4" t="s">
        <v>1238</v>
      </c>
      <c r="H588" s="4">
        <v>1</v>
      </c>
      <c r="I588" s="4">
        <v>1</v>
      </c>
      <c r="J588" s="4" t="s">
        <v>3855</v>
      </c>
      <c r="K588" s="4" t="s">
        <v>195</v>
      </c>
      <c r="L588" s="6">
        <v>46319</v>
      </c>
      <c r="M588" s="4" t="s">
        <v>5864</v>
      </c>
      <c r="N588" s="4" t="s">
        <v>5865</v>
      </c>
    </row>
    <row r="589" spans="1:14" ht="40" customHeight="1">
      <c r="A589" s="8" t="s">
        <v>3856</v>
      </c>
      <c r="B589" s="8" t="s">
        <v>186</v>
      </c>
      <c r="C589" s="8" t="s">
        <v>187</v>
      </c>
      <c r="D589" s="8" t="s">
        <v>5879</v>
      </c>
      <c r="E589" s="8" t="s">
        <v>3855</v>
      </c>
      <c r="F589" s="8" t="s">
        <v>3475</v>
      </c>
      <c r="G589" s="8" t="s">
        <v>1238</v>
      </c>
      <c r="H589" s="8">
        <v>1</v>
      </c>
      <c r="I589" s="8">
        <v>1</v>
      </c>
      <c r="J589" s="8" t="s">
        <v>3857</v>
      </c>
      <c r="K589" s="8" t="s">
        <v>195</v>
      </c>
      <c r="L589" s="9">
        <v>46319</v>
      </c>
      <c r="M589" s="8" t="s">
        <v>5864</v>
      </c>
      <c r="N589" s="8" t="s">
        <v>5865</v>
      </c>
    </row>
    <row r="590" spans="1:14" ht="40" customHeight="1">
      <c r="A590" s="4" t="s">
        <v>3858</v>
      </c>
      <c r="B590" s="4" t="s">
        <v>186</v>
      </c>
      <c r="C590" s="4" t="s">
        <v>187</v>
      </c>
      <c r="D590" s="4" t="s">
        <v>5879</v>
      </c>
      <c r="E590" s="4" t="s">
        <v>3855</v>
      </c>
      <c r="F590" s="4" t="s">
        <v>3541</v>
      </c>
      <c r="G590" s="4" t="s">
        <v>1238</v>
      </c>
      <c r="H590" s="4">
        <v>1</v>
      </c>
      <c r="I590" s="4">
        <v>1</v>
      </c>
      <c r="J590" s="4" t="s">
        <v>3859</v>
      </c>
      <c r="K590" s="4" t="s">
        <v>195</v>
      </c>
      <c r="L590" s="6">
        <v>46319</v>
      </c>
      <c r="M590" s="4" t="s">
        <v>5864</v>
      </c>
      <c r="N590" s="4" t="s">
        <v>6087</v>
      </c>
    </row>
    <row r="591" spans="1:14" ht="40" customHeight="1">
      <c r="A591" s="8" t="s">
        <v>3860</v>
      </c>
      <c r="B591" s="8" t="s">
        <v>186</v>
      </c>
      <c r="C591" s="8" t="s">
        <v>187</v>
      </c>
      <c r="D591" s="8" t="s">
        <v>5879</v>
      </c>
      <c r="E591" s="8" t="s">
        <v>3861</v>
      </c>
      <c r="F591" s="8" t="s">
        <v>3603</v>
      </c>
      <c r="G591" s="8" t="s">
        <v>1238</v>
      </c>
      <c r="H591" s="8">
        <v>1</v>
      </c>
      <c r="I591" s="8">
        <v>1</v>
      </c>
      <c r="J591" s="8" t="s">
        <v>3861</v>
      </c>
      <c r="K591" s="8" t="s">
        <v>195</v>
      </c>
      <c r="L591" s="9">
        <v>46319</v>
      </c>
      <c r="M591" s="8" t="s">
        <v>5864</v>
      </c>
      <c r="N591" s="8" t="s">
        <v>5865</v>
      </c>
    </row>
    <row r="592" spans="1:14" ht="40" customHeight="1">
      <c r="A592" s="4" t="s">
        <v>3862</v>
      </c>
      <c r="B592" s="4" t="s">
        <v>186</v>
      </c>
      <c r="C592" s="4" t="s">
        <v>187</v>
      </c>
      <c r="D592" s="4" t="s">
        <v>5879</v>
      </c>
      <c r="E592" s="4" t="s">
        <v>3861</v>
      </c>
      <c r="F592" s="4" t="s">
        <v>3838</v>
      </c>
      <c r="G592" s="4" t="s">
        <v>1238</v>
      </c>
      <c r="H592" s="4">
        <v>1</v>
      </c>
      <c r="I592" s="4">
        <v>1</v>
      </c>
      <c r="J592" s="4" t="s">
        <v>3863</v>
      </c>
      <c r="K592" s="4" t="s">
        <v>195</v>
      </c>
      <c r="L592" s="6">
        <v>46319</v>
      </c>
      <c r="M592" s="4" t="s">
        <v>5864</v>
      </c>
      <c r="N592" s="4" t="s">
        <v>5865</v>
      </c>
    </row>
    <row r="593" spans="1:14" ht="40" customHeight="1">
      <c r="A593" s="8" t="s">
        <v>3864</v>
      </c>
      <c r="B593" s="8" t="s">
        <v>186</v>
      </c>
      <c r="C593" s="8" t="s">
        <v>187</v>
      </c>
      <c r="D593" s="8" t="s">
        <v>5879</v>
      </c>
      <c r="E593" s="8" t="s">
        <v>3865</v>
      </c>
      <c r="F593" s="8" t="s">
        <v>3608</v>
      </c>
      <c r="G593" s="8" t="s">
        <v>1238</v>
      </c>
      <c r="H593" s="8">
        <v>1</v>
      </c>
      <c r="I593" s="8">
        <v>1</v>
      </c>
      <c r="J593" s="8" t="s">
        <v>3865</v>
      </c>
      <c r="K593" s="8" t="s">
        <v>195</v>
      </c>
      <c r="L593" s="9">
        <v>46319</v>
      </c>
      <c r="M593" s="8" t="s">
        <v>5864</v>
      </c>
      <c r="N593" s="8" t="s">
        <v>5865</v>
      </c>
    </row>
    <row r="594" spans="1:14" ht="54" customHeight="1">
      <c r="A594" s="4" t="s">
        <v>3866</v>
      </c>
      <c r="B594" s="4" t="s">
        <v>186</v>
      </c>
      <c r="C594" s="4" t="s">
        <v>187</v>
      </c>
      <c r="D594" s="4" t="s">
        <v>5879</v>
      </c>
      <c r="E594" s="4" t="s">
        <v>3865</v>
      </c>
      <c r="F594" s="4" t="s">
        <v>3611</v>
      </c>
      <c r="G594" s="4" t="s">
        <v>1238</v>
      </c>
      <c r="H594" s="4">
        <v>1</v>
      </c>
      <c r="I594" s="4">
        <v>1</v>
      </c>
      <c r="J594" s="4" t="s">
        <v>3867</v>
      </c>
      <c r="K594" s="4" t="s">
        <v>195</v>
      </c>
      <c r="L594" s="6">
        <v>46319</v>
      </c>
      <c r="M594" s="4" t="s">
        <v>5864</v>
      </c>
      <c r="N594" s="4" t="s">
        <v>5865</v>
      </c>
    </row>
    <row r="595" spans="1:14" ht="40" customHeight="1">
      <c r="A595" s="8" t="s">
        <v>3868</v>
      </c>
      <c r="B595" s="8" t="s">
        <v>186</v>
      </c>
      <c r="C595" s="8" t="s">
        <v>187</v>
      </c>
      <c r="D595" s="8" t="s">
        <v>5879</v>
      </c>
      <c r="E595" s="8" t="s">
        <v>3869</v>
      </c>
      <c r="F595" s="8" t="s">
        <v>3775</v>
      </c>
      <c r="G595" s="8" t="s">
        <v>1238</v>
      </c>
      <c r="H595" s="8">
        <v>1</v>
      </c>
      <c r="I595" s="8">
        <v>1</v>
      </c>
      <c r="J595" s="8" t="s">
        <v>3869</v>
      </c>
      <c r="K595" s="8" t="s">
        <v>195</v>
      </c>
      <c r="L595" s="9">
        <v>46319</v>
      </c>
      <c r="M595" s="8" t="s">
        <v>5864</v>
      </c>
      <c r="N595" s="8" t="s">
        <v>5865</v>
      </c>
    </row>
    <row r="596" spans="1:14" ht="54" customHeight="1">
      <c r="A596" s="4" t="s">
        <v>3870</v>
      </c>
      <c r="B596" s="4" t="s">
        <v>186</v>
      </c>
      <c r="C596" s="4" t="s">
        <v>187</v>
      </c>
      <c r="D596" s="4" t="s">
        <v>5879</v>
      </c>
      <c r="E596" s="4" t="s">
        <v>3869</v>
      </c>
      <c r="F596" s="4" t="s">
        <v>3847</v>
      </c>
      <c r="G596" s="4" t="s">
        <v>1238</v>
      </c>
      <c r="H596" s="4">
        <v>1</v>
      </c>
      <c r="I596" s="4">
        <v>1</v>
      </c>
      <c r="J596" s="4" t="s">
        <v>3871</v>
      </c>
      <c r="K596" s="4" t="s">
        <v>195</v>
      </c>
      <c r="L596" s="6">
        <v>46319</v>
      </c>
      <c r="M596" s="4" t="s">
        <v>5864</v>
      </c>
      <c r="N596" s="4" t="s">
        <v>5865</v>
      </c>
    </row>
    <row r="597" spans="1:14" ht="40" customHeight="1">
      <c r="A597" s="8" t="s">
        <v>3872</v>
      </c>
      <c r="B597" s="8" t="s">
        <v>186</v>
      </c>
      <c r="C597" s="8" t="s">
        <v>187</v>
      </c>
      <c r="D597" s="8" t="s">
        <v>5879</v>
      </c>
      <c r="E597" s="8" t="s">
        <v>3873</v>
      </c>
      <c r="F597" s="8" t="s">
        <v>3777</v>
      </c>
      <c r="G597" s="8" t="s">
        <v>1238</v>
      </c>
      <c r="H597" s="8">
        <v>1</v>
      </c>
      <c r="I597" s="8">
        <v>1</v>
      </c>
      <c r="J597" s="8" t="s">
        <v>3873</v>
      </c>
      <c r="K597" s="8" t="s">
        <v>195</v>
      </c>
      <c r="L597" s="9">
        <v>46319</v>
      </c>
      <c r="M597" s="8" t="s">
        <v>5864</v>
      </c>
      <c r="N597" s="8" t="s">
        <v>5865</v>
      </c>
    </row>
    <row r="598" spans="1:14" ht="54" customHeight="1">
      <c r="A598" s="4" t="s">
        <v>3874</v>
      </c>
      <c r="B598" s="4" t="s">
        <v>186</v>
      </c>
      <c r="C598" s="4" t="s">
        <v>187</v>
      </c>
      <c r="D598" s="4" t="s">
        <v>5879</v>
      </c>
      <c r="E598" s="4" t="s">
        <v>3873</v>
      </c>
      <c r="F598" s="4" t="s">
        <v>3779</v>
      </c>
      <c r="G598" s="4" t="s">
        <v>1238</v>
      </c>
      <c r="H598" s="4">
        <v>1</v>
      </c>
      <c r="I598" s="4">
        <v>1</v>
      </c>
      <c r="J598" s="4" t="s">
        <v>3875</v>
      </c>
      <c r="K598" s="4" t="s">
        <v>195</v>
      </c>
      <c r="L598" s="6">
        <v>46319</v>
      </c>
      <c r="M598" s="4" t="s">
        <v>5864</v>
      </c>
      <c r="N598" s="4" t="s">
        <v>5865</v>
      </c>
    </row>
    <row r="599" spans="1:14" ht="40" customHeight="1">
      <c r="A599" s="8" t="s">
        <v>3876</v>
      </c>
      <c r="B599" s="8" t="s">
        <v>186</v>
      </c>
      <c r="C599" s="8" t="s">
        <v>187</v>
      </c>
      <c r="D599" s="8" t="s">
        <v>5879</v>
      </c>
      <c r="E599" s="8" t="s">
        <v>3873</v>
      </c>
      <c r="F599" s="8" t="s">
        <v>3878</v>
      </c>
      <c r="G599" s="8" t="s">
        <v>1238</v>
      </c>
      <c r="H599" s="8">
        <v>1</v>
      </c>
      <c r="I599" s="8">
        <v>1</v>
      </c>
      <c r="J599" s="8" t="s">
        <v>3877</v>
      </c>
      <c r="K599" s="8" t="s">
        <v>195</v>
      </c>
      <c r="L599" s="9">
        <v>46319</v>
      </c>
      <c r="M599" s="8" t="s">
        <v>5864</v>
      </c>
      <c r="N599" s="8" t="s">
        <v>6087</v>
      </c>
    </row>
    <row r="600" spans="1:14" ht="40" customHeight="1">
      <c r="A600" s="4" t="s">
        <v>3879</v>
      </c>
      <c r="B600" s="4" t="s">
        <v>186</v>
      </c>
      <c r="C600" s="4" t="s">
        <v>187</v>
      </c>
      <c r="D600" s="4" t="s">
        <v>5879</v>
      </c>
      <c r="E600" s="4" t="s">
        <v>3880</v>
      </c>
      <c r="F600" s="4" t="s">
        <v>3783</v>
      </c>
      <c r="G600" s="4" t="s">
        <v>1238</v>
      </c>
      <c r="H600" s="4">
        <v>1</v>
      </c>
      <c r="I600" s="4">
        <v>1</v>
      </c>
      <c r="J600" s="4" t="s">
        <v>3880</v>
      </c>
      <c r="K600" s="4" t="s">
        <v>195</v>
      </c>
      <c r="L600" s="6">
        <v>46319</v>
      </c>
      <c r="M600" s="4" t="s">
        <v>5864</v>
      </c>
      <c r="N600" s="4" t="s">
        <v>5865</v>
      </c>
    </row>
    <row r="601" spans="1:14" ht="54" customHeight="1">
      <c r="A601" s="8" t="s">
        <v>3881</v>
      </c>
      <c r="B601" s="8" t="s">
        <v>186</v>
      </c>
      <c r="C601" s="8" t="s">
        <v>187</v>
      </c>
      <c r="D601" s="8" t="s">
        <v>5879</v>
      </c>
      <c r="E601" s="8" t="s">
        <v>3880</v>
      </c>
      <c r="F601" s="8" t="s">
        <v>3785</v>
      </c>
      <c r="G601" s="8" t="s">
        <v>1238</v>
      </c>
      <c r="H601" s="8">
        <v>1</v>
      </c>
      <c r="I601" s="8">
        <v>1</v>
      </c>
      <c r="J601" s="8" t="s">
        <v>3882</v>
      </c>
      <c r="K601" s="8" t="s">
        <v>195</v>
      </c>
      <c r="L601" s="9">
        <v>46319</v>
      </c>
      <c r="M601" s="8" t="s">
        <v>5864</v>
      </c>
      <c r="N601" s="8" t="s">
        <v>5865</v>
      </c>
    </row>
    <row r="602" spans="1:14" ht="40" customHeight="1">
      <c r="A602" s="4" t="s">
        <v>3883</v>
      </c>
      <c r="B602" s="4" t="s">
        <v>186</v>
      </c>
      <c r="C602" s="4" t="s">
        <v>187</v>
      </c>
      <c r="D602" s="4" t="s">
        <v>5879</v>
      </c>
      <c r="E602" s="4" t="s">
        <v>3884</v>
      </c>
      <c r="F602" s="4" t="s">
        <v>3885</v>
      </c>
      <c r="G602" s="4" t="s">
        <v>1238</v>
      </c>
      <c r="H602" s="4">
        <v>1</v>
      </c>
      <c r="I602" s="4">
        <v>1</v>
      </c>
      <c r="J602" s="4" t="s">
        <v>3884</v>
      </c>
      <c r="K602" s="4" t="s">
        <v>195</v>
      </c>
      <c r="L602" s="6">
        <v>46319</v>
      </c>
      <c r="M602" s="4" t="s">
        <v>5864</v>
      </c>
      <c r="N602" s="4" t="s">
        <v>5865</v>
      </c>
    </row>
    <row r="603" spans="1:14" ht="40" customHeight="1">
      <c r="A603" s="8" t="s">
        <v>3886</v>
      </c>
      <c r="B603" s="8" t="s">
        <v>186</v>
      </c>
      <c r="C603" s="8" t="s">
        <v>187</v>
      </c>
      <c r="D603" s="8" t="s">
        <v>5879</v>
      </c>
      <c r="E603" s="8" t="s">
        <v>3884</v>
      </c>
      <c r="F603" s="8" t="s">
        <v>3787</v>
      </c>
      <c r="G603" s="8" t="s">
        <v>1238</v>
      </c>
      <c r="H603" s="8">
        <v>1</v>
      </c>
      <c r="I603" s="8">
        <v>1</v>
      </c>
      <c r="J603" s="8" t="s">
        <v>3887</v>
      </c>
      <c r="K603" s="8" t="s">
        <v>195</v>
      </c>
      <c r="L603" s="9">
        <v>46319</v>
      </c>
      <c r="M603" s="8" t="s">
        <v>5864</v>
      </c>
      <c r="N603" s="8" t="s">
        <v>5865</v>
      </c>
    </row>
    <row r="604" spans="1:14" ht="40" customHeight="1">
      <c r="A604" s="4" t="s">
        <v>3888</v>
      </c>
      <c r="B604" s="4" t="s">
        <v>186</v>
      </c>
      <c r="C604" s="4" t="s">
        <v>187</v>
      </c>
      <c r="D604" s="4" t="s">
        <v>5879</v>
      </c>
      <c r="E604" s="4" t="s">
        <v>3889</v>
      </c>
      <c r="F604" s="4" t="s">
        <v>3789</v>
      </c>
      <c r="G604" s="4" t="s">
        <v>1238</v>
      </c>
      <c r="H604" s="4">
        <v>1</v>
      </c>
      <c r="I604" s="4">
        <v>1</v>
      </c>
      <c r="J604" s="4" t="s">
        <v>3889</v>
      </c>
      <c r="K604" s="4" t="s">
        <v>195</v>
      </c>
      <c r="L604" s="6">
        <v>46319</v>
      </c>
      <c r="M604" s="4" t="s">
        <v>5864</v>
      </c>
      <c r="N604" s="4" t="s">
        <v>5865</v>
      </c>
    </row>
    <row r="605" spans="1:14" ht="54" customHeight="1">
      <c r="A605" s="8" t="s">
        <v>3890</v>
      </c>
      <c r="B605" s="8" t="s">
        <v>186</v>
      </c>
      <c r="C605" s="8" t="s">
        <v>187</v>
      </c>
      <c r="D605" s="8" t="s">
        <v>5879</v>
      </c>
      <c r="E605" s="8" t="s">
        <v>3889</v>
      </c>
      <c r="F605" s="8" t="s">
        <v>3892</v>
      </c>
      <c r="G605" s="8" t="s">
        <v>1238</v>
      </c>
      <c r="H605" s="8">
        <v>1</v>
      </c>
      <c r="I605" s="8">
        <v>1</v>
      </c>
      <c r="J605" s="8" t="s">
        <v>3891</v>
      </c>
      <c r="K605" s="8" t="s">
        <v>195</v>
      </c>
      <c r="L605" s="9">
        <v>46319</v>
      </c>
      <c r="M605" s="8" t="s">
        <v>5864</v>
      </c>
      <c r="N605" s="8" t="s">
        <v>5865</v>
      </c>
    </row>
    <row r="606" spans="1:14" ht="68" customHeight="1">
      <c r="A606" s="4" t="s">
        <v>6602</v>
      </c>
      <c r="B606" s="4" t="s">
        <v>186</v>
      </c>
      <c r="C606" s="4" t="s">
        <v>187</v>
      </c>
      <c r="D606" s="4" t="s">
        <v>2969</v>
      </c>
      <c r="E606" s="4" t="s">
        <v>41</v>
      </c>
      <c r="F606" s="4" t="s">
        <v>5881</v>
      </c>
      <c r="G606" s="4" t="s">
        <v>1238</v>
      </c>
      <c r="H606" s="4">
        <v>1</v>
      </c>
      <c r="I606" s="4">
        <v>1</v>
      </c>
      <c r="J606" s="4" t="s">
        <v>6603</v>
      </c>
      <c r="K606" s="4" t="s">
        <v>195</v>
      </c>
      <c r="L606" s="6">
        <v>46319</v>
      </c>
      <c r="M606" s="4" t="s">
        <v>5864</v>
      </c>
      <c r="N606" s="4" t="s">
        <v>5883</v>
      </c>
    </row>
    <row r="607" spans="1:14" ht="68" customHeight="1">
      <c r="A607" s="8" t="s">
        <v>6604</v>
      </c>
      <c r="B607" s="8" t="s">
        <v>186</v>
      </c>
      <c r="C607" s="8" t="s">
        <v>187</v>
      </c>
      <c r="D607" s="8" t="s">
        <v>2969</v>
      </c>
      <c r="E607" s="8" t="s">
        <v>41</v>
      </c>
      <c r="F607" s="8" t="s">
        <v>5885</v>
      </c>
      <c r="G607" s="8" t="s">
        <v>1238</v>
      </c>
      <c r="H607" s="8">
        <v>1</v>
      </c>
      <c r="I607" s="8">
        <v>1</v>
      </c>
      <c r="J607" s="8" t="s">
        <v>6605</v>
      </c>
      <c r="K607" s="8" t="s">
        <v>195</v>
      </c>
      <c r="L607" s="9">
        <v>46319</v>
      </c>
      <c r="M607" s="8" t="s">
        <v>5864</v>
      </c>
      <c r="N607" s="8" t="s">
        <v>5883</v>
      </c>
    </row>
    <row r="608" spans="1:14" ht="68" customHeight="1">
      <c r="A608" s="4" t="s">
        <v>6606</v>
      </c>
      <c r="B608" s="4" t="s">
        <v>186</v>
      </c>
      <c r="C608" s="4" t="s">
        <v>187</v>
      </c>
      <c r="D608" s="4" t="s">
        <v>2969</v>
      </c>
      <c r="E608" s="4" t="s">
        <v>41</v>
      </c>
      <c r="F608" s="4" t="s">
        <v>5888</v>
      </c>
      <c r="G608" s="4" t="s">
        <v>1238</v>
      </c>
      <c r="H608" s="4">
        <v>1</v>
      </c>
      <c r="I608" s="4">
        <v>1</v>
      </c>
      <c r="J608" s="4" t="s">
        <v>6607</v>
      </c>
      <c r="K608" s="4" t="s">
        <v>195</v>
      </c>
      <c r="L608" s="6">
        <v>46319</v>
      </c>
      <c r="M608" s="4" t="s">
        <v>5864</v>
      </c>
      <c r="N608" s="4" t="s">
        <v>5883</v>
      </c>
    </row>
    <row r="609" spans="1:14" ht="68" customHeight="1">
      <c r="A609" s="8" t="s">
        <v>6608</v>
      </c>
      <c r="B609" s="8" t="s">
        <v>186</v>
      </c>
      <c r="C609" s="8" t="s">
        <v>187</v>
      </c>
      <c r="D609" s="8" t="s">
        <v>2969</v>
      </c>
      <c r="E609" s="8" t="s">
        <v>41</v>
      </c>
      <c r="F609" s="8" t="s">
        <v>5891</v>
      </c>
      <c r="G609" s="8" t="s">
        <v>1238</v>
      </c>
      <c r="H609" s="8">
        <v>1</v>
      </c>
      <c r="I609" s="8">
        <v>1</v>
      </c>
      <c r="J609" s="8" t="s">
        <v>6609</v>
      </c>
      <c r="K609" s="8" t="s">
        <v>195</v>
      </c>
      <c r="L609" s="9">
        <v>46319</v>
      </c>
      <c r="M609" s="8" t="s">
        <v>5864</v>
      </c>
      <c r="N609" s="8" t="s">
        <v>5883</v>
      </c>
    </row>
    <row r="610" spans="1:14" ht="68" customHeight="1">
      <c r="A610" s="4" t="s">
        <v>6610</v>
      </c>
      <c r="B610" s="4" t="s">
        <v>186</v>
      </c>
      <c r="C610" s="4" t="s">
        <v>187</v>
      </c>
      <c r="D610" s="4" t="s">
        <v>2969</v>
      </c>
      <c r="E610" s="4" t="s">
        <v>41</v>
      </c>
      <c r="F610" s="4" t="s">
        <v>5894</v>
      </c>
      <c r="G610" s="4" t="s">
        <v>1238</v>
      </c>
      <c r="H610" s="4">
        <v>1</v>
      </c>
      <c r="I610" s="4">
        <v>1</v>
      </c>
      <c r="J610" s="4" t="s">
        <v>6611</v>
      </c>
      <c r="K610" s="4" t="s">
        <v>195</v>
      </c>
      <c r="L610" s="6">
        <v>46319</v>
      </c>
      <c r="M610" s="4" t="s">
        <v>5864</v>
      </c>
      <c r="N610" s="4" t="s">
        <v>5883</v>
      </c>
    </row>
    <row r="611" spans="1:14" ht="68" customHeight="1">
      <c r="A611" s="8" t="s">
        <v>6612</v>
      </c>
      <c r="B611" s="8" t="s">
        <v>186</v>
      </c>
      <c r="C611" s="8" t="s">
        <v>187</v>
      </c>
      <c r="D611" s="8" t="s">
        <v>2969</v>
      </c>
      <c r="E611" s="8" t="s">
        <v>41</v>
      </c>
      <c r="F611" s="8" t="s">
        <v>5897</v>
      </c>
      <c r="G611" s="8" t="s">
        <v>1238</v>
      </c>
      <c r="H611" s="8">
        <v>1</v>
      </c>
      <c r="I611" s="8">
        <v>1</v>
      </c>
      <c r="J611" s="8" t="s">
        <v>6613</v>
      </c>
      <c r="K611" s="8" t="s">
        <v>195</v>
      </c>
      <c r="L611" s="9">
        <v>46319</v>
      </c>
      <c r="M611" s="8" t="s">
        <v>5864</v>
      </c>
      <c r="N611" s="8" t="s">
        <v>5883</v>
      </c>
    </row>
    <row r="612" spans="1:14" ht="68" customHeight="1">
      <c r="A612" s="4" t="s">
        <v>6614</v>
      </c>
      <c r="B612" s="4" t="s">
        <v>186</v>
      </c>
      <c r="C612" s="4" t="s">
        <v>187</v>
      </c>
      <c r="D612" s="4" t="s">
        <v>2969</v>
      </c>
      <c r="E612" s="4" t="s">
        <v>41</v>
      </c>
      <c r="F612" s="4" t="s">
        <v>5900</v>
      </c>
      <c r="G612" s="4" t="s">
        <v>1238</v>
      </c>
      <c r="H612" s="4">
        <v>1</v>
      </c>
      <c r="I612" s="4">
        <v>1</v>
      </c>
      <c r="J612" s="4" t="s">
        <v>6615</v>
      </c>
      <c r="K612" s="4" t="s">
        <v>195</v>
      </c>
      <c r="L612" s="6">
        <v>46319</v>
      </c>
      <c r="M612" s="4" t="s">
        <v>5864</v>
      </c>
      <c r="N612" s="4" t="s">
        <v>5883</v>
      </c>
    </row>
    <row r="613" spans="1:14" ht="68" customHeight="1">
      <c r="A613" s="8" t="s">
        <v>6616</v>
      </c>
      <c r="B613" s="8" t="s">
        <v>186</v>
      </c>
      <c r="C613" s="8" t="s">
        <v>187</v>
      </c>
      <c r="D613" s="8" t="s">
        <v>2969</v>
      </c>
      <c r="E613" s="8" t="s">
        <v>41</v>
      </c>
      <c r="F613" s="8" t="s">
        <v>5903</v>
      </c>
      <c r="G613" s="8" t="s">
        <v>1238</v>
      </c>
      <c r="H613" s="8">
        <v>1</v>
      </c>
      <c r="I613" s="8">
        <v>1</v>
      </c>
      <c r="J613" s="8" t="s">
        <v>6617</v>
      </c>
      <c r="K613" s="8" t="s">
        <v>195</v>
      </c>
      <c r="L613" s="9">
        <v>46319</v>
      </c>
      <c r="M613" s="8" t="s">
        <v>5864</v>
      </c>
      <c r="N613" s="8" t="s">
        <v>5883</v>
      </c>
    </row>
    <row r="614" spans="1:14" ht="68" customHeight="1">
      <c r="A614" s="4" t="s">
        <v>6618</v>
      </c>
      <c r="B614" s="4" t="s">
        <v>186</v>
      </c>
      <c r="C614" s="4" t="s">
        <v>187</v>
      </c>
      <c r="D614" s="4" t="s">
        <v>2969</v>
      </c>
      <c r="E614" s="4" t="s">
        <v>41</v>
      </c>
      <c r="F614" s="4" t="s">
        <v>5906</v>
      </c>
      <c r="G614" s="4" t="s">
        <v>1238</v>
      </c>
      <c r="H614" s="4">
        <v>1</v>
      </c>
      <c r="I614" s="4">
        <v>1</v>
      </c>
      <c r="J614" s="4" t="s">
        <v>6619</v>
      </c>
      <c r="K614" s="4" t="s">
        <v>195</v>
      </c>
      <c r="L614" s="6">
        <v>46319</v>
      </c>
      <c r="M614" s="4" t="s">
        <v>5864</v>
      </c>
      <c r="N614" s="4" t="s">
        <v>5883</v>
      </c>
    </row>
    <row r="615" spans="1:14" ht="68" customHeight="1">
      <c r="A615" s="8" t="s">
        <v>6620</v>
      </c>
      <c r="B615" s="8" t="s">
        <v>186</v>
      </c>
      <c r="C615" s="8" t="s">
        <v>187</v>
      </c>
      <c r="D615" s="8" t="s">
        <v>2969</v>
      </c>
      <c r="E615" s="8" t="s">
        <v>41</v>
      </c>
      <c r="F615" s="8" t="s">
        <v>5909</v>
      </c>
      <c r="G615" s="8" t="s">
        <v>1238</v>
      </c>
      <c r="H615" s="8">
        <v>1</v>
      </c>
      <c r="I615" s="8">
        <v>1</v>
      </c>
      <c r="J615" s="8" t="s">
        <v>6621</v>
      </c>
      <c r="K615" s="8" t="s">
        <v>195</v>
      </c>
      <c r="L615" s="9">
        <v>46319</v>
      </c>
      <c r="M615" s="8" t="s">
        <v>5864</v>
      </c>
      <c r="N615" s="8" t="s">
        <v>5883</v>
      </c>
    </row>
    <row r="616" spans="1:14" ht="68" customHeight="1">
      <c r="A616" s="4" t="s">
        <v>6622</v>
      </c>
      <c r="B616" s="4" t="s">
        <v>186</v>
      </c>
      <c r="C616" s="4" t="s">
        <v>187</v>
      </c>
      <c r="D616" s="4" t="s">
        <v>2969</v>
      </c>
      <c r="E616" s="4" t="s">
        <v>41</v>
      </c>
      <c r="F616" s="4" t="s">
        <v>5912</v>
      </c>
      <c r="G616" s="4" t="s">
        <v>1238</v>
      </c>
      <c r="H616" s="4">
        <v>1</v>
      </c>
      <c r="I616" s="4">
        <v>1</v>
      </c>
      <c r="J616" s="4" t="s">
        <v>6623</v>
      </c>
      <c r="K616" s="4" t="s">
        <v>195</v>
      </c>
      <c r="L616" s="6">
        <v>46319</v>
      </c>
      <c r="M616" s="4" t="s">
        <v>5864</v>
      </c>
      <c r="N616" s="4" t="s">
        <v>5883</v>
      </c>
    </row>
    <row r="617" spans="1:14" ht="68" customHeight="1">
      <c r="A617" s="8" t="s">
        <v>6624</v>
      </c>
      <c r="B617" s="8" t="s">
        <v>186</v>
      </c>
      <c r="C617" s="8" t="s">
        <v>187</v>
      </c>
      <c r="D617" s="8" t="s">
        <v>2969</v>
      </c>
      <c r="E617" s="8" t="s">
        <v>41</v>
      </c>
      <c r="F617" s="8" t="s">
        <v>5973</v>
      </c>
      <c r="G617" s="8" t="s">
        <v>1238</v>
      </c>
      <c r="H617" s="8">
        <v>1</v>
      </c>
      <c r="I617" s="8">
        <v>1</v>
      </c>
      <c r="J617" s="8" t="s">
        <v>6625</v>
      </c>
      <c r="K617" s="8" t="s">
        <v>195</v>
      </c>
      <c r="L617" s="9">
        <v>46319</v>
      </c>
      <c r="M617" s="8" t="s">
        <v>5864</v>
      </c>
      <c r="N617" s="8" t="s">
        <v>5883</v>
      </c>
    </row>
    <row r="618" spans="1:14" ht="68" customHeight="1">
      <c r="A618" s="4" t="s">
        <v>6626</v>
      </c>
      <c r="B618" s="4" t="s">
        <v>186</v>
      </c>
      <c r="C618" s="4" t="s">
        <v>187</v>
      </c>
      <c r="D618" s="4" t="s">
        <v>2969</v>
      </c>
      <c r="E618" s="4" t="s">
        <v>41</v>
      </c>
      <c r="F618" s="4" t="s">
        <v>5976</v>
      </c>
      <c r="G618" s="4" t="s">
        <v>1238</v>
      </c>
      <c r="H618" s="4">
        <v>1</v>
      </c>
      <c r="I618" s="4">
        <v>1</v>
      </c>
      <c r="J618" s="4" t="s">
        <v>6627</v>
      </c>
      <c r="K618" s="4" t="s">
        <v>195</v>
      </c>
      <c r="L618" s="6">
        <v>46319</v>
      </c>
      <c r="M618" s="4" t="s">
        <v>5864</v>
      </c>
      <c r="N618" s="4" t="s">
        <v>5883</v>
      </c>
    </row>
    <row r="619" spans="1:14" ht="82" customHeight="1">
      <c r="A619" s="8" t="s">
        <v>6628</v>
      </c>
      <c r="B619" s="8" t="s">
        <v>186</v>
      </c>
      <c r="C619" s="8" t="s">
        <v>187</v>
      </c>
      <c r="D619" s="8" t="s">
        <v>2969</v>
      </c>
      <c r="E619" s="8" t="s">
        <v>41</v>
      </c>
      <c r="F619" s="8" t="s">
        <v>5979</v>
      </c>
      <c r="G619" s="8" t="s">
        <v>1238</v>
      </c>
      <c r="H619" s="8">
        <v>1</v>
      </c>
      <c r="I619" s="8">
        <v>1</v>
      </c>
      <c r="J619" s="8" t="s">
        <v>6629</v>
      </c>
      <c r="K619" s="8" t="s">
        <v>195</v>
      </c>
      <c r="L619" s="9">
        <v>46319</v>
      </c>
      <c r="M619" s="8" t="s">
        <v>5864</v>
      </c>
      <c r="N619" s="8" t="s">
        <v>5883</v>
      </c>
    </row>
    <row r="620" spans="1:14" ht="166" customHeight="1">
      <c r="A620" s="4" t="s">
        <v>6630</v>
      </c>
      <c r="B620" s="4" t="s">
        <v>198</v>
      </c>
      <c r="C620" s="4" t="s">
        <v>199</v>
      </c>
      <c r="D620" s="4" t="s">
        <v>5861</v>
      </c>
      <c r="E620" s="4" t="s">
        <v>41</v>
      </c>
      <c r="F620" s="4" t="s">
        <v>5862</v>
      </c>
      <c r="G620" s="4" t="s">
        <v>1292</v>
      </c>
      <c r="H620" s="4">
        <v>1</v>
      </c>
      <c r="I620" s="4">
        <v>2</v>
      </c>
      <c r="J620" s="4" t="s">
        <v>6631</v>
      </c>
      <c r="K620" s="4" t="s">
        <v>207</v>
      </c>
      <c r="L620" s="6">
        <v>46319</v>
      </c>
      <c r="M620" s="4" t="s">
        <v>5864</v>
      </c>
      <c r="N620" s="4" t="s">
        <v>5865</v>
      </c>
    </row>
    <row r="621" spans="1:14" ht="82" customHeight="1">
      <c r="A621" s="8" t="s">
        <v>6630</v>
      </c>
      <c r="B621" s="8" t="s">
        <v>198</v>
      </c>
      <c r="C621" s="8" t="s">
        <v>199</v>
      </c>
      <c r="D621" s="8" t="s">
        <v>5861</v>
      </c>
      <c r="E621" s="8" t="s">
        <v>41</v>
      </c>
      <c r="F621" s="8" t="s">
        <v>5862</v>
      </c>
      <c r="G621" s="8" t="s">
        <v>1292</v>
      </c>
      <c r="H621" s="8">
        <v>2</v>
      </c>
      <c r="I621" s="8">
        <v>2</v>
      </c>
      <c r="J621" s="8" t="s">
        <v>6632</v>
      </c>
      <c r="K621" s="8" t="s">
        <v>207</v>
      </c>
      <c r="L621" s="9">
        <v>46319</v>
      </c>
      <c r="M621" s="8" t="s">
        <v>5864</v>
      </c>
      <c r="N621" s="8" t="s">
        <v>5865</v>
      </c>
    </row>
    <row r="622" spans="1:14" ht="82" customHeight="1">
      <c r="A622" s="4" t="s">
        <v>6633</v>
      </c>
      <c r="B622" s="4" t="s">
        <v>198</v>
      </c>
      <c r="C622" s="4" t="s">
        <v>199</v>
      </c>
      <c r="D622" s="4" t="s">
        <v>5867</v>
      </c>
      <c r="E622" s="4" t="s">
        <v>41</v>
      </c>
      <c r="F622" s="4" t="s">
        <v>6248</v>
      </c>
      <c r="G622" s="4" t="s">
        <v>1292</v>
      </c>
      <c r="H622" s="4">
        <v>1</v>
      </c>
      <c r="I622" s="4">
        <v>1</v>
      </c>
      <c r="J622" s="4" t="s">
        <v>6634</v>
      </c>
      <c r="K622" s="4" t="s">
        <v>207</v>
      </c>
      <c r="L622" s="6">
        <v>46319</v>
      </c>
      <c r="M622" s="4" t="s">
        <v>5864</v>
      </c>
      <c r="N622" s="4" t="s">
        <v>5865</v>
      </c>
    </row>
    <row r="623" spans="1:14" ht="82" customHeight="1">
      <c r="A623" s="8" t="s">
        <v>6635</v>
      </c>
      <c r="B623" s="8" t="s">
        <v>198</v>
      </c>
      <c r="C623" s="8" t="s">
        <v>199</v>
      </c>
      <c r="D623" s="8" t="s">
        <v>5867</v>
      </c>
      <c r="E623" s="8" t="s">
        <v>41</v>
      </c>
      <c r="F623" s="8" t="s">
        <v>6006</v>
      </c>
      <c r="G623" s="8" t="s">
        <v>1292</v>
      </c>
      <c r="H623" s="8">
        <v>1</v>
      </c>
      <c r="I623" s="8">
        <v>1</v>
      </c>
      <c r="J623" s="8" t="s">
        <v>6636</v>
      </c>
      <c r="K623" s="8" t="s">
        <v>207</v>
      </c>
      <c r="L623" s="9">
        <v>46319</v>
      </c>
      <c r="M623" s="8" t="s">
        <v>5864</v>
      </c>
      <c r="N623" s="8" t="s">
        <v>6087</v>
      </c>
    </row>
    <row r="624" spans="1:14" ht="82" customHeight="1">
      <c r="A624" s="4" t="s">
        <v>6637</v>
      </c>
      <c r="B624" s="4" t="s">
        <v>198</v>
      </c>
      <c r="C624" s="4" t="s">
        <v>199</v>
      </c>
      <c r="D624" s="4" t="s">
        <v>5867</v>
      </c>
      <c r="E624" s="4" t="s">
        <v>41</v>
      </c>
      <c r="F624" s="4" t="s">
        <v>6184</v>
      </c>
      <c r="G624" s="4" t="s">
        <v>1292</v>
      </c>
      <c r="H624" s="4">
        <v>1</v>
      </c>
      <c r="I624" s="4">
        <v>1</v>
      </c>
      <c r="J624" s="4" t="s">
        <v>6638</v>
      </c>
      <c r="K624" s="4" t="s">
        <v>207</v>
      </c>
      <c r="L624" s="6">
        <v>46319</v>
      </c>
      <c r="M624" s="4" t="s">
        <v>5864</v>
      </c>
      <c r="N624" s="4" t="s">
        <v>5870</v>
      </c>
    </row>
    <row r="625" spans="1:14" ht="82" customHeight="1">
      <c r="A625" s="8" t="s">
        <v>6639</v>
      </c>
      <c r="B625" s="8" t="s">
        <v>198</v>
      </c>
      <c r="C625" s="8" t="s">
        <v>199</v>
      </c>
      <c r="D625" s="8" t="s">
        <v>5867</v>
      </c>
      <c r="E625" s="8" t="s">
        <v>41</v>
      </c>
      <c r="F625" s="8" t="s">
        <v>6187</v>
      </c>
      <c r="G625" s="8" t="s">
        <v>1292</v>
      </c>
      <c r="H625" s="8">
        <v>1</v>
      </c>
      <c r="I625" s="8">
        <v>1</v>
      </c>
      <c r="J625" s="8" t="s">
        <v>6640</v>
      </c>
      <c r="K625" s="8" t="s">
        <v>207</v>
      </c>
      <c r="L625" s="9">
        <v>46319</v>
      </c>
      <c r="M625" s="8" t="s">
        <v>5864</v>
      </c>
      <c r="N625" s="8" t="s">
        <v>5870</v>
      </c>
    </row>
    <row r="626" spans="1:14" ht="82" customHeight="1">
      <c r="A626" s="4" t="s">
        <v>6641</v>
      </c>
      <c r="B626" s="4" t="s">
        <v>198</v>
      </c>
      <c r="C626" s="4" t="s">
        <v>199</v>
      </c>
      <c r="D626" s="4" t="s">
        <v>5867</v>
      </c>
      <c r="E626" s="4" t="s">
        <v>41</v>
      </c>
      <c r="F626" s="4" t="s">
        <v>6190</v>
      </c>
      <c r="G626" s="4" t="s">
        <v>1292</v>
      </c>
      <c r="H626" s="4">
        <v>1</v>
      </c>
      <c r="I626" s="4">
        <v>1</v>
      </c>
      <c r="J626" s="4" t="s">
        <v>6642</v>
      </c>
      <c r="K626" s="4" t="s">
        <v>207</v>
      </c>
      <c r="L626" s="6">
        <v>46319</v>
      </c>
      <c r="M626" s="4" t="s">
        <v>5864</v>
      </c>
      <c r="N626" s="4" t="s">
        <v>5870</v>
      </c>
    </row>
    <row r="627" spans="1:14" ht="82" customHeight="1">
      <c r="A627" s="8" t="s">
        <v>6643</v>
      </c>
      <c r="B627" s="8" t="s">
        <v>198</v>
      </c>
      <c r="C627" s="8" t="s">
        <v>199</v>
      </c>
      <c r="D627" s="8" t="s">
        <v>5867</v>
      </c>
      <c r="E627" s="8" t="s">
        <v>41</v>
      </c>
      <c r="F627" s="8" t="s">
        <v>6193</v>
      </c>
      <c r="G627" s="8" t="s">
        <v>1292</v>
      </c>
      <c r="H627" s="8">
        <v>1</v>
      </c>
      <c r="I627" s="8">
        <v>1</v>
      </c>
      <c r="J627" s="8" t="s">
        <v>6644</v>
      </c>
      <c r="K627" s="8" t="s">
        <v>207</v>
      </c>
      <c r="L627" s="9">
        <v>46319</v>
      </c>
      <c r="M627" s="8" t="s">
        <v>5864</v>
      </c>
      <c r="N627" s="8" t="s">
        <v>5870</v>
      </c>
    </row>
    <row r="628" spans="1:14" ht="82" customHeight="1">
      <c r="A628" s="4" t="s">
        <v>6645</v>
      </c>
      <c r="B628" s="4" t="s">
        <v>198</v>
      </c>
      <c r="C628" s="4" t="s">
        <v>199</v>
      </c>
      <c r="D628" s="4" t="s">
        <v>5867</v>
      </c>
      <c r="E628" s="4" t="s">
        <v>41</v>
      </c>
      <c r="F628" s="4" t="s">
        <v>6196</v>
      </c>
      <c r="G628" s="4" t="s">
        <v>1292</v>
      </c>
      <c r="H628" s="4">
        <v>1</v>
      </c>
      <c r="I628" s="4">
        <v>1</v>
      </c>
      <c r="J628" s="4" t="s">
        <v>6646</v>
      </c>
      <c r="K628" s="4" t="s">
        <v>207</v>
      </c>
      <c r="L628" s="6">
        <v>46319</v>
      </c>
      <c r="M628" s="4" t="s">
        <v>5864</v>
      </c>
      <c r="N628" s="4" t="s">
        <v>5870</v>
      </c>
    </row>
    <row r="629" spans="1:14" ht="82" customHeight="1">
      <c r="A629" s="8" t="s">
        <v>6647</v>
      </c>
      <c r="B629" s="8" t="s">
        <v>198</v>
      </c>
      <c r="C629" s="8" t="s">
        <v>199</v>
      </c>
      <c r="D629" s="8" t="s">
        <v>5867</v>
      </c>
      <c r="E629" s="8" t="s">
        <v>41</v>
      </c>
      <c r="F629" s="8" t="s">
        <v>6199</v>
      </c>
      <c r="G629" s="8" t="s">
        <v>1292</v>
      </c>
      <c r="H629" s="8">
        <v>1</v>
      </c>
      <c r="I629" s="8">
        <v>1</v>
      </c>
      <c r="J629" s="8" t="s">
        <v>6648</v>
      </c>
      <c r="K629" s="8" t="s">
        <v>207</v>
      </c>
      <c r="L629" s="9">
        <v>46319</v>
      </c>
      <c r="M629" s="8" t="s">
        <v>5864</v>
      </c>
      <c r="N629" s="8" t="s">
        <v>5870</v>
      </c>
    </row>
    <row r="630" spans="1:14" ht="82" customHeight="1">
      <c r="A630" s="4" t="s">
        <v>6649</v>
      </c>
      <c r="B630" s="4" t="s">
        <v>198</v>
      </c>
      <c r="C630" s="4" t="s">
        <v>199</v>
      </c>
      <c r="D630" s="4" t="s">
        <v>5867</v>
      </c>
      <c r="E630" s="4" t="s">
        <v>41</v>
      </c>
      <c r="F630" s="4" t="s">
        <v>6650</v>
      </c>
      <c r="G630" s="4" t="s">
        <v>1292</v>
      </c>
      <c r="H630" s="4">
        <v>1</v>
      </c>
      <c r="I630" s="4">
        <v>1</v>
      </c>
      <c r="J630" s="4" t="s">
        <v>6651</v>
      </c>
      <c r="K630" s="4" t="s">
        <v>207</v>
      </c>
      <c r="L630" s="6">
        <v>46319</v>
      </c>
      <c r="M630" s="4" t="s">
        <v>5864</v>
      </c>
      <c r="N630" s="4" t="s">
        <v>5870</v>
      </c>
    </row>
    <row r="631" spans="1:14" ht="82" customHeight="1">
      <c r="A631" s="8" t="s">
        <v>6652</v>
      </c>
      <c r="B631" s="8" t="s">
        <v>198</v>
      </c>
      <c r="C631" s="8" t="s">
        <v>199</v>
      </c>
      <c r="D631" s="8" t="s">
        <v>5867</v>
      </c>
      <c r="E631" s="8" t="s">
        <v>41</v>
      </c>
      <c r="F631" s="8" t="s">
        <v>6653</v>
      </c>
      <c r="G631" s="8" t="s">
        <v>1292</v>
      </c>
      <c r="H631" s="8">
        <v>1</v>
      </c>
      <c r="I631" s="8">
        <v>1</v>
      </c>
      <c r="J631" s="8" t="s">
        <v>6654</v>
      </c>
      <c r="K631" s="8" t="s">
        <v>207</v>
      </c>
      <c r="L631" s="9">
        <v>46319</v>
      </c>
      <c r="M631" s="8" t="s">
        <v>5864</v>
      </c>
      <c r="N631" s="8" t="s">
        <v>5870</v>
      </c>
    </row>
    <row r="632" spans="1:14" ht="82" customHeight="1">
      <c r="A632" s="4" t="s">
        <v>6655</v>
      </c>
      <c r="B632" s="4" t="s">
        <v>198</v>
      </c>
      <c r="C632" s="4" t="s">
        <v>199</v>
      </c>
      <c r="D632" s="4" t="s">
        <v>5867</v>
      </c>
      <c r="E632" s="4" t="s">
        <v>41</v>
      </c>
      <c r="F632" s="4" t="s">
        <v>6656</v>
      </c>
      <c r="G632" s="4" t="s">
        <v>1292</v>
      </c>
      <c r="H632" s="4">
        <v>1</v>
      </c>
      <c r="I632" s="4">
        <v>1</v>
      </c>
      <c r="J632" s="4" t="s">
        <v>6657</v>
      </c>
      <c r="K632" s="4" t="s">
        <v>207</v>
      </c>
      <c r="L632" s="6">
        <v>46319</v>
      </c>
      <c r="M632" s="4" t="s">
        <v>5864</v>
      </c>
      <c r="N632" s="4" t="s">
        <v>5870</v>
      </c>
    </row>
    <row r="633" spans="1:14" ht="82" customHeight="1">
      <c r="A633" s="8" t="s">
        <v>6658</v>
      </c>
      <c r="B633" s="8" t="s">
        <v>198</v>
      </c>
      <c r="C633" s="8" t="s">
        <v>199</v>
      </c>
      <c r="D633" s="8" t="s">
        <v>5867</v>
      </c>
      <c r="E633" s="8" t="s">
        <v>41</v>
      </c>
      <c r="F633" s="8" t="s">
        <v>6659</v>
      </c>
      <c r="G633" s="8" t="s">
        <v>1292</v>
      </c>
      <c r="H633" s="8">
        <v>1</v>
      </c>
      <c r="I633" s="8">
        <v>1</v>
      </c>
      <c r="J633" s="8" t="s">
        <v>6660</v>
      </c>
      <c r="K633" s="8" t="s">
        <v>207</v>
      </c>
      <c r="L633" s="9">
        <v>46319</v>
      </c>
      <c r="M633" s="8" t="s">
        <v>5864</v>
      </c>
      <c r="N633" s="8" t="s">
        <v>5870</v>
      </c>
    </row>
    <row r="634" spans="1:14" ht="82" customHeight="1">
      <c r="A634" s="4" t="s">
        <v>6661</v>
      </c>
      <c r="B634" s="4" t="s">
        <v>198</v>
      </c>
      <c r="C634" s="4" t="s">
        <v>199</v>
      </c>
      <c r="D634" s="4" t="s">
        <v>5867</v>
      </c>
      <c r="E634" s="4" t="s">
        <v>41</v>
      </c>
      <c r="F634" s="4" t="s">
        <v>6662</v>
      </c>
      <c r="G634" s="4" t="s">
        <v>1292</v>
      </c>
      <c r="H634" s="4">
        <v>1</v>
      </c>
      <c r="I634" s="4">
        <v>1</v>
      </c>
      <c r="J634" s="4" t="s">
        <v>6663</v>
      </c>
      <c r="K634" s="4" t="s">
        <v>207</v>
      </c>
      <c r="L634" s="6">
        <v>46319</v>
      </c>
      <c r="M634" s="4" t="s">
        <v>5864</v>
      </c>
      <c r="N634" s="4" t="s">
        <v>5870</v>
      </c>
    </row>
    <row r="635" spans="1:14" ht="82" customHeight="1">
      <c r="A635" s="8" t="s">
        <v>6664</v>
      </c>
      <c r="B635" s="8" t="s">
        <v>198</v>
      </c>
      <c r="C635" s="8" t="s">
        <v>199</v>
      </c>
      <c r="D635" s="8" t="s">
        <v>5867</v>
      </c>
      <c r="E635" s="8" t="s">
        <v>41</v>
      </c>
      <c r="F635" s="8" t="s">
        <v>6015</v>
      </c>
      <c r="G635" s="8" t="s">
        <v>1292</v>
      </c>
      <c r="H635" s="8">
        <v>1</v>
      </c>
      <c r="I635" s="8">
        <v>1</v>
      </c>
      <c r="J635" s="8" t="s">
        <v>6665</v>
      </c>
      <c r="K635" s="8" t="s">
        <v>207</v>
      </c>
      <c r="L635" s="9">
        <v>46319</v>
      </c>
      <c r="M635" s="8" t="s">
        <v>5864</v>
      </c>
      <c r="N635" s="8" t="s">
        <v>6087</v>
      </c>
    </row>
    <row r="636" spans="1:14" ht="82" customHeight="1">
      <c r="A636" s="4" t="s">
        <v>6666</v>
      </c>
      <c r="B636" s="4" t="s">
        <v>198</v>
      </c>
      <c r="C636" s="4" t="s">
        <v>199</v>
      </c>
      <c r="D636" s="4" t="s">
        <v>5867</v>
      </c>
      <c r="E636" s="4" t="s">
        <v>41</v>
      </c>
      <c r="F636" s="4" t="s">
        <v>6667</v>
      </c>
      <c r="G636" s="4" t="s">
        <v>1292</v>
      </c>
      <c r="H636" s="4">
        <v>1</v>
      </c>
      <c r="I636" s="4">
        <v>1</v>
      </c>
      <c r="J636" s="4" t="s">
        <v>6668</v>
      </c>
      <c r="K636" s="4" t="s">
        <v>207</v>
      </c>
      <c r="L636" s="6">
        <v>46319</v>
      </c>
      <c r="M636" s="4" t="s">
        <v>5864</v>
      </c>
      <c r="N636" s="4" t="s">
        <v>5870</v>
      </c>
    </row>
    <row r="637" spans="1:14" ht="82" customHeight="1">
      <c r="A637" s="8" t="s">
        <v>6669</v>
      </c>
      <c r="B637" s="8" t="s">
        <v>198</v>
      </c>
      <c r="C637" s="8" t="s">
        <v>199</v>
      </c>
      <c r="D637" s="8" t="s">
        <v>5867</v>
      </c>
      <c r="E637" s="8" t="s">
        <v>41</v>
      </c>
      <c r="F637" s="8" t="s">
        <v>6670</v>
      </c>
      <c r="G637" s="8" t="s">
        <v>1292</v>
      </c>
      <c r="H637" s="8">
        <v>1</v>
      </c>
      <c r="I637" s="8">
        <v>1</v>
      </c>
      <c r="J637" s="8" t="s">
        <v>6671</v>
      </c>
      <c r="K637" s="8" t="s">
        <v>207</v>
      </c>
      <c r="L637" s="9">
        <v>46319</v>
      </c>
      <c r="M637" s="8" t="s">
        <v>5864</v>
      </c>
      <c r="N637" s="8" t="s">
        <v>5870</v>
      </c>
    </row>
    <row r="638" spans="1:14" ht="82" customHeight="1">
      <c r="A638" s="4" t="s">
        <v>6672</v>
      </c>
      <c r="B638" s="4" t="s">
        <v>198</v>
      </c>
      <c r="C638" s="4" t="s">
        <v>199</v>
      </c>
      <c r="D638" s="4" t="s">
        <v>5867</v>
      </c>
      <c r="E638" s="4" t="s">
        <v>41</v>
      </c>
      <c r="F638" s="4" t="s">
        <v>6021</v>
      </c>
      <c r="G638" s="4" t="s">
        <v>1292</v>
      </c>
      <c r="H638" s="4">
        <v>1</v>
      </c>
      <c r="I638" s="4">
        <v>1</v>
      </c>
      <c r="J638" s="4" t="s">
        <v>3965</v>
      </c>
      <c r="K638" s="4" t="s">
        <v>207</v>
      </c>
      <c r="L638" s="6">
        <v>46319</v>
      </c>
      <c r="M638" s="4" t="s">
        <v>5864</v>
      </c>
      <c r="N638" s="4" t="s">
        <v>6087</v>
      </c>
    </row>
    <row r="639" spans="1:14" ht="82" customHeight="1">
      <c r="A639" s="8" t="s">
        <v>6673</v>
      </c>
      <c r="B639" s="8" t="s">
        <v>198</v>
      </c>
      <c r="C639" s="8" t="s">
        <v>199</v>
      </c>
      <c r="D639" s="8" t="s">
        <v>5867</v>
      </c>
      <c r="E639" s="8" t="s">
        <v>41</v>
      </c>
      <c r="F639" s="8" t="s">
        <v>6674</v>
      </c>
      <c r="G639" s="8" t="s">
        <v>1292</v>
      </c>
      <c r="H639" s="8">
        <v>1</v>
      </c>
      <c r="I639" s="8">
        <v>1</v>
      </c>
      <c r="J639" s="8" t="s">
        <v>6675</v>
      </c>
      <c r="K639" s="8" t="s">
        <v>207</v>
      </c>
      <c r="L639" s="9">
        <v>46319</v>
      </c>
      <c r="M639" s="8" t="s">
        <v>5864</v>
      </c>
      <c r="N639" s="8" t="s">
        <v>5870</v>
      </c>
    </row>
    <row r="640" spans="1:14" ht="82" customHeight="1">
      <c r="A640" s="4" t="s">
        <v>6676</v>
      </c>
      <c r="B640" s="4" t="s">
        <v>198</v>
      </c>
      <c r="C640" s="4" t="s">
        <v>199</v>
      </c>
      <c r="D640" s="4" t="s">
        <v>5867</v>
      </c>
      <c r="E640" s="4" t="s">
        <v>41</v>
      </c>
      <c r="F640" s="4" t="s">
        <v>6677</v>
      </c>
      <c r="G640" s="4" t="s">
        <v>1292</v>
      </c>
      <c r="H640" s="4">
        <v>1</v>
      </c>
      <c r="I640" s="4">
        <v>1</v>
      </c>
      <c r="J640" s="4" t="s">
        <v>6678</v>
      </c>
      <c r="K640" s="4" t="s">
        <v>207</v>
      </c>
      <c r="L640" s="6">
        <v>46319</v>
      </c>
      <c r="M640" s="4" t="s">
        <v>5864</v>
      </c>
      <c r="N640" s="4" t="s">
        <v>5870</v>
      </c>
    </row>
    <row r="641" spans="1:14" ht="82" customHeight="1">
      <c r="A641" s="8" t="s">
        <v>6679</v>
      </c>
      <c r="B641" s="8" t="s">
        <v>198</v>
      </c>
      <c r="C641" s="8" t="s">
        <v>199</v>
      </c>
      <c r="D641" s="8" t="s">
        <v>5867</v>
      </c>
      <c r="E641" s="8" t="s">
        <v>41</v>
      </c>
      <c r="F641" s="8" t="s">
        <v>6680</v>
      </c>
      <c r="G641" s="8" t="s">
        <v>1292</v>
      </c>
      <c r="H641" s="8">
        <v>1</v>
      </c>
      <c r="I641" s="8">
        <v>1</v>
      </c>
      <c r="J641" s="8" t="s">
        <v>6550</v>
      </c>
      <c r="K641" s="8" t="s">
        <v>207</v>
      </c>
      <c r="L641" s="9">
        <v>46319</v>
      </c>
      <c r="M641" s="8" t="s">
        <v>5864</v>
      </c>
      <c r="N641" s="8" t="s">
        <v>6087</v>
      </c>
    </row>
    <row r="642" spans="1:14" ht="82" customHeight="1">
      <c r="A642" s="4" t="s">
        <v>6681</v>
      </c>
      <c r="B642" s="4" t="s">
        <v>198</v>
      </c>
      <c r="C642" s="4" t="s">
        <v>199</v>
      </c>
      <c r="D642" s="4" t="s">
        <v>5867</v>
      </c>
      <c r="E642" s="4" t="s">
        <v>41</v>
      </c>
      <c r="F642" s="4" t="s">
        <v>6682</v>
      </c>
      <c r="G642" s="4" t="s">
        <v>1292</v>
      </c>
      <c r="H642" s="4">
        <v>1</v>
      </c>
      <c r="I642" s="4">
        <v>1</v>
      </c>
      <c r="J642" s="4" t="s">
        <v>6683</v>
      </c>
      <c r="K642" s="4" t="s">
        <v>207</v>
      </c>
      <c r="L642" s="6">
        <v>46319</v>
      </c>
      <c r="M642" s="4" t="s">
        <v>5864</v>
      </c>
      <c r="N642" s="4" t="s">
        <v>5870</v>
      </c>
    </row>
    <row r="643" spans="1:14" ht="82" customHeight="1">
      <c r="A643" s="8" t="s">
        <v>6684</v>
      </c>
      <c r="B643" s="8" t="s">
        <v>198</v>
      </c>
      <c r="C643" s="8" t="s">
        <v>199</v>
      </c>
      <c r="D643" s="8" t="s">
        <v>5867</v>
      </c>
      <c r="E643" s="8" t="s">
        <v>41</v>
      </c>
      <c r="F643" s="8" t="s">
        <v>6685</v>
      </c>
      <c r="G643" s="8" t="s">
        <v>1292</v>
      </c>
      <c r="H643" s="8">
        <v>1</v>
      </c>
      <c r="I643" s="8">
        <v>1</v>
      </c>
      <c r="J643" s="8" t="s">
        <v>6686</v>
      </c>
      <c r="K643" s="8" t="s">
        <v>207</v>
      </c>
      <c r="L643" s="9">
        <v>46319</v>
      </c>
      <c r="M643" s="8" t="s">
        <v>5864</v>
      </c>
      <c r="N643" s="8" t="s">
        <v>5870</v>
      </c>
    </row>
    <row r="644" spans="1:14" ht="82" customHeight="1">
      <c r="A644" s="4" t="s">
        <v>6687</v>
      </c>
      <c r="B644" s="4" t="s">
        <v>198</v>
      </c>
      <c r="C644" s="4" t="s">
        <v>199</v>
      </c>
      <c r="D644" s="4" t="s">
        <v>5867</v>
      </c>
      <c r="E644" s="4" t="s">
        <v>41</v>
      </c>
      <c r="F644" s="4" t="s">
        <v>6688</v>
      </c>
      <c r="G644" s="4" t="s">
        <v>1292</v>
      </c>
      <c r="H644" s="4">
        <v>1</v>
      </c>
      <c r="I644" s="4">
        <v>1</v>
      </c>
      <c r="J644" s="4" t="s">
        <v>6689</v>
      </c>
      <c r="K644" s="4" t="s">
        <v>207</v>
      </c>
      <c r="L644" s="6">
        <v>46319</v>
      </c>
      <c r="M644" s="4" t="s">
        <v>5864</v>
      </c>
      <c r="N644" s="4" t="s">
        <v>5870</v>
      </c>
    </row>
    <row r="645" spans="1:14" ht="82" customHeight="1">
      <c r="A645" s="8" t="s">
        <v>6690</v>
      </c>
      <c r="B645" s="8" t="s">
        <v>198</v>
      </c>
      <c r="C645" s="8" t="s">
        <v>199</v>
      </c>
      <c r="D645" s="8" t="s">
        <v>5867</v>
      </c>
      <c r="E645" s="8" t="s">
        <v>41</v>
      </c>
      <c r="F645" s="8" t="s">
        <v>6691</v>
      </c>
      <c r="G645" s="8" t="s">
        <v>1292</v>
      </c>
      <c r="H645" s="8">
        <v>1</v>
      </c>
      <c r="I645" s="8">
        <v>1</v>
      </c>
      <c r="J645" s="8" t="s">
        <v>6692</v>
      </c>
      <c r="K645" s="8" t="s">
        <v>207</v>
      </c>
      <c r="L645" s="9">
        <v>46319</v>
      </c>
      <c r="M645" s="8" t="s">
        <v>5864</v>
      </c>
      <c r="N645" s="8" t="s">
        <v>5870</v>
      </c>
    </row>
    <row r="646" spans="1:14" ht="82" customHeight="1">
      <c r="A646" s="4" t="s">
        <v>6693</v>
      </c>
      <c r="B646" s="4" t="s">
        <v>198</v>
      </c>
      <c r="C646" s="4" t="s">
        <v>199</v>
      </c>
      <c r="D646" s="4" t="s">
        <v>5867</v>
      </c>
      <c r="E646" s="4" t="s">
        <v>41</v>
      </c>
      <c r="F646" s="4" t="s">
        <v>6694</v>
      </c>
      <c r="G646" s="4" t="s">
        <v>1292</v>
      </c>
      <c r="H646" s="4">
        <v>1</v>
      </c>
      <c r="I646" s="4">
        <v>1</v>
      </c>
      <c r="J646" s="4" t="s">
        <v>6695</v>
      </c>
      <c r="K646" s="4" t="s">
        <v>207</v>
      </c>
      <c r="L646" s="6">
        <v>46319</v>
      </c>
      <c r="M646" s="4" t="s">
        <v>5864</v>
      </c>
      <c r="N646" s="4" t="s">
        <v>5870</v>
      </c>
    </row>
    <row r="647" spans="1:14" ht="82" customHeight="1">
      <c r="A647" s="8" t="s">
        <v>6696</v>
      </c>
      <c r="B647" s="8" t="s">
        <v>198</v>
      </c>
      <c r="C647" s="8" t="s">
        <v>199</v>
      </c>
      <c r="D647" s="8" t="s">
        <v>637</v>
      </c>
      <c r="E647" s="8" t="s">
        <v>41</v>
      </c>
      <c r="F647" s="8" t="s">
        <v>904</v>
      </c>
      <c r="G647" s="8" t="s">
        <v>1292</v>
      </c>
      <c r="H647" s="8">
        <v>1</v>
      </c>
      <c r="I647" s="8">
        <v>1</v>
      </c>
      <c r="J647" s="8" t="s">
        <v>1290</v>
      </c>
      <c r="K647" s="8" t="s">
        <v>207</v>
      </c>
      <c r="L647" s="9">
        <v>46319</v>
      </c>
      <c r="M647" s="8" t="s">
        <v>5864</v>
      </c>
      <c r="N647" s="8" t="s">
        <v>5870</v>
      </c>
    </row>
    <row r="648" spans="1:14" ht="82" customHeight="1">
      <c r="A648" s="4" t="s">
        <v>6697</v>
      </c>
      <c r="B648" s="4" t="s">
        <v>198</v>
      </c>
      <c r="C648" s="4" t="s">
        <v>199</v>
      </c>
      <c r="D648" s="4" t="s">
        <v>637</v>
      </c>
      <c r="E648" s="4" t="s">
        <v>41</v>
      </c>
      <c r="F648" s="4" t="s">
        <v>912</v>
      </c>
      <c r="G648" s="4" t="s">
        <v>1292</v>
      </c>
      <c r="H648" s="4">
        <v>1</v>
      </c>
      <c r="I648" s="4">
        <v>1</v>
      </c>
      <c r="J648" s="4" t="s">
        <v>1294</v>
      </c>
      <c r="K648" s="4" t="s">
        <v>207</v>
      </c>
      <c r="L648" s="6">
        <v>46319</v>
      </c>
      <c r="M648" s="4" t="s">
        <v>5864</v>
      </c>
      <c r="N648" s="4" t="s">
        <v>5870</v>
      </c>
    </row>
    <row r="649" spans="1:14" ht="82" customHeight="1">
      <c r="A649" s="8" t="s">
        <v>6698</v>
      </c>
      <c r="B649" s="8" t="s">
        <v>198</v>
      </c>
      <c r="C649" s="8" t="s">
        <v>199</v>
      </c>
      <c r="D649" s="8" t="s">
        <v>637</v>
      </c>
      <c r="E649" s="8" t="s">
        <v>41</v>
      </c>
      <c r="F649" s="8" t="s">
        <v>1015</v>
      </c>
      <c r="G649" s="8" t="s">
        <v>1292</v>
      </c>
      <c r="H649" s="8">
        <v>1</v>
      </c>
      <c r="I649" s="8">
        <v>1</v>
      </c>
      <c r="J649" s="8" t="s">
        <v>1297</v>
      </c>
      <c r="K649" s="8" t="s">
        <v>207</v>
      </c>
      <c r="L649" s="9">
        <v>46319</v>
      </c>
      <c r="M649" s="8" t="s">
        <v>5864</v>
      </c>
      <c r="N649" s="8" t="s">
        <v>5870</v>
      </c>
    </row>
    <row r="650" spans="1:14" ht="82" customHeight="1">
      <c r="A650" s="4" t="s">
        <v>6699</v>
      </c>
      <c r="B650" s="4" t="s">
        <v>198</v>
      </c>
      <c r="C650" s="4" t="s">
        <v>199</v>
      </c>
      <c r="D650" s="4" t="s">
        <v>637</v>
      </c>
      <c r="E650" s="4" t="s">
        <v>41</v>
      </c>
      <c r="F650" s="4" t="s">
        <v>1019</v>
      </c>
      <c r="G650" s="4" t="s">
        <v>1292</v>
      </c>
      <c r="H650" s="4">
        <v>1</v>
      </c>
      <c r="I650" s="4">
        <v>1</v>
      </c>
      <c r="J650" s="4" t="s">
        <v>1300</v>
      </c>
      <c r="K650" s="4" t="s">
        <v>207</v>
      </c>
      <c r="L650" s="6">
        <v>46319</v>
      </c>
      <c r="M650" s="4" t="s">
        <v>5864</v>
      </c>
      <c r="N650" s="4" t="s">
        <v>5870</v>
      </c>
    </row>
    <row r="651" spans="1:14" ht="82" customHeight="1">
      <c r="A651" s="8" t="s">
        <v>6700</v>
      </c>
      <c r="B651" s="8" t="s">
        <v>198</v>
      </c>
      <c r="C651" s="8" t="s">
        <v>199</v>
      </c>
      <c r="D651" s="8" t="s">
        <v>637</v>
      </c>
      <c r="E651" s="8" t="s">
        <v>41</v>
      </c>
      <c r="F651" s="8" t="s">
        <v>1147</v>
      </c>
      <c r="G651" s="8" t="s">
        <v>1292</v>
      </c>
      <c r="H651" s="8">
        <v>1</v>
      </c>
      <c r="I651" s="8">
        <v>1</v>
      </c>
      <c r="J651" s="8" t="s">
        <v>1303</v>
      </c>
      <c r="K651" s="8" t="s">
        <v>207</v>
      </c>
      <c r="L651" s="9">
        <v>46319</v>
      </c>
      <c r="M651" s="8" t="s">
        <v>5864</v>
      </c>
      <c r="N651" s="8" t="s">
        <v>5870</v>
      </c>
    </row>
    <row r="652" spans="1:14" ht="82" customHeight="1">
      <c r="A652" s="4" t="s">
        <v>6701</v>
      </c>
      <c r="B652" s="4" t="s">
        <v>198</v>
      </c>
      <c r="C652" s="4" t="s">
        <v>199</v>
      </c>
      <c r="D652" s="4" t="s">
        <v>637</v>
      </c>
      <c r="E652" s="4" t="s">
        <v>41</v>
      </c>
      <c r="F652" s="4" t="s">
        <v>1254</v>
      </c>
      <c r="G652" s="4" t="s">
        <v>1292</v>
      </c>
      <c r="H652" s="4">
        <v>1</v>
      </c>
      <c r="I652" s="4">
        <v>1</v>
      </c>
      <c r="J652" s="4" t="s">
        <v>1306</v>
      </c>
      <c r="K652" s="4" t="s">
        <v>207</v>
      </c>
      <c r="L652" s="6">
        <v>46319</v>
      </c>
      <c r="M652" s="4" t="s">
        <v>5864</v>
      </c>
      <c r="N652" s="4" t="s">
        <v>5870</v>
      </c>
    </row>
    <row r="653" spans="1:14" ht="82" customHeight="1">
      <c r="A653" s="8" t="s">
        <v>6702</v>
      </c>
      <c r="B653" s="8" t="s">
        <v>198</v>
      </c>
      <c r="C653" s="8" t="s">
        <v>199</v>
      </c>
      <c r="D653" s="8" t="s">
        <v>637</v>
      </c>
      <c r="E653" s="8" t="s">
        <v>41</v>
      </c>
      <c r="F653" s="8" t="s">
        <v>1258</v>
      </c>
      <c r="G653" s="8" t="s">
        <v>1292</v>
      </c>
      <c r="H653" s="8">
        <v>1</v>
      </c>
      <c r="I653" s="8">
        <v>1</v>
      </c>
      <c r="J653" s="8" t="s">
        <v>1309</v>
      </c>
      <c r="K653" s="8" t="s">
        <v>207</v>
      </c>
      <c r="L653" s="9">
        <v>46319</v>
      </c>
      <c r="M653" s="8" t="s">
        <v>5864</v>
      </c>
      <c r="N653" s="8" t="s">
        <v>5870</v>
      </c>
    </row>
    <row r="654" spans="1:14" ht="82" customHeight="1">
      <c r="A654" s="4" t="s">
        <v>6703</v>
      </c>
      <c r="B654" s="4" t="s">
        <v>198</v>
      </c>
      <c r="C654" s="4" t="s">
        <v>199</v>
      </c>
      <c r="D654" s="4" t="s">
        <v>637</v>
      </c>
      <c r="E654" s="4" t="s">
        <v>41</v>
      </c>
      <c r="F654" s="4" t="s">
        <v>988</v>
      </c>
      <c r="G654" s="4" t="s">
        <v>1292</v>
      </c>
      <c r="H654" s="4">
        <v>1</v>
      </c>
      <c r="I654" s="4">
        <v>1</v>
      </c>
      <c r="J654" s="4" t="s">
        <v>1312</v>
      </c>
      <c r="K654" s="4" t="s">
        <v>207</v>
      </c>
      <c r="L654" s="6">
        <v>46319</v>
      </c>
      <c r="M654" s="4" t="s">
        <v>5864</v>
      </c>
      <c r="N654" s="4" t="s">
        <v>6087</v>
      </c>
    </row>
    <row r="655" spans="1:14" ht="82" customHeight="1">
      <c r="A655" s="8" t="s">
        <v>6704</v>
      </c>
      <c r="B655" s="8" t="s">
        <v>198</v>
      </c>
      <c r="C655" s="8" t="s">
        <v>199</v>
      </c>
      <c r="D655" s="8" t="s">
        <v>637</v>
      </c>
      <c r="E655" s="8" t="s">
        <v>41</v>
      </c>
      <c r="F655" s="8" t="s">
        <v>1055</v>
      </c>
      <c r="G655" s="8" t="s">
        <v>1292</v>
      </c>
      <c r="H655" s="8">
        <v>1</v>
      </c>
      <c r="I655" s="8">
        <v>1</v>
      </c>
      <c r="J655" s="8" t="s">
        <v>1315</v>
      </c>
      <c r="K655" s="8" t="s">
        <v>207</v>
      </c>
      <c r="L655" s="9">
        <v>46319</v>
      </c>
      <c r="M655" s="8" t="s">
        <v>5864</v>
      </c>
      <c r="N655" s="8" t="s">
        <v>5870</v>
      </c>
    </row>
    <row r="656" spans="1:14" ht="82" customHeight="1">
      <c r="A656" s="4" t="s">
        <v>6705</v>
      </c>
      <c r="B656" s="4" t="s">
        <v>198</v>
      </c>
      <c r="C656" s="4" t="s">
        <v>199</v>
      </c>
      <c r="D656" s="4" t="s">
        <v>637</v>
      </c>
      <c r="E656" s="4" t="s">
        <v>41</v>
      </c>
      <c r="F656" s="4" t="s">
        <v>1059</v>
      </c>
      <c r="G656" s="4" t="s">
        <v>1292</v>
      </c>
      <c r="H656" s="4">
        <v>1</v>
      </c>
      <c r="I656" s="4">
        <v>1</v>
      </c>
      <c r="J656" s="4" t="s">
        <v>1318</v>
      </c>
      <c r="K656" s="4" t="s">
        <v>207</v>
      </c>
      <c r="L656" s="6">
        <v>46319</v>
      </c>
      <c r="M656" s="4" t="s">
        <v>5864</v>
      </c>
      <c r="N656" s="4" t="s">
        <v>5870</v>
      </c>
    </row>
    <row r="657" spans="1:14" ht="82" customHeight="1">
      <c r="A657" s="8" t="s">
        <v>6706</v>
      </c>
      <c r="B657" s="8" t="s">
        <v>198</v>
      </c>
      <c r="C657" s="8" t="s">
        <v>199</v>
      </c>
      <c r="D657" s="8" t="s">
        <v>637</v>
      </c>
      <c r="E657" s="8" t="s">
        <v>41</v>
      </c>
      <c r="F657" s="8" t="s">
        <v>1323</v>
      </c>
      <c r="G657" s="8" t="s">
        <v>1292</v>
      </c>
      <c r="H657" s="8">
        <v>1</v>
      </c>
      <c r="I657" s="8">
        <v>1</v>
      </c>
      <c r="J657" s="8" t="s">
        <v>1321</v>
      </c>
      <c r="K657" s="8" t="s">
        <v>207</v>
      </c>
      <c r="L657" s="9">
        <v>46319</v>
      </c>
      <c r="M657" s="8" t="s">
        <v>5864</v>
      </c>
      <c r="N657" s="8" t="s">
        <v>5870</v>
      </c>
    </row>
    <row r="658" spans="1:14" ht="82" customHeight="1">
      <c r="A658" s="4" t="s">
        <v>6707</v>
      </c>
      <c r="B658" s="4" t="s">
        <v>198</v>
      </c>
      <c r="C658" s="4" t="s">
        <v>199</v>
      </c>
      <c r="D658" s="4" t="s">
        <v>637</v>
      </c>
      <c r="E658" s="4" t="s">
        <v>41</v>
      </c>
      <c r="F658" s="4" t="s">
        <v>1221</v>
      </c>
      <c r="G658" s="4" t="s">
        <v>1292</v>
      </c>
      <c r="H658" s="4">
        <v>1</v>
      </c>
      <c r="I658" s="4">
        <v>1</v>
      </c>
      <c r="J658" s="4" t="s">
        <v>1326</v>
      </c>
      <c r="K658" s="4" t="s">
        <v>207</v>
      </c>
      <c r="L658" s="6">
        <v>46319</v>
      </c>
      <c r="M658" s="4" t="s">
        <v>5864</v>
      </c>
      <c r="N658" s="4" t="s">
        <v>6087</v>
      </c>
    </row>
    <row r="659" spans="1:14" ht="82" customHeight="1">
      <c r="A659" s="8" t="s">
        <v>6708</v>
      </c>
      <c r="B659" s="8" t="s">
        <v>198</v>
      </c>
      <c r="C659" s="8" t="s">
        <v>199</v>
      </c>
      <c r="D659" s="8" t="s">
        <v>637</v>
      </c>
      <c r="E659" s="8" t="s">
        <v>41</v>
      </c>
      <c r="F659" s="8" t="s">
        <v>1283</v>
      </c>
      <c r="G659" s="8" t="s">
        <v>1292</v>
      </c>
      <c r="H659" s="8">
        <v>1</v>
      </c>
      <c r="I659" s="8">
        <v>1</v>
      </c>
      <c r="J659" s="8" t="s">
        <v>1329</v>
      </c>
      <c r="K659" s="8" t="s">
        <v>207</v>
      </c>
      <c r="L659" s="9">
        <v>46319</v>
      </c>
      <c r="M659" s="8" t="s">
        <v>5864</v>
      </c>
      <c r="N659" s="8" t="s">
        <v>5870</v>
      </c>
    </row>
    <row r="660" spans="1:14" ht="82" customHeight="1">
      <c r="A660" s="4" t="s">
        <v>6709</v>
      </c>
      <c r="B660" s="4" t="s">
        <v>198</v>
      </c>
      <c r="C660" s="4" t="s">
        <v>199</v>
      </c>
      <c r="D660" s="4" t="s">
        <v>637</v>
      </c>
      <c r="E660" s="4" t="s">
        <v>41</v>
      </c>
      <c r="F660" s="4" t="s">
        <v>1287</v>
      </c>
      <c r="G660" s="4" t="s">
        <v>1292</v>
      </c>
      <c r="H660" s="4">
        <v>1</v>
      </c>
      <c r="I660" s="4">
        <v>1</v>
      </c>
      <c r="J660" s="4" t="s">
        <v>1332</v>
      </c>
      <c r="K660" s="4" t="s">
        <v>207</v>
      </c>
      <c r="L660" s="6">
        <v>46319</v>
      </c>
      <c r="M660" s="4" t="s">
        <v>5864</v>
      </c>
      <c r="N660" s="4" t="s">
        <v>5870</v>
      </c>
    </row>
    <row r="661" spans="1:14" ht="82" customHeight="1">
      <c r="A661" s="8" t="s">
        <v>6710</v>
      </c>
      <c r="B661" s="8" t="s">
        <v>198</v>
      </c>
      <c r="C661" s="8" t="s">
        <v>199</v>
      </c>
      <c r="D661" s="8" t="s">
        <v>637</v>
      </c>
      <c r="E661" s="8" t="s">
        <v>41</v>
      </c>
      <c r="F661" s="8" t="s">
        <v>1337</v>
      </c>
      <c r="G661" s="8" t="s">
        <v>1292</v>
      </c>
      <c r="H661" s="8">
        <v>1</v>
      </c>
      <c r="I661" s="8">
        <v>1</v>
      </c>
      <c r="J661" s="8" t="s">
        <v>1335</v>
      </c>
      <c r="K661" s="8" t="s">
        <v>207</v>
      </c>
      <c r="L661" s="9">
        <v>46319</v>
      </c>
      <c r="M661" s="8" t="s">
        <v>5864</v>
      </c>
      <c r="N661" s="8" t="s">
        <v>5870</v>
      </c>
    </row>
    <row r="662" spans="1:14" ht="82" customHeight="1">
      <c r="A662" s="4" t="s">
        <v>6711</v>
      </c>
      <c r="B662" s="4" t="s">
        <v>198</v>
      </c>
      <c r="C662" s="4" t="s">
        <v>199</v>
      </c>
      <c r="D662" s="4" t="s">
        <v>914</v>
      </c>
      <c r="E662" s="4" t="s">
        <v>41</v>
      </c>
      <c r="F662" s="4" t="s">
        <v>952</v>
      </c>
      <c r="G662" s="4" t="s">
        <v>1292</v>
      </c>
      <c r="H662" s="4">
        <v>1</v>
      </c>
      <c r="I662" s="4">
        <v>1</v>
      </c>
      <c r="J662" s="4" t="s">
        <v>1339</v>
      </c>
      <c r="K662" s="4" t="s">
        <v>207</v>
      </c>
      <c r="L662" s="6">
        <v>46319</v>
      </c>
      <c r="M662" s="4" t="s">
        <v>5864</v>
      </c>
      <c r="N662" s="4" t="s">
        <v>5870</v>
      </c>
    </row>
    <row r="663" spans="1:14" ht="82" customHeight="1">
      <c r="A663" s="8" t="s">
        <v>6712</v>
      </c>
      <c r="B663" s="8" t="s">
        <v>198</v>
      </c>
      <c r="C663" s="8" t="s">
        <v>199</v>
      </c>
      <c r="D663" s="8" t="s">
        <v>914</v>
      </c>
      <c r="E663" s="8" t="s">
        <v>41</v>
      </c>
      <c r="F663" s="8" t="s">
        <v>956</v>
      </c>
      <c r="G663" s="8" t="s">
        <v>1292</v>
      </c>
      <c r="H663" s="8">
        <v>1</v>
      </c>
      <c r="I663" s="8">
        <v>1</v>
      </c>
      <c r="J663" s="8" t="s">
        <v>1342</v>
      </c>
      <c r="K663" s="8" t="s">
        <v>207</v>
      </c>
      <c r="L663" s="9">
        <v>46319</v>
      </c>
      <c r="M663" s="8" t="s">
        <v>5864</v>
      </c>
      <c r="N663" s="8" t="s">
        <v>5870</v>
      </c>
    </row>
    <row r="664" spans="1:14" ht="82" customHeight="1">
      <c r="A664" s="4" t="s">
        <v>6713</v>
      </c>
      <c r="B664" s="4" t="s">
        <v>198</v>
      </c>
      <c r="C664" s="4" t="s">
        <v>199</v>
      </c>
      <c r="D664" s="4" t="s">
        <v>914</v>
      </c>
      <c r="E664" s="4" t="s">
        <v>41</v>
      </c>
      <c r="F664" s="4" t="s">
        <v>960</v>
      </c>
      <c r="G664" s="4" t="s">
        <v>1292</v>
      </c>
      <c r="H664" s="4">
        <v>1</v>
      </c>
      <c r="I664" s="4">
        <v>1</v>
      </c>
      <c r="J664" s="4" t="s">
        <v>1345</v>
      </c>
      <c r="K664" s="4" t="s">
        <v>207</v>
      </c>
      <c r="L664" s="6">
        <v>46319</v>
      </c>
      <c r="M664" s="4" t="s">
        <v>5864</v>
      </c>
      <c r="N664" s="4" t="s">
        <v>5870</v>
      </c>
    </row>
    <row r="665" spans="1:14" ht="82" customHeight="1">
      <c r="A665" s="8" t="s">
        <v>5063</v>
      </c>
      <c r="B665" s="8" t="s">
        <v>198</v>
      </c>
      <c r="C665" s="8" t="s">
        <v>199</v>
      </c>
      <c r="D665" s="8" t="s">
        <v>7</v>
      </c>
      <c r="E665" s="8" t="s">
        <v>41</v>
      </c>
      <c r="F665" s="8" t="s">
        <v>6212</v>
      </c>
      <c r="G665" s="8" t="s">
        <v>1292</v>
      </c>
      <c r="H665" s="8">
        <v>1</v>
      </c>
      <c r="I665" s="8">
        <v>1</v>
      </c>
      <c r="J665" s="8" t="s">
        <v>5064</v>
      </c>
      <c r="K665" s="8" t="s">
        <v>207</v>
      </c>
      <c r="L665" s="9">
        <v>46319</v>
      </c>
      <c r="M665" s="8" t="s">
        <v>5864</v>
      </c>
      <c r="N665" s="8" t="s">
        <v>6087</v>
      </c>
    </row>
    <row r="666" spans="1:14" ht="82" customHeight="1">
      <c r="A666" s="4" t="s">
        <v>5065</v>
      </c>
      <c r="B666" s="4" t="s">
        <v>198</v>
      </c>
      <c r="C666" s="4" t="s">
        <v>199</v>
      </c>
      <c r="D666" s="4" t="s">
        <v>7</v>
      </c>
      <c r="E666" s="4" t="s">
        <v>41</v>
      </c>
      <c r="F666" s="4" t="s">
        <v>6577</v>
      </c>
      <c r="G666" s="4" t="s">
        <v>1292</v>
      </c>
      <c r="H666" s="4">
        <v>1</v>
      </c>
      <c r="I666" s="4">
        <v>1</v>
      </c>
      <c r="J666" s="4" t="s">
        <v>5066</v>
      </c>
      <c r="K666" s="4" t="s">
        <v>207</v>
      </c>
      <c r="L666" s="6">
        <v>46319</v>
      </c>
      <c r="M666" s="4" t="s">
        <v>5864</v>
      </c>
      <c r="N666" s="4" t="s">
        <v>5870</v>
      </c>
    </row>
    <row r="667" spans="1:14" ht="82" customHeight="1">
      <c r="A667" s="8" t="s">
        <v>5067</v>
      </c>
      <c r="B667" s="8" t="s">
        <v>198</v>
      </c>
      <c r="C667" s="8" t="s">
        <v>199</v>
      </c>
      <c r="D667" s="8" t="s">
        <v>7</v>
      </c>
      <c r="E667" s="8" t="s">
        <v>41</v>
      </c>
      <c r="F667" s="8" t="s">
        <v>6578</v>
      </c>
      <c r="G667" s="8" t="s">
        <v>1292</v>
      </c>
      <c r="H667" s="8">
        <v>1</v>
      </c>
      <c r="I667" s="8">
        <v>1</v>
      </c>
      <c r="J667" s="8" t="s">
        <v>5068</v>
      </c>
      <c r="K667" s="8" t="s">
        <v>207</v>
      </c>
      <c r="L667" s="9">
        <v>46319</v>
      </c>
      <c r="M667" s="8" t="s">
        <v>5864</v>
      </c>
      <c r="N667" s="8" t="s">
        <v>5870</v>
      </c>
    </row>
    <row r="668" spans="1:14" ht="82" customHeight="1">
      <c r="A668" s="4" t="s">
        <v>5069</v>
      </c>
      <c r="B668" s="4" t="s">
        <v>198</v>
      </c>
      <c r="C668" s="4" t="s">
        <v>199</v>
      </c>
      <c r="D668" s="4" t="s">
        <v>7</v>
      </c>
      <c r="E668" s="4" t="s">
        <v>41</v>
      </c>
      <c r="F668" s="4" t="s">
        <v>6579</v>
      </c>
      <c r="G668" s="4" t="s">
        <v>1292</v>
      </c>
      <c r="H668" s="4">
        <v>1</v>
      </c>
      <c r="I668" s="4">
        <v>1</v>
      </c>
      <c r="J668" s="4" t="s">
        <v>5070</v>
      </c>
      <c r="K668" s="4" t="s">
        <v>207</v>
      </c>
      <c r="L668" s="6">
        <v>46319</v>
      </c>
      <c r="M668" s="4" t="s">
        <v>5864</v>
      </c>
      <c r="N668" s="4" t="s">
        <v>5870</v>
      </c>
    </row>
    <row r="669" spans="1:14" ht="82" customHeight="1">
      <c r="A669" s="8" t="s">
        <v>5071</v>
      </c>
      <c r="B669" s="8" t="s">
        <v>198</v>
      </c>
      <c r="C669" s="8" t="s">
        <v>199</v>
      </c>
      <c r="D669" s="8" t="s">
        <v>7</v>
      </c>
      <c r="E669" s="8" t="s">
        <v>41</v>
      </c>
      <c r="F669" s="8" t="s">
        <v>6580</v>
      </c>
      <c r="G669" s="8" t="s">
        <v>1292</v>
      </c>
      <c r="H669" s="8">
        <v>1</v>
      </c>
      <c r="I669" s="8">
        <v>1</v>
      </c>
      <c r="J669" s="8" t="s">
        <v>5072</v>
      </c>
      <c r="K669" s="8" t="s">
        <v>207</v>
      </c>
      <c r="L669" s="9">
        <v>46319</v>
      </c>
      <c r="M669" s="8" t="s">
        <v>5864</v>
      </c>
      <c r="N669" s="8" t="s">
        <v>5870</v>
      </c>
    </row>
    <row r="670" spans="1:14" ht="82" customHeight="1">
      <c r="A670" s="4" t="s">
        <v>5073</v>
      </c>
      <c r="B670" s="4" t="s">
        <v>198</v>
      </c>
      <c r="C670" s="4" t="s">
        <v>199</v>
      </c>
      <c r="D670" s="4" t="s">
        <v>7</v>
      </c>
      <c r="E670" s="4" t="s">
        <v>41</v>
      </c>
      <c r="F670" s="4" t="s">
        <v>6581</v>
      </c>
      <c r="G670" s="4" t="s">
        <v>1292</v>
      </c>
      <c r="H670" s="4">
        <v>1</v>
      </c>
      <c r="I670" s="4">
        <v>1</v>
      </c>
      <c r="J670" s="4" t="s">
        <v>5074</v>
      </c>
      <c r="K670" s="4" t="s">
        <v>207</v>
      </c>
      <c r="L670" s="6">
        <v>46319</v>
      </c>
      <c r="M670" s="4" t="s">
        <v>5864</v>
      </c>
      <c r="N670" s="4" t="s">
        <v>5870</v>
      </c>
    </row>
    <row r="671" spans="1:14" ht="82" customHeight="1">
      <c r="A671" s="8" t="s">
        <v>5075</v>
      </c>
      <c r="B671" s="8" t="s">
        <v>198</v>
      </c>
      <c r="C671" s="8" t="s">
        <v>199</v>
      </c>
      <c r="D671" s="8" t="s">
        <v>7</v>
      </c>
      <c r="E671" s="8" t="s">
        <v>41</v>
      </c>
      <c r="F671" s="8" t="s">
        <v>6582</v>
      </c>
      <c r="G671" s="8" t="s">
        <v>1292</v>
      </c>
      <c r="H671" s="8">
        <v>1</v>
      </c>
      <c r="I671" s="8">
        <v>1</v>
      </c>
      <c r="J671" s="8" t="s">
        <v>5076</v>
      </c>
      <c r="K671" s="8" t="s">
        <v>207</v>
      </c>
      <c r="L671" s="9">
        <v>46319</v>
      </c>
      <c r="M671" s="8" t="s">
        <v>5864</v>
      </c>
      <c r="N671" s="8" t="s">
        <v>5870</v>
      </c>
    </row>
    <row r="672" spans="1:14" ht="82" customHeight="1">
      <c r="A672" s="4" t="s">
        <v>5077</v>
      </c>
      <c r="B672" s="4" t="s">
        <v>198</v>
      </c>
      <c r="C672" s="4" t="s">
        <v>199</v>
      </c>
      <c r="D672" s="4" t="s">
        <v>7</v>
      </c>
      <c r="E672" s="4" t="s">
        <v>41</v>
      </c>
      <c r="F672" s="4" t="s">
        <v>6583</v>
      </c>
      <c r="G672" s="4" t="s">
        <v>1292</v>
      </c>
      <c r="H672" s="4">
        <v>1</v>
      </c>
      <c r="I672" s="4">
        <v>1</v>
      </c>
      <c r="J672" s="4" t="s">
        <v>5078</v>
      </c>
      <c r="K672" s="4" t="s">
        <v>207</v>
      </c>
      <c r="L672" s="6">
        <v>46319</v>
      </c>
      <c r="M672" s="4" t="s">
        <v>5864</v>
      </c>
      <c r="N672" s="4" t="s">
        <v>5870</v>
      </c>
    </row>
    <row r="673" spans="1:14" ht="82" customHeight="1">
      <c r="A673" s="8" t="s">
        <v>5079</v>
      </c>
      <c r="B673" s="8" t="s">
        <v>198</v>
      </c>
      <c r="C673" s="8" t="s">
        <v>199</v>
      </c>
      <c r="D673" s="8" t="s">
        <v>7</v>
      </c>
      <c r="E673" s="8" t="s">
        <v>41</v>
      </c>
      <c r="F673" s="8" t="s">
        <v>6584</v>
      </c>
      <c r="G673" s="8" t="s">
        <v>1292</v>
      </c>
      <c r="H673" s="8">
        <v>1</v>
      </c>
      <c r="I673" s="8">
        <v>1</v>
      </c>
      <c r="J673" s="8" t="s">
        <v>5080</v>
      </c>
      <c r="K673" s="8" t="s">
        <v>207</v>
      </c>
      <c r="L673" s="9">
        <v>46319</v>
      </c>
      <c r="M673" s="8" t="s">
        <v>5864</v>
      </c>
      <c r="N673" s="8" t="s">
        <v>5870</v>
      </c>
    </row>
    <row r="674" spans="1:14" ht="82" customHeight="1">
      <c r="A674" s="4" t="s">
        <v>5081</v>
      </c>
      <c r="B674" s="4" t="s">
        <v>198</v>
      </c>
      <c r="C674" s="4" t="s">
        <v>199</v>
      </c>
      <c r="D674" s="4" t="s">
        <v>7</v>
      </c>
      <c r="E674" s="4" t="s">
        <v>41</v>
      </c>
      <c r="F674" s="4" t="s">
        <v>6714</v>
      </c>
      <c r="G674" s="4" t="s">
        <v>1292</v>
      </c>
      <c r="H674" s="4">
        <v>1</v>
      </c>
      <c r="I674" s="4">
        <v>1</v>
      </c>
      <c r="J674" s="4" t="s">
        <v>5082</v>
      </c>
      <c r="K674" s="4" t="s">
        <v>207</v>
      </c>
      <c r="L674" s="6">
        <v>46319</v>
      </c>
      <c r="M674" s="4" t="s">
        <v>5864</v>
      </c>
      <c r="N674" s="4" t="s">
        <v>5870</v>
      </c>
    </row>
    <row r="675" spans="1:14" ht="82" customHeight="1">
      <c r="A675" s="8" t="s">
        <v>5083</v>
      </c>
      <c r="B675" s="8" t="s">
        <v>198</v>
      </c>
      <c r="C675" s="8" t="s">
        <v>199</v>
      </c>
      <c r="D675" s="8" t="s">
        <v>7</v>
      </c>
      <c r="E675" s="8" t="s">
        <v>41</v>
      </c>
      <c r="F675" s="8" t="s">
        <v>6715</v>
      </c>
      <c r="G675" s="8" t="s">
        <v>1292</v>
      </c>
      <c r="H675" s="8">
        <v>1</v>
      </c>
      <c r="I675" s="8">
        <v>1</v>
      </c>
      <c r="J675" s="8" t="s">
        <v>5084</v>
      </c>
      <c r="K675" s="8" t="s">
        <v>207</v>
      </c>
      <c r="L675" s="9">
        <v>46319</v>
      </c>
      <c r="M675" s="8" t="s">
        <v>5864</v>
      </c>
      <c r="N675" s="8" t="s">
        <v>5870</v>
      </c>
    </row>
    <row r="676" spans="1:14" ht="82" customHeight="1">
      <c r="A676" s="4" t="s">
        <v>5085</v>
      </c>
      <c r="B676" s="4" t="s">
        <v>198</v>
      </c>
      <c r="C676" s="4" t="s">
        <v>199</v>
      </c>
      <c r="D676" s="4" t="s">
        <v>7</v>
      </c>
      <c r="E676" s="4" t="s">
        <v>41</v>
      </c>
      <c r="F676" s="4" t="s">
        <v>6716</v>
      </c>
      <c r="G676" s="4" t="s">
        <v>1292</v>
      </c>
      <c r="H676" s="4">
        <v>1</v>
      </c>
      <c r="I676" s="4">
        <v>1</v>
      </c>
      <c r="J676" s="4" t="s">
        <v>5086</v>
      </c>
      <c r="K676" s="4" t="s">
        <v>207</v>
      </c>
      <c r="L676" s="6">
        <v>46319</v>
      </c>
      <c r="M676" s="4" t="s">
        <v>5864</v>
      </c>
      <c r="N676" s="4" t="s">
        <v>5870</v>
      </c>
    </row>
    <row r="677" spans="1:14" ht="82" customHeight="1">
      <c r="A677" s="8" t="s">
        <v>5087</v>
      </c>
      <c r="B677" s="8" t="s">
        <v>198</v>
      </c>
      <c r="C677" s="8" t="s">
        <v>199</v>
      </c>
      <c r="D677" s="8" t="s">
        <v>7</v>
      </c>
      <c r="E677" s="8" t="s">
        <v>41</v>
      </c>
      <c r="F677" s="8" t="s">
        <v>6717</v>
      </c>
      <c r="G677" s="8" t="s">
        <v>1292</v>
      </c>
      <c r="H677" s="8">
        <v>1</v>
      </c>
      <c r="I677" s="8">
        <v>1</v>
      </c>
      <c r="J677" s="8" t="s">
        <v>5088</v>
      </c>
      <c r="K677" s="8" t="s">
        <v>207</v>
      </c>
      <c r="L677" s="9">
        <v>46319</v>
      </c>
      <c r="M677" s="8" t="s">
        <v>5864</v>
      </c>
      <c r="N677" s="8" t="s">
        <v>5870</v>
      </c>
    </row>
    <row r="678" spans="1:14" ht="82" customHeight="1">
      <c r="A678" s="4" t="s">
        <v>5089</v>
      </c>
      <c r="B678" s="4" t="s">
        <v>198</v>
      </c>
      <c r="C678" s="4" t="s">
        <v>199</v>
      </c>
      <c r="D678" s="4" t="s">
        <v>7</v>
      </c>
      <c r="E678" s="4" t="s">
        <v>41</v>
      </c>
      <c r="F678" s="4" t="s">
        <v>6718</v>
      </c>
      <c r="G678" s="4" t="s">
        <v>1292</v>
      </c>
      <c r="H678" s="4">
        <v>1</v>
      </c>
      <c r="I678" s="4">
        <v>1</v>
      </c>
      <c r="J678" s="4" t="s">
        <v>5090</v>
      </c>
      <c r="K678" s="4" t="s">
        <v>207</v>
      </c>
      <c r="L678" s="6">
        <v>46319</v>
      </c>
      <c r="M678" s="4" t="s">
        <v>5864</v>
      </c>
      <c r="N678" s="4" t="s">
        <v>5870</v>
      </c>
    </row>
    <row r="679" spans="1:14" ht="82" customHeight="1">
      <c r="A679" s="8" t="s">
        <v>5091</v>
      </c>
      <c r="B679" s="8" t="s">
        <v>198</v>
      </c>
      <c r="C679" s="8" t="s">
        <v>199</v>
      </c>
      <c r="D679" s="8" t="s">
        <v>7</v>
      </c>
      <c r="E679" s="8" t="s">
        <v>41</v>
      </c>
      <c r="F679" s="8" t="s">
        <v>6586</v>
      </c>
      <c r="G679" s="8" t="s">
        <v>1292</v>
      </c>
      <c r="H679" s="8">
        <v>1</v>
      </c>
      <c r="I679" s="8">
        <v>1</v>
      </c>
      <c r="J679" s="8" t="s">
        <v>5092</v>
      </c>
      <c r="K679" s="8" t="s">
        <v>207</v>
      </c>
      <c r="L679" s="9">
        <v>46319</v>
      </c>
      <c r="M679" s="8" t="s">
        <v>5864</v>
      </c>
      <c r="N679" s="8" t="s">
        <v>6087</v>
      </c>
    </row>
    <row r="680" spans="1:14" ht="82" customHeight="1">
      <c r="A680" s="4" t="s">
        <v>5093</v>
      </c>
      <c r="B680" s="4" t="s">
        <v>198</v>
      </c>
      <c r="C680" s="4" t="s">
        <v>199</v>
      </c>
      <c r="D680" s="4" t="s">
        <v>7</v>
      </c>
      <c r="E680" s="4" t="s">
        <v>41</v>
      </c>
      <c r="F680" s="4" t="s">
        <v>6590</v>
      </c>
      <c r="G680" s="4" t="s">
        <v>1292</v>
      </c>
      <c r="H680" s="4">
        <v>1</v>
      </c>
      <c r="I680" s="4">
        <v>1</v>
      </c>
      <c r="J680" s="4" t="s">
        <v>5094</v>
      </c>
      <c r="K680" s="4" t="s">
        <v>207</v>
      </c>
      <c r="L680" s="6">
        <v>46319</v>
      </c>
      <c r="M680" s="4" t="s">
        <v>5864</v>
      </c>
      <c r="N680" s="4" t="s">
        <v>5870</v>
      </c>
    </row>
    <row r="681" spans="1:14" ht="82" customHeight="1">
      <c r="A681" s="8" t="s">
        <v>5095</v>
      </c>
      <c r="B681" s="8" t="s">
        <v>198</v>
      </c>
      <c r="C681" s="8" t="s">
        <v>199</v>
      </c>
      <c r="D681" s="8" t="s">
        <v>7</v>
      </c>
      <c r="E681" s="8" t="s">
        <v>41</v>
      </c>
      <c r="F681" s="8" t="s">
        <v>6719</v>
      </c>
      <c r="G681" s="8" t="s">
        <v>1292</v>
      </c>
      <c r="H681" s="8">
        <v>1</v>
      </c>
      <c r="I681" s="8">
        <v>1</v>
      </c>
      <c r="J681" s="8" t="s">
        <v>5096</v>
      </c>
      <c r="K681" s="8" t="s">
        <v>207</v>
      </c>
      <c r="L681" s="9">
        <v>46319</v>
      </c>
      <c r="M681" s="8" t="s">
        <v>5864</v>
      </c>
      <c r="N681" s="8" t="s">
        <v>6087</v>
      </c>
    </row>
    <row r="682" spans="1:14" ht="82" customHeight="1">
      <c r="A682" s="4" t="s">
        <v>5097</v>
      </c>
      <c r="B682" s="4" t="s">
        <v>198</v>
      </c>
      <c r="C682" s="4" t="s">
        <v>199</v>
      </c>
      <c r="D682" s="4" t="s">
        <v>7</v>
      </c>
      <c r="E682" s="4" t="s">
        <v>41</v>
      </c>
      <c r="F682" s="4" t="s">
        <v>6720</v>
      </c>
      <c r="G682" s="4" t="s">
        <v>1292</v>
      </c>
      <c r="H682" s="4">
        <v>1</v>
      </c>
      <c r="I682" s="4">
        <v>1</v>
      </c>
      <c r="J682" s="4" t="s">
        <v>5098</v>
      </c>
      <c r="K682" s="4" t="s">
        <v>207</v>
      </c>
      <c r="L682" s="6">
        <v>46319</v>
      </c>
      <c r="M682" s="4" t="s">
        <v>5864</v>
      </c>
      <c r="N682" s="4" t="s">
        <v>5870</v>
      </c>
    </row>
    <row r="683" spans="1:14" ht="82" customHeight="1">
      <c r="A683" s="8" t="s">
        <v>3893</v>
      </c>
      <c r="B683" s="8" t="s">
        <v>198</v>
      </c>
      <c r="C683" s="8" t="s">
        <v>199</v>
      </c>
      <c r="D683" s="8" t="s">
        <v>5879</v>
      </c>
      <c r="E683" s="8" t="s">
        <v>3894</v>
      </c>
      <c r="F683" s="8" t="s">
        <v>3449</v>
      </c>
      <c r="G683" s="8" t="s">
        <v>1292</v>
      </c>
      <c r="H683" s="8">
        <v>1</v>
      </c>
      <c r="I683" s="8">
        <v>1</v>
      </c>
      <c r="J683" s="8" t="s">
        <v>3894</v>
      </c>
      <c r="K683" s="8" t="s">
        <v>207</v>
      </c>
      <c r="L683" s="9">
        <v>46319</v>
      </c>
      <c r="M683" s="8" t="s">
        <v>5864</v>
      </c>
      <c r="N683" s="8" t="s">
        <v>5865</v>
      </c>
    </row>
    <row r="684" spans="1:14" ht="82" customHeight="1">
      <c r="A684" s="4" t="s">
        <v>3895</v>
      </c>
      <c r="B684" s="4" t="s">
        <v>198</v>
      </c>
      <c r="C684" s="4" t="s">
        <v>199</v>
      </c>
      <c r="D684" s="4" t="s">
        <v>5879</v>
      </c>
      <c r="E684" s="4" t="s">
        <v>3894</v>
      </c>
      <c r="F684" s="4" t="s">
        <v>3454</v>
      </c>
      <c r="G684" s="4" t="s">
        <v>1292</v>
      </c>
      <c r="H684" s="4">
        <v>1</v>
      </c>
      <c r="I684" s="4">
        <v>1</v>
      </c>
      <c r="J684" s="4" t="s">
        <v>3896</v>
      </c>
      <c r="K684" s="4" t="s">
        <v>207</v>
      </c>
      <c r="L684" s="6">
        <v>46319</v>
      </c>
      <c r="M684" s="4" t="s">
        <v>5864</v>
      </c>
      <c r="N684" s="4" t="s">
        <v>5870</v>
      </c>
    </row>
    <row r="685" spans="1:14" ht="82" customHeight="1">
      <c r="A685" s="8" t="s">
        <v>3897</v>
      </c>
      <c r="B685" s="8" t="s">
        <v>198</v>
      </c>
      <c r="C685" s="8" t="s">
        <v>199</v>
      </c>
      <c r="D685" s="8" t="s">
        <v>5879</v>
      </c>
      <c r="E685" s="8" t="s">
        <v>3894</v>
      </c>
      <c r="F685" s="8" t="s">
        <v>3519</v>
      </c>
      <c r="G685" s="8" t="s">
        <v>1292</v>
      </c>
      <c r="H685" s="8">
        <v>1</v>
      </c>
      <c r="I685" s="8">
        <v>1</v>
      </c>
      <c r="J685" s="8" t="s">
        <v>3898</v>
      </c>
      <c r="K685" s="8" t="s">
        <v>207</v>
      </c>
      <c r="L685" s="9">
        <v>46319</v>
      </c>
      <c r="M685" s="8" t="s">
        <v>5864</v>
      </c>
      <c r="N685" s="8" t="s">
        <v>5870</v>
      </c>
    </row>
    <row r="686" spans="1:14" ht="82" customHeight="1">
      <c r="A686" s="4" t="s">
        <v>3899</v>
      </c>
      <c r="B686" s="4" t="s">
        <v>198</v>
      </c>
      <c r="C686" s="4" t="s">
        <v>199</v>
      </c>
      <c r="D686" s="4" t="s">
        <v>5879</v>
      </c>
      <c r="E686" s="4" t="s">
        <v>3894</v>
      </c>
      <c r="F686" s="4" t="s">
        <v>3530</v>
      </c>
      <c r="G686" s="4" t="s">
        <v>1292</v>
      </c>
      <c r="H686" s="4">
        <v>1</v>
      </c>
      <c r="I686" s="4">
        <v>1</v>
      </c>
      <c r="J686" s="4" t="s">
        <v>3900</v>
      </c>
      <c r="K686" s="4" t="s">
        <v>207</v>
      </c>
      <c r="L686" s="6">
        <v>46319</v>
      </c>
      <c r="M686" s="4" t="s">
        <v>5864</v>
      </c>
      <c r="N686" s="4" t="s">
        <v>6087</v>
      </c>
    </row>
    <row r="687" spans="1:14" ht="82" customHeight="1">
      <c r="A687" s="8" t="s">
        <v>3901</v>
      </c>
      <c r="B687" s="8" t="s">
        <v>198</v>
      </c>
      <c r="C687" s="8" t="s">
        <v>199</v>
      </c>
      <c r="D687" s="8" t="s">
        <v>5879</v>
      </c>
      <c r="E687" s="8" t="s">
        <v>3894</v>
      </c>
      <c r="F687" s="8" t="s">
        <v>3535</v>
      </c>
      <c r="G687" s="8" t="s">
        <v>1292</v>
      </c>
      <c r="H687" s="8">
        <v>1</v>
      </c>
      <c r="I687" s="8">
        <v>1</v>
      </c>
      <c r="J687" s="8" t="s">
        <v>3902</v>
      </c>
      <c r="K687" s="8" t="s">
        <v>207</v>
      </c>
      <c r="L687" s="9">
        <v>46319</v>
      </c>
      <c r="M687" s="8" t="s">
        <v>5864</v>
      </c>
      <c r="N687" s="8" t="s">
        <v>6087</v>
      </c>
    </row>
    <row r="688" spans="1:14" ht="82" customHeight="1">
      <c r="A688" s="4" t="s">
        <v>3903</v>
      </c>
      <c r="B688" s="4" t="s">
        <v>198</v>
      </c>
      <c r="C688" s="4" t="s">
        <v>199</v>
      </c>
      <c r="D688" s="4" t="s">
        <v>5879</v>
      </c>
      <c r="E688" s="4" t="s">
        <v>3894</v>
      </c>
      <c r="F688" s="4" t="s">
        <v>3538</v>
      </c>
      <c r="G688" s="4" t="s">
        <v>1292</v>
      </c>
      <c r="H688" s="4">
        <v>1</v>
      </c>
      <c r="I688" s="4">
        <v>1</v>
      </c>
      <c r="J688" s="4" t="s">
        <v>3904</v>
      </c>
      <c r="K688" s="4" t="s">
        <v>207</v>
      </c>
      <c r="L688" s="6">
        <v>46319</v>
      </c>
      <c r="M688" s="4" t="s">
        <v>5864</v>
      </c>
      <c r="N688" s="4" t="s">
        <v>5870</v>
      </c>
    </row>
    <row r="689" spans="1:14" ht="82" customHeight="1">
      <c r="A689" s="8" t="s">
        <v>3905</v>
      </c>
      <c r="B689" s="8" t="s">
        <v>198</v>
      </c>
      <c r="C689" s="8" t="s">
        <v>199</v>
      </c>
      <c r="D689" s="8" t="s">
        <v>5879</v>
      </c>
      <c r="E689" s="8" t="s">
        <v>3894</v>
      </c>
      <c r="F689" s="8" t="s">
        <v>3907</v>
      </c>
      <c r="G689" s="8" t="s">
        <v>1292</v>
      </c>
      <c r="H689" s="8">
        <v>1</v>
      </c>
      <c r="I689" s="8">
        <v>1</v>
      </c>
      <c r="J689" s="8" t="s">
        <v>3906</v>
      </c>
      <c r="K689" s="8" t="s">
        <v>207</v>
      </c>
      <c r="L689" s="9">
        <v>46319</v>
      </c>
      <c r="M689" s="8" t="s">
        <v>5864</v>
      </c>
      <c r="N689" s="8" t="s">
        <v>5870</v>
      </c>
    </row>
    <row r="690" spans="1:14" ht="82" customHeight="1">
      <c r="A690" s="4" t="s">
        <v>3908</v>
      </c>
      <c r="B690" s="4" t="s">
        <v>198</v>
      </c>
      <c r="C690" s="4" t="s">
        <v>199</v>
      </c>
      <c r="D690" s="4" t="s">
        <v>5879</v>
      </c>
      <c r="E690" s="4" t="s">
        <v>3894</v>
      </c>
      <c r="F690" s="4" t="s">
        <v>3541</v>
      </c>
      <c r="G690" s="4" t="s">
        <v>1292</v>
      </c>
      <c r="H690" s="4">
        <v>1</v>
      </c>
      <c r="I690" s="4">
        <v>1</v>
      </c>
      <c r="J690" s="4" t="s">
        <v>3909</v>
      </c>
      <c r="K690" s="4" t="s">
        <v>207</v>
      </c>
      <c r="L690" s="6">
        <v>46319</v>
      </c>
      <c r="M690" s="4" t="s">
        <v>5864</v>
      </c>
      <c r="N690" s="4" t="s">
        <v>6087</v>
      </c>
    </row>
    <row r="691" spans="1:14" ht="82" customHeight="1">
      <c r="A691" s="8" t="s">
        <v>3910</v>
      </c>
      <c r="B691" s="8" t="s">
        <v>198</v>
      </c>
      <c r="C691" s="8" t="s">
        <v>199</v>
      </c>
      <c r="D691" s="8" t="s">
        <v>5879</v>
      </c>
      <c r="E691" s="8" t="s">
        <v>3894</v>
      </c>
      <c r="F691" s="8" t="s">
        <v>3912</v>
      </c>
      <c r="G691" s="8" t="s">
        <v>1292</v>
      </c>
      <c r="H691" s="8">
        <v>1</v>
      </c>
      <c r="I691" s="8">
        <v>1</v>
      </c>
      <c r="J691" s="8" t="s">
        <v>3911</v>
      </c>
      <c r="K691" s="8" t="s">
        <v>207</v>
      </c>
      <c r="L691" s="9">
        <v>46319</v>
      </c>
      <c r="M691" s="8" t="s">
        <v>5864</v>
      </c>
      <c r="N691" s="8" t="s">
        <v>6087</v>
      </c>
    </row>
    <row r="692" spans="1:14" ht="82" customHeight="1">
      <c r="A692" s="4" t="s">
        <v>3913</v>
      </c>
      <c r="B692" s="4" t="s">
        <v>198</v>
      </c>
      <c r="C692" s="4" t="s">
        <v>199</v>
      </c>
      <c r="D692" s="4" t="s">
        <v>5879</v>
      </c>
      <c r="E692" s="4" t="s">
        <v>3894</v>
      </c>
      <c r="F692" s="4" t="s">
        <v>3915</v>
      </c>
      <c r="G692" s="4" t="s">
        <v>1292</v>
      </c>
      <c r="H692" s="4">
        <v>1</v>
      </c>
      <c r="I692" s="4">
        <v>1</v>
      </c>
      <c r="J692" s="4" t="s">
        <v>3914</v>
      </c>
      <c r="K692" s="4" t="s">
        <v>207</v>
      </c>
      <c r="L692" s="6">
        <v>46319</v>
      </c>
      <c r="M692" s="4" t="s">
        <v>5864</v>
      </c>
      <c r="N692" s="4" t="s">
        <v>5870</v>
      </c>
    </row>
    <row r="693" spans="1:14" ht="82" customHeight="1">
      <c r="A693" s="8" t="s">
        <v>3916</v>
      </c>
      <c r="B693" s="8" t="s">
        <v>198</v>
      </c>
      <c r="C693" s="8" t="s">
        <v>199</v>
      </c>
      <c r="D693" s="8" t="s">
        <v>5879</v>
      </c>
      <c r="E693" s="8" t="s">
        <v>3894</v>
      </c>
      <c r="F693" s="8" t="s">
        <v>3553</v>
      </c>
      <c r="G693" s="8" t="s">
        <v>1292</v>
      </c>
      <c r="H693" s="8">
        <v>1</v>
      </c>
      <c r="I693" s="8">
        <v>1</v>
      </c>
      <c r="J693" s="8" t="s">
        <v>3917</v>
      </c>
      <c r="K693" s="8" t="s">
        <v>207</v>
      </c>
      <c r="L693" s="9">
        <v>46319</v>
      </c>
      <c r="M693" s="8" t="s">
        <v>5864</v>
      </c>
      <c r="N693" s="8" t="s">
        <v>5870</v>
      </c>
    </row>
    <row r="694" spans="1:14" ht="82" customHeight="1">
      <c r="A694" s="4" t="s">
        <v>3918</v>
      </c>
      <c r="B694" s="4" t="s">
        <v>198</v>
      </c>
      <c r="C694" s="4" t="s">
        <v>199</v>
      </c>
      <c r="D694" s="4" t="s">
        <v>5879</v>
      </c>
      <c r="E694" s="4" t="s">
        <v>3894</v>
      </c>
      <c r="F694" s="4" t="s">
        <v>3585</v>
      </c>
      <c r="G694" s="4" t="s">
        <v>1292</v>
      </c>
      <c r="H694" s="4">
        <v>1</v>
      </c>
      <c r="I694" s="4">
        <v>1</v>
      </c>
      <c r="J694" s="4" t="s">
        <v>3877</v>
      </c>
      <c r="K694" s="4" t="s">
        <v>207</v>
      </c>
      <c r="L694" s="6">
        <v>46319</v>
      </c>
      <c r="M694" s="4" t="s">
        <v>5864</v>
      </c>
      <c r="N694" s="4" t="s">
        <v>6087</v>
      </c>
    </row>
    <row r="695" spans="1:14" ht="82" customHeight="1">
      <c r="A695" s="8" t="s">
        <v>3919</v>
      </c>
      <c r="B695" s="8" t="s">
        <v>198</v>
      </c>
      <c r="C695" s="8" t="s">
        <v>199</v>
      </c>
      <c r="D695" s="8" t="s">
        <v>5879</v>
      </c>
      <c r="E695" s="8" t="s">
        <v>3894</v>
      </c>
      <c r="F695" s="8" t="s">
        <v>3920</v>
      </c>
      <c r="G695" s="8" t="s">
        <v>1292</v>
      </c>
      <c r="H695" s="8">
        <v>1</v>
      </c>
      <c r="I695" s="8">
        <v>1</v>
      </c>
      <c r="J695" s="8" t="s">
        <v>3900</v>
      </c>
      <c r="K695" s="8" t="s">
        <v>207</v>
      </c>
      <c r="L695" s="9">
        <v>46319</v>
      </c>
      <c r="M695" s="8" t="s">
        <v>5864</v>
      </c>
      <c r="N695" s="8" t="s">
        <v>6087</v>
      </c>
    </row>
    <row r="696" spans="1:14" ht="82" customHeight="1">
      <c r="A696" s="4" t="s">
        <v>3921</v>
      </c>
      <c r="B696" s="4" t="s">
        <v>198</v>
      </c>
      <c r="C696" s="4" t="s">
        <v>199</v>
      </c>
      <c r="D696" s="4" t="s">
        <v>5879</v>
      </c>
      <c r="E696" s="4" t="s">
        <v>3894</v>
      </c>
      <c r="F696" s="4" t="s">
        <v>3923</v>
      </c>
      <c r="G696" s="4" t="s">
        <v>1292</v>
      </c>
      <c r="H696" s="4">
        <v>1</v>
      </c>
      <c r="I696" s="4">
        <v>1</v>
      </c>
      <c r="J696" s="4" t="s">
        <v>3922</v>
      </c>
      <c r="K696" s="4" t="s">
        <v>207</v>
      </c>
      <c r="L696" s="6">
        <v>46319</v>
      </c>
      <c r="M696" s="4" t="s">
        <v>5864</v>
      </c>
      <c r="N696" s="4" t="s">
        <v>6087</v>
      </c>
    </row>
    <row r="697" spans="1:14" ht="82" customHeight="1">
      <c r="A697" s="8" t="s">
        <v>3924</v>
      </c>
      <c r="B697" s="8" t="s">
        <v>198</v>
      </c>
      <c r="C697" s="8" t="s">
        <v>199</v>
      </c>
      <c r="D697" s="8" t="s">
        <v>5879</v>
      </c>
      <c r="E697" s="8" t="s">
        <v>3894</v>
      </c>
      <c r="F697" s="8" t="s">
        <v>3775</v>
      </c>
      <c r="G697" s="8" t="s">
        <v>1292</v>
      </c>
      <c r="H697" s="8">
        <v>1</v>
      </c>
      <c r="I697" s="8">
        <v>1</v>
      </c>
      <c r="J697" s="8" t="s">
        <v>3925</v>
      </c>
      <c r="K697" s="8" t="s">
        <v>207</v>
      </c>
      <c r="L697" s="9">
        <v>46319</v>
      </c>
      <c r="M697" s="8" t="s">
        <v>5864</v>
      </c>
      <c r="N697" s="8" t="s">
        <v>5865</v>
      </c>
    </row>
    <row r="698" spans="1:14" ht="82" customHeight="1">
      <c r="A698" s="4" t="s">
        <v>3926</v>
      </c>
      <c r="B698" s="4" t="s">
        <v>198</v>
      </c>
      <c r="C698" s="4" t="s">
        <v>199</v>
      </c>
      <c r="D698" s="4" t="s">
        <v>5879</v>
      </c>
      <c r="E698" s="4" t="s">
        <v>3894</v>
      </c>
      <c r="F698" s="4" t="s">
        <v>3617</v>
      </c>
      <c r="G698" s="4" t="s">
        <v>1292</v>
      </c>
      <c r="H698" s="4">
        <v>1</v>
      </c>
      <c r="I698" s="4">
        <v>1</v>
      </c>
      <c r="J698" s="4" t="s">
        <v>3909</v>
      </c>
      <c r="K698" s="4" t="s">
        <v>207</v>
      </c>
      <c r="L698" s="6">
        <v>46319</v>
      </c>
      <c r="M698" s="4" t="s">
        <v>5864</v>
      </c>
      <c r="N698" s="4" t="s">
        <v>6087</v>
      </c>
    </row>
    <row r="699" spans="1:14" ht="82" customHeight="1">
      <c r="A699" s="8" t="s">
        <v>3927</v>
      </c>
      <c r="B699" s="8" t="s">
        <v>198</v>
      </c>
      <c r="C699" s="8" t="s">
        <v>199</v>
      </c>
      <c r="D699" s="8" t="s">
        <v>5879</v>
      </c>
      <c r="E699" s="8" t="s">
        <v>3894</v>
      </c>
      <c r="F699" s="8" t="s">
        <v>3929</v>
      </c>
      <c r="G699" s="8" t="s">
        <v>1292</v>
      </c>
      <c r="H699" s="8">
        <v>1</v>
      </c>
      <c r="I699" s="8">
        <v>1</v>
      </c>
      <c r="J699" s="8" t="s">
        <v>3928</v>
      </c>
      <c r="K699" s="8" t="s">
        <v>207</v>
      </c>
      <c r="L699" s="9">
        <v>46319</v>
      </c>
      <c r="M699" s="8" t="s">
        <v>5864</v>
      </c>
      <c r="N699" s="8" t="s">
        <v>6087</v>
      </c>
    </row>
    <row r="700" spans="1:14" ht="82" customHeight="1">
      <c r="A700" s="4" t="s">
        <v>3930</v>
      </c>
      <c r="B700" s="4" t="s">
        <v>198</v>
      </c>
      <c r="C700" s="4" t="s">
        <v>199</v>
      </c>
      <c r="D700" s="4" t="s">
        <v>5879</v>
      </c>
      <c r="E700" s="4" t="s">
        <v>3894</v>
      </c>
      <c r="F700" s="4" t="s">
        <v>3777</v>
      </c>
      <c r="G700" s="4" t="s">
        <v>1292</v>
      </c>
      <c r="H700" s="4">
        <v>1</v>
      </c>
      <c r="I700" s="4">
        <v>1</v>
      </c>
      <c r="J700" s="4" t="s">
        <v>3931</v>
      </c>
      <c r="K700" s="4" t="s">
        <v>207</v>
      </c>
      <c r="L700" s="6">
        <v>46319</v>
      </c>
      <c r="M700" s="4" t="s">
        <v>5864</v>
      </c>
      <c r="N700" s="4" t="s">
        <v>5865</v>
      </c>
    </row>
    <row r="701" spans="1:14" ht="82" customHeight="1">
      <c r="A701" s="8" t="s">
        <v>3932</v>
      </c>
      <c r="B701" s="8" t="s">
        <v>198</v>
      </c>
      <c r="C701" s="8" t="s">
        <v>199</v>
      </c>
      <c r="D701" s="8" t="s">
        <v>5879</v>
      </c>
      <c r="E701" s="8" t="s">
        <v>3894</v>
      </c>
      <c r="F701" s="8" t="s">
        <v>3934</v>
      </c>
      <c r="G701" s="8" t="s">
        <v>1292</v>
      </c>
      <c r="H701" s="8">
        <v>1</v>
      </c>
      <c r="I701" s="8">
        <v>1</v>
      </c>
      <c r="J701" s="8" t="s">
        <v>3933</v>
      </c>
      <c r="K701" s="8" t="s">
        <v>207</v>
      </c>
      <c r="L701" s="9">
        <v>46319</v>
      </c>
      <c r="M701" s="8" t="s">
        <v>5864</v>
      </c>
      <c r="N701" s="8" t="s">
        <v>6087</v>
      </c>
    </row>
    <row r="702" spans="1:14" ht="82" customHeight="1">
      <c r="A702" s="4" t="s">
        <v>3935</v>
      </c>
      <c r="B702" s="4" t="s">
        <v>198</v>
      </c>
      <c r="C702" s="4" t="s">
        <v>199</v>
      </c>
      <c r="D702" s="4" t="s">
        <v>5879</v>
      </c>
      <c r="E702" s="4" t="s">
        <v>3894</v>
      </c>
      <c r="F702" s="4" t="s">
        <v>3937</v>
      </c>
      <c r="G702" s="4" t="s">
        <v>1292</v>
      </c>
      <c r="H702" s="4">
        <v>1</v>
      </c>
      <c r="I702" s="4">
        <v>1</v>
      </c>
      <c r="J702" s="4" t="s">
        <v>3936</v>
      </c>
      <c r="K702" s="4" t="s">
        <v>207</v>
      </c>
      <c r="L702" s="6">
        <v>46319</v>
      </c>
      <c r="M702" s="4" t="s">
        <v>5864</v>
      </c>
      <c r="N702" s="4" t="s">
        <v>6087</v>
      </c>
    </row>
    <row r="703" spans="1:14" ht="82" customHeight="1">
      <c r="A703" s="8" t="s">
        <v>3938</v>
      </c>
      <c r="B703" s="8" t="s">
        <v>198</v>
      </c>
      <c r="C703" s="8" t="s">
        <v>199</v>
      </c>
      <c r="D703" s="8" t="s">
        <v>5879</v>
      </c>
      <c r="E703" s="8" t="s">
        <v>3894</v>
      </c>
      <c r="F703" s="8" t="s">
        <v>3781</v>
      </c>
      <c r="G703" s="8" t="s">
        <v>1292</v>
      </c>
      <c r="H703" s="8">
        <v>1</v>
      </c>
      <c r="I703" s="8">
        <v>1</v>
      </c>
      <c r="J703" s="8" t="s">
        <v>3939</v>
      </c>
      <c r="K703" s="8" t="s">
        <v>207</v>
      </c>
      <c r="L703" s="9">
        <v>46319</v>
      </c>
      <c r="M703" s="8" t="s">
        <v>5864</v>
      </c>
      <c r="N703" s="8" t="s">
        <v>5865</v>
      </c>
    </row>
    <row r="704" spans="1:14" ht="82" customHeight="1">
      <c r="A704" s="4" t="s">
        <v>3940</v>
      </c>
      <c r="B704" s="4" t="s">
        <v>198</v>
      </c>
      <c r="C704" s="4" t="s">
        <v>199</v>
      </c>
      <c r="D704" s="4" t="s">
        <v>5879</v>
      </c>
      <c r="E704" s="4" t="s">
        <v>3894</v>
      </c>
      <c r="F704" s="4" t="s">
        <v>3942</v>
      </c>
      <c r="G704" s="4" t="s">
        <v>1292</v>
      </c>
      <c r="H704" s="4">
        <v>1</v>
      </c>
      <c r="I704" s="4">
        <v>1</v>
      </c>
      <c r="J704" s="4" t="s">
        <v>3941</v>
      </c>
      <c r="K704" s="4" t="s">
        <v>207</v>
      </c>
      <c r="L704" s="6">
        <v>46319</v>
      </c>
      <c r="M704" s="4" t="s">
        <v>5864</v>
      </c>
      <c r="N704" s="4" t="s">
        <v>6087</v>
      </c>
    </row>
    <row r="705" spans="1:14" ht="82" customHeight="1">
      <c r="A705" s="8" t="s">
        <v>3943</v>
      </c>
      <c r="B705" s="8" t="s">
        <v>198</v>
      </c>
      <c r="C705" s="8" t="s">
        <v>199</v>
      </c>
      <c r="D705" s="8" t="s">
        <v>5879</v>
      </c>
      <c r="E705" s="8" t="s">
        <v>3894</v>
      </c>
      <c r="F705" s="8" t="s">
        <v>3945</v>
      </c>
      <c r="G705" s="8" t="s">
        <v>1292</v>
      </c>
      <c r="H705" s="8">
        <v>1</v>
      </c>
      <c r="I705" s="8">
        <v>1</v>
      </c>
      <c r="J705" s="8" t="s">
        <v>3944</v>
      </c>
      <c r="K705" s="8" t="s">
        <v>207</v>
      </c>
      <c r="L705" s="9">
        <v>46319</v>
      </c>
      <c r="M705" s="8" t="s">
        <v>5864</v>
      </c>
      <c r="N705" s="8" t="s">
        <v>6087</v>
      </c>
    </row>
    <row r="706" spans="1:14" ht="82" customHeight="1">
      <c r="A706" s="4" t="s">
        <v>3946</v>
      </c>
      <c r="B706" s="4" t="s">
        <v>198</v>
      </c>
      <c r="C706" s="4" t="s">
        <v>199</v>
      </c>
      <c r="D706" s="4" t="s">
        <v>5879</v>
      </c>
      <c r="E706" s="4" t="s">
        <v>3894</v>
      </c>
      <c r="F706" s="4" t="s">
        <v>3785</v>
      </c>
      <c r="G706" s="4" t="s">
        <v>1292</v>
      </c>
      <c r="H706" s="4">
        <v>1</v>
      </c>
      <c r="I706" s="4">
        <v>1</v>
      </c>
      <c r="J706" s="4" t="s">
        <v>3947</v>
      </c>
      <c r="K706" s="4" t="s">
        <v>207</v>
      </c>
      <c r="L706" s="6">
        <v>46319</v>
      </c>
      <c r="M706" s="4" t="s">
        <v>5864</v>
      </c>
      <c r="N706" s="4" t="s">
        <v>5865</v>
      </c>
    </row>
    <row r="707" spans="1:14" ht="82" customHeight="1">
      <c r="A707" s="8" t="s">
        <v>3948</v>
      </c>
      <c r="B707" s="8" t="s">
        <v>198</v>
      </c>
      <c r="C707" s="8" t="s">
        <v>199</v>
      </c>
      <c r="D707" s="8" t="s">
        <v>5879</v>
      </c>
      <c r="E707" s="8" t="s">
        <v>3894</v>
      </c>
      <c r="F707" s="8" t="s">
        <v>3950</v>
      </c>
      <c r="G707" s="8" t="s">
        <v>1292</v>
      </c>
      <c r="H707" s="8">
        <v>1</v>
      </c>
      <c r="I707" s="8">
        <v>1</v>
      </c>
      <c r="J707" s="8" t="s">
        <v>3949</v>
      </c>
      <c r="K707" s="8" t="s">
        <v>207</v>
      </c>
      <c r="L707" s="9">
        <v>46319</v>
      </c>
      <c r="M707" s="8" t="s">
        <v>5864</v>
      </c>
      <c r="N707" s="8" t="s">
        <v>6087</v>
      </c>
    </row>
    <row r="708" spans="1:14" ht="82" customHeight="1">
      <c r="A708" s="4" t="s">
        <v>3951</v>
      </c>
      <c r="B708" s="4" t="s">
        <v>198</v>
      </c>
      <c r="C708" s="4" t="s">
        <v>199</v>
      </c>
      <c r="D708" s="4" t="s">
        <v>5879</v>
      </c>
      <c r="E708" s="4" t="s">
        <v>3894</v>
      </c>
      <c r="F708" s="4" t="s">
        <v>3953</v>
      </c>
      <c r="G708" s="4" t="s">
        <v>1292</v>
      </c>
      <c r="H708" s="4">
        <v>1</v>
      </c>
      <c r="I708" s="4">
        <v>1</v>
      </c>
      <c r="J708" s="4" t="s">
        <v>3952</v>
      </c>
      <c r="K708" s="4" t="s">
        <v>207</v>
      </c>
      <c r="L708" s="6">
        <v>46319</v>
      </c>
      <c r="M708" s="4" t="s">
        <v>5864</v>
      </c>
      <c r="N708" s="4" t="s">
        <v>6087</v>
      </c>
    </row>
    <row r="709" spans="1:14" ht="82" customHeight="1">
      <c r="A709" s="8" t="s">
        <v>3954</v>
      </c>
      <c r="B709" s="8" t="s">
        <v>198</v>
      </c>
      <c r="C709" s="8" t="s">
        <v>199</v>
      </c>
      <c r="D709" s="8" t="s">
        <v>5879</v>
      </c>
      <c r="E709" s="8" t="s">
        <v>3894</v>
      </c>
      <c r="F709" s="8" t="s">
        <v>3787</v>
      </c>
      <c r="G709" s="8" t="s">
        <v>1292</v>
      </c>
      <c r="H709" s="8">
        <v>1</v>
      </c>
      <c r="I709" s="8">
        <v>1</v>
      </c>
      <c r="J709" s="8" t="s">
        <v>3955</v>
      </c>
      <c r="K709" s="8" t="s">
        <v>207</v>
      </c>
      <c r="L709" s="9">
        <v>46319</v>
      </c>
      <c r="M709" s="8" t="s">
        <v>5864</v>
      </c>
      <c r="N709" s="8" t="s">
        <v>5865</v>
      </c>
    </row>
    <row r="710" spans="1:14" ht="82" customHeight="1">
      <c r="A710" s="4" t="s">
        <v>3956</v>
      </c>
      <c r="B710" s="4" t="s">
        <v>198</v>
      </c>
      <c r="C710" s="4" t="s">
        <v>199</v>
      </c>
      <c r="D710" s="4" t="s">
        <v>5879</v>
      </c>
      <c r="E710" s="4" t="s">
        <v>3894</v>
      </c>
      <c r="F710" s="4" t="s">
        <v>3958</v>
      </c>
      <c r="G710" s="4" t="s">
        <v>1292</v>
      </c>
      <c r="H710" s="4">
        <v>1</v>
      </c>
      <c r="I710" s="4">
        <v>1</v>
      </c>
      <c r="J710" s="4" t="s">
        <v>3957</v>
      </c>
      <c r="K710" s="4" t="s">
        <v>207</v>
      </c>
      <c r="L710" s="6">
        <v>46319</v>
      </c>
      <c r="M710" s="4" t="s">
        <v>5864</v>
      </c>
      <c r="N710" s="4" t="s">
        <v>6087</v>
      </c>
    </row>
    <row r="711" spans="1:14" ht="82" customHeight="1">
      <c r="A711" s="8" t="s">
        <v>3959</v>
      </c>
      <c r="B711" s="8" t="s">
        <v>198</v>
      </c>
      <c r="C711" s="8" t="s">
        <v>199</v>
      </c>
      <c r="D711" s="8" t="s">
        <v>5879</v>
      </c>
      <c r="E711" s="8" t="s">
        <v>3894</v>
      </c>
      <c r="F711" s="8" t="s">
        <v>3961</v>
      </c>
      <c r="G711" s="8" t="s">
        <v>1292</v>
      </c>
      <c r="H711" s="8">
        <v>1</v>
      </c>
      <c r="I711" s="8">
        <v>1</v>
      </c>
      <c r="J711" s="8" t="s">
        <v>3960</v>
      </c>
      <c r="K711" s="8" t="s">
        <v>207</v>
      </c>
      <c r="L711" s="9">
        <v>46319</v>
      </c>
      <c r="M711" s="8" t="s">
        <v>5864</v>
      </c>
      <c r="N711" s="8" t="s">
        <v>6087</v>
      </c>
    </row>
    <row r="712" spans="1:14" ht="82" customHeight="1">
      <c r="A712" s="4" t="s">
        <v>3962</v>
      </c>
      <c r="B712" s="4" t="s">
        <v>198</v>
      </c>
      <c r="C712" s="4" t="s">
        <v>199</v>
      </c>
      <c r="D712" s="4" t="s">
        <v>5879</v>
      </c>
      <c r="E712" s="4" t="s">
        <v>3894</v>
      </c>
      <c r="F712" s="4" t="s">
        <v>3892</v>
      </c>
      <c r="G712" s="4" t="s">
        <v>1292</v>
      </c>
      <c r="H712" s="4">
        <v>1</v>
      </c>
      <c r="I712" s="4">
        <v>1</v>
      </c>
      <c r="J712" s="4" t="s">
        <v>3963</v>
      </c>
      <c r="K712" s="4" t="s">
        <v>207</v>
      </c>
      <c r="L712" s="6">
        <v>46319</v>
      </c>
      <c r="M712" s="4" t="s">
        <v>5864</v>
      </c>
      <c r="N712" s="4" t="s">
        <v>5865</v>
      </c>
    </row>
    <row r="713" spans="1:14" ht="82" customHeight="1">
      <c r="A713" s="8" t="s">
        <v>3964</v>
      </c>
      <c r="B713" s="8" t="s">
        <v>198</v>
      </c>
      <c r="C713" s="8" t="s">
        <v>199</v>
      </c>
      <c r="D713" s="8" t="s">
        <v>5879</v>
      </c>
      <c r="E713" s="8" t="s">
        <v>3894</v>
      </c>
      <c r="F713" s="8" t="s">
        <v>3966</v>
      </c>
      <c r="G713" s="8" t="s">
        <v>1292</v>
      </c>
      <c r="H713" s="8">
        <v>1</v>
      </c>
      <c r="I713" s="8">
        <v>1</v>
      </c>
      <c r="J713" s="8" t="s">
        <v>3965</v>
      </c>
      <c r="K713" s="8" t="s">
        <v>207</v>
      </c>
      <c r="L713" s="9">
        <v>46319</v>
      </c>
      <c r="M713" s="8" t="s">
        <v>5864</v>
      </c>
      <c r="N713" s="8" t="s">
        <v>6087</v>
      </c>
    </row>
    <row r="714" spans="1:14" ht="82" customHeight="1">
      <c r="A714" s="4" t="s">
        <v>3967</v>
      </c>
      <c r="B714" s="4" t="s">
        <v>198</v>
      </c>
      <c r="C714" s="4" t="s">
        <v>199</v>
      </c>
      <c r="D714" s="4" t="s">
        <v>5879</v>
      </c>
      <c r="E714" s="4" t="s">
        <v>3894</v>
      </c>
      <c r="F714" s="4" t="s">
        <v>3968</v>
      </c>
      <c r="G714" s="4" t="s">
        <v>1292</v>
      </c>
      <c r="H714" s="4">
        <v>1</v>
      </c>
      <c r="I714" s="4">
        <v>1</v>
      </c>
      <c r="J714" s="4" t="s">
        <v>3900</v>
      </c>
      <c r="K714" s="4" t="s">
        <v>207</v>
      </c>
      <c r="L714" s="6">
        <v>46319</v>
      </c>
      <c r="M714" s="4" t="s">
        <v>5864</v>
      </c>
      <c r="N714" s="4" t="s">
        <v>6087</v>
      </c>
    </row>
    <row r="715" spans="1:14" ht="82" customHeight="1">
      <c r="A715" s="8" t="s">
        <v>3969</v>
      </c>
      <c r="B715" s="8" t="s">
        <v>198</v>
      </c>
      <c r="C715" s="8" t="s">
        <v>199</v>
      </c>
      <c r="D715" s="8" t="s">
        <v>5879</v>
      </c>
      <c r="E715" s="8" t="s">
        <v>3894</v>
      </c>
      <c r="F715" s="8" t="s">
        <v>3971</v>
      </c>
      <c r="G715" s="8" t="s">
        <v>1292</v>
      </c>
      <c r="H715" s="8">
        <v>1</v>
      </c>
      <c r="I715" s="8">
        <v>1</v>
      </c>
      <c r="J715" s="8" t="s">
        <v>3970</v>
      </c>
      <c r="K715" s="8" t="s">
        <v>207</v>
      </c>
      <c r="L715" s="9">
        <v>46319</v>
      </c>
      <c r="M715" s="8" t="s">
        <v>5864</v>
      </c>
      <c r="N715" s="8" t="s">
        <v>6087</v>
      </c>
    </row>
    <row r="716" spans="1:14" ht="82" customHeight="1">
      <c r="A716" s="4" t="s">
        <v>3972</v>
      </c>
      <c r="B716" s="4" t="s">
        <v>198</v>
      </c>
      <c r="C716" s="4" t="s">
        <v>199</v>
      </c>
      <c r="D716" s="4" t="s">
        <v>5879</v>
      </c>
      <c r="E716" s="4" t="s">
        <v>3894</v>
      </c>
      <c r="F716" s="4" t="s">
        <v>3795</v>
      </c>
      <c r="G716" s="4" t="s">
        <v>1292</v>
      </c>
      <c r="H716" s="4">
        <v>1</v>
      </c>
      <c r="I716" s="4">
        <v>1</v>
      </c>
      <c r="J716" s="4" t="s">
        <v>3973</v>
      </c>
      <c r="K716" s="4" t="s">
        <v>207</v>
      </c>
      <c r="L716" s="6">
        <v>46319</v>
      </c>
      <c r="M716" s="4" t="s">
        <v>5864</v>
      </c>
      <c r="N716" s="4" t="s">
        <v>5865</v>
      </c>
    </row>
    <row r="717" spans="1:14" ht="82" customHeight="1">
      <c r="A717" s="8" t="s">
        <v>3974</v>
      </c>
      <c r="B717" s="8" t="s">
        <v>198</v>
      </c>
      <c r="C717" s="8" t="s">
        <v>199</v>
      </c>
      <c r="D717" s="8" t="s">
        <v>5879</v>
      </c>
      <c r="E717" s="8" t="s">
        <v>3894</v>
      </c>
      <c r="F717" s="8" t="s">
        <v>3975</v>
      </c>
      <c r="G717" s="8" t="s">
        <v>1292</v>
      </c>
      <c r="H717" s="8">
        <v>1</v>
      </c>
      <c r="I717" s="8">
        <v>1</v>
      </c>
      <c r="J717" s="8" t="s">
        <v>3909</v>
      </c>
      <c r="K717" s="8" t="s">
        <v>207</v>
      </c>
      <c r="L717" s="9">
        <v>46319</v>
      </c>
      <c r="M717" s="8" t="s">
        <v>5864</v>
      </c>
      <c r="N717" s="8" t="s">
        <v>6087</v>
      </c>
    </row>
    <row r="718" spans="1:14" ht="82" customHeight="1">
      <c r="A718" s="4" t="s">
        <v>3976</v>
      </c>
      <c r="B718" s="4" t="s">
        <v>198</v>
      </c>
      <c r="C718" s="4" t="s">
        <v>199</v>
      </c>
      <c r="D718" s="4" t="s">
        <v>5879</v>
      </c>
      <c r="E718" s="4" t="s">
        <v>3894</v>
      </c>
      <c r="F718" s="4" t="s">
        <v>3978</v>
      </c>
      <c r="G718" s="4" t="s">
        <v>1292</v>
      </c>
      <c r="H718" s="4">
        <v>1</v>
      </c>
      <c r="I718" s="4">
        <v>1</v>
      </c>
      <c r="J718" s="4" t="s">
        <v>3977</v>
      </c>
      <c r="K718" s="4" t="s">
        <v>207</v>
      </c>
      <c r="L718" s="6">
        <v>46319</v>
      </c>
      <c r="M718" s="4" t="s">
        <v>5864</v>
      </c>
      <c r="N718" s="4" t="s">
        <v>6087</v>
      </c>
    </row>
    <row r="719" spans="1:14" ht="82" customHeight="1">
      <c r="A719" s="8" t="s">
        <v>3979</v>
      </c>
      <c r="B719" s="8" t="s">
        <v>198</v>
      </c>
      <c r="C719" s="8" t="s">
        <v>199</v>
      </c>
      <c r="D719" s="8" t="s">
        <v>5879</v>
      </c>
      <c r="E719" s="8" t="s">
        <v>3894</v>
      </c>
      <c r="F719" s="8" t="s">
        <v>3797</v>
      </c>
      <c r="G719" s="8" t="s">
        <v>1292</v>
      </c>
      <c r="H719" s="8">
        <v>1</v>
      </c>
      <c r="I719" s="8">
        <v>1</v>
      </c>
      <c r="J719" s="8" t="s">
        <v>3980</v>
      </c>
      <c r="K719" s="8" t="s">
        <v>207</v>
      </c>
      <c r="L719" s="9">
        <v>46319</v>
      </c>
      <c r="M719" s="8" t="s">
        <v>5864</v>
      </c>
      <c r="N719" s="8" t="s">
        <v>5865</v>
      </c>
    </row>
    <row r="720" spans="1:14" ht="82" customHeight="1">
      <c r="A720" s="4" t="s">
        <v>3981</v>
      </c>
      <c r="B720" s="4" t="s">
        <v>198</v>
      </c>
      <c r="C720" s="4" t="s">
        <v>199</v>
      </c>
      <c r="D720" s="4" t="s">
        <v>5879</v>
      </c>
      <c r="E720" s="4" t="s">
        <v>3894</v>
      </c>
      <c r="F720" s="4" t="s">
        <v>3982</v>
      </c>
      <c r="G720" s="4" t="s">
        <v>1292</v>
      </c>
      <c r="H720" s="4">
        <v>1</v>
      </c>
      <c r="I720" s="4">
        <v>1</v>
      </c>
      <c r="J720" s="4" t="s">
        <v>3933</v>
      </c>
      <c r="K720" s="4" t="s">
        <v>207</v>
      </c>
      <c r="L720" s="6">
        <v>46319</v>
      </c>
      <c r="M720" s="4" t="s">
        <v>5864</v>
      </c>
      <c r="N720" s="4" t="s">
        <v>6087</v>
      </c>
    </row>
    <row r="721" spans="1:14" ht="82" customHeight="1">
      <c r="A721" s="8" t="s">
        <v>3983</v>
      </c>
      <c r="B721" s="8" t="s">
        <v>198</v>
      </c>
      <c r="C721" s="8" t="s">
        <v>199</v>
      </c>
      <c r="D721" s="8" t="s">
        <v>5879</v>
      </c>
      <c r="E721" s="8" t="s">
        <v>3894</v>
      </c>
      <c r="F721" s="8" t="s">
        <v>3985</v>
      </c>
      <c r="G721" s="8" t="s">
        <v>1292</v>
      </c>
      <c r="H721" s="8">
        <v>1</v>
      </c>
      <c r="I721" s="8">
        <v>1</v>
      </c>
      <c r="J721" s="8" t="s">
        <v>3984</v>
      </c>
      <c r="K721" s="8" t="s">
        <v>207</v>
      </c>
      <c r="L721" s="9">
        <v>46319</v>
      </c>
      <c r="M721" s="8" t="s">
        <v>5864</v>
      </c>
      <c r="N721" s="8" t="s">
        <v>6087</v>
      </c>
    </row>
    <row r="722" spans="1:14" ht="82" customHeight="1">
      <c r="A722" s="4" t="s">
        <v>3986</v>
      </c>
      <c r="B722" s="4" t="s">
        <v>198</v>
      </c>
      <c r="C722" s="4" t="s">
        <v>199</v>
      </c>
      <c r="D722" s="4" t="s">
        <v>5879</v>
      </c>
      <c r="E722" s="4" t="s">
        <v>3894</v>
      </c>
      <c r="F722" s="4" t="s">
        <v>3988</v>
      </c>
      <c r="G722" s="4" t="s">
        <v>1292</v>
      </c>
      <c r="H722" s="4">
        <v>1</v>
      </c>
      <c r="I722" s="4">
        <v>1</v>
      </c>
      <c r="J722" s="4" t="s">
        <v>3987</v>
      </c>
      <c r="K722" s="4" t="s">
        <v>207</v>
      </c>
      <c r="L722" s="6">
        <v>46319</v>
      </c>
      <c r="M722" s="4" t="s">
        <v>5864</v>
      </c>
      <c r="N722" s="4" t="s">
        <v>5865</v>
      </c>
    </row>
    <row r="723" spans="1:14" ht="82" customHeight="1">
      <c r="A723" s="8" t="s">
        <v>6721</v>
      </c>
      <c r="B723" s="8" t="s">
        <v>198</v>
      </c>
      <c r="C723" s="8" t="s">
        <v>199</v>
      </c>
      <c r="D723" s="8" t="s">
        <v>2969</v>
      </c>
      <c r="E723" s="8" t="s">
        <v>41</v>
      </c>
      <c r="F723" s="8" t="s">
        <v>5881</v>
      </c>
      <c r="G723" s="8" t="s">
        <v>1292</v>
      </c>
      <c r="H723" s="8">
        <v>1</v>
      </c>
      <c r="I723" s="8">
        <v>1</v>
      </c>
      <c r="J723" s="8" t="s">
        <v>6722</v>
      </c>
      <c r="K723" s="8" t="s">
        <v>207</v>
      </c>
      <c r="L723" s="9">
        <v>46319</v>
      </c>
      <c r="M723" s="8" t="s">
        <v>5864</v>
      </c>
      <c r="N723" s="8" t="s">
        <v>5883</v>
      </c>
    </row>
    <row r="724" spans="1:14" ht="82" customHeight="1">
      <c r="A724" s="4" t="s">
        <v>6723</v>
      </c>
      <c r="B724" s="4" t="s">
        <v>198</v>
      </c>
      <c r="C724" s="4" t="s">
        <v>199</v>
      </c>
      <c r="D724" s="4" t="s">
        <v>2969</v>
      </c>
      <c r="E724" s="4" t="s">
        <v>41</v>
      </c>
      <c r="F724" s="4" t="s">
        <v>5885</v>
      </c>
      <c r="G724" s="4" t="s">
        <v>1292</v>
      </c>
      <c r="H724" s="4">
        <v>1</v>
      </c>
      <c r="I724" s="4">
        <v>1</v>
      </c>
      <c r="J724" s="4" t="s">
        <v>6724</v>
      </c>
      <c r="K724" s="4" t="s">
        <v>207</v>
      </c>
      <c r="L724" s="6">
        <v>46319</v>
      </c>
      <c r="M724" s="4" t="s">
        <v>5864</v>
      </c>
      <c r="N724" s="4" t="s">
        <v>5883</v>
      </c>
    </row>
    <row r="725" spans="1:14" ht="82" customHeight="1">
      <c r="A725" s="8" t="s">
        <v>6725</v>
      </c>
      <c r="B725" s="8" t="s">
        <v>198</v>
      </c>
      <c r="C725" s="8" t="s">
        <v>199</v>
      </c>
      <c r="D725" s="8" t="s">
        <v>2969</v>
      </c>
      <c r="E725" s="8" t="s">
        <v>41</v>
      </c>
      <c r="F725" s="8" t="s">
        <v>5888</v>
      </c>
      <c r="G725" s="8" t="s">
        <v>1292</v>
      </c>
      <c r="H725" s="8">
        <v>1</v>
      </c>
      <c r="I725" s="8">
        <v>1</v>
      </c>
      <c r="J725" s="8" t="s">
        <v>6726</v>
      </c>
      <c r="K725" s="8" t="s">
        <v>207</v>
      </c>
      <c r="L725" s="9">
        <v>46319</v>
      </c>
      <c r="M725" s="8" t="s">
        <v>5864</v>
      </c>
      <c r="N725" s="8" t="s">
        <v>5883</v>
      </c>
    </row>
    <row r="726" spans="1:14" ht="82" customHeight="1">
      <c r="A726" s="4" t="s">
        <v>6727</v>
      </c>
      <c r="B726" s="4" t="s">
        <v>198</v>
      </c>
      <c r="C726" s="4" t="s">
        <v>199</v>
      </c>
      <c r="D726" s="4" t="s">
        <v>2969</v>
      </c>
      <c r="E726" s="4" t="s">
        <v>41</v>
      </c>
      <c r="F726" s="4" t="s">
        <v>5891</v>
      </c>
      <c r="G726" s="4" t="s">
        <v>1292</v>
      </c>
      <c r="H726" s="4">
        <v>1</v>
      </c>
      <c r="I726" s="4">
        <v>1</v>
      </c>
      <c r="J726" s="4" t="s">
        <v>6728</v>
      </c>
      <c r="K726" s="4" t="s">
        <v>207</v>
      </c>
      <c r="L726" s="6">
        <v>46319</v>
      </c>
      <c r="M726" s="4" t="s">
        <v>5864</v>
      </c>
      <c r="N726" s="4" t="s">
        <v>5883</v>
      </c>
    </row>
    <row r="727" spans="1:14" ht="82" customHeight="1">
      <c r="A727" s="8" t="s">
        <v>6729</v>
      </c>
      <c r="B727" s="8" t="s">
        <v>198</v>
      </c>
      <c r="C727" s="8" t="s">
        <v>199</v>
      </c>
      <c r="D727" s="8" t="s">
        <v>2969</v>
      </c>
      <c r="E727" s="8" t="s">
        <v>41</v>
      </c>
      <c r="F727" s="8" t="s">
        <v>5894</v>
      </c>
      <c r="G727" s="8" t="s">
        <v>1292</v>
      </c>
      <c r="H727" s="8">
        <v>1</v>
      </c>
      <c r="I727" s="8">
        <v>1</v>
      </c>
      <c r="J727" s="8" t="s">
        <v>6730</v>
      </c>
      <c r="K727" s="8" t="s">
        <v>207</v>
      </c>
      <c r="L727" s="9">
        <v>46319</v>
      </c>
      <c r="M727" s="8" t="s">
        <v>5864</v>
      </c>
      <c r="N727" s="8" t="s">
        <v>5883</v>
      </c>
    </row>
    <row r="728" spans="1:14" ht="82" customHeight="1">
      <c r="A728" s="4" t="s">
        <v>6731</v>
      </c>
      <c r="B728" s="4" t="s">
        <v>198</v>
      </c>
      <c r="C728" s="4" t="s">
        <v>199</v>
      </c>
      <c r="D728" s="4" t="s">
        <v>2969</v>
      </c>
      <c r="E728" s="4" t="s">
        <v>41</v>
      </c>
      <c r="F728" s="4" t="s">
        <v>5897</v>
      </c>
      <c r="G728" s="4" t="s">
        <v>1292</v>
      </c>
      <c r="H728" s="4">
        <v>1</v>
      </c>
      <c r="I728" s="4">
        <v>1</v>
      </c>
      <c r="J728" s="4" t="s">
        <v>6732</v>
      </c>
      <c r="K728" s="4" t="s">
        <v>207</v>
      </c>
      <c r="L728" s="6">
        <v>46319</v>
      </c>
      <c r="M728" s="4" t="s">
        <v>5864</v>
      </c>
      <c r="N728" s="4" t="s">
        <v>5883</v>
      </c>
    </row>
    <row r="729" spans="1:14" ht="82" customHeight="1">
      <c r="A729" s="8" t="s">
        <v>6733</v>
      </c>
      <c r="B729" s="8" t="s">
        <v>198</v>
      </c>
      <c r="C729" s="8" t="s">
        <v>199</v>
      </c>
      <c r="D729" s="8" t="s">
        <v>2969</v>
      </c>
      <c r="E729" s="8" t="s">
        <v>41</v>
      </c>
      <c r="F729" s="8" t="s">
        <v>5900</v>
      </c>
      <c r="G729" s="8" t="s">
        <v>1292</v>
      </c>
      <c r="H729" s="8">
        <v>1</v>
      </c>
      <c r="I729" s="8">
        <v>1</v>
      </c>
      <c r="J729" s="8" t="s">
        <v>6734</v>
      </c>
      <c r="K729" s="8" t="s">
        <v>207</v>
      </c>
      <c r="L729" s="9">
        <v>46319</v>
      </c>
      <c r="M729" s="8" t="s">
        <v>5864</v>
      </c>
      <c r="N729" s="8" t="s">
        <v>5883</v>
      </c>
    </row>
    <row r="730" spans="1:14" ht="82" customHeight="1">
      <c r="A730" s="4" t="s">
        <v>6735</v>
      </c>
      <c r="B730" s="4" t="s">
        <v>198</v>
      </c>
      <c r="C730" s="4" t="s">
        <v>199</v>
      </c>
      <c r="D730" s="4" t="s">
        <v>2969</v>
      </c>
      <c r="E730" s="4" t="s">
        <v>41</v>
      </c>
      <c r="F730" s="4" t="s">
        <v>5903</v>
      </c>
      <c r="G730" s="4" t="s">
        <v>1292</v>
      </c>
      <c r="H730" s="4">
        <v>1</v>
      </c>
      <c r="I730" s="4">
        <v>1</v>
      </c>
      <c r="J730" s="4" t="s">
        <v>6736</v>
      </c>
      <c r="K730" s="4" t="s">
        <v>207</v>
      </c>
      <c r="L730" s="6">
        <v>46319</v>
      </c>
      <c r="M730" s="4" t="s">
        <v>5864</v>
      </c>
      <c r="N730" s="4" t="s">
        <v>5883</v>
      </c>
    </row>
    <row r="731" spans="1:14" ht="82" customHeight="1">
      <c r="A731" s="8" t="s">
        <v>6737</v>
      </c>
      <c r="B731" s="8" t="s">
        <v>198</v>
      </c>
      <c r="C731" s="8" t="s">
        <v>199</v>
      </c>
      <c r="D731" s="8" t="s">
        <v>2969</v>
      </c>
      <c r="E731" s="8" t="s">
        <v>41</v>
      </c>
      <c r="F731" s="8" t="s">
        <v>5906</v>
      </c>
      <c r="G731" s="8" t="s">
        <v>1292</v>
      </c>
      <c r="H731" s="8">
        <v>1</v>
      </c>
      <c r="I731" s="8">
        <v>1</v>
      </c>
      <c r="J731" s="8" t="s">
        <v>6738</v>
      </c>
      <c r="K731" s="8" t="s">
        <v>207</v>
      </c>
      <c r="L731" s="9">
        <v>46319</v>
      </c>
      <c r="M731" s="8" t="s">
        <v>5864</v>
      </c>
      <c r="N731" s="8" t="s">
        <v>5883</v>
      </c>
    </row>
    <row r="732" spans="1:14" ht="82" customHeight="1">
      <c r="A732" s="4" t="s">
        <v>6739</v>
      </c>
      <c r="B732" s="4" t="s">
        <v>198</v>
      </c>
      <c r="C732" s="4" t="s">
        <v>199</v>
      </c>
      <c r="D732" s="4" t="s">
        <v>2969</v>
      </c>
      <c r="E732" s="4" t="s">
        <v>41</v>
      </c>
      <c r="F732" s="4" t="s">
        <v>5909</v>
      </c>
      <c r="G732" s="4" t="s">
        <v>1292</v>
      </c>
      <c r="H732" s="4">
        <v>1</v>
      </c>
      <c r="I732" s="4">
        <v>1</v>
      </c>
      <c r="J732" s="4" t="s">
        <v>6740</v>
      </c>
      <c r="K732" s="4" t="s">
        <v>207</v>
      </c>
      <c r="L732" s="6">
        <v>46319</v>
      </c>
      <c r="M732" s="4" t="s">
        <v>5864</v>
      </c>
      <c r="N732" s="4" t="s">
        <v>5883</v>
      </c>
    </row>
    <row r="733" spans="1:14" ht="82" customHeight="1">
      <c r="A733" s="8" t="s">
        <v>6741</v>
      </c>
      <c r="B733" s="8" t="s">
        <v>198</v>
      </c>
      <c r="C733" s="8" t="s">
        <v>199</v>
      </c>
      <c r="D733" s="8" t="s">
        <v>2969</v>
      </c>
      <c r="E733" s="8" t="s">
        <v>41</v>
      </c>
      <c r="F733" s="8" t="s">
        <v>5912</v>
      </c>
      <c r="G733" s="8" t="s">
        <v>1292</v>
      </c>
      <c r="H733" s="8">
        <v>1</v>
      </c>
      <c r="I733" s="8">
        <v>1</v>
      </c>
      <c r="J733" s="8" t="s">
        <v>6742</v>
      </c>
      <c r="K733" s="8" t="s">
        <v>207</v>
      </c>
      <c r="L733" s="9">
        <v>46319</v>
      </c>
      <c r="M733" s="8" t="s">
        <v>5864</v>
      </c>
      <c r="N733" s="8" t="s">
        <v>5883</v>
      </c>
    </row>
    <row r="734" spans="1:14" ht="82" customHeight="1">
      <c r="A734" s="4" t="s">
        <v>6743</v>
      </c>
      <c r="B734" s="4" t="s">
        <v>198</v>
      </c>
      <c r="C734" s="4" t="s">
        <v>199</v>
      </c>
      <c r="D734" s="4" t="s">
        <v>2969</v>
      </c>
      <c r="E734" s="4" t="s">
        <v>41</v>
      </c>
      <c r="F734" s="4" t="s">
        <v>5973</v>
      </c>
      <c r="G734" s="4" t="s">
        <v>1292</v>
      </c>
      <c r="H734" s="4">
        <v>1</v>
      </c>
      <c r="I734" s="4">
        <v>1</v>
      </c>
      <c r="J734" s="4" t="s">
        <v>6744</v>
      </c>
      <c r="K734" s="4" t="s">
        <v>207</v>
      </c>
      <c r="L734" s="6">
        <v>46319</v>
      </c>
      <c r="M734" s="4" t="s">
        <v>5864</v>
      </c>
      <c r="N734" s="4" t="s">
        <v>5883</v>
      </c>
    </row>
    <row r="735" spans="1:14" ht="82" customHeight="1">
      <c r="A735" s="8" t="s">
        <v>6745</v>
      </c>
      <c r="B735" s="8" t="s">
        <v>198</v>
      </c>
      <c r="C735" s="8" t="s">
        <v>199</v>
      </c>
      <c r="D735" s="8" t="s">
        <v>2969</v>
      </c>
      <c r="E735" s="8" t="s">
        <v>41</v>
      </c>
      <c r="F735" s="8" t="s">
        <v>5976</v>
      </c>
      <c r="G735" s="8" t="s">
        <v>1292</v>
      </c>
      <c r="H735" s="8">
        <v>1</v>
      </c>
      <c r="I735" s="8">
        <v>1</v>
      </c>
      <c r="J735" s="8" t="s">
        <v>6746</v>
      </c>
      <c r="K735" s="8" t="s">
        <v>207</v>
      </c>
      <c r="L735" s="9">
        <v>46319</v>
      </c>
      <c r="M735" s="8" t="s">
        <v>5864</v>
      </c>
      <c r="N735" s="8" t="s">
        <v>5883</v>
      </c>
    </row>
    <row r="736" spans="1:14" ht="82" customHeight="1">
      <c r="A736" s="4" t="s">
        <v>6747</v>
      </c>
      <c r="B736" s="4" t="s">
        <v>198</v>
      </c>
      <c r="C736" s="4" t="s">
        <v>199</v>
      </c>
      <c r="D736" s="4" t="s">
        <v>2969</v>
      </c>
      <c r="E736" s="4" t="s">
        <v>41</v>
      </c>
      <c r="F736" s="4" t="s">
        <v>5979</v>
      </c>
      <c r="G736" s="4" t="s">
        <v>1292</v>
      </c>
      <c r="H736" s="4">
        <v>1</v>
      </c>
      <c r="I736" s="4">
        <v>1</v>
      </c>
      <c r="J736" s="4" t="s">
        <v>6748</v>
      </c>
      <c r="K736" s="4" t="s">
        <v>207</v>
      </c>
      <c r="L736" s="6">
        <v>46319</v>
      </c>
      <c r="M736" s="4" t="s">
        <v>5864</v>
      </c>
      <c r="N736" s="4" t="s">
        <v>5883</v>
      </c>
    </row>
    <row r="737" spans="1:14" ht="152" customHeight="1">
      <c r="A737" s="8" t="s">
        <v>6749</v>
      </c>
      <c r="B737" s="8" t="s">
        <v>211</v>
      </c>
      <c r="C737" s="8" t="s">
        <v>212</v>
      </c>
      <c r="D737" s="8" t="s">
        <v>5861</v>
      </c>
      <c r="E737" s="8" t="s">
        <v>41</v>
      </c>
      <c r="F737" s="8" t="s">
        <v>5994</v>
      </c>
      <c r="G737" s="8" t="s">
        <v>1350</v>
      </c>
      <c r="H737" s="8">
        <v>1</v>
      </c>
      <c r="I737" s="8">
        <v>1</v>
      </c>
      <c r="J737" s="8" t="s">
        <v>6750</v>
      </c>
      <c r="K737" s="8" t="s">
        <v>218</v>
      </c>
      <c r="L737" s="9">
        <v>46319</v>
      </c>
      <c r="M737" s="8" t="s">
        <v>5864</v>
      </c>
      <c r="N737" s="8" t="s">
        <v>5865</v>
      </c>
    </row>
    <row r="738" spans="1:14" ht="40" customHeight="1">
      <c r="A738" s="4" t="s">
        <v>6751</v>
      </c>
      <c r="B738" s="4" t="s">
        <v>211</v>
      </c>
      <c r="C738" s="4" t="s">
        <v>212</v>
      </c>
      <c r="D738" s="4" t="s">
        <v>5867</v>
      </c>
      <c r="E738" s="4" t="s">
        <v>6752</v>
      </c>
      <c r="F738" s="4" t="s">
        <v>6248</v>
      </c>
      <c r="G738" s="4" t="s">
        <v>1350</v>
      </c>
      <c r="H738" s="4">
        <v>1</v>
      </c>
      <c r="I738" s="4">
        <v>1</v>
      </c>
      <c r="J738" s="4" t="s">
        <v>6752</v>
      </c>
      <c r="K738" s="4" t="s">
        <v>218</v>
      </c>
      <c r="L738" s="6">
        <v>46319</v>
      </c>
      <c r="M738" s="4" t="s">
        <v>5864</v>
      </c>
      <c r="N738" s="4" t="s">
        <v>5865</v>
      </c>
    </row>
    <row r="739" spans="1:14" ht="40" customHeight="1">
      <c r="A739" s="8" t="s">
        <v>6753</v>
      </c>
      <c r="B739" s="8" t="s">
        <v>211</v>
      </c>
      <c r="C739" s="8" t="s">
        <v>212</v>
      </c>
      <c r="D739" s="8" t="s">
        <v>5867</v>
      </c>
      <c r="E739" s="8" t="s">
        <v>6754</v>
      </c>
      <c r="F739" s="8" t="s">
        <v>6142</v>
      </c>
      <c r="G739" s="8" t="s">
        <v>1350</v>
      </c>
      <c r="H739" s="8">
        <v>1</v>
      </c>
      <c r="I739" s="8">
        <v>1</v>
      </c>
      <c r="J739" s="8" t="s">
        <v>6754</v>
      </c>
      <c r="K739" s="8" t="s">
        <v>218</v>
      </c>
      <c r="L739" s="9">
        <v>46319</v>
      </c>
      <c r="M739" s="8" t="s">
        <v>5864</v>
      </c>
      <c r="N739" s="8" t="s">
        <v>5865</v>
      </c>
    </row>
    <row r="740" spans="1:14" ht="40" customHeight="1">
      <c r="A740" s="4" t="s">
        <v>6755</v>
      </c>
      <c r="B740" s="4" t="s">
        <v>211</v>
      </c>
      <c r="C740" s="4" t="s">
        <v>212</v>
      </c>
      <c r="D740" s="4" t="s">
        <v>5867</v>
      </c>
      <c r="E740" s="4" t="s">
        <v>6754</v>
      </c>
      <c r="F740" s="4" t="s">
        <v>6756</v>
      </c>
      <c r="G740" s="4" t="s">
        <v>1350</v>
      </c>
      <c r="H740" s="4">
        <v>1</v>
      </c>
      <c r="I740" s="4">
        <v>1</v>
      </c>
      <c r="J740" s="4" t="s">
        <v>6757</v>
      </c>
      <c r="K740" s="4" t="s">
        <v>218</v>
      </c>
      <c r="L740" s="6">
        <v>46319</v>
      </c>
      <c r="M740" s="4" t="s">
        <v>5864</v>
      </c>
      <c r="N740" s="4" t="s">
        <v>5870</v>
      </c>
    </row>
    <row r="741" spans="1:14" ht="40" customHeight="1">
      <c r="A741" s="8" t="s">
        <v>6758</v>
      </c>
      <c r="B741" s="8" t="s">
        <v>211</v>
      </c>
      <c r="C741" s="8" t="s">
        <v>212</v>
      </c>
      <c r="D741" s="8" t="s">
        <v>5867</v>
      </c>
      <c r="E741" s="8" t="s">
        <v>6759</v>
      </c>
      <c r="F741" s="8" t="s">
        <v>6544</v>
      </c>
      <c r="G741" s="8" t="s">
        <v>1350</v>
      </c>
      <c r="H741" s="8">
        <v>1</v>
      </c>
      <c r="I741" s="8">
        <v>1</v>
      </c>
      <c r="J741" s="8" t="s">
        <v>6759</v>
      </c>
      <c r="K741" s="8" t="s">
        <v>218</v>
      </c>
      <c r="L741" s="9">
        <v>46319</v>
      </c>
      <c r="M741" s="8" t="s">
        <v>5864</v>
      </c>
      <c r="N741" s="8" t="s">
        <v>5865</v>
      </c>
    </row>
    <row r="742" spans="1:14" ht="40" customHeight="1">
      <c r="A742" s="4" t="s">
        <v>6760</v>
      </c>
      <c r="B742" s="4" t="s">
        <v>211</v>
      </c>
      <c r="C742" s="4" t="s">
        <v>212</v>
      </c>
      <c r="D742" s="4" t="s">
        <v>5867</v>
      </c>
      <c r="E742" s="4" t="s">
        <v>6759</v>
      </c>
      <c r="F742" s="4" t="s">
        <v>6761</v>
      </c>
      <c r="G742" s="4" t="s">
        <v>1350</v>
      </c>
      <c r="H742" s="4">
        <v>1</v>
      </c>
      <c r="I742" s="4">
        <v>1</v>
      </c>
      <c r="J742" s="4" t="s">
        <v>6762</v>
      </c>
      <c r="K742" s="4" t="s">
        <v>218</v>
      </c>
      <c r="L742" s="6">
        <v>46319</v>
      </c>
      <c r="M742" s="4" t="s">
        <v>5864</v>
      </c>
      <c r="N742" s="4" t="s">
        <v>5870</v>
      </c>
    </row>
    <row r="743" spans="1:14" ht="40" customHeight="1">
      <c r="A743" s="8" t="s">
        <v>6763</v>
      </c>
      <c r="B743" s="8" t="s">
        <v>211</v>
      </c>
      <c r="C743" s="8" t="s">
        <v>212</v>
      </c>
      <c r="D743" s="8" t="s">
        <v>5867</v>
      </c>
      <c r="E743" s="8" t="s">
        <v>6764</v>
      </c>
      <c r="F743" s="8" t="s">
        <v>6765</v>
      </c>
      <c r="G743" s="8" t="s">
        <v>1350</v>
      </c>
      <c r="H743" s="8">
        <v>1</v>
      </c>
      <c r="I743" s="8">
        <v>1</v>
      </c>
      <c r="J743" s="8" t="s">
        <v>6764</v>
      </c>
      <c r="K743" s="8" t="s">
        <v>218</v>
      </c>
      <c r="L743" s="9">
        <v>46319</v>
      </c>
      <c r="M743" s="8" t="s">
        <v>5864</v>
      </c>
      <c r="N743" s="8" t="s">
        <v>5865</v>
      </c>
    </row>
    <row r="744" spans="1:14" ht="40" customHeight="1">
      <c r="A744" s="4" t="s">
        <v>6766</v>
      </c>
      <c r="B744" s="4" t="s">
        <v>211</v>
      </c>
      <c r="C744" s="4" t="s">
        <v>212</v>
      </c>
      <c r="D744" s="4" t="s">
        <v>5867</v>
      </c>
      <c r="E744" s="4" t="s">
        <v>6764</v>
      </c>
      <c r="F744" s="4" t="s">
        <v>6767</v>
      </c>
      <c r="G744" s="4" t="s">
        <v>1350</v>
      </c>
      <c r="H744" s="4">
        <v>1</v>
      </c>
      <c r="I744" s="4">
        <v>1</v>
      </c>
      <c r="J744" s="4" t="s">
        <v>6768</v>
      </c>
      <c r="K744" s="4" t="s">
        <v>218</v>
      </c>
      <c r="L744" s="6">
        <v>46319</v>
      </c>
      <c r="M744" s="4" t="s">
        <v>5864</v>
      </c>
      <c r="N744" s="4" t="s">
        <v>5870</v>
      </c>
    </row>
    <row r="745" spans="1:14" ht="40" customHeight="1">
      <c r="A745" s="8" t="s">
        <v>6769</v>
      </c>
      <c r="B745" s="8" t="s">
        <v>211</v>
      </c>
      <c r="C745" s="8" t="s">
        <v>212</v>
      </c>
      <c r="D745" s="8" t="s">
        <v>5867</v>
      </c>
      <c r="E745" s="8" t="s">
        <v>6764</v>
      </c>
      <c r="F745" s="8" t="s">
        <v>6770</v>
      </c>
      <c r="G745" s="8" t="s">
        <v>1350</v>
      </c>
      <c r="H745" s="8">
        <v>1</v>
      </c>
      <c r="I745" s="8">
        <v>1</v>
      </c>
      <c r="J745" s="8" t="s">
        <v>6771</v>
      </c>
      <c r="K745" s="8" t="s">
        <v>218</v>
      </c>
      <c r="L745" s="9">
        <v>46319</v>
      </c>
      <c r="M745" s="8" t="s">
        <v>5864</v>
      </c>
      <c r="N745" s="8" t="s">
        <v>5870</v>
      </c>
    </row>
    <row r="746" spans="1:14" ht="40" customHeight="1">
      <c r="A746" s="4" t="s">
        <v>6772</v>
      </c>
      <c r="B746" s="4" t="s">
        <v>211</v>
      </c>
      <c r="C746" s="4" t="s">
        <v>212</v>
      </c>
      <c r="D746" s="4" t="s">
        <v>5867</v>
      </c>
      <c r="E746" s="4" t="s">
        <v>6773</v>
      </c>
      <c r="F746" s="4" t="s">
        <v>6774</v>
      </c>
      <c r="G746" s="4" t="s">
        <v>1350</v>
      </c>
      <c r="H746" s="4">
        <v>1</v>
      </c>
      <c r="I746" s="4">
        <v>1</v>
      </c>
      <c r="J746" s="4" t="s">
        <v>6773</v>
      </c>
      <c r="K746" s="4" t="s">
        <v>218</v>
      </c>
      <c r="L746" s="6">
        <v>46319</v>
      </c>
      <c r="M746" s="4" t="s">
        <v>5864</v>
      </c>
      <c r="N746" s="4" t="s">
        <v>5865</v>
      </c>
    </row>
    <row r="747" spans="1:14" ht="40" customHeight="1">
      <c r="A747" s="8" t="s">
        <v>6775</v>
      </c>
      <c r="B747" s="8" t="s">
        <v>211</v>
      </c>
      <c r="C747" s="8" t="s">
        <v>212</v>
      </c>
      <c r="D747" s="8" t="s">
        <v>5867</v>
      </c>
      <c r="E747" s="8" t="s">
        <v>6773</v>
      </c>
      <c r="F747" s="8" t="s">
        <v>6776</v>
      </c>
      <c r="G747" s="8" t="s">
        <v>1350</v>
      </c>
      <c r="H747" s="8">
        <v>1</v>
      </c>
      <c r="I747" s="8">
        <v>1</v>
      </c>
      <c r="J747" s="8" t="s">
        <v>6777</v>
      </c>
      <c r="K747" s="8" t="s">
        <v>218</v>
      </c>
      <c r="L747" s="9">
        <v>46319</v>
      </c>
      <c r="M747" s="8" t="s">
        <v>5864</v>
      </c>
      <c r="N747" s="8" t="s">
        <v>5870</v>
      </c>
    </row>
    <row r="748" spans="1:14" ht="40" customHeight="1">
      <c r="A748" s="4" t="s">
        <v>6778</v>
      </c>
      <c r="B748" s="4" t="s">
        <v>211</v>
      </c>
      <c r="C748" s="4" t="s">
        <v>212</v>
      </c>
      <c r="D748" s="4" t="s">
        <v>5867</v>
      </c>
      <c r="E748" s="4" t="s">
        <v>6773</v>
      </c>
      <c r="F748" s="4" t="s">
        <v>6779</v>
      </c>
      <c r="G748" s="4" t="s">
        <v>1350</v>
      </c>
      <c r="H748" s="4">
        <v>1</v>
      </c>
      <c r="I748" s="4">
        <v>1</v>
      </c>
      <c r="J748" s="4" t="s">
        <v>6780</v>
      </c>
      <c r="K748" s="4" t="s">
        <v>218</v>
      </c>
      <c r="L748" s="6">
        <v>46319</v>
      </c>
      <c r="M748" s="4" t="s">
        <v>5864</v>
      </c>
      <c r="N748" s="4" t="s">
        <v>5870</v>
      </c>
    </row>
    <row r="749" spans="1:14" ht="40" customHeight="1">
      <c r="A749" s="8" t="s">
        <v>6781</v>
      </c>
      <c r="B749" s="8" t="s">
        <v>211</v>
      </c>
      <c r="C749" s="8" t="s">
        <v>212</v>
      </c>
      <c r="D749" s="8" t="s">
        <v>5867</v>
      </c>
      <c r="E749" s="8" t="s">
        <v>6782</v>
      </c>
      <c r="F749" s="8" t="s">
        <v>6783</v>
      </c>
      <c r="G749" s="8" t="s">
        <v>1350</v>
      </c>
      <c r="H749" s="8">
        <v>1</v>
      </c>
      <c r="I749" s="8">
        <v>1</v>
      </c>
      <c r="J749" s="8" t="s">
        <v>6782</v>
      </c>
      <c r="K749" s="8" t="s">
        <v>218</v>
      </c>
      <c r="L749" s="9">
        <v>46319</v>
      </c>
      <c r="M749" s="8" t="s">
        <v>5864</v>
      </c>
      <c r="N749" s="8" t="s">
        <v>5865</v>
      </c>
    </row>
    <row r="750" spans="1:14" ht="40" customHeight="1">
      <c r="A750" s="4" t="s">
        <v>6784</v>
      </c>
      <c r="B750" s="4" t="s">
        <v>211</v>
      </c>
      <c r="C750" s="4" t="s">
        <v>212</v>
      </c>
      <c r="D750" s="4" t="s">
        <v>5867</v>
      </c>
      <c r="E750" s="4" t="s">
        <v>6782</v>
      </c>
      <c r="F750" s="4" t="s">
        <v>6785</v>
      </c>
      <c r="G750" s="4" t="s">
        <v>1350</v>
      </c>
      <c r="H750" s="4">
        <v>1</v>
      </c>
      <c r="I750" s="4">
        <v>1</v>
      </c>
      <c r="J750" s="4" t="s">
        <v>6786</v>
      </c>
      <c r="K750" s="4" t="s">
        <v>218</v>
      </c>
      <c r="L750" s="6">
        <v>46319</v>
      </c>
      <c r="M750" s="4" t="s">
        <v>5864</v>
      </c>
      <c r="N750" s="4" t="s">
        <v>5870</v>
      </c>
    </row>
    <row r="751" spans="1:14" ht="40" customHeight="1">
      <c r="A751" s="8" t="s">
        <v>6787</v>
      </c>
      <c r="B751" s="8" t="s">
        <v>211</v>
      </c>
      <c r="C751" s="8" t="s">
        <v>212</v>
      </c>
      <c r="D751" s="8" t="s">
        <v>5867</v>
      </c>
      <c r="E751" s="8" t="s">
        <v>6782</v>
      </c>
      <c r="F751" s="8" t="s">
        <v>6788</v>
      </c>
      <c r="G751" s="8" t="s">
        <v>1350</v>
      </c>
      <c r="H751" s="8">
        <v>1</v>
      </c>
      <c r="I751" s="8">
        <v>1</v>
      </c>
      <c r="J751" s="8" t="s">
        <v>6789</v>
      </c>
      <c r="K751" s="8" t="s">
        <v>218</v>
      </c>
      <c r="L751" s="9">
        <v>46319</v>
      </c>
      <c r="M751" s="8" t="s">
        <v>5864</v>
      </c>
      <c r="N751" s="8" t="s">
        <v>5870</v>
      </c>
    </row>
    <row r="752" spans="1:14" ht="40" customHeight="1">
      <c r="A752" s="4" t="s">
        <v>6790</v>
      </c>
      <c r="B752" s="4" t="s">
        <v>211</v>
      </c>
      <c r="C752" s="4" t="s">
        <v>212</v>
      </c>
      <c r="D752" s="4" t="s">
        <v>5867</v>
      </c>
      <c r="E752" s="4" t="s">
        <v>6782</v>
      </c>
      <c r="F752" s="4" t="s">
        <v>6791</v>
      </c>
      <c r="G752" s="4" t="s">
        <v>1350</v>
      </c>
      <c r="H752" s="4">
        <v>1</v>
      </c>
      <c r="I752" s="4">
        <v>1</v>
      </c>
      <c r="J752" s="4" t="s">
        <v>6792</v>
      </c>
      <c r="K752" s="4" t="s">
        <v>218</v>
      </c>
      <c r="L752" s="6">
        <v>46319</v>
      </c>
      <c r="M752" s="4" t="s">
        <v>5864</v>
      </c>
      <c r="N752" s="4" t="s">
        <v>5870</v>
      </c>
    </row>
    <row r="753" spans="1:14" ht="40" customHeight="1">
      <c r="A753" s="8" t="s">
        <v>6793</v>
      </c>
      <c r="B753" s="8" t="s">
        <v>211</v>
      </c>
      <c r="C753" s="8" t="s">
        <v>212</v>
      </c>
      <c r="D753" s="8" t="s">
        <v>5867</v>
      </c>
      <c r="E753" s="8" t="s">
        <v>6782</v>
      </c>
      <c r="F753" s="8" t="s">
        <v>6794</v>
      </c>
      <c r="G753" s="8" t="s">
        <v>1350</v>
      </c>
      <c r="H753" s="8">
        <v>1</v>
      </c>
      <c r="I753" s="8">
        <v>1</v>
      </c>
      <c r="J753" s="8" t="s">
        <v>6795</v>
      </c>
      <c r="K753" s="8" t="s">
        <v>218</v>
      </c>
      <c r="L753" s="9">
        <v>46319</v>
      </c>
      <c r="M753" s="8" t="s">
        <v>5864</v>
      </c>
      <c r="N753" s="8" t="s">
        <v>5870</v>
      </c>
    </row>
    <row r="754" spans="1:14" ht="40" customHeight="1">
      <c r="A754" s="4" t="s">
        <v>6796</v>
      </c>
      <c r="B754" s="4" t="s">
        <v>211</v>
      </c>
      <c r="C754" s="4" t="s">
        <v>212</v>
      </c>
      <c r="D754" s="4" t="s">
        <v>637</v>
      </c>
      <c r="E754" s="4" t="s">
        <v>41</v>
      </c>
      <c r="F754" s="4" t="s">
        <v>904</v>
      </c>
      <c r="G754" s="4" t="s">
        <v>1350</v>
      </c>
      <c r="H754" s="4">
        <v>1</v>
      </c>
      <c r="I754" s="4">
        <v>1</v>
      </c>
      <c r="J754" s="4" t="s">
        <v>1348</v>
      </c>
      <c r="K754" s="4" t="s">
        <v>218</v>
      </c>
      <c r="L754" s="6">
        <v>46319</v>
      </c>
      <c r="M754" s="4" t="s">
        <v>5864</v>
      </c>
      <c r="N754" s="4" t="s">
        <v>5870</v>
      </c>
    </row>
    <row r="755" spans="1:14" ht="40" customHeight="1">
      <c r="A755" s="8" t="s">
        <v>6797</v>
      </c>
      <c r="B755" s="8" t="s">
        <v>211</v>
      </c>
      <c r="C755" s="8" t="s">
        <v>212</v>
      </c>
      <c r="D755" s="8" t="s">
        <v>637</v>
      </c>
      <c r="E755" s="8" t="s">
        <v>41</v>
      </c>
      <c r="F755" s="8" t="s">
        <v>912</v>
      </c>
      <c r="G755" s="8" t="s">
        <v>1350</v>
      </c>
      <c r="H755" s="8">
        <v>1</v>
      </c>
      <c r="I755" s="8">
        <v>1</v>
      </c>
      <c r="J755" s="8" t="s">
        <v>1352</v>
      </c>
      <c r="K755" s="8" t="s">
        <v>218</v>
      </c>
      <c r="L755" s="9">
        <v>46319</v>
      </c>
      <c r="M755" s="8" t="s">
        <v>5864</v>
      </c>
      <c r="N755" s="8" t="s">
        <v>5870</v>
      </c>
    </row>
    <row r="756" spans="1:14" ht="40" customHeight="1">
      <c r="A756" s="4" t="s">
        <v>6798</v>
      </c>
      <c r="B756" s="4" t="s">
        <v>211</v>
      </c>
      <c r="C756" s="4" t="s">
        <v>212</v>
      </c>
      <c r="D756" s="4" t="s">
        <v>637</v>
      </c>
      <c r="E756" s="4" t="s">
        <v>41</v>
      </c>
      <c r="F756" s="4" t="s">
        <v>1015</v>
      </c>
      <c r="G756" s="4" t="s">
        <v>1350</v>
      </c>
      <c r="H756" s="4">
        <v>1</v>
      </c>
      <c r="I756" s="4">
        <v>1</v>
      </c>
      <c r="J756" s="4" t="s">
        <v>1355</v>
      </c>
      <c r="K756" s="4" t="s">
        <v>218</v>
      </c>
      <c r="L756" s="6">
        <v>46319</v>
      </c>
      <c r="M756" s="4" t="s">
        <v>5864</v>
      </c>
      <c r="N756" s="4" t="s">
        <v>5870</v>
      </c>
    </row>
    <row r="757" spans="1:14" ht="40" customHeight="1">
      <c r="A757" s="8" t="s">
        <v>6799</v>
      </c>
      <c r="B757" s="8" t="s">
        <v>211</v>
      </c>
      <c r="C757" s="8" t="s">
        <v>212</v>
      </c>
      <c r="D757" s="8" t="s">
        <v>637</v>
      </c>
      <c r="E757" s="8" t="s">
        <v>41</v>
      </c>
      <c r="F757" s="8" t="s">
        <v>1019</v>
      </c>
      <c r="G757" s="8" t="s">
        <v>1350</v>
      </c>
      <c r="H757" s="8">
        <v>1</v>
      </c>
      <c r="I757" s="8">
        <v>1</v>
      </c>
      <c r="J757" s="8" t="s">
        <v>1358</v>
      </c>
      <c r="K757" s="8" t="s">
        <v>218</v>
      </c>
      <c r="L757" s="9">
        <v>46319</v>
      </c>
      <c r="M757" s="8" t="s">
        <v>5864</v>
      </c>
      <c r="N757" s="8" t="s">
        <v>5870</v>
      </c>
    </row>
    <row r="758" spans="1:14" ht="40" customHeight="1">
      <c r="A758" s="4" t="s">
        <v>6800</v>
      </c>
      <c r="B758" s="4" t="s">
        <v>211</v>
      </c>
      <c r="C758" s="4" t="s">
        <v>212</v>
      </c>
      <c r="D758" s="4" t="s">
        <v>637</v>
      </c>
      <c r="E758" s="4" t="s">
        <v>41</v>
      </c>
      <c r="F758" s="4" t="s">
        <v>1147</v>
      </c>
      <c r="G758" s="4" t="s">
        <v>1350</v>
      </c>
      <c r="H758" s="4">
        <v>1</v>
      </c>
      <c r="I758" s="4">
        <v>1</v>
      </c>
      <c r="J758" s="4" t="s">
        <v>1361</v>
      </c>
      <c r="K758" s="4" t="s">
        <v>218</v>
      </c>
      <c r="L758" s="6">
        <v>46319</v>
      </c>
      <c r="M758" s="4" t="s">
        <v>5864</v>
      </c>
      <c r="N758" s="4" t="s">
        <v>5870</v>
      </c>
    </row>
    <row r="759" spans="1:14" ht="40" customHeight="1">
      <c r="A759" s="8" t="s">
        <v>6801</v>
      </c>
      <c r="B759" s="8" t="s">
        <v>211</v>
      </c>
      <c r="C759" s="8" t="s">
        <v>212</v>
      </c>
      <c r="D759" s="8" t="s">
        <v>637</v>
      </c>
      <c r="E759" s="8" t="s">
        <v>41</v>
      </c>
      <c r="F759" s="8" t="s">
        <v>1254</v>
      </c>
      <c r="G759" s="8" t="s">
        <v>1350</v>
      </c>
      <c r="H759" s="8">
        <v>1</v>
      </c>
      <c r="I759" s="8">
        <v>1</v>
      </c>
      <c r="J759" s="8" t="s">
        <v>1364</v>
      </c>
      <c r="K759" s="8" t="s">
        <v>218</v>
      </c>
      <c r="L759" s="9">
        <v>46319</v>
      </c>
      <c r="M759" s="8" t="s">
        <v>5864</v>
      </c>
      <c r="N759" s="8" t="s">
        <v>5870</v>
      </c>
    </row>
    <row r="760" spans="1:14" ht="40" customHeight="1">
      <c r="A760" s="4" t="s">
        <v>6802</v>
      </c>
      <c r="B760" s="4" t="s">
        <v>211</v>
      </c>
      <c r="C760" s="4" t="s">
        <v>212</v>
      </c>
      <c r="D760" s="4" t="s">
        <v>637</v>
      </c>
      <c r="E760" s="4" t="s">
        <v>41</v>
      </c>
      <c r="F760" s="4" t="s">
        <v>1258</v>
      </c>
      <c r="G760" s="4" t="s">
        <v>1350</v>
      </c>
      <c r="H760" s="4">
        <v>1</v>
      </c>
      <c r="I760" s="4">
        <v>1</v>
      </c>
      <c r="J760" s="4" t="s">
        <v>1367</v>
      </c>
      <c r="K760" s="4" t="s">
        <v>218</v>
      </c>
      <c r="L760" s="6">
        <v>46319</v>
      </c>
      <c r="M760" s="4" t="s">
        <v>5864</v>
      </c>
      <c r="N760" s="4" t="s">
        <v>5870</v>
      </c>
    </row>
    <row r="761" spans="1:14" ht="40" customHeight="1">
      <c r="A761" s="8" t="s">
        <v>5099</v>
      </c>
      <c r="B761" s="8" t="s">
        <v>211</v>
      </c>
      <c r="C761" s="8" t="s">
        <v>212</v>
      </c>
      <c r="D761" s="8" t="s">
        <v>7</v>
      </c>
      <c r="E761" s="8" t="s">
        <v>41</v>
      </c>
      <c r="F761" s="8" t="s">
        <v>6212</v>
      </c>
      <c r="G761" s="8" t="s">
        <v>1350</v>
      </c>
      <c r="H761" s="8">
        <v>1</v>
      </c>
      <c r="I761" s="8">
        <v>1</v>
      </c>
      <c r="J761" s="8" t="s">
        <v>5100</v>
      </c>
      <c r="K761" s="8" t="s">
        <v>218</v>
      </c>
      <c r="L761" s="9">
        <v>46319</v>
      </c>
      <c r="M761" s="8" t="s">
        <v>5864</v>
      </c>
      <c r="N761" s="8" t="s">
        <v>5870</v>
      </c>
    </row>
    <row r="762" spans="1:14" ht="40" customHeight="1">
      <c r="A762" s="4" t="s">
        <v>5101</v>
      </c>
      <c r="B762" s="4" t="s">
        <v>211</v>
      </c>
      <c r="C762" s="4" t="s">
        <v>212</v>
      </c>
      <c r="D762" s="4" t="s">
        <v>7</v>
      </c>
      <c r="E762" s="4" t="s">
        <v>41</v>
      </c>
      <c r="F762" s="4" t="s">
        <v>6213</v>
      </c>
      <c r="G762" s="4" t="s">
        <v>1350</v>
      </c>
      <c r="H762" s="4">
        <v>1</v>
      </c>
      <c r="I762" s="4">
        <v>1</v>
      </c>
      <c r="J762" s="4" t="s">
        <v>5102</v>
      </c>
      <c r="K762" s="4" t="s">
        <v>218</v>
      </c>
      <c r="L762" s="6">
        <v>46319</v>
      </c>
      <c r="M762" s="4" t="s">
        <v>5864</v>
      </c>
      <c r="N762" s="4" t="s">
        <v>5870</v>
      </c>
    </row>
    <row r="763" spans="1:14" ht="40" customHeight="1">
      <c r="A763" s="8" t="s">
        <v>5103</v>
      </c>
      <c r="B763" s="8" t="s">
        <v>211</v>
      </c>
      <c r="C763" s="8" t="s">
        <v>212</v>
      </c>
      <c r="D763" s="8" t="s">
        <v>7</v>
      </c>
      <c r="E763" s="8" t="s">
        <v>41</v>
      </c>
      <c r="F763" s="8" t="s">
        <v>6214</v>
      </c>
      <c r="G763" s="8" t="s">
        <v>1350</v>
      </c>
      <c r="H763" s="8">
        <v>1</v>
      </c>
      <c r="I763" s="8">
        <v>1</v>
      </c>
      <c r="J763" s="8" t="s">
        <v>5104</v>
      </c>
      <c r="K763" s="8" t="s">
        <v>218</v>
      </c>
      <c r="L763" s="9">
        <v>46319</v>
      </c>
      <c r="M763" s="8" t="s">
        <v>5864</v>
      </c>
      <c r="N763" s="8" t="s">
        <v>5870</v>
      </c>
    </row>
    <row r="764" spans="1:14" ht="40" customHeight="1">
      <c r="A764" s="4" t="s">
        <v>5105</v>
      </c>
      <c r="B764" s="4" t="s">
        <v>211</v>
      </c>
      <c r="C764" s="4" t="s">
        <v>212</v>
      </c>
      <c r="D764" s="4" t="s">
        <v>7</v>
      </c>
      <c r="E764" s="4" t="s">
        <v>41</v>
      </c>
      <c r="F764" s="4" t="s">
        <v>6215</v>
      </c>
      <c r="G764" s="4" t="s">
        <v>1350</v>
      </c>
      <c r="H764" s="4">
        <v>1</v>
      </c>
      <c r="I764" s="4">
        <v>1</v>
      </c>
      <c r="J764" s="4" t="s">
        <v>5106</v>
      </c>
      <c r="K764" s="4" t="s">
        <v>218</v>
      </c>
      <c r="L764" s="6">
        <v>46319</v>
      </c>
      <c r="M764" s="4" t="s">
        <v>5864</v>
      </c>
      <c r="N764" s="4" t="s">
        <v>5870</v>
      </c>
    </row>
    <row r="765" spans="1:14" ht="40" customHeight="1">
      <c r="A765" s="8" t="s">
        <v>5107</v>
      </c>
      <c r="B765" s="8" t="s">
        <v>211</v>
      </c>
      <c r="C765" s="8" t="s">
        <v>212</v>
      </c>
      <c r="D765" s="8" t="s">
        <v>7</v>
      </c>
      <c r="E765" s="8" t="s">
        <v>41</v>
      </c>
      <c r="F765" s="8" t="s">
        <v>6216</v>
      </c>
      <c r="G765" s="8" t="s">
        <v>1350</v>
      </c>
      <c r="H765" s="8">
        <v>1</v>
      </c>
      <c r="I765" s="8">
        <v>1</v>
      </c>
      <c r="J765" s="8" t="s">
        <v>5108</v>
      </c>
      <c r="K765" s="8" t="s">
        <v>218</v>
      </c>
      <c r="L765" s="9">
        <v>46319</v>
      </c>
      <c r="M765" s="8" t="s">
        <v>5864</v>
      </c>
      <c r="N765" s="8" t="s">
        <v>5870</v>
      </c>
    </row>
    <row r="766" spans="1:14" ht="40" customHeight="1">
      <c r="A766" s="4" t="s">
        <v>5109</v>
      </c>
      <c r="B766" s="4" t="s">
        <v>211</v>
      </c>
      <c r="C766" s="4" t="s">
        <v>212</v>
      </c>
      <c r="D766" s="4" t="s">
        <v>7</v>
      </c>
      <c r="E766" s="4" t="s">
        <v>41</v>
      </c>
      <c r="F766" s="4" t="s">
        <v>6284</v>
      </c>
      <c r="G766" s="4" t="s">
        <v>1350</v>
      </c>
      <c r="H766" s="4">
        <v>1</v>
      </c>
      <c r="I766" s="4">
        <v>1</v>
      </c>
      <c r="J766" s="4" t="s">
        <v>5110</v>
      </c>
      <c r="K766" s="4" t="s">
        <v>218</v>
      </c>
      <c r="L766" s="6">
        <v>46319</v>
      </c>
      <c r="M766" s="4" t="s">
        <v>5864</v>
      </c>
      <c r="N766" s="4" t="s">
        <v>5870</v>
      </c>
    </row>
    <row r="767" spans="1:14" ht="40" customHeight="1">
      <c r="A767" s="8" t="s">
        <v>5111</v>
      </c>
      <c r="B767" s="8" t="s">
        <v>211</v>
      </c>
      <c r="C767" s="8" t="s">
        <v>212</v>
      </c>
      <c r="D767" s="8" t="s">
        <v>7</v>
      </c>
      <c r="E767" s="8" t="s">
        <v>41</v>
      </c>
      <c r="F767" s="8" t="s">
        <v>6285</v>
      </c>
      <c r="G767" s="8" t="s">
        <v>1350</v>
      </c>
      <c r="H767" s="8">
        <v>1</v>
      </c>
      <c r="I767" s="8">
        <v>1</v>
      </c>
      <c r="J767" s="8" t="s">
        <v>5112</v>
      </c>
      <c r="K767" s="8" t="s">
        <v>218</v>
      </c>
      <c r="L767" s="9">
        <v>46319</v>
      </c>
      <c r="M767" s="8" t="s">
        <v>5864</v>
      </c>
      <c r="N767" s="8" t="s">
        <v>5870</v>
      </c>
    </row>
    <row r="768" spans="1:14" ht="40" customHeight="1">
      <c r="A768" s="4" t="s">
        <v>3989</v>
      </c>
      <c r="B768" s="4" t="s">
        <v>211</v>
      </c>
      <c r="C768" s="4" t="s">
        <v>212</v>
      </c>
      <c r="D768" s="4" t="s">
        <v>5879</v>
      </c>
      <c r="E768" s="4" t="s">
        <v>41</v>
      </c>
      <c r="F768" s="4" t="s">
        <v>3463</v>
      </c>
      <c r="G768" s="4" t="s">
        <v>1350</v>
      </c>
      <c r="H768" s="4">
        <v>1</v>
      </c>
      <c r="I768" s="4">
        <v>1</v>
      </c>
      <c r="J768" s="4" t="s">
        <v>3990</v>
      </c>
      <c r="K768" s="4" t="s">
        <v>218</v>
      </c>
      <c r="L768" s="6">
        <v>46319</v>
      </c>
      <c r="M768" s="4" t="s">
        <v>5864</v>
      </c>
      <c r="N768" s="4" t="s">
        <v>5865</v>
      </c>
    </row>
    <row r="769" spans="1:14" ht="40" customHeight="1">
      <c r="A769" s="8" t="s">
        <v>3991</v>
      </c>
      <c r="B769" s="8" t="s">
        <v>211</v>
      </c>
      <c r="C769" s="8" t="s">
        <v>212</v>
      </c>
      <c r="D769" s="8" t="s">
        <v>5879</v>
      </c>
      <c r="E769" s="8" t="s">
        <v>41</v>
      </c>
      <c r="F769" s="8" t="s">
        <v>3485</v>
      </c>
      <c r="G769" s="8" t="s">
        <v>1350</v>
      </c>
      <c r="H769" s="8">
        <v>1</v>
      </c>
      <c r="I769" s="8">
        <v>1</v>
      </c>
      <c r="J769" s="8" t="s">
        <v>3992</v>
      </c>
      <c r="K769" s="8" t="s">
        <v>218</v>
      </c>
      <c r="L769" s="9">
        <v>46319</v>
      </c>
      <c r="M769" s="8" t="s">
        <v>5864</v>
      </c>
      <c r="N769" s="8" t="s">
        <v>5865</v>
      </c>
    </row>
    <row r="770" spans="1:14" ht="54" customHeight="1">
      <c r="A770" s="4" t="s">
        <v>3993</v>
      </c>
      <c r="B770" s="4" t="s">
        <v>211</v>
      </c>
      <c r="C770" s="4" t="s">
        <v>212</v>
      </c>
      <c r="D770" s="4" t="s">
        <v>5879</v>
      </c>
      <c r="E770" s="4" t="s">
        <v>41</v>
      </c>
      <c r="F770" s="4" t="s">
        <v>3655</v>
      </c>
      <c r="G770" s="4" t="s">
        <v>1350</v>
      </c>
      <c r="H770" s="4">
        <v>1</v>
      </c>
      <c r="I770" s="4">
        <v>1</v>
      </c>
      <c r="J770" s="4" t="s">
        <v>3994</v>
      </c>
      <c r="K770" s="4" t="s">
        <v>218</v>
      </c>
      <c r="L770" s="6">
        <v>46319</v>
      </c>
      <c r="M770" s="4" t="s">
        <v>5864</v>
      </c>
      <c r="N770" s="4" t="s">
        <v>5865</v>
      </c>
    </row>
    <row r="771" spans="1:14" ht="40" customHeight="1">
      <c r="A771" s="8" t="s">
        <v>3995</v>
      </c>
      <c r="B771" s="8" t="s">
        <v>211</v>
      </c>
      <c r="C771" s="8" t="s">
        <v>212</v>
      </c>
      <c r="D771" s="8" t="s">
        <v>5879</v>
      </c>
      <c r="E771" s="8" t="s">
        <v>41</v>
      </c>
      <c r="F771" s="8" t="s">
        <v>3494</v>
      </c>
      <c r="G771" s="8" t="s">
        <v>1350</v>
      </c>
      <c r="H771" s="8">
        <v>1</v>
      </c>
      <c r="I771" s="8">
        <v>1</v>
      </c>
      <c r="J771" s="8" t="s">
        <v>3996</v>
      </c>
      <c r="K771" s="8" t="s">
        <v>218</v>
      </c>
      <c r="L771" s="9">
        <v>46319</v>
      </c>
      <c r="M771" s="8" t="s">
        <v>5864</v>
      </c>
      <c r="N771" s="8" t="s">
        <v>5865</v>
      </c>
    </row>
    <row r="772" spans="1:14" ht="40" customHeight="1">
      <c r="A772" s="4" t="s">
        <v>3997</v>
      </c>
      <c r="B772" s="4" t="s">
        <v>211</v>
      </c>
      <c r="C772" s="4" t="s">
        <v>212</v>
      </c>
      <c r="D772" s="4" t="s">
        <v>5879</v>
      </c>
      <c r="E772" s="4" t="s">
        <v>41</v>
      </c>
      <c r="F772" s="4" t="s">
        <v>3497</v>
      </c>
      <c r="G772" s="4" t="s">
        <v>1350</v>
      </c>
      <c r="H772" s="4">
        <v>1</v>
      </c>
      <c r="I772" s="4">
        <v>1</v>
      </c>
      <c r="J772" s="4" t="s">
        <v>3998</v>
      </c>
      <c r="K772" s="4" t="s">
        <v>218</v>
      </c>
      <c r="L772" s="6">
        <v>46319</v>
      </c>
      <c r="M772" s="4" t="s">
        <v>5864</v>
      </c>
      <c r="N772" s="4" t="s">
        <v>5865</v>
      </c>
    </row>
    <row r="773" spans="1:14" ht="40" customHeight="1">
      <c r="A773" s="8" t="s">
        <v>3999</v>
      </c>
      <c r="B773" s="8" t="s">
        <v>211</v>
      </c>
      <c r="C773" s="8" t="s">
        <v>212</v>
      </c>
      <c r="D773" s="8" t="s">
        <v>5879</v>
      </c>
      <c r="E773" s="8" t="s">
        <v>41</v>
      </c>
      <c r="F773" s="8" t="s">
        <v>3500</v>
      </c>
      <c r="G773" s="8" t="s">
        <v>1350</v>
      </c>
      <c r="H773" s="8">
        <v>1</v>
      </c>
      <c r="I773" s="8">
        <v>1</v>
      </c>
      <c r="J773" s="8" t="s">
        <v>4000</v>
      </c>
      <c r="K773" s="8" t="s">
        <v>218</v>
      </c>
      <c r="L773" s="9">
        <v>46319</v>
      </c>
      <c r="M773" s="8" t="s">
        <v>5864</v>
      </c>
      <c r="N773" s="8" t="s">
        <v>5865</v>
      </c>
    </row>
    <row r="774" spans="1:14" ht="68" customHeight="1">
      <c r="A774" s="4" t="s">
        <v>6803</v>
      </c>
      <c r="B774" s="4" t="s">
        <v>211</v>
      </c>
      <c r="C774" s="4" t="s">
        <v>212</v>
      </c>
      <c r="D774" s="4" t="s">
        <v>2969</v>
      </c>
      <c r="E774" s="4" t="s">
        <v>41</v>
      </c>
      <c r="F774" s="4" t="s">
        <v>5881</v>
      </c>
      <c r="G774" s="4" t="s">
        <v>1350</v>
      </c>
      <c r="H774" s="4">
        <v>1</v>
      </c>
      <c r="I774" s="4">
        <v>1</v>
      </c>
      <c r="J774" s="4" t="s">
        <v>6804</v>
      </c>
      <c r="K774" s="4" t="s">
        <v>218</v>
      </c>
      <c r="L774" s="6">
        <v>46319</v>
      </c>
      <c r="M774" s="4" t="s">
        <v>5864</v>
      </c>
      <c r="N774" s="4" t="s">
        <v>5883</v>
      </c>
    </row>
    <row r="775" spans="1:14" ht="68" customHeight="1">
      <c r="A775" s="8" t="s">
        <v>6805</v>
      </c>
      <c r="B775" s="8" t="s">
        <v>211</v>
      </c>
      <c r="C775" s="8" t="s">
        <v>212</v>
      </c>
      <c r="D775" s="8" t="s">
        <v>2969</v>
      </c>
      <c r="E775" s="8" t="s">
        <v>41</v>
      </c>
      <c r="F775" s="8" t="s">
        <v>5885</v>
      </c>
      <c r="G775" s="8" t="s">
        <v>1350</v>
      </c>
      <c r="H775" s="8">
        <v>1</v>
      </c>
      <c r="I775" s="8">
        <v>1</v>
      </c>
      <c r="J775" s="8" t="s">
        <v>6806</v>
      </c>
      <c r="K775" s="8" t="s">
        <v>218</v>
      </c>
      <c r="L775" s="9">
        <v>46319</v>
      </c>
      <c r="M775" s="8" t="s">
        <v>5864</v>
      </c>
      <c r="N775" s="8" t="s">
        <v>5883</v>
      </c>
    </row>
    <row r="776" spans="1:14" ht="68" customHeight="1">
      <c r="A776" s="4" t="s">
        <v>6807</v>
      </c>
      <c r="B776" s="4" t="s">
        <v>211</v>
      </c>
      <c r="C776" s="4" t="s">
        <v>212</v>
      </c>
      <c r="D776" s="4" t="s">
        <v>2969</v>
      </c>
      <c r="E776" s="4" t="s">
        <v>41</v>
      </c>
      <c r="F776" s="4" t="s">
        <v>5888</v>
      </c>
      <c r="G776" s="4" t="s">
        <v>1350</v>
      </c>
      <c r="H776" s="4">
        <v>1</v>
      </c>
      <c r="I776" s="4">
        <v>1</v>
      </c>
      <c r="J776" s="4" t="s">
        <v>6808</v>
      </c>
      <c r="K776" s="4" t="s">
        <v>218</v>
      </c>
      <c r="L776" s="6">
        <v>46319</v>
      </c>
      <c r="M776" s="4" t="s">
        <v>5864</v>
      </c>
      <c r="N776" s="4" t="s">
        <v>5883</v>
      </c>
    </row>
    <row r="777" spans="1:14" ht="54" customHeight="1">
      <c r="A777" s="8" t="s">
        <v>6809</v>
      </c>
      <c r="B777" s="8" t="s">
        <v>211</v>
      </c>
      <c r="C777" s="8" t="s">
        <v>212</v>
      </c>
      <c r="D777" s="8" t="s">
        <v>2969</v>
      </c>
      <c r="E777" s="8" t="s">
        <v>41</v>
      </c>
      <c r="F777" s="8" t="s">
        <v>5891</v>
      </c>
      <c r="G777" s="8" t="s">
        <v>1350</v>
      </c>
      <c r="H777" s="8">
        <v>1</v>
      </c>
      <c r="I777" s="8">
        <v>1</v>
      </c>
      <c r="J777" s="8" t="s">
        <v>6810</v>
      </c>
      <c r="K777" s="8" t="s">
        <v>218</v>
      </c>
      <c r="L777" s="9">
        <v>46319</v>
      </c>
      <c r="M777" s="8" t="s">
        <v>5864</v>
      </c>
      <c r="N777" s="8" t="s">
        <v>5883</v>
      </c>
    </row>
    <row r="778" spans="1:14" ht="68" customHeight="1">
      <c r="A778" s="4" t="s">
        <v>6811</v>
      </c>
      <c r="B778" s="4" t="s">
        <v>211</v>
      </c>
      <c r="C778" s="4" t="s">
        <v>212</v>
      </c>
      <c r="D778" s="4" t="s">
        <v>2969</v>
      </c>
      <c r="E778" s="4" t="s">
        <v>41</v>
      </c>
      <c r="F778" s="4" t="s">
        <v>5894</v>
      </c>
      <c r="G778" s="4" t="s">
        <v>1350</v>
      </c>
      <c r="H778" s="4">
        <v>1</v>
      </c>
      <c r="I778" s="4">
        <v>1</v>
      </c>
      <c r="J778" s="4" t="s">
        <v>6812</v>
      </c>
      <c r="K778" s="4" t="s">
        <v>218</v>
      </c>
      <c r="L778" s="6">
        <v>46319</v>
      </c>
      <c r="M778" s="4" t="s">
        <v>5864</v>
      </c>
      <c r="N778" s="4" t="s">
        <v>5883</v>
      </c>
    </row>
    <row r="779" spans="1:14" ht="54" customHeight="1">
      <c r="A779" s="8" t="s">
        <v>6813</v>
      </c>
      <c r="B779" s="8" t="s">
        <v>211</v>
      </c>
      <c r="C779" s="8" t="s">
        <v>212</v>
      </c>
      <c r="D779" s="8" t="s">
        <v>2969</v>
      </c>
      <c r="E779" s="8" t="s">
        <v>41</v>
      </c>
      <c r="F779" s="8" t="s">
        <v>5897</v>
      </c>
      <c r="G779" s="8" t="s">
        <v>1350</v>
      </c>
      <c r="H779" s="8">
        <v>1</v>
      </c>
      <c r="I779" s="8">
        <v>1</v>
      </c>
      <c r="J779" s="8" t="s">
        <v>6814</v>
      </c>
      <c r="K779" s="8" t="s">
        <v>218</v>
      </c>
      <c r="L779" s="9">
        <v>46319</v>
      </c>
      <c r="M779" s="8" t="s">
        <v>5864</v>
      </c>
      <c r="N779" s="8" t="s">
        <v>5883</v>
      </c>
    </row>
    <row r="780" spans="1:14" ht="54" customHeight="1">
      <c r="A780" s="4" t="s">
        <v>6815</v>
      </c>
      <c r="B780" s="4" t="s">
        <v>211</v>
      </c>
      <c r="C780" s="4" t="s">
        <v>212</v>
      </c>
      <c r="D780" s="4" t="s">
        <v>2969</v>
      </c>
      <c r="E780" s="4" t="s">
        <v>41</v>
      </c>
      <c r="F780" s="4" t="s">
        <v>5900</v>
      </c>
      <c r="G780" s="4" t="s">
        <v>1350</v>
      </c>
      <c r="H780" s="4">
        <v>1</v>
      </c>
      <c r="I780" s="4">
        <v>1</v>
      </c>
      <c r="J780" s="4" t="s">
        <v>6816</v>
      </c>
      <c r="K780" s="4" t="s">
        <v>218</v>
      </c>
      <c r="L780" s="6">
        <v>46319</v>
      </c>
      <c r="M780" s="4" t="s">
        <v>5864</v>
      </c>
      <c r="N780" s="4" t="s">
        <v>5883</v>
      </c>
    </row>
    <row r="781" spans="1:14" ht="54" customHeight="1">
      <c r="A781" s="8" t="s">
        <v>6817</v>
      </c>
      <c r="B781" s="8" t="s">
        <v>211</v>
      </c>
      <c r="C781" s="8" t="s">
        <v>212</v>
      </c>
      <c r="D781" s="8" t="s">
        <v>2969</v>
      </c>
      <c r="E781" s="8" t="s">
        <v>41</v>
      </c>
      <c r="F781" s="8" t="s">
        <v>5903</v>
      </c>
      <c r="G781" s="8" t="s">
        <v>1350</v>
      </c>
      <c r="H781" s="8">
        <v>1</v>
      </c>
      <c r="I781" s="8">
        <v>1</v>
      </c>
      <c r="J781" s="8" t="s">
        <v>6818</v>
      </c>
      <c r="K781" s="8" t="s">
        <v>218</v>
      </c>
      <c r="L781" s="9">
        <v>46319</v>
      </c>
      <c r="M781" s="8" t="s">
        <v>5864</v>
      </c>
      <c r="N781" s="8" t="s">
        <v>5883</v>
      </c>
    </row>
    <row r="782" spans="1:14" ht="54" customHeight="1">
      <c r="A782" s="4" t="s">
        <v>6819</v>
      </c>
      <c r="B782" s="4" t="s">
        <v>211</v>
      </c>
      <c r="C782" s="4" t="s">
        <v>212</v>
      </c>
      <c r="D782" s="4" t="s">
        <v>2969</v>
      </c>
      <c r="E782" s="4" t="s">
        <v>41</v>
      </c>
      <c r="F782" s="4" t="s">
        <v>5906</v>
      </c>
      <c r="G782" s="4" t="s">
        <v>1350</v>
      </c>
      <c r="H782" s="4">
        <v>1</v>
      </c>
      <c r="I782" s="4">
        <v>1</v>
      </c>
      <c r="J782" s="4" t="s">
        <v>6820</v>
      </c>
      <c r="K782" s="4" t="s">
        <v>218</v>
      </c>
      <c r="L782" s="6">
        <v>46319</v>
      </c>
      <c r="M782" s="4" t="s">
        <v>5864</v>
      </c>
      <c r="N782" s="4" t="s">
        <v>5883</v>
      </c>
    </row>
    <row r="783" spans="1:14" ht="54" customHeight="1">
      <c r="A783" s="8" t="s">
        <v>6821</v>
      </c>
      <c r="B783" s="8" t="s">
        <v>211</v>
      </c>
      <c r="C783" s="8" t="s">
        <v>212</v>
      </c>
      <c r="D783" s="8" t="s">
        <v>2969</v>
      </c>
      <c r="E783" s="8" t="s">
        <v>41</v>
      </c>
      <c r="F783" s="8" t="s">
        <v>5909</v>
      </c>
      <c r="G783" s="8" t="s">
        <v>1350</v>
      </c>
      <c r="H783" s="8">
        <v>1</v>
      </c>
      <c r="I783" s="8">
        <v>1</v>
      </c>
      <c r="J783" s="8" t="s">
        <v>6822</v>
      </c>
      <c r="K783" s="8" t="s">
        <v>218</v>
      </c>
      <c r="L783" s="9">
        <v>46319</v>
      </c>
      <c r="M783" s="8" t="s">
        <v>5864</v>
      </c>
      <c r="N783" s="8" t="s">
        <v>5883</v>
      </c>
    </row>
    <row r="784" spans="1:14" ht="110" customHeight="1">
      <c r="A784" s="4" t="s">
        <v>6823</v>
      </c>
      <c r="B784" s="4" t="s">
        <v>221</v>
      </c>
      <c r="C784" s="4" t="s">
        <v>222</v>
      </c>
      <c r="D784" s="4" t="s">
        <v>5861</v>
      </c>
      <c r="E784" s="4" t="s">
        <v>41</v>
      </c>
      <c r="F784" s="4" t="s">
        <v>5994</v>
      </c>
      <c r="G784" s="4" t="s">
        <v>1373</v>
      </c>
      <c r="H784" s="4">
        <v>1</v>
      </c>
      <c r="I784" s="4">
        <v>1</v>
      </c>
      <c r="J784" s="4" t="s">
        <v>6824</v>
      </c>
      <c r="K784" s="4" t="s">
        <v>228</v>
      </c>
      <c r="L784" s="6">
        <v>46319</v>
      </c>
      <c r="M784" s="4" t="s">
        <v>5864</v>
      </c>
      <c r="N784" s="4" t="s">
        <v>5865</v>
      </c>
    </row>
    <row r="785" spans="1:14" ht="40" customHeight="1">
      <c r="A785" s="8" t="s">
        <v>6825</v>
      </c>
      <c r="B785" s="8" t="s">
        <v>221</v>
      </c>
      <c r="C785" s="8" t="s">
        <v>222</v>
      </c>
      <c r="D785" s="8" t="s">
        <v>5867</v>
      </c>
      <c r="E785" s="8" t="s">
        <v>41</v>
      </c>
      <c r="F785" s="8" t="s">
        <v>5868</v>
      </c>
      <c r="G785" s="8" t="s">
        <v>1373</v>
      </c>
      <c r="H785" s="8">
        <v>1</v>
      </c>
      <c r="I785" s="8">
        <v>1</v>
      </c>
      <c r="J785" s="8" t="s">
        <v>6826</v>
      </c>
      <c r="K785" s="8" t="s">
        <v>228</v>
      </c>
      <c r="L785" s="9">
        <v>46319</v>
      </c>
      <c r="M785" s="8" t="s">
        <v>5864</v>
      </c>
      <c r="N785" s="8" t="s">
        <v>5870</v>
      </c>
    </row>
    <row r="786" spans="1:14" ht="54" customHeight="1">
      <c r="A786" s="4" t="s">
        <v>6827</v>
      </c>
      <c r="B786" s="4" t="s">
        <v>221</v>
      </c>
      <c r="C786" s="4" t="s">
        <v>222</v>
      </c>
      <c r="D786" s="4" t="s">
        <v>5867</v>
      </c>
      <c r="E786" s="4" t="s">
        <v>41</v>
      </c>
      <c r="F786" s="4" t="s">
        <v>5872</v>
      </c>
      <c r="G786" s="4" t="s">
        <v>1373</v>
      </c>
      <c r="H786" s="4">
        <v>1</v>
      </c>
      <c r="I786" s="4">
        <v>1</v>
      </c>
      <c r="J786" s="4" t="s">
        <v>6828</v>
      </c>
      <c r="K786" s="4" t="s">
        <v>228</v>
      </c>
      <c r="L786" s="6">
        <v>46319</v>
      </c>
      <c r="M786" s="4" t="s">
        <v>5864</v>
      </c>
      <c r="N786" s="4" t="s">
        <v>5870</v>
      </c>
    </row>
    <row r="787" spans="1:14" ht="40" customHeight="1">
      <c r="A787" s="8" t="s">
        <v>6829</v>
      </c>
      <c r="B787" s="8" t="s">
        <v>221</v>
      </c>
      <c r="C787" s="8" t="s">
        <v>222</v>
      </c>
      <c r="D787" s="8" t="s">
        <v>637</v>
      </c>
      <c r="E787" s="8" t="s">
        <v>41</v>
      </c>
      <c r="F787" s="8" t="s">
        <v>926</v>
      </c>
      <c r="G787" s="8" t="s">
        <v>1373</v>
      </c>
      <c r="H787" s="8">
        <v>1</v>
      </c>
      <c r="I787" s="8">
        <v>1</v>
      </c>
      <c r="J787" s="8" t="s">
        <v>1371</v>
      </c>
      <c r="K787" s="8" t="s">
        <v>228</v>
      </c>
      <c r="L787" s="9">
        <v>46319</v>
      </c>
      <c r="M787" s="8" t="s">
        <v>5864</v>
      </c>
      <c r="N787" s="8" t="s">
        <v>5870</v>
      </c>
    </row>
    <row r="788" spans="1:14" ht="40" customHeight="1">
      <c r="A788" s="4" t="s">
        <v>6830</v>
      </c>
      <c r="B788" s="4" t="s">
        <v>221</v>
      </c>
      <c r="C788" s="4" t="s">
        <v>222</v>
      </c>
      <c r="D788" s="4" t="s">
        <v>637</v>
      </c>
      <c r="E788" s="4" t="s">
        <v>41</v>
      </c>
      <c r="F788" s="4" t="s">
        <v>1377</v>
      </c>
      <c r="G788" s="4" t="s">
        <v>1373</v>
      </c>
      <c r="H788" s="4">
        <v>1</v>
      </c>
      <c r="I788" s="4">
        <v>1</v>
      </c>
      <c r="J788" s="4" t="s">
        <v>1375</v>
      </c>
      <c r="K788" s="4" t="s">
        <v>228</v>
      </c>
      <c r="L788" s="6">
        <v>46319</v>
      </c>
      <c r="M788" s="4" t="s">
        <v>5864</v>
      </c>
      <c r="N788" s="4" t="s">
        <v>5870</v>
      </c>
    </row>
    <row r="789" spans="1:14" ht="40" customHeight="1">
      <c r="A789" s="8" t="s">
        <v>6831</v>
      </c>
      <c r="B789" s="8" t="s">
        <v>221</v>
      </c>
      <c r="C789" s="8" t="s">
        <v>222</v>
      </c>
      <c r="D789" s="8" t="s">
        <v>637</v>
      </c>
      <c r="E789" s="8" t="s">
        <v>41</v>
      </c>
      <c r="F789" s="8" t="s">
        <v>1381</v>
      </c>
      <c r="G789" s="8" t="s">
        <v>1373</v>
      </c>
      <c r="H789" s="8">
        <v>1</v>
      </c>
      <c r="I789" s="8">
        <v>1</v>
      </c>
      <c r="J789" s="8" t="s">
        <v>1379</v>
      </c>
      <c r="K789" s="8" t="s">
        <v>228</v>
      </c>
      <c r="L789" s="9">
        <v>46319</v>
      </c>
      <c r="M789" s="8" t="s">
        <v>5864</v>
      </c>
      <c r="N789" s="8" t="s">
        <v>5870</v>
      </c>
    </row>
    <row r="790" spans="1:14" ht="40" customHeight="1">
      <c r="A790" s="4" t="s">
        <v>6832</v>
      </c>
      <c r="B790" s="4" t="s">
        <v>221</v>
      </c>
      <c r="C790" s="4" t="s">
        <v>222</v>
      </c>
      <c r="D790" s="4" t="s">
        <v>637</v>
      </c>
      <c r="E790" s="4" t="s">
        <v>41</v>
      </c>
      <c r="F790" s="4" t="s">
        <v>1385</v>
      </c>
      <c r="G790" s="4" t="s">
        <v>1373</v>
      </c>
      <c r="H790" s="4">
        <v>1</v>
      </c>
      <c r="I790" s="4">
        <v>1</v>
      </c>
      <c r="J790" s="4" t="s">
        <v>1383</v>
      </c>
      <c r="K790" s="4" t="s">
        <v>228</v>
      </c>
      <c r="L790" s="6">
        <v>46319</v>
      </c>
      <c r="M790" s="4" t="s">
        <v>5864</v>
      </c>
      <c r="N790" s="4" t="s">
        <v>5870</v>
      </c>
    </row>
    <row r="791" spans="1:14" ht="40" customHeight="1">
      <c r="A791" s="8" t="s">
        <v>5113</v>
      </c>
      <c r="B791" s="8" t="s">
        <v>221</v>
      </c>
      <c r="C791" s="8" t="s">
        <v>222</v>
      </c>
      <c r="D791" s="8" t="s">
        <v>7</v>
      </c>
      <c r="E791" s="8" t="s">
        <v>41</v>
      </c>
      <c r="F791" s="8" t="s">
        <v>6212</v>
      </c>
      <c r="G791" s="8" t="s">
        <v>1373</v>
      </c>
      <c r="H791" s="8">
        <v>1</v>
      </c>
      <c r="I791" s="8">
        <v>1</v>
      </c>
      <c r="J791" s="8" t="s">
        <v>5114</v>
      </c>
      <c r="K791" s="8" t="s">
        <v>228</v>
      </c>
      <c r="L791" s="9">
        <v>46319</v>
      </c>
      <c r="M791" s="8" t="s">
        <v>5864</v>
      </c>
      <c r="N791" s="8" t="s">
        <v>5870</v>
      </c>
    </row>
    <row r="792" spans="1:14" ht="40" customHeight="1">
      <c r="A792" s="4" t="s">
        <v>5115</v>
      </c>
      <c r="B792" s="4" t="s">
        <v>221</v>
      </c>
      <c r="C792" s="4" t="s">
        <v>222</v>
      </c>
      <c r="D792" s="4" t="s">
        <v>7</v>
      </c>
      <c r="E792" s="4" t="s">
        <v>41</v>
      </c>
      <c r="F792" s="4" t="s">
        <v>6213</v>
      </c>
      <c r="G792" s="4" t="s">
        <v>1373</v>
      </c>
      <c r="H792" s="4">
        <v>1</v>
      </c>
      <c r="I792" s="4">
        <v>1</v>
      </c>
      <c r="J792" s="4" t="s">
        <v>5116</v>
      </c>
      <c r="K792" s="4" t="s">
        <v>228</v>
      </c>
      <c r="L792" s="6">
        <v>46319</v>
      </c>
      <c r="M792" s="4" t="s">
        <v>5864</v>
      </c>
      <c r="N792" s="4" t="s">
        <v>5870</v>
      </c>
    </row>
    <row r="793" spans="1:14" ht="40" customHeight="1">
      <c r="A793" s="8" t="s">
        <v>5117</v>
      </c>
      <c r="B793" s="8" t="s">
        <v>221</v>
      </c>
      <c r="C793" s="8" t="s">
        <v>222</v>
      </c>
      <c r="D793" s="8" t="s">
        <v>7</v>
      </c>
      <c r="E793" s="8" t="s">
        <v>41</v>
      </c>
      <c r="F793" s="8" t="s">
        <v>6214</v>
      </c>
      <c r="G793" s="8" t="s">
        <v>1373</v>
      </c>
      <c r="H793" s="8">
        <v>1</v>
      </c>
      <c r="I793" s="8">
        <v>1</v>
      </c>
      <c r="J793" s="8" t="s">
        <v>5118</v>
      </c>
      <c r="K793" s="8" t="s">
        <v>228</v>
      </c>
      <c r="L793" s="9">
        <v>46319</v>
      </c>
      <c r="M793" s="8" t="s">
        <v>5864</v>
      </c>
      <c r="N793" s="8" t="s">
        <v>5870</v>
      </c>
    </row>
    <row r="794" spans="1:14" ht="40" customHeight="1">
      <c r="A794" s="4" t="s">
        <v>5119</v>
      </c>
      <c r="B794" s="4" t="s">
        <v>221</v>
      </c>
      <c r="C794" s="4" t="s">
        <v>222</v>
      </c>
      <c r="D794" s="4" t="s">
        <v>7</v>
      </c>
      <c r="E794" s="4" t="s">
        <v>41</v>
      </c>
      <c r="F794" s="4" t="s">
        <v>6215</v>
      </c>
      <c r="G794" s="4" t="s">
        <v>1373</v>
      </c>
      <c r="H794" s="4">
        <v>1</v>
      </c>
      <c r="I794" s="4">
        <v>1</v>
      </c>
      <c r="J794" s="4" t="s">
        <v>5120</v>
      </c>
      <c r="K794" s="4" t="s">
        <v>228</v>
      </c>
      <c r="L794" s="6">
        <v>46319</v>
      </c>
      <c r="M794" s="4" t="s">
        <v>5864</v>
      </c>
      <c r="N794" s="4" t="s">
        <v>5870</v>
      </c>
    </row>
    <row r="795" spans="1:14" ht="40" customHeight="1">
      <c r="A795" s="8" t="s">
        <v>5121</v>
      </c>
      <c r="B795" s="8" t="s">
        <v>221</v>
      </c>
      <c r="C795" s="8" t="s">
        <v>222</v>
      </c>
      <c r="D795" s="8" t="s">
        <v>7</v>
      </c>
      <c r="E795" s="8" t="s">
        <v>41</v>
      </c>
      <c r="F795" s="8" t="s">
        <v>6216</v>
      </c>
      <c r="G795" s="8" t="s">
        <v>1373</v>
      </c>
      <c r="H795" s="8">
        <v>1</v>
      </c>
      <c r="I795" s="8">
        <v>1</v>
      </c>
      <c r="J795" s="8" t="s">
        <v>5122</v>
      </c>
      <c r="K795" s="8" t="s">
        <v>228</v>
      </c>
      <c r="L795" s="9">
        <v>46319</v>
      </c>
      <c r="M795" s="8" t="s">
        <v>5864</v>
      </c>
      <c r="N795" s="8" t="s">
        <v>5870</v>
      </c>
    </row>
    <row r="796" spans="1:14" ht="40" customHeight="1">
      <c r="A796" s="4" t="s">
        <v>5123</v>
      </c>
      <c r="B796" s="4" t="s">
        <v>221</v>
      </c>
      <c r="C796" s="4" t="s">
        <v>222</v>
      </c>
      <c r="D796" s="4" t="s">
        <v>7</v>
      </c>
      <c r="E796" s="4" t="s">
        <v>41</v>
      </c>
      <c r="F796" s="4" t="s">
        <v>6284</v>
      </c>
      <c r="G796" s="4" t="s">
        <v>1373</v>
      </c>
      <c r="H796" s="4">
        <v>1</v>
      </c>
      <c r="I796" s="4">
        <v>1</v>
      </c>
      <c r="J796" s="4" t="s">
        <v>5124</v>
      </c>
      <c r="K796" s="4" t="s">
        <v>228</v>
      </c>
      <c r="L796" s="6">
        <v>46319</v>
      </c>
      <c r="M796" s="4" t="s">
        <v>5864</v>
      </c>
      <c r="N796" s="4" t="s">
        <v>5870</v>
      </c>
    </row>
    <row r="797" spans="1:14" ht="40" customHeight="1">
      <c r="A797" s="8" t="s">
        <v>5125</v>
      </c>
      <c r="B797" s="8" t="s">
        <v>221</v>
      </c>
      <c r="C797" s="8" t="s">
        <v>222</v>
      </c>
      <c r="D797" s="8" t="s">
        <v>7</v>
      </c>
      <c r="E797" s="8" t="s">
        <v>41</v>
      </c>
      <c r="F797" s="8" t="s">
        <v>6285</v>
      </c>
      <c r="G797" s="8" t="s">
        <v>1373</v>
      </c>
      <c r="H797" s="8">
        <v>1</v>
      </c>
      <c r="I797" s="8">
        <v>1</v>
      </c>
      <c r="J797" s="8" t="s">
        <v>5126</v>
      </c>
      <c r="K797" s="8" t="s">
        <v>228</v>
      </c>
      <c r="L797" s="9">
        <v>46319</v>
      </c>
      <c r="M797" s="8" t="s">
        <v>5864</v>
      </c>
      <c r="N797" s="8" t="s">
        <v>5870</v>
      </c>
    </row>
    <row r="798" spans="1:14" ht="40" customHeight="1">
      <c r="A798" s="4" t="s">
        <v>5127</v>
      </c>
      <c r="B798" s="4" t="s">
        <v>221</v>
      </c>
      <c r="C798" s="4" t="s">
        <v>222</v>
      </c>
      <c r="D798" s="4" t="s">
        <v>7</v>
      </c>
      <c r="E798" s="4" t="s">
        <v>41</v>
      </c>
      <c r="F798" s="4" t="s">
        <v>6286</v>
      </c>
      <c r="G798" s="4" t="s">
        <v>1373</v>
      </c>
      <c r="H798" s="4">
        <v>1</v>
      </c>
      <c r="I798" s="4">
        <v>1</v>
      </c>
      <c r="J798" s="4" t="s">
        <v>5128</v>
      </c>
      <c r="K798" s="4" t="s">
        <v>228</v>
      </c>
      <c r="L798" s="6">
        <v>46319</v>
      </c>
      <c r="M798" s="4" t="s">
        <v>5864</v>
      </c>
      <c r="N798" s="4" t="s">
        <v>5870</v>
      </c>
    </row>
    <row r="799" spans="1:14" ht="40" customHeight="1">
      <c r="A799" s="8" t="s">
        <v>5129</v>
      </c>
      <c r="B799" s="8" t="s">
        <v>221</v>
      </c>
      <c r="C799" s="8" t="s">
        <v>222</v>
      </c>
      <c r="D799" s="8" t="s">
        <v>7</v>
      </c>
      <c r="E799" s="8" t="s">
        <v>41</v>
      </c>
      <c r="F799" s="8" t="s">
        <v>6287</v>
      </c>
      <c r="G799" s="8" t="s">
        <v>1373</v>
      </c>
      <c r="H799" s="8">
        <v>1</v>
      </c>
      <c r="I799" s="8">
        <v>1</v>
      </c>
      <c r="J799" s="8" t="s">
        <v>5130</v>
      </c>
      <c r="K799" s="8" t="s">
        <v>228</v>
      </c>
      <c r="L799" s="9">
        <v>46319</v>
      </c>
      <c r="M799" s="8" t="s">
        <v>5864</v>
      </c>
      <c r="N799" s="8" t="s">
        <v>5870</v>
      </c>
    </row>
    <row r="800" spans="1:14" ht="40" customHeight="1">
      <c r="A800" s="4" t="s">
        <v>5131</v>
      </c>
      <c r="B800" s="4" t="s">
        <v>221</v>
      </c>
      <c r="C800" s="4" t="s">
        <v>222</v>
      </c>
      <c r="D800" s="4" t="s">
        <v>7</v>
      </c>
      <c r="E800" s="4" t="s">
        <v>41</v>
      </c>
      <c r="F800" s="4" t="s">
        <v>6288</v>
      </c>
      <c r="G800" s="4" t="s">
        <v>1373</v>
      </c>
      <c r="H800" s="4">
        <v>1</v>
      </c>
      <c r="I800" s="4">
        <v>1</v>
      </c>
      <c r="J800" s="4" t="s">
        <v>5132</v>
      </c>
      <c r="K800" s="4" t="s">
        <v>228</v>
      </c>
      <c r="L800" s="6">
        <v>46319</v>
      </c>
      <c r="M800" s="4" t="s">
        <v>5864</v>
      </c>
      <c r="N800" s="4" t="s">
        <v>5870</v>
      </c>
    </row>
    <row r="801" spans="1:14" ht="40" customHeight="1">
      <c r="A801" s="8" t="s">
        <v>5133</v>
      </c>
      <c r="B801" s="8" t="s">
        <v>221</v>
      </c>
      <c r="C801" s="8" t="s">
        <v>222</v>
      </c>
      <c r="D801" s="8" t="s">
        <v>7</v>
      </c>
      <c r="E801" s="8" t="s">
        <v>41</v>
      </c>
      <c r="F801" s="8" t="s">
        <v>6289</v>
      </c>
      <c r="G801" s="8" t="s">
        <v>1373</v>
      </c>
      <c r="H801" s="8">
        <v>1</v>
      </c>
      <c r="I801" s="8">
        <v>1</v>
      </c>
      <c r="J801" s="8" t="s">
        <v>5134</v>
      </c>
      <c r="K801" s="8" t="s">
        <v>228</v>
      </c>
      <c r="L801" s="9">
        <v>46319</v>
      </c>
      <c r="M801" s="8" t="s">
        <v>5864</v>
      </c>
      <c r="N801" s="8" t="s">
        <v>5870</v>
      </c>
    </row>
    <row r="802" spans="1:14" ht="40" customHeight="1">
      <c r="A802" s="4" t="s">
        <v>5135</v>
      </c>
      <c r="B802" s="4" t="s">
        <v>221</v>
      </c>
      <c r="C802" s="4" t="s">
        <v>222</v>
      </c>
      <c r="D802" s="4" t="s">
        <v>7</v>
      </c>
      <c r="E802" s="4" t="s">
        <v>41</v>
      </c>
      <c r="F802" s="4" t="s">
        <v>6833</v>
      </c>
      <c r="G802" s="4" t="s">
        <v>1373</v>
      </c>
      <c r="H802" s="4">
        <v>1</v>
      </c>
      <c r="I802" s="4">
        <v>1</v>
      </c>
      <c r="J802" s="4" t="s">
        <v>5136</v>
      </c>
      <c r="K802" s="4" t="s">
        <v>228</v>
      </c>
      <c r="L802" s="6">
        <v>46319</v>
      </c>
      <c r="M802" s="4" t="s">
        <v>5864</v>
      </c>
      <c r="N802" s="4" t="s">
        <v>5870</v>
      </c>
    </row>
    <row r="803" spans="1:14" ht="40" customHeight="1">
      <c r="A803" s="8" t="s">
        <v>5137</v>
      </c>
      <c r="B803" s="8" t="s">
        <v>221</v>
      </c>
      <c r="C803" s="8" t="s">
        <v>222</v>
      </c>
      <c r="D803" s="8" t="s">
        <v>7</v>
      </c>
      <c r="E803" s="8" t="s">
        <v>5138</v>
      </c>
      <c r="F803" s="8" t="s">
        <v>6834</v>
      </c>
      <c r="G803" s="8" t="s">
        <v>1373</v>
      </c>
      <c r="H803" s="8">
        <v>1</v>
      </c>
      <c r="I803" s="8">
        <v>1</v>
      </c>
      <c r="J803" s="8" t="s">
        <v>5138</v>
      </c>
      <c r="K803" s="8" t="s">
        <v>228</v>
      </c>
      <c r="L803" s="9">
        <v>46319</v>
      </c>
      <c r="M803" s="8" t="s">
        <v>5864</v>
      </c>
      <c r="N803" s="8" t="s">
        <v>5865</v>
      </c>
    </row>
    <row r="804" spans="1:14" ht="40" customHeight="1">
      <c r="A804" s="4" t="s">
        <v>5139</v>
      </c>
      <c r="B804" s="4" t="s">
        <v>221</v>
      </c>
      <c r="C804" s="4" t="s">
        <v>222</v>
      </c>
      <c r="D804" s="4" t="s">
        <v>7</v>
      </c>
      <c r="E804" s="4" t="s">
        <v>5138</v>
      </c>
      <c r="F804" s="4" t="s">
        <v>6585</v>
      </c>
      <c r="G804" s="4" t="s">
        <v>1373</v>
      </c>
      <c r="H804" s="4">
        <v>1</v>
      </c>
      <c r="I804" s="4">
        <v>1</v>
      </c>
      <c r="J804" s="4" t="s">
        <v>5140</v>
      </c>
      <c r="K804" s="4" t="s">
        <v>228</v>
      </c>
      <c r="L804" s="6">
        <v>46319</v>
      </c>
      <c r="M804" s="4" t="s">
        <v>5864</v>
      </c>
      <c r="N804" s="4" t="s">
        <v>5870</v>
      </c>
    </row>
    <row r="805" spans="1:14" ht="40" customHeight="1">
      <c r="A805" s="8" t="s">
        <v>5141</v>
      </c>
      <c r="B805" s="8" t="s">
        <v>221</v>
      </c>
      <c r="C805" s="8" t="s">
        <v>222</v>
      </c>
      <c r="D805" s="8" t="s">
        <v>7</v>
      </c>
      <c r="E805" s="8" t="s">
        <v>5138</v>
      </c>
      <c r="F805" s="8" t="s">
        <v>6835</v>
      </c>
      <c r="G805" s="8" t="s">
        <v>1373</v>
      </c>
      <c r="H805" s="8">
        <v>1</v>
      </c>
      <c r="I805" s="8">
        <v>1</v>
      </c>
      <c r="J805" s="8" t="s">
        <v>5142</v>
      </c>
      <c r="K805" s="8" t="s">
        <v>228</v>
      </c>
      <c r="L805" s="9">
        <v>46319</v>
      </c>
      <c r="M805" s="8" t="s">
        <v>5864</v>
      </c>
      <c r="N805" s="8" t="s">
        <v>5870</v>
      </c>
    </row>
    <row r="806" spans="1:14" ht="82" customHeight="1">
      <c r="A806" s="4" t="s">
        <v>5143</v>
      </c>
      <c r="B806" s="4" t="s">
        <v>221</v>
      </c>
      <c r="C806" s="4" t="s">
        <v>222</v>
      </c>
      <c r="D806" s="4" t="s">
        <v>7</v>
      </c>
      <c r="E806" s="4" t="s">
        <v>5138</v>
      </c>
      <c r="F806" s="4" t="s">
        <v>6836</v>
      </c>
      <c r="G806" s="4" t="s">
        <v>1373</v>
      </c>
      <c r="H806" s="4">
        <v>1</v>
      </c>
      <c r="I806" s="4">
        <v>1</v>
      </c>
      <c r="J806" s="4" t="s">
        <v>5144</v>
      </c>
      <c r="K806" s="4" t="s">
        <v>228</v>
      </c>
      <c r="L806" s="6">
        <v>46319</v>
      </c>
      <c r="M806" s="4" t="s">
        <v>5864</v>
      </c>
      <c r="N806" s="4" t="s">
        <v>5870</v>
      </c>
    </row>
    <row r="807" spans="1:14" ht="68" customHeight="1">
      <c r="A807" s="8" t="s">
        <v>5145</v>
      </c>
      <c r="B807" s="8" t="s">
        <v>221</v>
      </c>
      <c r="C807" s="8" t="s">
        <v>222</v>
      </c>
      <c r="D807" s="8" t="s">
        <v>7</v>
      </c>
      <c r="E807" s="8" t="s">
        <v>5138</v>
      </c>
      <c r="F807" s="8" t="s">
        <v>6837</v>
      </c>
      <c r="G807" s="8" t="s">
        <v>1373</v>
      </c>
      <c r="H807" s="8">
        <v>1</v>
      </c>
      <c r="I807" s="8">
        <v>1</v>
      </c>
      <c r="J807" s="8" t="s">
        <v>5146</v>
      </c>
      <c r="K807" s="8" t="s">
        <v>228</v>
      </c>
      <c r="L807" s="9">
        <v>46319</v>
      </c>
      <c r="M807" s="8" t="s">
        <v>5864</v>
      </c>
      <c r="N807" s="8" t="s">
        <v>5870</v>
      </c>
    </row>
    <row r="808" spans="1:14" ht="54" customHeight="1">
      <c r="A808" s="4" t="s">
        <v>4001</v>
      </c>
      <c r="B808" s="4" t="s">
        <v>221</v>
      </c>
      <c r="C808" s="4" t="s">
        <v>222</v>
      </c>
      <c r="D808" s="4" t="s">
        <v>5879</v>
      </c>
      <c r="E808" s="4" t="s">
        <v>41</v>
      </c>
      <c r="F808" s="4" t="s">
        <v>3449</v>
      </c>
      <c r="G808" s="4" t="s">
        <v>1373</v>
      </c>
      <c r="H808" s="4">
        <v>1</v>
      </c>
      <c r="I808" s="4">
        <v>1</v>
      </c>
      <c r="J808" s="4" t="s">
        <v>4002</v>
      </c>
      <c r="K808" s="4" t="s">
        <v>228</v>
      </c>
      <c r="L808" s="6">
        <v>46319</v>
      </c>
      <c r="M808" s="4" t="s">
        <v>5864</v>
      </c>
      <c r="N808" s="4" t="s">
        <v>5865</v>
      </c>
    </row>
    <row r="809" spans="1:14" ht="40" customHeight="1">
      <c r="A809" s="8" t="s">
        <v>4003</v>
      </c>
      <c r="B809" s="8" t="s">
        <v>221</v>
      </c>
      <c r="C809" s="8" t="s">
        <v>222</v>
      </c>
      <c r="D809" s="8" t="s">
        <v>5879</v>
      </c>
      <c r="E809" s="8" t="s">
        <v>41</v>
      </c>
      <c r="F809" s="8" t="s">
        <v>3466</v>
      </c>
      <c r="G809" s="8" t="s">
        <v>1373</v>
      </c>
      <c r="H809" s="8">
        <v>1</v>
      </c>
      <c r="I809" s="8">
        <v>1</v>
      </c>
      <c r="J809" s="8" t="s">
        <v>4004</v>
      </c>
      <c r="K809" s="8" t="s">
        <v>228</v>
      </c>
      <c r="L809" s="9">
        <v>46319</v>
      </c>
      <c r="M809" s="8" t="s">
        <v>5864</v>
      </c>
      <c r="N809" s="8" t="s">
        <v>5865</v>
      </c>
    </row>
    <row r="810" spans="1:14" ht="40" customHeight="1">
      <c r="A810" s="4" t="s">
        <v>4005</v>
      </c>
      <c r="B810" s="4" t="s">
        <v>221</v>
      </c>
      <c r="C810" s="4" t="s">
        <v>222</v>
      </c>
      <c r="D810" s="4" t="s">
        <v>5879</v>
      </c>
      <c r="E810" s="4" t="s">
        <v>4006</v>
      </c>
      <c r="F810" s="4" t="s">
        <v>3469</v>
      </c>
      <c r="G810" s="4" t="s">
        <v>1373</v>
      </c>
      <c r="H810" s="4">
        <v>1</v>
      </c>
      <c r="I810" s="4">
        <v>1</v>
      </c>
      <c r="J810" s="4" t="s">
        <v>4006</v>
      </c>
      <c r="K810" s="4" t="s">
        <v>228</v>
      </c>
      <c r="L810" s="6">
        <v>46319</v>
      </c>
      <c r="M810" s="4" t="s">
        <v>5864</v>
      </c>
      <c r="N810" s="4" t="s">
        <v>5865</v>
      </c>
    </row>
    <row r="811" spans="1:14" ht="40" customHeight="1">
      <c r="A811" s="8" t="s">
        <v>4007</v>
      </c>
      <c r="B811" s="8" t="s">
        <v>221</v>
      </c>
      <c r="C811" s="8" t="s">
        <v>222</v>
      </c>
      <c r="D811" s="8" t="s">
        <v>5879</v>
      </c>
      <c r="E811" s="8" t="s">
        <v>4006</v>
      </c>
      <c r="F811" s="8" t="s">
        <v>3530</v>
      </c>
      <c r="G811" s="8" t="s">
        <v>1373</v>
      </c>
      <c r="H811" s="8">
        <v>1</v>
      </c>
      <c r="I811" s="8">
        <v>1</v>
      </c>
      <c r="J811" s="8" t="s">
        <v>4008</v>
      </c>
      <c r="K811" s="8" t="s">
        <v>228</v>
      </c>
      <c r="L811" s="9">
        <v>46319</v>
      </c>
      <c r="M811" s="8" t="s">
        <v>5864</v>
      </c>
      <c r="N811" s="8" t="s">
        <v>5870</v>
      </c>
    </row>
    <row r="812" spans="1:14" ht="40" customHeight="1">
      <c r="A812" s="4" t="s">
        <v>4009</v>
      </c>
      <c r="B812" s="4" t="s">
        <v>221</v>
      </c>
      <c r="C812" s="4" t="s">
        <v>222</v>
      </c>
      <c r="D812" s="4" t="s">
        <v>5879</v>
      </c>
      <c r="E812" s="4" t="s">
        <v>4006</v>
      </c>
      <c r="F812" s="4" t="s">
        <v>4011</v>
      </c>
      <c r="G812" s="4" t="s">
        <v>1373</v>
      </c>
      <c r="H812" s="4">
        <v>1</v>
      </c>
      <c r="I812" s="4">
        <v>1</v>
      </c>
      <c r="J812" s="4" t="s">
        <v>4010</v>
      </c>
      <c r="K812" s="4" t="s">
        <v>228</v>
      </c>
      <c r="L812" s="6">
        <v>46319</v>
      </c>
      <c r="M812" s="4" t="s">
        <v>5864</v>
      </c>
      <c r="N812" s="4" t="s">
        <v>5870</v>
      </c>
    </row>
    <row r="813" spans="1:14" ht="40" customHeight="1">
      <c r="A813" s="8" t="s">
        <v>4012</v>
      </c>
      <c r="B813" s="8" t="s">
        <v>221</v>
      </c>
      <c r="C813" s="8" t="s">
        <v>222</v>
      </c>
      <c r="D813" s="8" t="s">
        <v>5879</v>
      </c>
      <c r="E813" s="8" t="s">
        <v>4006</v>
      </c>
      <c r="F813" s="8" t="s">
        <v>3535</v>
      </c>
      <c r="G813" s="8" t="s">
        <v>1373</v>
      </c>
      <c r="H813" s="8">
        <v>1</v>
      </c>
      <c r="I813" s="8">
        <v>1</v>
      </c>
      <c r="J813" s="8" t="s">
        <v>4013</v>
      </c>
      <c r="K813" s="8" t="s">
        <v>228</v>
      </c>
      <c r="L813" s="9">
        <v>46319</v>
      </c>
      <c r="M813" s="8" t="s">
        <v>5864</v>
      </c>
      <c r="N813" s="8" t="s">
        <v>5870</v>
      </c>
    </row>
    <row r="814" spans="1:14" ht="40" customHeight="1">
      <c r="A814" s="4" t="s">
        <v>4014</v>
      </c>
      <c r="B814" s="4" t="s">
        <v>221</v>
      </c>
      <c r="C814" s="4" t="s">
        <v>222</v>
      </c>
      <c r="D814" s="4" t="s">
        <v>5879</v>
      </c>
      <c r="E814" s="4" t="s">
        <v>4006</v>
      </c>
      <c r="F814" s="4" t="s">
        <v>4016</v>
      </c>
      <c r="G814" s="4" t="s">
        <v>1373</v>
      </c>
      <c r="H814" s="4">
        <v>1</v>
      </c>
      <c r="I814" s="4">
        <v>1</v>
      </c>
      <c r="J814" s="4" t="s">
        <v>4015</v>
      </c>
      <c r="K814" s="4" t="s">
        <v>228</v>
      </c>
      <c r="L814" s="6">
        <v>46319</v>
      </c>
      <c r="M814" s="4" t="s">
        <v>5864</v>
      </c>
      <c r="N814" s="4" t="s">
        <v>5870</v>
      </c>
    </row>
    <row r="815" spans="1:14" ht="40" customHeight="1">
      <c r="A815" s="8" t="s">
        <v>4017</v>
      </c>
      <c r="B815" s="8" t="s">
        <v>221</v>
      </c>
      <c r="C815" s="8" t="s">
        <v>222</v>
      </c>
      <c r="D815" s="8" t="s">
        <v>5879</v>
      </c>
      <c r="E815" s="8" t="s">
        <v>4006</v>
      </c>
      <c r="F815" s="8" t="s">
        <v>4019</v>
      </c>
      <c r="G815" s="8" t="s">
        <v>1373</v>
      </c>
      <c r="H815" s="8">
        <v>1</v>
      </c>
      <c r="I815" s="8">
        <v>1</v>
      </c>
      <c r="J815" s="8" t="s">
        <v>4018</v>
      </c>
      <c r="K815" s="8" t="s">
        <v>228</v>
      </c>
      <c r="L815" s="9">
        <v>46319</v>
      </c>
      <c r="M815" s="8" t="s">
        <v>5864</v>
      </c>
      <c r="N815" s="8" t="s">
        <v>5870</v>
      </c>
    </row>
    <row r="816" spans="1:14" ht="40" customHeight="1">
      <c r="A816" s="4" t="s">
        <v>4020</v>
      </c>
      <c r="B816" s="4" t="s">
        <v>221</v>
      </c>
      <c r="C816" s="4" t="s">
        <v>222</v>
      </c>
      <c r="D816" s="4" t="s">
        <v>5879</v>
      </c>
      <c r="E816" s="4" t="s">
        <v>4006</v>
      </c>
      <c r="F816" s="4" t="s">
        <v>4022</v>
      </c>
      <c r="G816" s="4" t="s">
        <v>1373</v>
      </c>
      <c r="H816" s="4">
        <v>1</v>
      </c>
      <c r="I816" s="4">
        <v>1</v>
      </c>
      <c r="J816" s="4" t="s">
        <v>4021</v>
      </c>
      <c r="K816" s="4" t="s">
        <v>228</v>
      </c>
      <c r="L816" s="6">
        <v>46319</v>
      </c>
      <c r="M816" s="4" t="s">
        <v>5864</v>
      </c>
      <c r="N816" s="4" t="s">
        <v>5870</v>
      </c>
    </row>
    <row r="817" spans="1:14" ht="40" customHeight="1">
      <c r="A817" s="8" t="s">
        <v>4023</v>
      </c>
      <c r="B817" s="8" t="s">
        <v>221</v>
      </c>
      <c r="C817" s="8" t="s">
        <v>222</v>
      </c>
      <c r="D817" s="8" t="s">
        <v>5879</v>
      </c>
      <c r="E817" s="8" t="s">
        <v>4006</v>
      </c>
      <c r="F817" s="8" t="s">
        <v>4025</v>
      </c>
      <c r="G817" s="8" t="s">
        <v>1373</v>
      </c>
      <c r="H817" s="8">
        <v>1</v>
      </c>
      <c r="I817" s="8">
        <v>1</v>
      </c>
      <c r="J817" s="8" t="s">
        <v>4024</v>
      </c>
      <c r="K817" s="8" t="s">
        <v>228</v>
      </c>
      <c r="L817" s="9">
        <v>46319</v>
      </c>
      <c r="M817" s="8" t="s">
        <v>5864</v>
      </c>
      <c r="N817" s="8" t="s">
        <v>5870</v>
      </c>
    </row>
    <row r="818" spans="1:14" ht="40" customHeight="1">
      <c r="A818" s="4" t="s">
        <v>4026</v>
      </c>
      <c r="B818" s="4" t="s">
        <v>221</v>
      </c>
      <c r="C818" s="4" t="s">
        <v>222</v>
      </c>
      <c r="D818" s="4" t="s">
        <v>5879</v>
      </c>
      <c r="E818" s="4" t="s">
        <v>4006</v>
      </c>
      <c r="F818" s="4" t="s">
        <v>4028</v>
      </c>
      <c r="G818" s="4" t="s">
        <v>1373</v>
      </c>
      <c r="H818" s="4">
        <v>1</v>
      </c>
      <c r="I818" s="4">
        <v>1</v>
      </c>
      <c r="J818" s="4" t="s">
        <v>4027</v>
      </c>
      <c r="K818" s="4" t="s">
        <v>228</v>
      </c>
      <c r="L818" s="6">
        <v>46319</v>
      </c>
      <c r="M818" s="4" t="s">
        <v>5864</v>
      </c>
      <c r="N818" s="4" t="s">
        <v>5870</v>
      </c>
    </row>
    <row r="819" spans="1:14" ht="54" customHeight="1">
      <c r="A819" s="8" t="s">
        <v>4029</v>
      </c>
      <c r="B819" s="8" t="s">
        <v>221</v>
      </c>
      <c r="C819" s="8" t="s">
        <v>222</v>
      </c>
      <c r="D819" s="8" t="s">
        <v>5879</v>
      </c>
      <c r="E819" s="8" t="s">
        <v>4006</v>
      </c>
      <c r="F819" s="8" t="s">
        <v>3475</v>
      </c>
      <c r="G819" s="8" t="s">
        <v>1373</v>
      </c>
      <c r="H819" s="8">
        <v>1</v>
      </c>
      <c r="I819" s="8">
        <v>1</v>
      </c>
      <c r="J819" s="8" t="s">
        <v>4030</v>
      </c>
      <c r="K819" s="8" t="s">
        <v>228</v>
      </c>
      <c r="L819" s="9">
        <v>46319</v>
      </c>
      <c r="M819" s="8" t="s">
        <v>5864</v>
      </c>
      <c r="N819" s="8" t="s">
        <v>5865</v>
      </c>
    </row>
    <row r="820" spans="1:14" ht="54" customHeight="1">
      <c r="A820" s="4" t="s">
        <v>6838</v>
      </c>
      <c r="B820" s="4" t="s">
        <v>221</v>
      </c>
      <c r="C820" s="4" t="s">
        <v>222</v>
      </c>
      <c r="D820" s="4" t="s">
        <v>2969</v>
      </c>
      <c r="E820" s="4" t="s">
        <v>41</v>
      </c>
      <c r="F820" s="4" t="s">
        <v>5881</v>
      </c>
      <c r="G820" s="4" t="s">
        <v>1373</v>
      </c>
      <c r="H820" s="4">
        <v>1</v>
      </c>
      <c r="I820" s="4">
        <v>1</v>
      </c>
      <c r="J820" s="4" t="s">
        <v>6839</v>
      </c>
      <c r="K820" s="4" t="s">
        <v>228</v>
      </c>
      <c r="L820" s="6">
        <v>46319</v>
      </c>
      <c r="M820" s="4" t="s">
        <v>5864</v>
      </c>
      <c r="N820" s="4" t="s">
        <v>5883</v>
      </c>
    </row>
    <row r="821" spans="1:14" ht="54" customHeight="1">
      <c r="A821" s="8" t="s">
        <v>6840</v>
      </c>
      <c r="B821" s="8" t="s">
        <v>221</v>
      </c>
      <c r="C821" s="8" t="s">
        <v>222</v>
      </c>
      <c r="D821" s="8" t="s">
        <v>2969</v>
      </c>
      <c r="E821" s="8" t="s">
        <v>41</v>
      </c>
      <c r="F821" s="8" t="s">
        <v>5885</v>
      </c>
      <c r="G821" s="8" t="s">
        <v>1373</v>
      </c>
      <c r="H821" s="8">
        <v>1</v>
      </c>
      <c r="I821" s="8">
        <v>1</v>
      </c>
      <c r="J821" s="8" t="s">
        <v>6841</v>
      </c>
      <c r="K821" s="8" t="s">
        <v>228</v>
      </c>
      <c r="L821" s="9">
        <v>46319</v>
      </c>
      <c r="M821" s="8" t="s">
        <v>5864</v>
      </c>
      <c r="N821" s="8" t="s">
        <v>5883</v>
      </c>
    </row>
    <row r="822" spans="1:14" ht="40" customHeight="1">
      <c r="A822" s="4" t="s">
        <v>6842</v>
      </c>
      <c r="B822" s="4" t="s">
        <v>221</v>
      </c>
      <c r="C822" s="4" t="s">
        <v>222</v>
      </c>
      <c r="D822" s="4" t="s">
        <v>2969</v>
      </c>
      <c r="E822" s="4" t="s">
        <v>41</v>
      </c>
      <c r="F822" s="4" t="s">
        <v>5888</v>
      </c>
      <c r="G822" s="4" t="s">
        <v>1373</v>
      </c>
      <c r="H822" s="4">
        <v>1</v>
      </c>
      <c r="I822" s="4">
        <v>1</v>
      </c>
      <c r="J822" s="4" t="s">
        <v>6843</v>
      </c>
      <c r="K822" s="4" t="s">
        <v>228</v>
      </c>
      <c r="L822" s="6">
        <v>46319</v>
      </c>
      <c r="M822" s="4" t="s">
        <v>5864</v>
      </c>
      <c r="N822" s="4" t="s">
        <v>5883</v>
      </c>
    </row>
    <row r="823" spans="1:14" ht="40" customHeight="1">
      <c r="A823" s="8" t="s">
        <v>6844</v>
      </c>
      <c r="B823" s="8" t="s">
        <v>221</v>
      </c>
      <c r="C823" s="8" t="s">
        <v>222</v>
      </c>
      <c r="D823" s="8" t="s">
        <v>2969</v>
      </c>
      <c r="E823" s="8" t="s">
        <v>41</v>
      </c>
      <c r="F823" s="8" t="s">
        <v>5891</v>
      </c>
      <c r="G823" s="8" t="s">
        <v>1373</v>
      </c>
      <c r="H823" s="8">
        <v>1</v>
      </c>
      <c r="I823" s="8">
        <v>1</v>
      </c>
      <c r="J823" s="8" t="s">
        <v>6845</v>
      </c>
      <c r="K823" s="8" t="s">
        <v>228</v>
      </c>
      <c r="L823" s="9">
        <v>46319</v>
      </c>
      <c r="M823" s="8" t="s">
        <v>5864</v>
      </c>
      <c r="N823" s="8" t="s">
        <v>5883</v>
      </c>
    </row>
    <row r="824" spans="1:14" ht="54" customHeight="1">
      <c r="A824" s="4" t="s">
        <v>6846</v>
      </c>
      <c r="B824" s="4" t="s">
        <v>221</v>
      </c>
      <c r="C824" s="4" t="s">
        <v>222</v>
      </c>
      <c r="D824" s="4" t="s">
        <v>2969</v>
      </c>
      <c r="E824" s="4" t="s">
        <v>41</v>
      </c>
      <c r="F824" s="4" t="s">
        <v>5894</v>
      </c>
      <c r="G824" s="4" t="s">
        <v>1373</v>
      </c>
      <c r="H824" s="4">
        <v>1</v>
      </c>
      <c r="I824" s="4">
        <v>1</v>
      </c>
      <c r="J824" s="4" t="s">
        <v>6847</v>
      </c>
      <c r="K824" s="4" t="s">
        <v>228</v>
      </c>
      <c r="L824" s="6">
        <v>46319</v>
      </c>
      <c r="M824" s="4" t="s">
        <v>5864</v>
      </c>
      <c r="N824" s="4" t="s">
        <v>5883</v>
      </c>
    </row>
    <row r="825" spans="1:14" ht="54" customHeight="1">
      <c r="A825" s="8" t="s">
        <v>6848</v>
      </c>
      <c r="B825" s="8" t="s">
        <v>221</v>
      </c>
      <c r="C825" s="8" t="s">
        <v>222</v>
      </c>
      <c r="D825" s="8" t="s">
        <v>2969</v>
      </c>
      <c r="E825" s="8" t="s">
        <v>41</v>
      </c>
      <c r="F825" s="8" t="s">
        <v>5897</v>
      </c>
      <c r="G825" s="8" t="s">
        <v>1373</v>
      </c>
      <c r="H825" s="8">
        <v>1</v>
      </c>
      <c r="I825" s="8">
        <v>1</v>
      </c>
      <c r="J825" s="8" t="s">
        <v>6849</v>
      </c>
      <c r="K825" s="8" t="s">
        <v>228</v>
      </c>
      <c r="L825" s="9">
        <v>46319</v>
      </c>
      <c r="M825" s="8" t="s">
        <v>5864</v>
      </c>
      <c r="N825" s="8" t="s">
        <v>5883</v>
      </c>
    </row>
    <row r="826" spans="1:14" ht="54" customHeight="1">
      <c r="A826" s="4" t="s">
        <v>6850</v>
      </c>
      <c r="B826" s="4" t="s">
        <v>221</v>
      </c>
      <c r="C826" s="4" t="s">
        <v>222</v>
      </c>
      <c r="D826" s="4" t="s">
        <v>2969</v>
      </c>
      <c r="E826" s="4" t="s">
        <v>41</v>
      </c>
      <c r="F826" s="4" t="s">
        <v>5900</v>
      </c>
      <c r="G826" s="4" t="s">
        <v>1373</v>
      </c>
      <c r="H826" s="4">
        <v>1</v>
      </c>
      <c r="I826" s="4">
        <v>1</v>
      </c>
      <c r="J826" s="4" t="s">
        <v>6851</v>
      </c>
      <c r="K826" s="4" t="s">
        <v>228</v>
      </c>
      <c r="L826" s="6">
        <v>46319</v>
      </c>
      <c r="M826" s="4" t="s">
        <v>5864</v>
      </c>
      <c r="N826" s="4" t="s">
        <v>5883</v>
      </c>
    </row>
    <row r="827" spans="1:14" ht="68" customHeight="1">
      <c r="A827" s="8" t="s">
        <v>6852</v>
      </c>
      <c r="B827" s="8" t="s">
        <v>221</v>
      </c>
      <c r="C827" s="8" t="s">
        <v>222</v>
      </c>
      <c r="D827" s="8" t="s">
        <v>2969</v>
      </c>
      <c r="E827" s="8" t="s">
        <v>41</v>
      </c>
      <c r="F827" s="8" t="s">
        <v>5903</v>
      </c>
      <c r="G827" s="8" t="s">
        <v>1373</v>
      </c>
      <c r="H827" s="8">
        <v>1</v>
      </c>
      <c r="I827" s="8">
        <v>1</v>
      </c>
      <c r="J827" s="8" t="s">
        <v>6853</v>
      </c>
      <c r="K827" s="8" t="s">
        <v>228</v>
      </c>
      <c r="L827" s="9">
        <v>46319</v>
      </c>
      <c r="M827" s="8" t="s">
        <v>5864</v>
      </c>
      <c r="N827" s="8" t="s">
        <v>5883</v>
      </c>
    </row>
    <row r="828" spans="1:14" ht="54" customHeight="1">
      <c r="A828" s="4" t="s">
        <v>6854</v>
      </c>
      <c r="B828" s="4" t="s">
        <v>221</v>
      </c>
      <c r="C828" s="4" t="s">
        <v>222</v>
      </c>
      <c r="D828" s="4" t="s">
        <v>2969</v>
      </c>
      <c r="E828" s="4" t="s">
        <v>41</v>
      </c>
      <c r="F828" s="4" t="s">
        <v>5906</v>
      </c>
      <c r="G828" s="4" t="s">
        <v>1373</v>
      </c>
      <c r="H828" s="4">
        <v>1</v>
      </c>
      <c r="I828" s="4">
        <v>1</v>
      </c>
      <c r="J828" s="4" t="s">
        <v>6855</v>
      </c>
      <c r="K828" s="4" t="s">
        <v>228</v>
      </c>
      <c r="L828" s="6">
        <v>46319</v>
      </c>
      <c r="M828" s="4" t="s">
        <v>5864</v>
      </c>
      <c r="N828" s="4" t="s">
        <v>5883</v>
      </c>
    </row>
    <row r="829" spans="1:14" ht="68" customHeight="1">
      <c r="A829" s="8" t="s">
        <v>6856</v>
      </c>
      <c r="B829" s="8" t="s">
        <v>221</v>
      </c>
      <c r="C829" s="8" t="s">
        <v>222</v>
      </c>
      <c r="D829" s="8" t="s">
        <v>2969</v>
      </c>
      <c r="E829" s="8" t="s">
        <v>41</v>
      </c>
      <c r="F829" s="8" t="s">
        <v>5909</v>
      </c>
      <c r="G829" s="8" t="s">
        <v>1373</v>
      </c>
      <c r="H829" s="8">
        <v>1</v>
      </c>
      <c r="I829" s="8">
        <v>1</v>
      </c>
      <c r="J829" s="8" t="s">
        <v>6857</v>
      </c>
      <c r="K829" s="8" t="s">
        <v>228</v>
      </c>
      <c r="L829" s="9">
        <v>46319</v>
      </c>
      <c r="M829" s="8" t="s">
        <v>5864</v>
      </c>
      <c r="N829" s="8" t="s">
        <v>5883</v>
      </c>
    </row>
    <row r="830" spans="1:14" ht="166" customHeight="1">
      <c r="A830" s="4" t="s">
        <v>6858</v>
      </c>
      <c r="B830" s="4" t="s">
        <v>231</v>
      </c>
      <c r="C830" s="4" t="s">
        <v>232</v>
      </c>
      <c r="D830" s="4" t="s">
        <v>5861</v>
      </c>
      <c r="E830" s="4" t="s">
        <v>41</v>
      </c>
      <c r="F830" s="4" t="s">
        <v>5862</v>
      </c>
      <c r="G830" s="4" t="s">
        <v>1390</v>
      </c>
      <c r="H830" s="4">
        <v>1</v>
      </c>
      <c r="I830" s="4">
        <v>1</v>
      </c>
      <c r="J830" s="4" t="s">
        <v>6859</v>
      </c>
      <c r="K830" s="4" t="s">
        <v>237</v>
      </c>
      <c r="L830" s="6">
        <v>46319</v>
      </c>
      <c r="M830" s="4" t="s">
        <v>5864</v>
      </c>
      <c r="N830" s="4" t="s">
        <v>5865</v>
      </c>
    </row>
    <row r="831" spans="1:14" ht="54" customHeight="1">
      <c r="A831" s="8" t="s">
        <v>6860</v>
      </c>
      <c r="B831" s="8" t="s">
        <v>231</v>
      </c>
      <c r="C831" s="8" t="s">
        <v>232</v>
      </c>
      <c r="D831" s="8" t="s">
        <v>5867</v>
      </c>
      <c r="E831" s="8" t="s">
        <v>41</v>
      </c>
      <c r="F831" s="8" t="s">
        <v>5868</v>
      </c>
      <c r="G831" s="8" t="s">
        <v>1390</v>
      </c>
      <c r="H831" s="8">
        <v>1</v>
      </c>
      <c r="I831" s="8">
        <v>1</v>
      </c>
      <c r="J831" s="8" t="s">
        <v>6861</v>
      </c>
      <c r="K831" s="8" t="s">
        <v>237</v>
      </c>
      <c r="L831" s="9">
        <v>46319</v>
      </c>
      <c r="M831" s="8" t="s">
        <v>5864</v>
      </c>
      <c r="N831" s="8" t="s">
        <v>6087</v>
      </c>
    </row>
    <row r="832" spans="1:14" ht="54" customHeight="1">
      <c r="A832" s="4" t="s">
        <v>6862</v>
      </c>
      <c r="B832" s="4" t="s">
        <v>231</v>
      </c>
      <c r="C832" s="4" t="s">
        <v>232</v>
      </c>
      <c r="D832" s="4" t="s">
        <v>5867</v>
      </c>
      <c r="E832" s="4" t="s">
        <v>41</v>
      </c>
      <c r="F832" s="4" t="s">
        <v>6176</v>
      </c>
      <c r="G832" s="4" t="s">
        <v>1390</v>
      </c>
      <c r="H832" s="4">
        <v>1</v>
      </c>
      <c r="I832" s="4">
        <v>1</v>
      </c>
      <c r="J832" s="4" t="s">
        <v>6863</v>
      </c>
      <c r="K832" s="4" t="s">
        <v>237</v>
      </c>
      <c r="L832" s="6">
        <v>46319</v>
      </c>
      <c r="M832" s="4" t="s">
        <v>5864</v>
      </c>
      <c r="N832" s="4" t="s">
        <v>5870</v>
      </c>
    </row>
    <row r="833" spans="1:14" ht="54" customHeight="1">
      <c r="A833" s="8" t="s">
        <v>6864</v>
      </c>
      <c r="B833" s="8" t="s">
        <v>231</v>
      </c>
      <c r="C833" s="8" t="s">
        <v>232</v>
      </c>
      <c r="D833" s="8" t="s">
        <v>5867</v>
      </c>
      <c r="E833" s="8" t="s">
        <v>41</v>
      </c>
      <c r="F833" s="8" t="s">
        <v>6179</v>
      </c>
      <c r="G833" s="8" t="s">
        <v>1390</v>
      </c>
      <c r="H833" s="8">
        <v>1</v>
      </c>
      <c r="I833" s="8">
        <v>1</v>
      </c>
      <c r="J833" s="8" t="s">
        <v>6865</v>
      </c>
      <c r="K833" s="8" t="s">
        <v>237</v>
      </c>
      <c r="L833" s="9">
        <v>46319</v>
      </c>
      <c r="M833" s="8" t="s">
        <v>5864</v>
      </c>
      <c r="N833" s="8" t="s">
        <v>5870</v>
      </c>
    </row>
    <row r="834" spans="1:14" ht="54" customHeight="1">
      <c r="A834" s="4" t="s">
        <v>6866</v>
      </c>
      <c r="B834" s="4" t="s">
        <v>231</v>
      </c>
      <c r="C834" s="4" t="s">
        <v>232</v>
      </c>
      <c r="D834" s="4" t="s">
        <v>5867</v>
      </c>
      <c r="E834" s="4" t="s">
        <v>41</v>
      </c>
      <c r="F834" s="4" t="s">
        <v>6867</v>
      </c>
      <c r="G834" s="4" t="s">
        <v>1390</v>
      </c>
      <c r="H834" s="4">
        <v>1</v>
      </c>
      <c r="I834" s="4">
        <v>1</v>
      </c>
      <c r="J834" s="4" t="s">
        <v>6868</v>
      </c>
      <c r="K834" s="4" t="s">
        <v>237</v>
      </c>
      <c r="L834" s="6">
        <v>46319</v>
      </c>
      <c r="M834" s="4" t="s">
        <v>5864</v>
      </c>
      <c r="N834" s="4" t="s">
        <v>5870</v>
      </c>
    </row>
    <row r="835" spans="1:14" ht="54" customHeight="1">
      <c r="A835" s="8" t="s">
        <v>6869</v>
      </c>
      <c r="B835" s="8" t="s">
        <v>231</v>
      </c>
      <c r="C835" s="8" t="s">
        <v>232</v>
      </c>
      <c r="D835" s="8" t="s">
        <v>5867</v>
      </c>
      <c r="E835" s="8" t="s">
        <v>41</v>
      </c>
      <c r="F835" s="8" t="s">
        <v>6006</v>
      </c>
      <c r="G835" s="8" t="s">
        <v>1390</v>
      </c>
      <c r="H835" s="8">
        <v>1</v>
      </c>
      <c r="I835" s="8">
        <v>1</v>
      </c>
      <c r="J835" s="8" t="s">
        <v>6870</v>
      </c>
      <c r="K835" s="8" t="s">
        <v>237</v>
      </c>
      <c r="L835" s="9">
        <v>46319</v>
      </c>
      <c r="M835" s="8" t="s">
        <v>5864</v>
      </c>
      <c r="N835" s="8" t="s">
        <v>6087</v>
      </c>
    </row>
    <row r="836" spans="1:14" ht="54" customHeight="1">
      <c r="A836" s="4" t="s">
        <v>6871</v>
      </c>
      <c r="B836" s="4" t="s">
        <v>231</v>
      </c>
      <c r="C836" s="4" t="s">
        <v>232</v>
      </c>
      <c r="D836" s="4" t="s">
        <v>5867</v>
      </c>
      <c r="E836" s="4" t="s">
        <v>41</v>
      </c>
      <c r="F836" s="4" t="s">
        <v>6184</v>
      </c>
      <c r="G836" s="4" t="s">
        <v>1390</v>
      </c>
      <c r="H836" s="4">
        <v>1</v>
      </c>
      <c r="I836" s="4">
        <v>1</v>
      </c>
      <c r="J836" s="4" t="s">
        <v>6872</v>
      </c>
      <c r="K836" s="4" t="s">
        <v>237</v>
      </c>
      <c r="L836" s="6">
        <v>46319</v>
      </c>
      <c r="M836" s="4" t="s">
        <v>5864</v>
      </c>
      <c r="N836" s="4" t="s">
        <v>5870</v>
      </c>
    </row>
    <row r="837" spans="1:14" ht="54" customHeight="1">
      <c r="A837" s="8" t="s">
        <v>6873</v>
      </c>
      <c r="B837" s="8" t="s">
        <v>231</v>
      </c>
      <c r="C837" s="8" t="s">
        <v>232</v>
      </c>
      <c r="D837" s="8" t="s">
        <v>5867</v>
      </c>
      <c r="E837" s="8" t="s">
        <v>41</v>
      </c>
      <c r="F837" s="8" t="s">
        <v>6187</v>
      </c>
      <c r="G837" s="8" t="s">
        <v>1390</v>
      </c>
      <c r="H837" s="8">
        <v>1</v>
      </c>
      <c r="I837" s="8">
        <v>1</v>
      </c>
      <c r="J837" s="8" t="s">
        <v>6874</v>
      </c>
      <c r="K837" s="8" t="s">
        <v>237</v>
      </c>
      <c r="L837" s="9">
        <v>46319</v>
      </c>
      <c r="M837" s="8" t="s">
        <v>5864</v>
      </c>
      <c r="N837" s="8" t="s">
        <v>5870</v>
      </c>
    </row>
    <row r="838" spans="1:14" ht="54" customHeight="1">
      <c r="A838" s="4" t="s">
        <v>6875</v>
      </c>
      <c r="B838" s="4" t="s">
        <v>231</v>
      </c>
      <c r="C838" s="4" t="s">
        <v>232</v>
      </c>
      <c r="D838" s="4" t="s">
        <v>5867</v>
      </c>
      <c r="E838" s="4" t="s">
        <v>41</v>
      </c>
      <c r="F838" s="4" t="s">
        <v>6015</v>
      </c>
      <c r="G838" s="4" t="s">
        <v>1390</v>
      </c>
      <c r="H838" s="4">
        <v>1</v>
      </c>
      <c r="I838" s="4">
        <v>1</v>
      </c>
      <c r="J838" s="4" t="s">
        <v>6876</v>
      </c>
      <c r="K838" s="4" t="s">
        <v>237</v>
      </c>
      <c r="L838" s="6">
        <v>46319</v>
      </c>
      <c r="M838" s="4" t="s">
        <v>5864</v>
      </c>
      <c r="N838" s="4" t="s">
        <v>6087</v>
      </c>
    </row>
    <row r="839" spans="1:14" ht="54" customHeight="1">
      <c r="A839" s="8" t="s">
        <v>6877</v>
      </c>
      <c r="B839" s="8" t="s">
        <v>231</v>
      </c>
      <c r="C839" s="8" t="s">
        <v>232</v>
      </c>
      <c r="D839" s="8" t="s">
        <v>5867</v>
      </c>
      <c r="E839" s="8" t="s">
        <v>41</v>
      </c>
      <c r="F839" s="8" t="s">
        <v>6667</v>
      </c>
      <c r="G839" s="8" t="s">
        <v>1390</v>
      </c>
      <c r="H839" s="8">
        <v>1</v>
      </c>
      <c r="I839" s="8">
        <v>1</v>
      </c>
      <c r="J839" s="8" t="s">
        <v>6878</v>
      </c>
      <c r="K839" s="8" t="s">
        <v>237</v>
      </c>
      <c r="L839" s="9">
        <v>46319</v>
      </c>
      <c r="M839" s="8" t="s">
        <v>5864</v>
      </c>
      <c r="N839" s="8" t="s">
        <v>5870</v>
      </c>
    </row>
    <row r="840" spans="1:14" ht="54" customHeight="1">
      <c r="A840" s="4" t="s">
        <v>6879</v>
      </c>
      <c r="B840" s="4" t="s">
        <v>231</v>
      </c>
      <c r="C840" s="4" t="s">
        <v>232</v>
      </c>
      <c r="D840" s="4" t="s">
        <v>5867</v>
      </c>
      <c r="E840" s="4" t="s">
        <v>41</v>
      </c>
      <c r="F840" s="4" t="s">
        <v>6670</v>
      </c>
      <c r="G840" s="4" t="s">
        <v>1390</v>
      </c>
      <c r="H840" s="4">
        <v>1</v>
      </c>
      <c r="I840" s="4">
        <v>1</v>
      </c>
      <c r="J840" s="4" t="s">
        <v>6880</v>
      </c>
      <c r="K840" s="4" t="s">
        <v>237</v>
      </c>
      <c r="L840" s="6">
        <v>46319</v>
      </c>
      <c r="M840" s="4" t="s">
        <v>5864</v>
      </c>
      <c r="N840" s="4" t="s">
        <v>5870</v>
      </c>
    </row>
    <row r="841" spans="1:14" ht="54" customHeight="1">
      <c r="A841" s="8" t="s">
        <v>6881</v>
      </c>
      <c r="B841" s="8" t="s">
        <v>231</v>
      </c>
      <c r="C841" s="8" t="s">
        <v>232</v>
      </c>
      <c r="D841" s="8" t="s">
        <v>5867</v>
      </c>
      <c r="E841" s="8" t="s">
        <v>41</v>
      </c>
      <c r="F841" s="8" t="s">
        <v>6882</v>
      </c>
      <c r="G841" s="8" t="s">
        <v>1390</v>
      </c>
      <c r="H841" s="8">
        <v>1</v>
      </c>
      <c r="I841" s="8">
        <v>1</v>
      </c>
      <c r="J841" s="8" t="s">
        <v>6883</v>
      </c>
      <c r="K841" s="8" t="s">
        <v>237</v>
      </c>
      <c r="L841" s="9">
        <v>46319</v>
      </c>
      <c r="M841" s="8" t="s">
        <v>5864</v>
      </c>
      <c r="N841" s="8" t="s">
        <v>5870</v>
      </c>
    </row>
    <row r="842" spans="1:14" ht="54" customHeight="1">
      <c r="A842" s="4" t="s">
        <v>6884</v>
      </c>
      <c r="B842" s="4" t="s">
        <v>231</v>
      </c>
      <c r="C842" s="4" t="s">
        <v>232</v>
      </c>
      <c r="D842" s="4" t="s">
        <v>5867</v>
      </c>
      <c r="E842" s="4" t="s">
        <v>41</v>
      </c>
      <c r="F842" s="4" t="s">
        <v>6674</v>
      </c>
      <c r="G842" s="4" t="s">
        <v>1390</v>
      </c>
      <c r="H842" s="4">
        <v>1</v>
      </c>
      <c r="I842" s="4">
        <v>1</v>
      </c>
      <c r="J842" s="4" t="s">
        <v>6885</v>
      </c>
      <c r="K842" s="4" t="s">
        <v>237</v>
      </c>
      <c r="L842" s="6">
        <v>46319</v>
      </c>
      <c r="M842" s="4" t="s">
        <v>5864</v>
      </c>
      <c r="N842" s="4" t="s">
        <v>6087</v>
      </c>
    </row>
    <row r="843" spans="1:14" ht="54" customHeight="1">
      <c r="A843" s="8" t="s">
        <v>6886</v>
      </c>
      <c r="B843" s="8" t="s">
        <v>231</v>
      </c>
      <c r="C843" s="8" t="s">
        <v>232</v>
      </c>
      <c r="D843" s="8" t="s">
        <v>5867</v>
      </c>
      <c r="E843" s="8" t="s">
        <v>41</v>
      </c>
      <c r="F843" s="8" t="s">
        <v>6680</v>
      </c>
      <c r="G843" s="8" t="s">
        <v>1390</v>
      </c>
      <c r="H843" s="8">
        <v>1</v>
      </c>
      <c r="I843" s="8">
        <v>1</v>
      </c>
      <c r="J843" s="8" t="s">
        <v>6887</v>
      </c>
      <c r="K843" s="8" t="s">
        <v>237</v>
      </c>
      <c r="L843" s="9">
        <v>46319</v>
      </c>
      <c r="M843" s="8" t="s">
        <v>5864</v>
      </c>
      <c r="N843" s="8" t="s">
        <v>5870</v>
      </c>
    </row>
    <row r="844" spans="1:14" ht="54" customHeight="1">
      <c r="A844" s="4" t="s">
        <v>6888</v>
      </c>
      <c r="B844" s="4" t="s">
        <v>231</v>
      </c>
      <c r="C844" s="4" t="s">
        <v>232</v>
      </c>
      <c r="D844" s="4" t="s">
        <v>5867</v>
      </c>
      <c r="E844" s="4" t="s">
        <v>41</v>
      </c>
      <c r="F844" s="4" t="s">
        <v>6889</v>
      </c>
      <c r="G844" s="4" t="s">
        <v>1390</v>
      </c>
      <c r="H844" s="4">
        <v>1</v>
      </c>
      <c r="I844" s="4">
        <v>1</v>
      </c>
      <c r="J844" s="4" t="s">
        <v>6890</v>
      </c>
      <c r="K844" s="4" t="s">
        <v>237</v>
      </c>
      <c r="L844" s="6">
        <v>46319</v>
      </c>
      <c r="M844" s="4" t="s">
        <v>5864</v>
      </c>
      <c r="N844" s="4" t="s">
        <v>5870</v>
      </c>
    </row>
    <row r="845" spans="1:14" ht="54" customHeight="1">
      <c r="A845" s="8" t="s">
        <v>6891</v>
      </c>
      <c r="B845" s="8" t="s">
        <v>231</v>
      </c>
      <c r="C845" s="8" t="s">
        <v>232</v>
      </c>
      <c r="D845" s="8" t="s">
        <v>5867</v>
      </c>
      <c r="E845" s="8" t="s">
        <v>41</v>
      </c>
      <c r="F845" s="8" t="s">
        <v>6892</v>
      </c>
      <c r="G845" s="8" t="s">
        <v>1390</v>
      </c>
      <c r="H845" s="8">
        <v>1</v>
      </c>
      <c r="I845" s="8">
        <v>1</v>
      </c>
      <c r="J845" s="8" t="s">
        <v>6893</v>
      </c>
      <c r="K845" s="8" t="s">
        <v>237</v>
      </c>
      <c r="L845" s="9">
        <v>46319</v>
      </c>
      <c r="M845" s="8" t="s">
        <v>5864</v>
      </c>
      <c r="N845" s="8" t="s">
        <v>5870</v>
      </c>
    </row>
    <row r="846" spans="1:14" ht="54" customHeight="1">
      <c r="A846" s="4" t="s">
        <v>6894</v>
      </c>
      <c r="B846" s="4" t="s">
        <v>231</v>
      </c>
      <c r="C846" s="4" t="s">
        <v>232</v>
      </c>
      <c r="D846" s="4" t="s">
        <v>5867</v>
      </c>
      <c r="E846" s="4" t="s">
        <v>41</v>
      </c>
      <c r="F846" s="4" t="s">
        <v>6682</v>
      </c>
      <c r="G846" s="4" t="s">
        <v>1390</v>
      </c>
      <c r="H846" s="4">
        <v>1</v>
      </c>
      <c r="I846" s="4">
        <v>1</v>
      </c>
      <c r="J846" s="4" t="s">
        <v>6895</v>
      </c>
      <c r="K846" s="4" t="s">
        <v>237</v>
      </c>
      <c r="L846" s="6">
        <v>46319</v>
      </c>
      <c r="M846" s="4" t="s">
        <v>5864</v>
      </c>
      <c r="N846" s="4" t="s">
        <v>6087</v>
      </c>
    </row>
    <row r="847" spans="1:14" ht="54" customHeight="1">
      <c r="A847" s="8" t="s">
        <v>6896</v>
      </c>
      <c r="B847" s="8" t="s">
        <v>231</v>
      </c>
      <c r="C847" s="8" t="s">
        <v>232</v>
      </c>
      <c r="D847" s="8" t="s">
        <v>5867</v>
      </c>
      <c r="E847" s="8" t="s">
        <v>41</v>
      </c>
      <c r="F847" s="8" t="s">
        <v>6897</v>
      </c>
      <c r="G847" s="8" t="s">
        <v>1390</v>
      </c>
      <c r="H847" s="8">
        <v>1</v>
      </c>
      <c r="I847" s="8">
        <v>1</v>
      </c>
      <c r="J847" s="8" t="s">
        <v>6898</v>
      </c>
      <c r="K847" s="8" t="s">
        <v>237</v>
      </c>
      <c r="L847" s="9">
        <v>46319</v>
      </c>
      <c r="M847" s="8" t="s">
        <v>5864</v>
      </c>
      <c r="N847" s="8" t="s">
        <v>5870</v>
      </c>
    </row>
    <row r="848" spans="1:14" ht="54" customHeight="1">
      <c r="A848" s="4" t="s">
        <v>6899</v>
      </c>
      <c r="B848" s="4" t="s">
        <v>231</v>
      </c>
      <c r="C848" s="4" t="s">
        <v>232</v>
      </c>
      <c r="D848" s="4" t="s">
        <v>5867</v>
      </c>
      <c r="E848" s="4" t="s">
        <v>41</v>
      </c>
      <c r="F848" s="4" t="s">
        <v>6900</v>
      </c>
      <c r="G848" s="4" t="s">
        <v>1390</v>
      </c>
      <c r="H848" s="4">
        <v>1</v>
      </c>
      <c r="I848" s="4">
        <v>1</v>
      </c>
      <c r="J848" s="4" t="s">
        <v>6901</v>
      </c>
      <c r="K848" s="4" t="s">
        <v>237</v>
      </c>
      <c r="L848" s="6">
        <v>46319</v>
      </c>
      <c r="M848" s="4" t="s">
        <v>5864</v>
      </c>
      <c r="N848" s="4" t="s">
        <v>5870</v>
      </c>
    </row>
    <row r="849" spans="1:14" ht="54" customHeight="1">
      <c r="A849" s="8" t="s">
        <v>6902</v>
      </c>
      <c r="B849" s="8" t="s">
        <v>231</v>
      </c>
      <c r="C849" s="8" t="s">
        <v>232</v>
      </c>
      <c r="D849" s="8" t="s">
        <v>5867</v>
      </c>
      <c r="E849" s="8" t="s">
        <v>41</v>
      </c>
      <c r="F849" s="8" t="s">
        <v>6903</v>
      </c>
      <c r="G849" s="8" t="s">
        <v>1390</v>
      </c>
      <c r="H849" s="8">
        <v>1</v>
      </c>
      <c r="I849" s="8">
        <v>1</v>
      </c>
      <c r="J849" s="8" t="s">
        <v>6904</v>
      </c>
      <c r="K849" s="8" t="s">
        <v>237</v>
      </c>
      <c r="L849" s="9">
        <v>46319</v>
      </c>
      <c r="M849" s="8" t="s">
        <v>5864</v>
      </c>
      <c r="N849" s="8" t="s">
        <v>5870</v>
      </c>
    </row>
    <row r="850" spans="1:14" ht="54" customHeight="1">
      <c r="A850" s="4" t="s">
        <v>6905</v>
      </c>
      <c r="B850" s="4" t="s">
        <v>231</v>
      </c>
      <c r="C850" s="4" t="s">
        <v>232</v>
      </c>
      <c r="D850" s="4" t="s">
        <v>5867</v>
      </c>
      <c r="E850" s="4" t="s">
        <v>41</v>
      </c>
      <c r="F850" s="4" t="s">
        <v>6906</v>
      </c>
      <c r="G850" s="4" t="s">
        <v>1390</v>
      </c>
      <c r="H850" s="4">
        <v>1</v>
      </c>
      <c r="I850" s="4">
        <v>1</v>
      </c>
      <c r="J850" s="4" t="s">
        <v>6907</v>
      </c>
      <c r="K850" s="4" t="s">
        <v>237</v>
      </c>
      <c r="L850" s="6">
        <v>46319</v>
      </c>
      <c r="M850" s="4" t="s">
        <v>5864</v>
      </c>
      <c r="N850" s="4" t="s">
        <v>5870</v>
      </c>
    </row>
    <row r="851" spans="1:14" ht="54" customHeight="1">
      <c r="A851" s="8" t="s">
        <v>6908</v>
      </c>
      <c r="B851" s="8" t="s">
        <v>231</v>
      </c>
      <c r="C851" s="8" t="s">
        <v>232</v>
      </c>
      <c r="D851" s="8" t="s">
        <v>5867</v>
      </c>
      <c r="E851" s="8" t="s">
        <v>41</v>
      </c>
      <c r="F851" s="8" t="s">
        <v>6909</v>
      </c>
      <c r="G851" s="8" t="s">
        <v>1390</v>
      </c>
      <c r="H851" s="8">
        <v>1</v>
      </c>
      <c r="I851" s="8">
        <v>1</v>
      </c>
      <c r="J851" s="8" t="s">
        <v>6910</v>
      </c>
      <c r="K851" s="8" t="s">
        <v>237</v>
      </c>
      <c r="L851" s="9">
        <v>46319</v>
      </c>
      <c r="M851" s="8" t="s">
        <v>5864</v>
      </c>
      <c r="N851" s="8" t="s">
        <v>5870</v>
      </c>
    </row>
    <row r="852" spans="1:14" ht="54" customHeight="1">
      <c r="A852" s="4" t="s">
        <v>6911</v>
      </c>
      <c r="B852" s="4" t="s">
        <v>231</v>
      </c>
      <c r="C852" s="4" t="s">
        <v>232</v>
      </c>
      <c r="D852" s="4" t="s">
        <v>637</v>
      </c>
      <c r="E852" s="4" t="s">
        <v>41</v>
      </c>
      <c r="F852" s="4" t="s">
        <v>920</v>
      </c>
      <c r="G852" s="4" t="s">
        <v>1390</v>
      </c>
      <c r="H852" s="4">
        <v>1</v>
      </c>
      <c r="I852" s="4">
        <v>1</v>
      </c>
      <c r="J852" s="4" t="s">
        <v>1388</v>
      </c>
      <c r="K852" s="4" t="s">
        <v>237</v>
      </c>
      <c r="L852" s="6">
        <v>46319</v>
      </c>
      <c r="M852" s="4" t="s">
        <v>5864</v>
      </c>
      <c r="N852" s="4" t="s">
        <v>5865</v>
      </c>
    </row>
    <row r="853" spans="1:14" ht="68" customHeight="1">
      <c r="A853" s="8" t="s">
        <v>6912</v>
      </c>
      <c r="B853" s="8" t="s">
        <v>231</v>
      </c>
      <c r="C853" s="8" t="s">
        <v>232</v>
      </c>
      <c r="D853" s="8" t="s">
        <v>637</v>
      </c>
      <c r="E853" s="8" t="s">
        <v>41</v>
      </c>
      <c r="F853" s="8" t="s">
        <v>988</v>
      </c>
      <c r="G853" s="8" t="s">
        <v>1390</v>
      </c>
      <c r="H853" s="8">
        <v>1</v>
      </c>
      <c r="I853" s="8">
        <v>1</v>
      </c>
      <c r="J853" s="8" t="s">
        <v>1392</v>
      </c>
      <c r="K853" s="8" t="s">
        <v>237</v>
      </c>
      <c r="L853" s="9">
        <v>46319</v>
      </c>
      <c r="M853" s="8" t="s">
        <v>5864</v>
      </c>
      <c r="N853" s="8" t="s">
        <v>5870</v>
      </c>
    </row>
    <row r="854" spans="1:14" ht="54" customHeight="1">
      <c r="A854" s="4" t="s">
        <v>6913</v>
      </c>
      <c r="B854" s="4" t="s">
        <v>231</v>
      </c>
      <c r="C854" s="4" t="s">
        <v>232</v>
      </c>
      <c r="D854" s="4" t="s">
        <v>637</v>
      </c>
      <c r="E854" s="4" t="s">
        <v>41</v>
      </c>
      <c r="F854" s="4" t="s">
        <v>992</v>
      </c>
      <c r="G854" s="4" t="s">
        <v>1390</v>
      </c>
      <c r="H854" s="4">
        <v>1</v>
      </c>
      <c r="I854" s="4">
        <v>1</v>
      </c>
      <c r="J854" s="4" t="s">
        <v>1395</v>
      </c>
      <c r="K854" s="4" t="s">
        <v>237</v>
      </c>
      <c r="L854" s="6">
        <v>46319</v>
      </c>
      <c r="M854" s="4" t="s">
        <v>5864</v>
      </c>
      <c r="N854" s="4" t="s">
        <v>5870</v>
      </c>
    </row>
    <row r="855" spans="1:14" ht="54" customHeight="1">
      <c r="A855" s="8" t="s">
        <v>6914</v>
      </c>
      <c r="B855" s="8" t="s">
        <v>231</v>
      </c>
      <c r="C855" s="8" t="s">
        <v>232</v>
      </c>
      <c r="D855" s="8" t="s">
        <v>637</v>
      </c>
      <c r="E855" s="8" t="s">
        <v>41</v>
      </c>
      <c r="F855" s="8" t="s">
        <v>996</v>
      </c>
      <c r="G855" s="8" t="s">
        <v>1390</v>
      </c>
      <c r="H855" s="8">
        <v>1</v>
      </c>
      <c r="I855" s="8">
        <v>1</v>
      </c>
      <c r="J855" s="8" t="s">
        <v>1398</v>
      </c>
      <c r="K855" s="8" t="s">
        <v>237</v>
      </c>
      <c r="L855" s="9">
        <v>46319</v>
      </c>
      <c r="M855" s="8" t="s">
        <v>5864</v>
      </c>
      <c r="N855" s="8" t="s">
        <v>5870</v>
      </c>
    </row>
    <row r="856" spans="1:14" ht="54" customHeight="1">
      <c r="A856" s="4" t="s">
        <v>6915</v>
      </c>
      <c r="B856" s="4" t="s">
        <v>231</v>
      </c>
      <c r="C856" s="4" t="s">
        <v>232</v>
      </c>
      <c r="D856" s="4" t="s">
        <v>637</v>
      </c>
      <c r="E856" s="4" t="s">
        <v>41</v>
      </c>
      <c r="F856" s="4" t="s">
        <v>1000</v>
      </c>
      <c r="G856" s="4" t="s">
        <v>1390</v>
      </c>
      <c r="H856" s="4">
        <v>1</v>
      </c>
      <c r="I856" s="4">
        <v>1</v>
      </c>
      <c r="J856" s="4" t="s">
        <v>1401</v>
      </c>
      <c r="K856" s="4" t="s">
        <v>237</v>
      </c>
      <c r="L856" s="6">
        <v>46319</v>
      </c>
      <c r="M856" s="4" t="s">
        <v>5864</v>
      </c>
      <c r="N856" s="4" t="s">
        <v>5870</v>
      </c>
    </row>
    <row r="857" spans="1:14" ht="54" customHeight="1">
      <c r="A857" s="8" t="s">
        <v>6916</v>
      </c>
      <c r="B857" s="8" t="s">
        <v>231</v>
      </c>
      <c r="C857" s="8" t="s">
        <v>232</v>
      </c>
      <c r="D857" s="8" t="s">
        <v>914</v>
      </c>
      <c r="E857" s="8" t="s">
        <v>41</v>
      </c>
      <c r="F857" s="8" t="s">
        <v>952</v>
      </c>
      <c r="G857" s="8" t="s">
        <v>1390</v>
      </c>
      <c r="H857" s="8">
        <v>1</v>
      </c>
      <c r="I857" s="8">
        <v>1</v>
      </c>
      <c r="J857" s="8" t="s">
        <v>1404</v>
      </c>
      <c r="K857" s="8" t="s">
        <v>237</v>
      </c>
      <c r="L857" s="9">
        <v>46319</v>
      </c>
      <c r="M857" s="8" t="s">
        <v>5864</v>
      </c>
      <c r="N857" s="8" t="s">
        <v>5870</v>
      </c>
    </row>
    <row r="858" spans="1:14" ht="54" customHeight="1">
      <c r="A858" s="4" t="s">
        <v>6917</v>
      </c>
      <c r="B858" s="4" t="s">
        <v>231</v>
      </c>
      <c r="C858" s="4" t="s">
        <v>232</v>
      </c>
      <c r="D858" s="4" t="s">
        <v>914</v>
      </c>
      <c r="E858" s="4" t="s">
        <v>41</v>
      </c>
      <c r="F858" s="4" t="s">
        <v>956</v>
      </c>
      <c r="G858" s="4" t="s">
        <v>1390</v>
      </c>
      <c r="H858" s="4">
        <v>1</v>
      </c>
      <c r="I858" s="4">
        <v>1</v>
      </c>
      <c r="J858" s="4" t="s">
        <v>1407</v>
      </c>
      <c r="K858" s="4" t="s">
        <v>237</v>
      </c>
      <c r="L858" s="6">
        <v>46319</v>
      </c>
      <c r="M858" s="4" t="s">
        <v>5864</v>
      </c>
      <c r="N858" s="4" t="s">
        <v>5870</v>
      </c>
    </row>
    <row r="859" spans="1:14" ht="54" customHeight="1">
      <c r="A859" s="8" t="s">
        <v>6918</v>
      </c>
      <c r="B859" s="8" t="s">
        <v>231</v>
      </c>
      <c r="C859" s="8" t="s">
        <v>232</v>
      </c>
      <c r="D859" s="8" t="s">
        <v>914</v>
      </c>
      <c r="E859" s="8" t="s">
        <v>41</v>
      </c>
      <c r="F859" s="8" t="s">
        <v>960</v>
      </c>
      <c r="G859" s="8" t="s">
        <v>1390</v>
      </c>
      <c r="H859" s="8">
        <v>1</v>
      </c>
      <c r="I859" s="8">
        <v>1</v>
      </c>
      <c r="J859" s="8" t="s">
        <v>1410</v>
      </c>
      <c r="K859" s="8" t="s">
        <v>237</v>
      </c>
      <c r="L859" s="9">
        <v>46319</v>
      </c>
      <c r="M859" s="8" t="s">
        <v>5864</v>
      </c>
      <c r="N859" s="8" t="s">
        <v>5870</v>
      </c>
    </row>
    <row r="860" spans="1:14" ht="54" customHeight="1">
      <c r="A860" s="4" t="s">
        <v>6919</v>
      </c>
      <c r="B860" s="4" t="s">
        <v>231</v>
      </c>
      <c r="C860" s="4" t="s">
        <v>232</v>
      </c>
      <c r="D860" s="4" t="s">
        <v>914</v>
      </c>
      <c r="E860" s="4" t="s">
        <v>41</v>
      </c>
      <c r="F860" s="4" t="s">
        <v>1415</v>
      </c>
      <c r="G860" s="4" t="s">
        <v>1390</v>
      </c>
      <c r="H860" s="4">
        <v>1</v>
      </c>
      <c r="I860" s="4">
        <v>1</v>
      </c>
      <c r="J860" s="4" t="s">
        <v>1413</v>
      </c>
      <c r="K860" s="4" t="s">
        <v>237</v>
      </c>
      <c r="L860" s="6">
        <v>46319</v>
      </c>
      <c r="M860" s="4" t="s">
        <v>5864</v>
      </c>
      <c r="N860" s="4" t="s">
        <v>5870</v>
      </c>
    </row>
    <row r="861" spans="1:14" ht="54" customHeight="1">
      <c r="A861" s="8" t="s">
        <v>6920</v>
      </c>
      <c r="B861" s="8" t="s">
        <v>231</v>
      </c>
      <c r="C861" s="8" t="s">
        <v>232</v>
      </c>
      <c r="D861" s="8" t="s">
        <v>914</v>
      </c>
      <c r="E861" s="8" t="s">
        <v>41</v>
      </c>
      <c r="F861" s="8" t="s">
        <v>1419</v>
      </c>
      <c r="G861" s="8" t="s">
        <v>1390</v>
      </c>
      <c r="H861" s="8">
        <v>1</v>
      </c>
      <c r="I861" s="8">
        <v>1</v>
      </c>
      <c r="J861" s="8" t="s">
        <v>1417</v>
      </c>
      <c r="K861" s="8" t="s">
        <v>237</v>
      </c>
      <c r="L861" s="9">
        <v>46319</v>
      </c>
      <c r="M861" s="8" t="s">
        <v>5864</v>
      </c>
      <c r="N861" s="8" t="s">
        <v>5870</v>
      </c>
    </row>
    <row r="862" spans="1:14" ht="54" customHeight="1">
      <c r="A862" s="4" t="s">
        <v>5147</v>
      </c>
      <c r="B862" s="4" t="s">
        <v>231</v>
      </c>
      <c r="C862" s="4" t="s">
        <v>232</v>
      </c>
      <c r="D862" s="4" t="s">
        <v>7</v>
      </c>
      <c r="E862" s="4" t="s">
        <v>5148</v>
      </c>
      <c r="F862" s="4" t="s">
        <v>6150</v>
      </c>
      <c r="G862" s="4" t="s">
        <v>1390</v>
      </c>
      <c r="H862" s="4">
        <v>1</v>
      </c>
      <c r="I862" s="4">
        <v>1</v>
      </c>
      <c r="J862" s="4" t="s">
        <v>5148</v>
      </c>
      <c r="K862" s="4" t="s">
        <v>237</v>
      </c>
      <c r="L862" s="6">
        <v>46319</v>
      </c>
      <c r="M862" s="4" t="s">
        <v>5864</v>
      </c>
      <c r="N862" s="4" t="s">
        <v>5865</v>
      </c>
    </row>
    <row r="863" spans="1:14" ht="54" customHeight="1">
      <c r="A863" s="8" t="s">
        <v>5149</v>
      </c>
      <c r="B863" s="8" t="s">
        <v>231</v>
      </c>
      <c r="C863" s="8" t="s">
        <v>232</v>
      </c>
      <c r="D863" s="8" t="s">
        <v>7</v>
      </c>
      <c r="E863" s="8" t="s">
        <v>5148</v>
      </c>
      <c r="F863" s="8" t="s">
        <v>6577</v>
      </c>
      <c r="G863" s="8" t="s">
        <v>1390</v>
      </c>
      <c r="H863" s="8">
        <v>1</v>
      </c>
      <c r="I863" s="8">
        <v>1</v>
      </c>
      <c r="J863" s="8" t="s">
        <v>5150</v>
      </c>
      <c r="K863" s="8" t="s">
        <v>237</v>
      </c>
      <c r="L863" s="9">
        <v>46319</v>
      </c>
      <c r="M863" s="8" t="s">
        <v>5864</v>
      </c>
      <c r="N863" s="8" t="s">
        <v>5870</v>
      </c>
    </row>
    <row r="864" spans="1:14" ht="54" customHeight="1">
      <c r="A864" s="4" t="s">
        <v>5151</v>
      </c>
      <c r="B864" s="4" t="s">
        <v>231</v>
      </c>
      <c r="C864" s="4" t="s">
        <v>232</v>
      </c>
      <c r="D864" s="4" t="s">
        <v>7</v>
      </c>
      <c r="E864" s="4" t="s">
        <v>5148</v>
      </c>
      <c r="F864" s="4" t="s">
        <v>6578</v>
      </c>
      <c r="G864" s="4" t="s">
        <v>1390</v>
      </c>
      <c r="H864" s="4">
        <v>1</v>
      </c>
      <c r="I864" s="4">
        <v>1</v>
      </c>
      <c r="J864" s="4" t="s">
        <v>5152</v>
      </c>
      <c r="K864" s="4" t="s">
        <v>237</v>
      </c>
      <c r="L864" s="6">
        <v>46319</v>
      </c>
      <c r="M864" s="4" t="s">
        <v>5864</v>
      </c>
      <c r="N864" s="4" t="s">
        <v>5870</v>
      </c>
    </row>
    <row r="865" spans="1:14" ht="54" customHeight="1">
      <c r="A865" s="8" t="s">
        <v>5153</v>
      </c>
      <c r="B865" s="8" t="s">
        <v>231</v>
      </c>
      <c r="C865" s="8" t="s">
        <v>232</v>
      </c>
      <c r="D865" s="8" t="s">
        <v>7</v>
      </c>
      <c r="E865" s="8" t="s">
        <v>5148</v>
      </c>
      <c r="F865" s="8" t="s">
        <v>6579</v>
      </c>
      <c r="G865" s="8" t="s">
        <v>1390</v>
      </c>
      <c r="H865" s="8">
        <v>1</v>
      </c>
      <c r="I865" s="8">
        <v>1</v>
      </c>
      <c r="J865" s="8" t="s">
        <v>5154</v>
      </c>
      <c r="K865" s="8" t="s">
        <v>237</v>
      </c>
      <c r="L865" s="9">
        <v>46319</v>
      </c>
      <c r="M865" s="8" t="s">
        <v>5864</v>
      </c>
      <c r="N865" s="8" t="s">
        <v>5870</v>
      </c>
    </row>
    <row r="866" spans="1:14" ht="54" customHeight="1">
      <c r="A866" s="4" t="s">
        <v>5155</v>
      </c>
      <c r="B866" s="4" t="s">
        <v>231</v>
      </c>
      <c r="C866" s="4" t="s">
        <v>232</v>
      </c>
      <c r="D866" s="4" t="s">
        <v>7</v>
      </c>
      <c r="E866" s="4" t="s">
        <v>5148</v>
      </c>
      <c r="F866" s="4" t="s">
        <v>6580</v>
      </c>
      <c r="G866" s="4" t="s">
        <v>1390</v>
      </c>
      <c r="H866" s="4">
        <v>1</v>
      </c>
      <c r="I866" s="4">
        <v>1</v>
      </c>
      <c r="J866" s="4" t="s">
        <v>5156</v>
      </c>
      <c r="K866" s="4" t="s">
        <v>237</v>
      </c>
      <c r="L866" s="6">
        <v>46319</v>
      </c>
      <c r="M866" s="4" t="s">
        <v>5864</v>
      </c>
      <c r="N866" s="4" t="s">
        <v>5870</v>
      </c>
    </row>
    <row r="867" spans="1:14" ht="54" customHeight="1">
      <c r="A867" s="8" t="s">
        <v>5157</v>
      </c>
      <c r="B867" s="8" t="s">
        <v>231</v>
      </c>
      <c r="C867" s="8" t="s">
        <v>232</v>
      </c>
      <c r="D867" s="8" t="s">
        <v>7</v>
      </c>
      <c r="E867" s="8" t="s">
        <v>5148</v>
      </c>
      <c r="F867" s="8" t="s">
        <v>6581</v>
      </c>
      <c r="G867" s="8" t="s">
        <v>1390</v>
      </c>
      <c r="H867" s="8">
        <v>1</v>
      </c>
      <c r="I867" s="8">
        <v>1</v>
      </c>
      <c r="J867" s="8" t="s">
        <v>5158</v>
      </c>
      <c r="K867" s="8" t="s">
        <v>237</v>
      </c>
      <c r="L867" s="9">
        <v>46319</v>
      </c>
      <c r="M867" s="8" t="s">
        <v>5864</v>
      </c>
      <c r="N867" s="8" t="s">
        <v>5870</v>
      </c>
    </row>
    <row r="868" spans="1:14" ht="54" customHeight="1">
      <c r="A868" s="4" t="s">
        <v>5159</v>
      </c>
      <c r="B868" s="4" t="s">
        <v>231</v>
      </c>
      <c r="C868" s="4" t="s">
        <v>232</v>
      </c>
      <c r="D868" s="4" t="s">
        <v>7</v>
      </c>
      <c r="E868" s="4" t="s">
        <v>5160</v>
      </c>
      <c r="F868" s="4" t="s">
        <v>6921</v>
      </c>
      <c r="G868" s="4" t="s">
        <v>1390</v>
      </c>
      <c r="H868" s="4">
        <v>1</v>
      </c>
      <c r="I868" s="4">
        <v>1</v>
      </c>
      <c r="J868" s="4" t="s">
        <v>5160</v>
      </c>
      <c r="K868" s="4" t="s">
        <v>237</v>
      </c>
      <c r="L868" s="6">
        <v>46319</v>
      </c>
      <c r="M868" s="4" t="s">
        <v>5864</v>
      </c>
      <c r="N868" s="4" t="s">
        <v>5865</v>
      </c>
    </row>
    <row r="869" spans="1:14" ht="54" customHeight="1">
      <c r="A869" s="8" t="s">
        <v>5161</v>
      </c>
      <c r="B869" s="8" t="s">
        <v>231</v>
      </c>
      <c r="C869" s="8" t="s">
        <v>232</v>
      </c>
      <c r="D869" s="8" t="s">
        <v>7</v>
      </c>
      <c r="E869" s="8" t="s">
        <v>5160</v>
      </c>
      <c r="F869" s="8" t="s">
        <v>6590</v>
      </c>
      <c r="G869" s="8" t="s">
        <v>1390</v>
      </c>
      <c r="H869" s="8">
        <v>1</v>
      </c>
      <c r="I869" s="8">
        <v>1</v>
      </c>
      <c r="J869" s="8" t="s">
        <v>5162</v>
      </c>
      <c r="K869" s="8" t="s">
        <v>237</v>
      </c>
      <c r="L869" s="9">
        <v>46319</v>
      </c>
      <c r="M869" s="8" t="s">
        <v>5864</v>
      </c>
      <c r="N869" s="8" t="s">
        <v>5870</v>
      </c>
    </row>
    <row r="870" spans="1:14" ht="54" customHeight="1">
      <c r="A870" s="4" t="s">
        <v>5163</v>
      </c>
      <c r="B870" s="4" t="s">
        <v>231</v>
      </c>
      <c r="C870" s="4" t="s">
        <v>232</v>
      </c>
      <c r="D870" s="4" t="s">
        <v>7</v>
      </c>
      <c r="E870" s="4" t="s">
        <v>5160</v>
      </c>
      <c r="F870" s="4" t="s">
        <v>6922</v>
      </c>
      <c r="G870" s="4" t="s">
        <v>1390</v>
      </c>
      <c r="H870" s="4">
        <v>1</v>
      </c>
      <c r="I870" s="4">
        <v>1</v>
      </c>
      <c r="J870" s="4" t="s">
        <v>5164</v>
      </c>
      <c r="K870" s="4" t="s">
        <v>237</v>
      </c>
      <c r="L870" s="6">
        <v>46319</v>
      </c>
      <c r="M870" s="4" t="s">
        <v>5864</v>
      </c>
      <c r="N870" s="4" t="s">
        <v>5870</v>
      </c>
    </row>
    <row r="871" spans="1:14" ht="54" customHeight="1">
      <c r="A871" s="8" t="s">
        <v>5165</v>
      </c>
      <c r="B871" s="8" t="s">
        <v>231</v>
      </c>
      <c r="C871" s="8" t="s">
        <v>232</v>
      </c>
      <c r="D871" s="8" t="s">
        <v>7</v>
      </c>
      <c r="E871" s="8" t="s">
        <v>5160</v>
      </c>
      <c r="F871" s="8" t="s">
        <v>6923</v>
      </c>
      <c r="G871" s="8" t="s">
        <v>1390</v>
      </c>
      <c r="H871" s="8">
        <v>1</v>
      </c>
      <c r="I871" s="8">
        <v>1</v>
      </c>
      <c r="J871" s="8" t="s">
        <v>5166</v>
      </c>
      <c r="K871" s="8" t="s">
        <v>237</v>
      </c>
      <c r="L871" s="9">
        <v>46319</v>
      </c>
      <c r="M871" s="8" t="s">
        <v>5864</v>
      </c>
      <c r="N871" s="8" t="s">
        <v>5870</v>
      </c>
    </row>
    <row r="872" spans="1:14" ht="54" customHeight="1">
      <c r="A872" s="4" t="s">
        <v>5167</v>
      </c>
      <c r="B872" s="4" t="s">
        <v>231</v>
      </c>
      <c r="C872" s="4" t="s">
        <v>232</v>
      </c>
      <c r="D872" s="4" t="s">
        <v>7</v>
      </c>
      <c r="E872" s="4" t="s">
        <v>5160</v>
      </c>
      <c r="F872" s="4" t="s">
        <v>6924</v>
      </c>
      <c r="G872" s="4" t="s">
        <v>1390</v>
      </c>
      <c r="H872" s="4">
        <v>1</v>
      </c>
      <c r="I872" s="4">
        <v>1</v>
      </c>
      <c r="J872" s="4" t="s">
        <v>5168</v>
      </c>
      <c r="K872" s="4" t="s">
        <v>237</v>
      </c>
      <c r="L872" s="6">
        <v>46319</v>
      </c>
      <c r="M872" s="4" t="s">
        <v>5864</v>
      </c>
      <c r="N872" s="4" t="s">
        <v>5870</v>
      </c>
    </row>
    <row r="873" spans="1:14" ht="54" customHeight="1">
      <c r="A873" s="8" t="s">
        <v>5169</v>
      </c>
      <c r="B873" s="8" t="s">
        <v>231</v>
      </c>
      <c r="C873" s="8" t="s">
        <v>232</v>
      </c>
      <c r="D873" s="8" t="s">
        <v>7</v>
      </c>
      <c r="E873" s="8" t="s">
        <v>5160</v>
      </c>
      <c r="F873" s="8" t="s">
        <v>6925</v>
      </c>
      <c r="G873" s="8" t="s">
        <v>1390</v>
      </c>
      <c r="H873" s="8">
        <v>1</v>
      </c>
      <c r="I873" s="8">
        <v>1</v>
      </c>
      <c r="J873" s="8" t="s">
        <v>5170</v>
      </c>
      <c r="K873" s="8" t="s">
        <v>237</v>
      </c>
      <c r="L873" s="9">
        <v>46319</v>
      </c>
      <c r="M873" s="8" t="s">
        <v>5864</v>
      </c>
      <c r="N873" s="8" t="s">
        <v>5870</v>
      </c>
    </row>
    <row r="874" spans="1:14" ht="54" customHeight="1">
      <c r="A874" s="4" t="s">
        <v>5171</v>
      </c>
      <c r="B874" s="4" t="s">
        <v>231</v>
      </c>
      <c r="C874" s="4" t="s">
        <v>232</v>
      </c>
      <c r="D874" s="4" t="s">
        <v>7</v>
      </c>
      <c r="E874" s="4" t="s">
        <v>5160</v>
      </c>
      <c r="F874" s="4" t="s">
        <v>6926</v>
      </c>
      <c r="G874" s="4" t="s">
        <v>1390</v>
      </c>
      <c r="H874" s="4">
        <v>1</v>
      </c>
      <c r="I874" s="4">
        <v>1</v>
      </c>
      <c r="J874" s="4" t="s">
        <v>5172</v>
      </c>
      <c r="K874" s="4" t="s">
        <v>237</v>
      </c>
      <c r="L874" s="6">
        <v>46319</v>
      </c>
      <c r="M874" s="4" t="s">
        <v>5864</v>
      </c>
      <c r="N874" s="4" t="s">
        <v>5870</v>
      </c>
    </row>
    <row r="875" spans="1:14" ht="54" customHeight="1">
      <c r="A875" s="8" t="s">
        <v>5173</v>
      </c>
      <c r="B875" s="8" t="s">
        <v>231</v>
      </c>
      <c r="C875" s="8" t="s">
        <v>232</v>
      </c>
      <c r="D875" s="8" t="s">
        <v>7</v>
      </c>
      <c r="E875" s="8" t="s">
        <v>5160</v>
      </c>
      <c r="F875" s="8" t="s">
        <v>6927</v>
      </c>
      <c r="G875" s="8" t="s">
        <v>1390</v>
      </c>
      <c r="H875" s="8">
        <v>1</v>
      </c>
      <c r="I875" s="8">
        <v>1</v>
      </c>
      <c r="J875" s="8" t="s">
        <v>5174</v>
      </c>
      <c r="K875" s="8" t="s">
        <v>237</v>
      </c>
      <c r="L875" s="9">
        <v>46319</v>
      </c>
      <c r="M875" s="8" t="s">
        <v>5864</v>
      </c>
      <c r="N875" s="8" t="s">
        <v>5870</v>
      </c>
    </row>
    <row r="876" spans="1:14" ht="54" customHeight="1">
      <c r="A876" s="4" t="s">
        <v>5175</v>
      </c>
      <c r="B876" s="4" t="s">
        <v>231</v>
      </c>
      <c r="C876" s="4" t="s">
        <v>232</v>
      </c>
      <c r="D876" s="4" t="s">
        <v>7</v>
      </c>
      <c r="E876" s="4" t="s">
        <v>5176</v>
      </c>
      <c r="F876" s="4" t="s">
        <v>6928</v>
      </c>
      <c r="G876" s="4" t="s">
        <v>1390</v>
      </c>
      <c r="H876" s="4">
        <v>1</v>
      </c>
      <c r="I876" s="4">
        <v>1</v>
      </c>
      <c r="J876" s="4" t="s">
        <v>5176</v>
      </c>
      <c r="K876" s="4" t="s">
        <v>237</v>
      </c>
      <c r="L876" s="6">
        <v>46319</v>
      </c>
      <c r="M876" s="4" t="s">
        <v>5864</v>
      </c>
      <c r="N876" s="4" t="s">
        <v>5865</v>
      </c>
    </row>
    <row r="877" spans="1:14" ht="54" customHeight="1">
      <c r="A877" s="8" t="s">
        <v>5177</v>
      </c>
      <c r="B877" s="8" t="s">
        <v>231</v>
      </c>
      <c r="C877" s="8" t="s">
        <v>232</v>
      </c>
      <c r="D877" s="8" t="s">
        <v>7</v>
      </c>
      <c r="E877" s="8" t="s">
        <v>5176</v>
      </c>
      <c r="F877" s="8" t="s">
        <v>6720</v>
      </c>
      <c r="G877" s="8" t="s">
        <v>1390</v>
      </c>
      <c r="H877" s="8">
        <v>1</v>
      </c>
      <c r="I877" s="8">
        <v>1</v>
      </c>
      <c r="J877" s="8" t="s">
        <v>5178</v>
      </c>
      <c r="K877" s="8" t="s">
        <v>237</v>
      </c>
      <c r="L877" s="9">
        <v>46319</v>
      </c>
      <c r="M877" s="8" t="s">
        <v>5864</v>
      </c>
      <c r="N877" s="8" t="s">
        <v>5870</v>
      </c>
    </row>
    <row r="878" spans="1:14" ht="54" customHeight="1">
      <c r="A878" s="4" t="s">
        <v>5179</v>
      </c>
      <c r="B878" s="4" t="s">
        <v>231</v>
      </c>
      <c r="C878" s="4" t="s">
        <v>232</v>
      </c>
      <c r="D878" s="4" t="s">
        <v>7</v>
      </c>
      <c r="E878" s="4" t="s">
        <v>5176</v>
      </c>
      <c r="F878" s="4" t="s">
        <v>6929</v>
      </c>
      <c r="G878" s="4" t="s">
        <v>1390</v>
      </c>
      <c r="H878" s="4">
        <v>1</v>
      </c>
      <c r="I878" s="4">
        <v>1</v>
      </c>
      <c r="J878" s="4" t="s">
        <v>5180</v>
      </c>
      <c r="K878" s="4" t="s">
        <v>237</v>
      </c>
      <c r="L878" s="6">
        <v>46319</v>
      </c>
      <c r="M878" s="4" t="s">
        <v>5864</v>
      </c>
      <c r="N878" s="4" t="s">
        <v>5870</v>
      </c>
    </row>
    <row r="879" spans="1:14" ht="54" customHeight="1">
      <c r="A879" s="8" t="s">
        <v>5181</v>
      </c>
      <c r="B879" s="8" t="s">
        <v>231</v>
      </c>
      <c r="C879" s="8" t="s">
        <v>232</v>
      </c>
      <c r="D879" s="8" t="s">
        <v>7</v>
      </c>
      <c r="E879" s="8" t="s">
        <v>5176</v>
      </c>
      <c r="F879" s="8" t="s">
        <v>6930</v>
      </c>
      <c r="G879" s="8" t="s">
        <v>1390</v>
      </c>
      <c r="H879" s="8">
        <v>1</v>
      </c>
      <c r="I879" s="8">
        <v>1</v>
      </c>
      <c r="J879" s="8" t="s">
        <v>5182</v>
      </c>
      <c r="K879" s="8" t="s">
        <v>237</v>
      </c>
      <c r="L879" s="9">
        <v>46319</v>
      </c>
      <c r="M879" s="8" t="s">
        <v>5864</v>
      </c>
      <c r="N879" s="8" t="s">
        <v>5870</v>
      </c>
    </row>
    <row r="880" spans="1:14" ht="54" customHeight="1">
      <c r="A880" s="4" t="s">
        <v>5183</v>
      </c>
      <c r="B880" s="4" t="s">
        <v>231</v>
      </c>
      <c r="C880" s="4" t="s">
        <v>232</v>
      </c>
      <c r="D880" s="4" t="s">
        <v>7</v>
      </c>
      <c r="E880" s="4" t="s">
        <v>5176</v>
      </c>
      <c r="F880" s="4" t="s">
        <v>6931</v>
      </c>
      <c r="G880" s="4" t="s">
        <v>1390</v>
      </c>
      <c r="H880" s="4">
        <v>1</v>
      </c>
      <c r="I880" s="4">
        <v>1</v>
      </c>
      <c r="J880" s="4" t="s">
        <v>5184</v>
      </c>
      <c r="K880" s="4" t="s">
        <v>237</v>
      </c>
      <c r="L880" s="6">
        <v>46319</v>
      </c>
      <c r="M880" s="4" t="s">
        <v>5864</v>
      </c>
      <c r="N880" s="4" t="s">
        <v>5865</v>
      </c>
    </row>
    <row r="881" spans="1:14" ht="54" customHeight="1">
      <c r="A881" s="8" t="s">
        <v>4031</v>
      </c>
      <c r="B881" s="8" t="s">
        <v>231</v>
      </c>
      <c r="C881" s="8" t="s">
        <v>232</v>
      </c>
      <c r="D881" s="8" t="s">
        <v>5879</v>
      </c>
      <c r="E881" s="8" t="s">
        <v>41</v>
      </c>
      <c r="F881" s="8" t="s">
        <v>3463</v>
      </c>
      <c r="G881" s="8" t="s">
        <v>1390</v>
      </c>
      <c r="H881" s="8">
        <v>1</v>
      </c>
      <c r="I881" s="8">
        <v>1</v>
      </c>
      <c r="J881" s="8" t="s">
        <v>4032</v>
      </c>
      <c r="K881" s="8" t="s">
        <v>237</v>
      </c>
      <c r="L881" s="9">
        <v>46319</v>
      </c>
      <c r="M881" s="8" t="s">
        <v>5864</v>
      </c>
      <c r="N881" s="8" t="s">
        <v>6087</v>
      </c>
    </row>
    <row r="882" spans="1:14" ht="54" customHeight="1">
      <c r="A882" s="4" t="s">
        <v>4033</v>
      </c>
      <c r="B882" s="4" t="s">
        <v>231</v>
      </c>
      <c r="C882" s="4" t="s">
        <v>232</v>
      </c>
      <c r="D882" s="4" t="s">
        <v>5879</v>
      </c>
      <c r="E882" s="4" t="s">
        <v>4034</v>
      </c>
      <c r="F882" s="4" t="s">
        <v>3466</v>
      </c>
      <c r="G882" s="4" t="s">
        <v>1390</v>
      </c>
      <c r="H882" s="4">
        <v>1</v>
      </c>
      <c r="I882" s="4">
        <v>1</v>
      </c>
      <c r="J882" s="4" t="s">
        <v>4034</v>
      </c>
      <c r="K882" s="4" t="s">
        <v>237</v>
      </c>
      <c r="L882" s="6">
        <v>46319</v>
      </c>
      <c r="M882" s="4" t="s">
        <v>5864</v>
      </c>
      <c r="N882" s="4" t="s">
        <v>5865</v>
      </c>
    </row>
    <row r="883" spans="1:14" ht="54" customHeight="1">
      <c r="A883" s="8" t="s">
        <v>4035</v>
      </c>
      <c r="B883" s="8" t="s">
        <v>231</v>
      </c>
      <c r="C883" s="8" t="s">
        <v>232</v>
      </c>
      <c r="D883" s="8" t="s">
        <v>5879</v>
      </c>
      <c r="E883" s="8" t="s">
        <v>4034</v>
      </c>
      <c r="F883" s="8" t="s">
        <v>3469</v>
      </c>
      <c r="G883" s="8" t="s">
        <v>1390</v>
      </c>
      <c r="H883" s="8">
        <v>1</v>
      </c>
      <c r="I883" s="8">
        <v>1</v>
      </c>
      <c r="J883" s="8" t="s">
        <v>4036</v>
      </c>
      <c r="K883" s="8" t="s">
        <v>237</v>
      </c>
      <c r="L883" s="9">
        <v>46319</v>
      </c>
      <c r="M883" s="8" t="s">
        <v>5864</v>
      </c>
      <c r="N883" s="8" t="s">
        <v>5865</v>
      </c>
    </row>
    <row r="884" spans="1:14" ht="54" customHeight="1">
      <c r="A884" s="4" t="s">
        <v>4037</v>
      </c>
      <c r="B884" s="4" t="s">
        <v>231</v>
      </c>
      <c r="C884" s="4" t="s">
        <v>232</v>
      </c>
      <c r="D884" s="4" t="s">
        <v>5879</v>
      </c>
      <c r="E884" s="4" t="s">
        <v>4038</v>
      </c>
      <c r="F884" s="4" t="s">
        <v>3472</v>
      </c>
      <c r="G884" s="4" t="s">
        <v>1390</v>
      </c>
      <c r="H884" s="4">
        <v>1</v>
      </c>
      <c r="I884" s="4">
        <v>1</v>
      </c>
      <c r="J884" s="4" t="s">
        <v>4038</v>
      </c>
      <c r="K884" s="4" t="s">
        <v>237</v>
      </c>
      <c r="L884" s="6">
        <v>46319</v>
      </c>
      <c r="M884" s="4" t="s">
        <v>5864</v>
      </c>
      <c r="N884" s="4" t="s">
        <v>5865</v>
      </c>
    </row>
    <row r="885" spans="1:14" ht="54" customHeight="1">
      <c r="A885" s="8" t="s">
        <v>4039</v>
      </c>
      <c r="B885" s="8" t="s">
        <v>231</v>
      </c>
      <c r="C885" s="8" t="s">
        <v>232</v>
      </c>
      <c r="D885" s="8" t="s">
        <v>5879</v>
      </c>
      <c r="E885" s="8" t="s">
        <v>4038</v>
      </c>
      <c r="F885" s="8" t="s">
        <v>3475</v>
      </c>
      <c r="G885" s="8" t="s">
        <v>1390</v>
      </c>
      <c r="H885" s="8">
        <v>1</v>
      </c>
      <c r="I885" s="8">
        <v>1</v>
      </c>
      <c r="J885" s="8" t="s">
        <v>4040</v>
      </c>
      <c r="K885" s="8" t="s">
        <v>237</v>
      </c>
      <c r="L885" s="9">
        <v>46319</v>
      </c>
      <c r="M885" s="8" t="s">
        <v>5864</v>
      </c>
      <c r="N885" s="8" t="s">
        <v>5865</v>
      </c>
    </row>
    <row r="886" spans="1:14" ht="54" customHeight="1">
      <c r="A886" s="4" t="s">
        <v>4041</v>
      </c>
      <c r="B886" s="4" t="s">
        <v>231</v>
      </c>
      <c r="C886" s="4" t="s">
        <v>232</v>
      </c>
      <c r="D886" s="4" t="s">
        <v>5879</v>
      </c>
      <c r="E886" s="4" t="s">
        <v>4042</v>
      </c>
      <c r="F886" s="4" t="s">
        <v>3478</v>
      </c>
      <c r="G886" s="4" t="s">
        <v>1390</v>
      </c>
      <c r="H886" s="4">
        <v>1</v>
      </c>
      <c r="I886" s="4">
        <v>1</v>
      </c>
      <c r="J886" s="4" t="s">
        <v>4042</v>
      </c>
      <c r="K886" s="4" t="s">
        <v>237</v>
      </c>
      <c r="L886" s="6">
        <v>46319</v>
      </c>
      <c r="M886" s="4" t="s">
        <v>5864</v>
      </c>
      <c r="N886" s="4" t="s">
        <v>5865</v>
      </c>
    </row>
    <row r="887" spans="1:14" ht="54" customHeight="1">
      <c r="A887" s="8" t="s">
        <v>4043</v>
      </c>
      <c r="B887" s="8" t="s">
        <v>231</v>
      </c>
      <c r="C887" s="8" t="s">
        <v>232</v>
      </c>
      <c r="D887" s="8" t="s">
        <v>5879</v>
      </c>
      <c r="E887" s="8" t="s">
        <v>4042</v>
      </c>
      <c r="F887" s="8" t="s">
        <v>3603</v>
      </c>
      <c r="G887" s="8" t="s">
        <v>1390</v>
      </c>
      <c r="H887" s="8">
        <v>1</v>
      </c>
      <c r="I887" s="8">
        <v>1</v>
      </c>
      <c r="J887" s="8" t="s">
        <v>4044</v>
      </c>
      <c r="K887" s="8" t="s">
        <v>237</v>
      </c>
      <c r="L887" s="9">
        <v>46319</v>
      </c>
      <c r="M887" s="8" t="s">
        <v>5864</v>
      </c>
      <c r="N887" s="8" t="s">
        <v>5865</v>
      </c>
    </row>
    <row r="888" spans="1:14" ht="54" customHeight="1">
      <c r="A888" s="4" t="s">
        <v>4045</v>
      </c>
      <c r="B888" s="4" t="s">
        <v>231</v>
      </c>
      <c r="C888" s="4" t="s">
        <v>232</v>
      </c>
      <c r="D888" s="4" t="s">
        <v>5879</v>
      </c>
      <c r="E888" s="4" t="s">
        <v>4046</v>
      </c>
      <c r="F888" s="4" t="s">
        <v>3838</v>
      </c>
      <c r="G888" s="4" t="s">
        <v>1390</v>
      </c>
      <c r="H888" s="4">
        <v>1</v>
      </c>
      <c r="I888" s="4">
        <v>1</v>
      </c>
      <c r="J888" s="4" t="s">
        <v>4046</v>
      </c>
      <c r="K888" s="4" t="s">
        <v>237</v>
      </c>
      <c r="L888" s="6">
        <v>46319</v>
      </c>
      <c r="M888" s="4" t="s">
        <v>5864</v>
      </c>
      <c r="N888" s="4" t="s">
        <v>5865</v>
      </c>
    </row>
    <row r="889" spans="1:14" ht="54" customHeight="1">
      <c r="A889" s="8" t="s">
        <v>4047</v>
      </c>
      <c r="B889" s="8" t="s">
        <v>231</v>
      </c>
      <c r="C889" s="8" t="s">
        <v>232</v>
      </c>
      <c r="D889" s="8" t="s">
        <v>5879</v>
      </c>
      <c r="E889" s="8" t="s">
        <v>4046</v>
      </c>
      <c r="F889" s="8" t="s">
        <v>3608</v>
      </c>
      <c r="G889" s="8" t="s">
        <v>1390</v>
      </c>
      <c r="H889" s="8">
        <v>1</v>
      </c>
      <c r="I889" s="8">
        <v>1</v>
      </c>
      <c r="J889" s="8" t="s">
        <v>4048</v>
      </c>
      <c r="K889" s="8" t="s">
        <v>237</v>
      </c>
      <c r="L889" s="9">
        <v>46319</v>
      </c>
      <c r="M889" s="8" t="s">
        <v>5864</v>
      </c>
      <c r="N889" s="8" t="s">
        <v>5865</v>
      </c>
    </row>
    <row r="890" spans="1:14" ht="54" customHeight="1">
      <c r="A890" s="4" t="s">
        <v>4049</v>
      </c>
      <c r="B890" s="4" t="s">
        <v>231</v>
      </c>
      <c r="C890" s="4" t="s">
        <v>232</v>
      </c>
      <c r="D890" s="4" t="s">
        <v>5879</v>
      </c>
      <c r="E890" s="4" t="s">
        <v>4050</v>
      </c>
      <c r="F890" s="4" t="s">
        <v>3611</v>
      </c>
      <c r="G890" s="4" t="s">
        <v>1390</v>
      </c>
      <c r="H890" s="4">
        <v>1</v>
      </c>
      <c r="I890" s="4">
        <v>1</v>
      </c>
      <c r="J890" s="4" t="s">
        <v>4050</v>
      </c>
      <c r="K890" s="4" t="s">
        <v>237</v>
      </c>
      <c r="L890" s="6">
        <v>46319</v>
      </c>
      <c r="M890" s="4" t="s">
        <v>5864</v>
      </c>
      <c r="N890" s="4" t="s">
        <v>5865</v>
      </c>
    </row>
    <row r="891" spans="1:14" ht="54" customHeight="1">
      <c r="A891" s="8" t="s">
        <v>4051</v>
      </c>
      <c r="B891" s="8" t="s">
        <v>231</v>
      </c>
      <c r="C891" s="8" t="s">
        <v>232</v>
      </c>
      <c r="D891" s="8" t="s">
        <v>5879</v>
      </c>
      <c r="E891" s="8" t="s">
        <v>4050</v>
      </c>
      <c r="F891" s="8" t="s">
        <v>3775</v>
      </c>
      <c r="G891" s="8" t="s">
        <v>1390</v>
      </c>
      <c r="H891" s="8">
        <v>1</v>
      </c>
      <c r="I891" s="8">
        <v>1</v>
      </c>
      <c r="J891" s="8" t="s">
        <v>4052</v>
      </c>
      <c r="K891" s="8" t="s">
        <v>237</v>
      </c>
      <c r="L891" s="9">
        <v>46319</v>
      </c>
      <c r="M891" s="8" t="s">
        <v>5864</v>
      </c>
      <c r="N891" s="8" t="s">
        <v>5865</v>
      </c>
    </row>
    <row r="892" spans="1:14" ht="54" customHeight="1">
      <c r="A892" s="4" t="s">
        <v>4053</v>
      </c>
      <c r="B892" s="4" t="s">
        <v>231</v>
      </c>
      <c r="C892" s="4" t="s">
        <v>232</v>
      </c>
      <c r="D892" s="4" t="s">
        <v>5879</v>
      </c>
      <c r="E892" s="4" t="s">
        <v>4054</v>
      </c>
      <c r="F892" s="4" t="s">
        <v>3847</v>
      </c>
      <c r="G892" s="4" t="s">
        <v>1390</v>
      </c>
      <c r="H892" s="4">
        <v>1</v>
      </c>
      <c r="I892" s="4">
        <v>1</v>
      </c>
      <c r="J892" s="4" t="s">
        <v>4054</v>
      </c>
      <c r="K892" s="4" t="s">
        <v>237</v>
      </c>
      <c r="L892" s="6">
        <v>46319</v>
      </c>
      <c r="M892" s="4" t="s">
        <v>5864</v>
      </c>
      <c r="N892" s="4" t="s">
        <v>5865</v>
      </c>
    </row>
    <row r="893" spans="1:14" ht="54" customHeight="1">
      <c r="A893" s="8" t="s">
        <v>4055</v>
      </c>
      <c r="B893" s="8" t="s">
        <v>231</v>
      </c>
      <c r="C893" s="8" t="s">
        <v>232</v>
      </c>
      <c r="D893" s="8" t="s">
        <v>5879</v>
      </c>
      <c r="E893" s="8" t="s">
        <v>4054</v>
      </c>
      <c r="F893" s="8" t="s">
        <v>3777</v>
      </c>
      <c r="G893" s="8" t="s">
        <v>1390</v>
      </c>
      <c r="H893" s="8">
        <v>1</v>
      </c>
      <c r="I893" s="8">
        <v>1</v>
      </c>
      <c r="J893" s="8" t="s">
        <v>4056</v>
      </c>
      <c r="K893" s="8" t="s">
        <v>237</v>
      </c>
      <c r="L893" s="9">
        <v>46319</v>
      </c>
      <c r="M893" s="8" t="s">
        <v>5864</v>
      </c>
      <c r="N893" s="8" t="s">
        <v>5865</v>
      </c>
    </row>
    <row r="894" spans="1:14" ht="54" customHeight="1">
      <c r="A894" s="4" t="s">
        <v>4057</v>
      </c>
      <c r="B894" s="4" t="s">
        <v>231</v>
      </c>
      <c r="C894" s="4" t="s">
        <v>232</v>
      </c>
      <c r="D894" s="4" t="s">
        <v>5879</v>
      </c>
      <c r="E894" s="4" t="s">
        <v>4058</v>
      </c>
      <c r="F894" s="4" t="s">
        <v>3779</v>
      </c>
      <c r="G894" s="4" t="s">
        <v>1390</v>
      </c>
      <c r="H894" s="4">
        <v>1</v>
      </c>
      <c r="I894" s="4">
        <v>1</v>
      </c>
      <c r="J894" s="4" t="s">
        <v>4058</v>
      </c>
      <c r="K894" s="4" t="s">
        <v>237</v>
      </c>
      <c r="L894" s="6">
        <v>46319</v>
      </c>
      <c r="M894" s="4" t="s">
        <v>5864</v>
      </c>
      <c r="N894" s="4" t="s">
        <v>5865</v>
      </c>
    </row>
    <row r="895" spans="1:14" ht="54" customHeight="1">
      <c r="A895" s="8" t="s">
        <v>4059</v>
      </c>
      <c r="B895" s="8" t="s">
        <v>231</v>
      </c>
      <c r="C895" s="8" t="s">
        <v>232</v>
      </c>
      <c r="D895" s="8" t="s">
        <v>5879</v>
      </c>
      <c r="E895" s="8" t="s">
        <v>4058</v>
      </c>
      <c r="F895" s="8" t="s">
        <v>3781</v>
      </c>
      <c r="G895" s="8" t="s">
        <v>1390</v>
      </c>
      <c r="H895" s="8">
        <v>1</v>
      </c>
      <c r="I895" s="8">
        <v>1</v>
      </c>
      <c r="J895" s="8" t="s">
        <v>4060</v>
      </c>
      <c r="K895" s="8" t="s">
        <v>237</v>
      </c>
      <c r="L895" s="9">
        <v>46319</v>
      </c>
      <c r="M895" s="8" t="s">
        <v>5864</v>
      </c>
      <c r="N895" s="8" t="s">
        <v>5865</v>
      </c>
    </row>
    <row r="896" spans="1:14" ht="54" customHeight="1">
      <c r="A896" s="4" t="s">
        <v>4061</v>
      </c>
      <c r="B896" s="4" t="s">
        <v>231</v>
      </c>
      <c r="C896" s="4" t="s">
        <v>232</v>
      </c>
      <c r="D896" s="4" t="s">
        <v>5879</v>
      </c>
      <c r="E896" s="4" t="s">
        <v>4058</v>
      </c>
      <c r="F896" s="4" t="s">
        <v>3783</v>
      </c>
      <c r="G896" s="4" t="s">
        <v>1390</v>
      </c>
      <c r="H896" s="4">
        <v>1</v>
      </c>
      <c r="I896" s="4">
        <v>1</v>
      </c>
      <c r="J896" s="4" t="s">
        <v>4062</v>
      </c>
      <c r="K896" s="4" t="s">
        <v>237</v>
      </c>
      <c r="L896" s="6">
        <v>46319</v>
      </c>
      <c r="M896" s="4" t="s">
        <v>5864</v>
      </c>
      <c r="N896" s="4" t="s">
        <v>5865</v>
      </c>
    </row>
    <row r="897" spans="1:14" ht="54" customHeight="1">
      <c r="A897" s="8" t="s">
        <v>4063</v>
      </c>
      <c r="B897" s="8" t="s">
        <v>231</v>
      </c>
      <c r="C897" s="8" t="s">
        <v>232</v>
      </c>
      <c r="D897" s="8" t="s">
        <v>5879</v>
      </c>
      <c r="E897" s="8" t="s">
        <v>4058</v>
      </c>
      <c r="F897" s="8" t="s">
        <v>3785</v>
      </c>
      <c r="G897" s="8" t="s">
        <v>1390</v>
      </c>
      <c r="H897" s="8">
        <v>1</v>
      </c>
      <c r="I897" s="8">
        <v>1</v>
      </c>
      <c r="J897" s="8" t="s">
        <v>4064</v>
      </c>
      <c r="K897" s="8" t="s">
        <v>237</v>
      </c>
      <c r="L897" s="9">
        <v>46319</v>
      </c>
      <c r="M897" s="8" t="s">
        <v>5864</v>
      </c>
      <c r="N897" s="8" t="s">
        <v>5865</v>
      </c>
    </row>
    <row r="898" spans="1:14" ht="54" customHeight="1">
      <c r="A898" s="4" t="s">
        <v>4065</v>
      </c>
      <c r="B898" s="4" t="s">
        <v>231</v>
      </c>
      <c r="C898" s="4" t="s">
        <v>232</v>
      </c>
      <c r="D898" s="4" t="s">
        <v>5879</v>
      </c>
      <c r="E898" s="4" t="s">
        <v>4066</v>
      </c>
      <c r="F898" s="4" t="s">
        <v>3885</v>
      </c>
      <c r="G898" s="4" t="s">
        <v>1390</v>
      </c>
      <c r="H898" s="4">
        <v>1</v>
      </c>
      <c r="I898" s="4">
        <v>1</v>
      </c>
      <c r="J898" s="4" t="s">
        <v>4066</v>
      </c>
      <c r="K898" s="4" t="s">
        <v>237</v>
      </c>
      <c r="L898" s="6">
        <v>46319</v>
      </c>
      <c r="M898" s="4" t="s">
        <v>5864</v>
      </c>
      <c r="N898" s="4" t="s">
        <v>5865</v>
      </c>
    </row>
    <row r="899" spans="1:14" ht="54" customHeight="1">
      <c r="A899" s="8" t="s">
        <v>4067</v>
      </c>
      <c r="B899" s="8" t="s">
        <v>231</v>
      </c>
      <c r="C899" s="8" t="s">
        <v>232</v>
      </c>
      <c r="D899" s="8" t="s">
        <v>5879</v>
      </c>
      <c r="E899" s="8" t="s">
        <v>4066</v>
      </c>
      <c r="F899" s="8" t="s">
        <v>3787</v>
      </c>
      <c r="G899" s="8" t="s">
        <v>1390</v>
      </c>
      <c r="H899" s="8">
        <v>1</v>
      </c>
      <c r="I899" s="8">
        <v>1</v>
      </c>
      <c r="J899" s="8" t="s">
        <v>4068</v>
      </c>
      <c r="K899" s="8" t="s">
        <v>237</v>
      </c>
      <c r="L899" s="9">
        <v>46319</v>
      </c>
      <c r="M899" s="8" t="s">
        <v>5864</v>
      </c>
      <c r="N899" s="8" t="s">
        <v>5865</v>
      </c>
    </row>
    <row r="900" spans="1:14" ht="54" customHeight="1">
      <c r="A900" s="4" t="s">
        <v>4069</v>
      </c>
      <c r="B900" s="4" t="s">
        <v>231</v>
      </c>
      <c r="C900" s="4" t="s">
        <v>232</v>
      </c>
      <c r="D900" s="4" t="s">
        <v>5879</v>
      </c>
      <c r="E900" s="4" t="s">
        <v>4070</v>
      </c>
      <c r="F900" s="4" t="s">
        <v>3789</v>
      </c>
      <c r="G900" s="4" t="s">
        <v>1390</v>
      </c>
      <c r="H900" s="4">
        <v>1</v>
      </c>
      <c r="I900" s="4">
        <v>1</v>
      </c>
      <c r="J900" s="4" t="s">
        <v>4070</v>
      </c>
      <c r="K900" s="4" t="s">
        <v>237</v>
      </c>
      <c r="L900" s="6">
        <v>46319</v>
      </c>
      <c r="M900" s="4" t="s">
        <v>5864</v>
      </c>
      <c r="N900" s="4" t="s">
        <v>5865</v>
      </c>
    </row>
    <row r="901" spans="1:14" ht="54" customHeight="1">
      <c r="A901" s="8" t="s">
        <v>4071</v>
      </c>
      <c r="B901" s="8" t="s">
        <v>231</v>
      </c>
      <c r="C901" s="8" t="s">
        <v>232</v>
      </c>
      <c r="D901" s="8" t="s">
        <v>5879</v>
      </c>
      <c r="E901" s="8" t="s">
        <v>4070</v>
      </c>
      <c r="F901" s="8" t="s">
        <v>3892</v>
      </c>
      <c r="G901" s="8" t="s">
        <v>1390</v>
      </c>
      <c r="H901" s="8">
        <v>1</v>
      </c>
      <c r="I901" s="8">
        <v>1</v>
      </c>
      <c r="J901" s="8" t="s">
        <v>4072</v>
      </c>
      <c r="K901" s="8" t="s">
        <v>237</v>
      </c>
      <c r="L901" s="9">
        <v>46319</v>
      </c>
      <c r="M901" s="8" t="s">
        <v>5864</v>
      </c>
      <c r="N901" s="8" t="s">
        <v>5865</v>
      </c>
    </row>
    <row r="902" spans="1:14" ht="54" customHeight="1">
      <c r="A902" s="4" t="s">
        <v>4073</v>
      </c>
      <c r="B902" s="4" t="s">
        <v>231</v>
      </c>
      <c r="C902" s="4" t="s">
        <v>232</v>
      </c>
      <c r="D902" s="4" t="s">
        <v>5879</v>
      </c>
      <c r="E902" s="4" t="s">
        <v>4070</v>
      </c>
      <c r="F902" s="4" t="s">
        <v>3966</v>
      </c>
      <c r="G902" s="4" t="s">
        <v>1390</v>
      </c>
      <c r="H902" s="4">
        <v>1</v>
      </c>
      <c r="I902" s="4">
        <v>1</v>
      </c>
      <c r="J902" s="4" t="s">
        <v>4074</v>
      </c>
      <c r="K902" s="4" t="s">
        <v>237</v>
      </c>
      <c r="L902" s="6">
        <v>46319</v>
      </c>
      <c r="M902" s="4" t="s">
        <v>5864</v>
      </c>
      <c r="N902" s="4" t="s">
        <v>6087</v>
      </c>
    </row>
    <row r="903" spans="1:14" ht="54" customHeight="1">
      <c r="A903" s="8" t="s">
        <v>4075</v>
      </c>
      <c r="B903" s="8" t="s">
        <v>231</v>
      </c>
      <c r="C903" s="8" t="s">
        <v>232</v>
      </c>
      <c r="D903" s="8" t="s">
        <v>5879</v>
      </c>
      <c r="E903" s="8" t="s">
        <v>4076</v>
      </c>
      <c r="F903" s="8" t="s">
        <v>3793</v>
      </c>
      <c r="G903" s="8" t="s">
        <v>1390</v>
      </c>
      <c r="H903" s="8">
        <v>1</v>
      </c>
      <c r="I903" s="8">
        <v>1</v>
      </c>
      <c r="J903" s="8" t="s">
        <v>4076</v>
      </c>
      <c r="K903" s="8" t="s">
        <v>237</v>
      </c>
      <c r="L903" s="9">
        <v>46319</v>
      </c>
      <c r="M903" s="8" t="s">
        <v>5864</v>
      </c>
      <c r="N903" s="8" t="s">
        <v>5865</v>
      </c>
    </row>
    <row r="904" spans="1:14" ht="54" customHeight="1">
      <c r="A904" s="4" t="s">
        <v>4077</v>
      </c>
      <c r="B904" s="4" t="s">
        <v>231</v>
      </c>
      <c r="C904" s="4" t="s">
        <v>232</v>
      </c>
      <c r="D904" s="4" t="s">
        <v>5879</v>
      </c>
      <c r="E904" s="4" t="s">
        <v>4076</v>
      </c>
      <c r="F904" s="4" t="s">
        <v>3795</v>
      </c>
      <c r="G904" s="4" t="s">
        <v>1390</v>
      </c>
      <c r="H904" s="4">
        <v>1</v>
      </c>
      <c r="I904" s="4">
        <v>1</v>
      </c>
      <c r="J904" s="4" t="s">
        <v>4078</v>
      </c>
      <c r="K904" s="4" t="s">
        <v>237</v>
      </c>
      <c r="L904" s="6">
        <v>46319</v>
      </c>
      <c r="M904" s="4" t="s">
        <v>5864</v>
      </c>
      <c r="N904" s="4" t="s">
        <v>5865</v>
      </c>
    </row>
    <row r="905" spans="1:14" ht="54" customHeight="1">
      <c r="A905" s="8" t="s">
        <v>4079</v>
      </c>
      <c r="B905" s="8" t="s">
        <v>231</v>
      </c>
      <c r="C905" s="8" t="s">
        <v>232</v>
      </c>
      <c r="D905" s="8" t="s">
        <v>5879</v>
      </c>
      <c r="E905" s="8" t="s">
        <v>4080</v>
      </c>
      <c r="F905" s="8" t="s">
        <v>4081</v>
      </c>
      <c r="G905" s="8" t="s">
        <v>1390</v>
      </c>
      <c r="H905" s="8">
        <v>1</v>
      </c>
      <c r="I905" s="8">
        <v>1</v>
      </c>
      <c r="J905" s="8" t="s">
        <v>4080</v>
      </c>
      <c r="K905" s="8" t="s">
        <v>237</v>
      </c>
      <c r="L905" s="9">
        <v>46319</v>
      </c>
      <c r="M905" s="8" t="s">
        <v>5864</v>
      </c>
      <c r="N905" s="8" t="s">
        <v>5865</v>
      </c>
    </row>
    <row r="906" spans="1:14" ht="54" customHeight="1">
      <c r="A906" s="4" t="s">
        <v>4082</v>
      </c>
      <c r="B906" s="4" t="s">
        <v>231</v>
      </c>
      <c r="C906" s="4" t="s">
        <v>232</v>
      </c>
      <c r="D906" s="4" t="s">
        <v>5879</v>
      </c>
      <c r="E906" s="4" t="s">
        <v>4080</v>
      </c>
      <c r="F906" s="4" t="s">
        <v>3797</v>
      </c>
      <c r="G906" s="4" t="s">
        <v>1390</v>
      </c>
      <c r="H906" s="4">
        <v>1</v>
      </c>
      <c r="I906" s="4">
        <v>1</v>
      </c>
      <c r="J906" s="4" t="s">
        <v>4083</v>
      </c>
      <c r="K906" s="4" t="s">
        <v>237</v>
      </c>
      <c r="L906" s="6">
        <v>46319</v>
      </c>
      <c r="M906" s="4" t="s">
        <v>5864</v>
      </c>
      <c r="N906" s="4" t="s">
        <v>5865</v>
      </c>
    </row>
    <row r="907" spans="1:14" ht="54" customHeight="1">
      <c r="A907" s="8" t="s">
        <v>4084</v>
      </c>
      <c r="B907" s="8" t="s">
        <v>231</v>
      </c>
      <c r="C907" s="8" t="s">
        <v>232</v>
      </c>
      <c r="D907" s="8" t="s">
        <v>5879</v>
      </c>
      <c r="E907" s="8" t="s">
        <v>4085</v>
      </c>
      <c r="F907" s="8" t="s">
        <v>4086</v>
      </c>
      <c r="G907" s="8" t="s">
        <v>1390</v>
      </c>
      <c r="H907" s="8">
        <v>1</v>
      </c>
      <c r="I907" s="8">
        <v>1</v>
      </c>
      <c r="J907" s="8" t="s">
        <v>4085</v>
      </c>
      <c r="K907" s="8" t="s">
        <v>237</v>
      </c>
      <c r="L907" s="9">
        <v>46319</v>
      </c>
      <c r="M907" s="8" t="s">
        <v>5864</v>
      </c>
      <c r="N907" s="8" t="s">
        <v>5865</v>
      </c>
    </row>
    <row r="908" spans="1:14" ht="54" customHeight="1">
      <c r="A908" s="4" t="s">
        <v>4087</v>
      </c>
      <c r="B908" s="4" t="s">
        <v>231</v>
      </c>
      <c r="C908" s="4" t="s">
        <v>232</v>
      </c>
      <c r="D908" s="4" t="s">
        <v>5879</v>
      </c>
      <c r="E908" s="4" t="s">
        <v>4085</v>
      </c>
      <c r="F908" s="4" t="s">
        <v>3988</v>
      </c>
      <c r="G908" s="4" t="s">
        <v>1390</v>
      </c>
      <c r="H908" s="4">
        <v>1</v>
      </c>
      <c r="I908" s="4">
        <v>1</v>
      </c>
      <c r="J908" s="4" t="s">
        <v>4088</v>
      </c>
      <c r="K908" s="4" t="s">
        <v>237</v>
      </c>
      <c r="L908" s="6">
        <v>46319</v>
      </c>
      <c r="M908" s="4" t="s">
        <v>5864</v>
      </c>
      <c r="N908" s="4" t="s">
        <v>5865</v>
      </c>
    </row>
    <row r="909" spans="1:14" ht="54" customHeight="1">
      <c r="A909" s="8" t="s">
        <v>4089</v>
      </c>
      <c r="B909" s="8" t="s">
        <v>231</v>
      </c>
      <c r="C909" s="8" t="s">
        <v>232</v>
      </c>
      <c r="D909" s="8" t="s">
        <v>5879</v>
      </c>
      <c r="E909" s="8" t="s">
        <v>4090</v>
      </c>
      <c r="F909" s="8" t="s">
        <v>4091</v>
      </c>
      <c r="G909" s="8" t="s">
        <v>1390</v>
      </c>
      <c r="H909" s="8">
        <v>1</v>
      </c>
      <c r="I909" s="8">
        <v>1</v>
      </c>
      <c r="J909" s="8" t="s">
        <v>4090</v>
      </c>
      <c r="K909" s="8" t="s">
        <v>237</v>
      </c>
      <c r="L909" s="9">
        <v>46319</v>
      </c>
      <c r="M909" s="8" t="s">
        <v>5864</v>
      </c>
      <c r="N909" s="8" t="s">
        <v>5865</v>
      </c>
    </row>
    <row r="910" spans="1:14" ht="54" customHeight="1">
      <c r="A910" s="4" t="s">
        <v>4092</v>
      </c>
      <c r="B910" s="4" t="s">
        <v>231</v>
      </c>
      <c r="C910" s="4" t="s">
        <v>232</v>
      </c>
      <c r="D910" s="4" t="s">
        <v>5879</v>
      </c>
      <c r="E910" s="4" t="s">
        <v>4090</v>
      </c>
      <c r="F910" s="4" t="s">
        <v>3801</v>
      </c>
      <c r="G910" s="4" t="s">
        <v>1390</v>
      </c>
      <c r="H910" s="4">
        <v>1</v>
      </c>
      <c r="I910" s="4">
        <v>1</v>
      </c>
      <c r="J910" s="4" t="s">
        <v>4093</v>
      </c>
      <c r="K910" s="4" t="s">
        <v>237</v>
      </c>
      <c r="L910" s="6">
        <v>46319</v>
      </c>
      <c r="M910" s="4" t="s">
        <v>5864</v>
      </c>
      <c r="N910" s="4" t="s">
        <v>5865</v>
      </c>
    </row>
    <row r="911" spans="1:14" ht="96" customHeight="1">
      <c r="A911" s="8" t="s">
        <v>6932</v>
      </c>
      <c r="B911" s="8" t="s">
        <v>231</v>
      </c>
      <c r="C911" s="8" t="s">
        <v>232</v>
      </c>
      <c r="D911" s="8" t="s">
        <v>2969</v>
      </c>
      <c r="E911" s="8" t="s">
        <v>41</v>
      </c>
      <c r="F911" s="8" t="s">
        <v>5881</v>
      </c>
      <c r="G911" s="8" t="s">
        <v>1390</v>
      </c>
      <c r="H911" s="8">
        <v>1</v>
      </c>
      <c r="I911" s="8">
        <v>1</v>
      </c>
      <c r="J911" s="8" t="s">
        <v>6933</v>
      </c>
      <c r="K911" s="8" t="s">
        <v>237</v>
      </c>
      <c r="L911" s="9">
        <v>46319</v>
      </c>
      <c r="M911" s="8" t="s">
        <v>5864</v>
      </c>
      <c r="N911" s="8" t="s">
        <v>5883</v>
      </c>
    </row>
    <row r="912" spans="1:14" ht="82" customHeight="1">
      <c r="A912" s="4" t="s">
        <v>6934</v>
      </c>
      <c r="B912" s="4" t="s">
        <v>231</v>
      </c>
      <c r="C912" s="4" t="s">
        <v>232</v>
      </c>
      <c r="D912" s="4" t="s">
        <v>2969</v>
      </c>
      <c r="E912" s="4" t="s">
        <v>41</v>
      </c>
      <c r="F912" s="4" t="s">
        <v>5885</v>
      </c>
      <c r="G912" s="4" t="s">
        <v>1390</v>
      </c>
      <c r="H912" s="4">
        <v>1</v>
      </c>
      <c r="I912" s="4">
        <v>1</v>
      </c>
      <c r="J912" s="4" t="s">
        <v>6935</v>
      </c>
      <c r="K912" s="4" t="s">
        <v>237</v>
      </c>
      <c r="L912" s="6">
        <v>46319</v>
      </c>
      <c r="M912" s="4" t="s">
        <v>5864</v>
      </c>
      <c r="N912" s="4" t="s">
        <v>5883</v>
      </c>
    </row>
    <row r="913" spans="1:14" ht="68" customHeight="1">
      <c r="A913" s="8" t="s">
        <v>6936</v>
      </c>
      <c r="B913" s="8" t="s">
        <v>231</v>
      </c>
      <c r="C913" s="8" t="s">
        <v>232</v>
      </c>
      <c r="D913" s="8" t="s">
        <v>2969</v>
      </c>
      <c r="E913" s="8" t="s">
        <v>41</v>
      </c>
      <c r="F913" s="8" t="s">
        <v>5888</v>
      </c>
      <c r="G913" s="8" t="s">
        <v>1390</v>
      </c>
      <c r="H913" s="8">
        <v>1</v>
      </c>
      <c r="I913" s="8">
        <v>1</v>
      </c>
      <c r="J913" s="8" t="s">
        <v>6937</v>
      </c>
      <c r="K913" s="8" t="s">
        <v>237</v>
      </c>
      <c r="L913" s="9">
        <v>46319</v>
      </c>
      <c r="M913" s="8" t="s">
        <v>5864</v>
      </c>
      <c r="N913" s="8" t="s">
        <v>5883</v>
      </c>
    </row>
    <row r="914" spans="1:14" ht="82" customHeight="1">
      <c r="A914" s="4" t="s">
        <v>6938</v>
      </c>
      <c r="B914" s="4" t="s">
        <v>231</v>
      </c>
      <c r="C914" s="4" t="s">
        <v>232</v>
      </c>
      <c r="D914" s="4" t="s">
        <v>2969</v>
      </c>
      <c r="E914" s="4" t="s">
        <v>41</v>
      </c>
      <c r="F914" s="4" t="s">
        <v>5891</v>
      </c>
      <c r="G914" s="4" t="s">
        <v>1390</v>
      </c>
      <c r="H914" s="4">
        <v>1</v>
      </c>
      <c r="I914" s="4">
        <v>1</v>
      </c>
      <c r="J914" s="4" t="s">
        <v>6939</v>
      </c>
      <c r="K914" s="4" t="s">
        <v>237</v>
      </c>
      <c r="L914" s="6">
        <v>46319</v>
      </c>
      <c r="M914" s="4" t="s">
        <v>5864</v>
      </c>
      <c r="N914" s="4" t="s">
        <v>5883</v>
      </c>
    </row>
    <row r="915" spans="1:14" ht="68" customHeight="1">
      <c r="A915" s="8" t="s">
        <v>6940</v>
      </c>
      <c r="B915" s="8" t="s">
        <v>231</v>
      </c>
      <c r="C915" s="8" t="s">
        <v>232</v>
      </c>
      <c r="D915" s="8" t="s">
        <v>2969</v>
      </c>
      <c r="E915" s="8" t="s">
        <v>41</v>
      </c>
      <c r="F915" s="8" t="s">
        <v>5894</v>
      </c>
      <c r="G915" s="8" t="s">
        <v>1390</v>
      </c>
      <c r="H915" s="8">
        <v>1</v>
      </c>
      <c r="I915" s="8">
        <v>1</v>
      </c>
      <c r="J915" s="8" t="s">
        <v>6941</v>
      </c>
      <c r="K915" s="8" t="s">
        <v>237</v>
      </c>
      <c r="L915" s="9">
        <v>46319</v>
      </c>
      <c r="M915" s="8" t="s">
        <v>5864</v>
      </c>
      <c r="N915" s="8" t="s">
        <v>5883</v>
      </c>
    </row>
    <row r="916" spans="1:14" ht="68" customHeight="1">
      <c r="A916" s="4" t="s">
        <v>6942</v>
      </c>
      <c r="B916" s="4" t="s">
        <v>231</v>
      </c>
      <c r="C916" s="4" t="s">
        <v>232</v>
      </c>
      <c r="D916" s="4" t="s">
        <v>2969</v>
      </c>
      <c r="E916" s="4" t="s">
        <v>41</v>
      </c>
      <c r="F916" s="4" t="s">
        <v>5897</v>
      </c>
      <c r="G916" s="4" t="s">
        <v>1390</v>
      </c>
      <c r="H916" s="4">
        <v>1</v>
      </c>
      <c r="I916" s="4">
        <v>1</v>
      </c>
      <c r="J916" s="4" t="s">
        <v>6943</v>
      </c>
      <c r="K916" s="4" t="s">
        <v>237</v>
      </c>
      <c r="L916" s="6">
        <v>46319</v>
      </c>
      <c r="M916" s="4" t="s">
        <v>5864</v>
      </c>
      <c r="N916" s="4" t="s">
        <v>5883</v>
      </c>
    </row>
    <row r="917" spans="1:14" ht="82" customHeight="1">
      <c r="A917" s="8" t="s">
        <v>6944</v>
      </c>
      <c r="B917" s="8" t="s">
        <v>231</v>
      </c>
      <c r="C917" s="8" t="s">
        <v>232</v>
      </c>
      <c r="D917" s="8" t="s">
        <v>2969</v>
      </c>
      <c r="E917" s="8" t="s">
        <v>41</v>
      </c>
      <c r="F917" s="8" t="s">
        <v>5900</v>
      </c>
      <c r="G917" s="8" t="s">
        <v>1390</v>
      </c>
      <c r="H917" s="8">
        <v>1</v>
      </c>
      <c r="I917" s="8">
        <v>1</v>
      </c>
      <c r="J917" s="8" t="s">
        <v>6945</v>
      </c>
      <c r="K917" s="8" t="s">
        <v>237</v>
      </c>
      <c r="L917" s="9">
        <v>46319</v>
      </c>
      <c r="M917" s="8" t="s">
        <v>5864</v>
      </c>
      <c r="N917" s="8" t="s">
        <v>5883</v>
      </c>
    </row>
    <row r="918" spans="1:14" ht="68" customHeight="1">
      <c r="A918" s="4" t="s">
        <v>6946</v>
      </c>
      <c r="B918" s="4" t="s">
        <v>231</v>
      </c>
      <c r="C918" s="4" t="s">
        <v>232</v>
      </c>
      <c r="D918" s="4" t="s">
        <v>2969</v>
      </c>
      <c r="E918" s="4" t="s">
        <v>41</v>
      </c>
      <c r="F918" s="4" t="s">
        <v>5903</v>
      </c>
      <c r="G918" s="4" t="s">
        <v>1390</v>
      </c>
      <c r="H918" s="4">
        <v>1</v>
      </c>
      <c r="I918" s="4">
        <v>1</v>
      </c>
      <c r="J918" s="4" t="s">
        <v>6947</v>
      </c>
      <c r="K918" s="4" t="s">
        <v>237</v>
      </c>
      <c r="L918" s="6">
        <v>46319</v>
      </c>
      <c r="M918" s="4" t="s">
        <v>5864</v>
      </c>
      <c r="N918" s="4" t="s">
        <v>5883</v>
      </c>
    </row>
    <row r="919" spans="1:14" ht="68" customHeight="1">
      <c r="A919" s="8" t="s">
        <v>6948</v>
      </c>
      <c r="B919" s="8" t="s">
        <v>231</v>
      </c>
      <c r="C919" s="8" t="s">
        <v>232</v>
      </c>
      <c r="D919" s="8" t="s">
        <v>2969</v>
      </c>
      <c r="E919" s="8" t="s">
        <v>41</v>
      </c>
      <c r="F919" s="8" t="s">
        <v>5906</v>
      </c>
      <c r="G919" s="8" t="s">
        <v>1390</v>
      </c>
      <c r="H919" s="8">
        <v>1</v>
      </c>
      <c r="I919" s="8">
        <v>1</v>
      </c>
      <c r="J919" s="8" t="s">
        <v>6949</v>
      </c>
      <c r="K919" s="8" t="s">
        <v>237</v>
      </c>
      <c r="L919" s="9">
        <v>46319</v>
      </c>
      <c r="M919" s="8" t="s">
        <v>5864</v>
      </c>
      <c r="N919" s="8" t="s">
        <v>5883</v>
      </c>
    </row>
    <row r="920" spans="1:14" ht="68" customHeight="1">
      <c r="A920" s="4" t="s">
        <v>6950</v>
      </c>
      <c r="B920" s="4" t="s">
        <v>231</v>
      </c>
      <c r="C920" s="4" t="s">
        <v>232</v>
      </c>
      <c r="D920" s="4" t="s">
        <v>2969</v>
      </c>
      <c r="E920" s="4" t="s">
        <v>41</v>
      </c>
      <c r="F920" s="4" t="s">
        <v>5909</v>
      </c>
      <c r="G920" s="4" t="s">
        <v>1390</v>
      </c>
      <c r="H920" s="4">
        <v>1</v>
      </c>
      <c r="I920" s="4">
        <v>1</v>
      </c>
      <c r="J920" s="4" t="s">
        <v>6951</v>
      </c>
      <c r="K920" s="4" t="s">
        <v>237</v>
      </c>
      <c r="L920" s="6">
        <v>46319</v>
      </c>
      <c r="M920" s="4" t="s">
        <v>5864</v>
      </c>
      <c r="N920" s="4" t="s">
        <v>5883</v>
      </c>
    </row>
    <row r="921" spans="1:14" ht="68" customHeight="1">
      <c r="A921" s="8" t="s">
        <v>6952</v>
      </c>
      <c r="B921" s="8" t="s">
        <v>231</v>
      </c>
      <c r="C921" s="8" t="s">
        <v>232</v>
      </c>
      <c r="D921" s="8" t="s">
        <v>2969</v>
      </c>
      <c r="E921" s="8" t="s">
        <v>41</v>
      </c>
      <c r="F921" s="8" t="s">
        <v>5912</v>
      </c>
      <c r="G921" s="8" t="s">
        <v>1390</v>
      </c>
      <c r="H921" s="8">
        <v>1</v>
      </c>
      <c r="I921" s="8">
        <v>1</v>
      </c>
      <c r="J921" s="8" t="s">
        <v>6953</v>
      </c>
      <c r="K921" s="8" t="s">
        <v>237</v>
      </c>
      <c r="L921" s="9">
        <v>46319</v>
      </c>
      <c r="M921" s="8" t="s">
        <v>5864</v>
      </c>
      <c r="N921" s="8" t="s">
        <v>5883</v>
      </c>
    </row>
    <row r="922" spans="1:14" ht="82" customHeight="1">
      <c r="A922" s="4" t="s">
        <v>6954</v>
      </c>
      <c r="B922" s="4" t="s">
        <v>231</v>
      </c>
      <c r="C922" s="4" t="s">
        <v>232</v>
      </c>
      <c r="D922" s="4" t="s">
        <v>2969</v>
      </c>
      <c r="E922" s="4" t="s">
        <v>41</v>
      </c>
      <c r="F922" s="4" t="s">
        <v>5973</v>
      </c>
      <c r="G922" s="4" t="s">
        <v>1390</v>
      </c>
      <c r="H922" s="4">
        <v>1</v>
      </c>
      <c r="I922" s="4">
        <v>1</v>
      </c>
      <c r="J922" s="4" t="s">
        <v>6955</v>
      </c>
      <c r="K922" s="4" t="s">
        <v>237</v>
      </c>
      <c r="L922" s="6">
        <v>46319</v>
      </c>
      <c r="M922" s="4" t="s">
        <v>5864</v>
      </c>
      <c r="N922" s="4" t="s">
        <v>5883</v>
      </c>
    </row>
    <row r="923" spans="1:14" ht="82" customHeight="1">
      <c r="A923" s="8" t="s">
        <v>6956</v>
      </c>
      <c r="B923" s="8" t="s">
        <v>231</v>
      </c>
      <c r="C923" s="8" t="s">
        <v>232</v>
      </c>
      <c r="D923" s="8" t="s">
        <v>2969</v>
      </c>
      <c r="E923" s="8" t="s">
        <v>41</v>
      </c>
      <c r="F923" s="8" t="s">
        <v>5976</v>
      </c>
      <c r="G923" s="8" t="s">
        <v>1390</v>
      </c>
      <c r="H923" s="8">
        <v>1</v>
      </c>
      <c r="I923" s="8">
        <v>1</v>
      </c>
      <c r="J923" s="8" t="s">
        <v>6957</v>
      </c>
      <c r="K923" s="8" t="s">
        <v>237</v>
      </c>
      <c r="L923" s="9">
        <v>46319</v>
      </c>
      <c r="M923" s="8" t="s">
        <v>5864</v>
      </c>
      <c r="N923" s="8" t="s">
        <v>5883</v>
      </c>
    </row>
    <row r="924" spans="1:14" ht="82" customHeight="1">
      <c r="A924" s="4" t="s">
        <v>6958</v>
      </c>
      <c r="B924" s="4" t="s">
        <v>231</v>
      </c>
      <c r="C924" s="4" t="s">
        <v>232</v>
      </c>
      <c r="D924" s="4" t="s">
        <v>2969</v>
      </c>
      <c r="E924" s="4" t="s">
        <v>41</v>
      </c>
      <c r="F924" s="4" t="s">
        <v>5979</v>
      </c>
      <c r="G924" s="4" t="s">
        <v>1390</v>
      </c>
      <c r="H924" s="4">
        <v>1</v>
      </c>
      <c r="I924" s="4">
        <v>1</v>
      </c>
      <c r="J924" s="4" t="s">
        <v>6959</v>
      </c>
      <c r="K924" s="4" t="s">
        <v>237</v>
      </c>
      <c r="L924" s="6">
        <v>46319</v>
      </c>
      <c r="M924" s="4" t="s">
        <v>5864</v>
      </c>
      <c r="N924" s="4" t="s">
        <v>5883</v>
      </c>
    </row>
    <row r="925" spans="1:14" ht="68" customHeight="1">
      <c r="A925" s="8" t="s">
        <v>6960</v>
      </c>
      <c r="B925" s="8" t="s">
        <v>240</v>
      </c>
      <c r="C925" s="8" t="s">
        <v>241</v>
      </c>
      <c r="D925" s="8" t="s">
        <v>5861</v>
      </c>
      <c r="E925" s="8" t="s">
        <v>41</v>
      </c>
      <c r="F925" s="8" t="s">
        <v>5862</v>
      </c>
      <c r="G925" s="8" t="s">
        <v>1422</v>
      </c>
      <c r="H925" s="8">
        <v>1</v>
      </c>
      <c r="I925" s="8">
        <v>1</v>
      </c>
      <c r="J925" s="8" t="s">
        <v>6961</v>
      </c>
      <c r="K925" s="8" t="s">
        <v>246</v>
      </c>
      <c r="L925" s="9">
        <v>46319</v>
      </c>
      <c r="M925" s="8" t="s">
        <v>5864</v>
      </c>
      <c r="N925" s="8" t="s">
        <v>5865</v>
      </c>
    </row>
    <row r="926" spans="1:14" ht="96" customHeight="1">
      <c r="A926" s="4" t="s">
        <v>6962</v>
      </c>
      <c r="B926" s="4" t="s">
        <v>240</v>
      </c>
      <c r="C926" s="4" t="s">
        <v>241</v>
      </c>
      <c r="D926" s="4" t="s">
        <v>5861</v>
      </c>
      <c r="E926" s="4" t="s">
        <v>41</v>
      </c>
      <c r="F926" s="4" t="s">
        <v>5918</v>
      </c>
      <c r="G926" s="4" t="s">
        <v>1422</v>
      </c>
      <c r="H926" s="4">
        <v>1</v>
      </c>
      <c r="I926" s="4">
        <v>1</v>
      </c>
      <c r="J926" s="4" t="s">
        <v>6963</v>
      </c>
      <c r="K926" s="4" t="s">
        <v>246</v>
      </c>
      <c r="L926" s="6">
        <v>46319</v>
      </c>
      <c r="M926" s="4" t="s">
        <v>5864</v>
      </c>
      <c r="N926" s="4" t="s">
        <v>5865</v>
      </c>
    </row>
    <row r="927" spans="1:14" ht="40" customHeight="1">
      <c r="A927" s="8" t="s">
        <v>6964</v>
      </c>
      <c r="B927" s="8" t="s">
        <v>240</v>
      </c>
      <c r="C927" s="8" t="s">
        <v>241</v>
      </c>
      <c r="D927" s="8" t="s">
        <v>5861</v>
      </c>
      <c r="E927" s="8" t="s">
        <v>6965</v>
      </c>
      <c r="F927" s="8" t="s">
        <v>5924</v>
      </c>
      <c r="G927" s="8" t="s">
        <v>1422</v>
      </c>
      <c r="H927" s="8">
        <v>1</v>
      </c>
      <c r="I927" s="8">
        <v>1</v>
      </c>
      <c r="J927" s="8" t="s">
        <v>6965</v>
      </c>
      <c r="K927" s="8" t="s">
        <v>246</v>
      </c>
      <c r="L927" s="9">
        <v>46319</v>
      </c>
      <c r="M927" s="8" t="s">
        <v>5864</v>
      </c>
      <c r="N927" s="8" t="s">
        <v>5865</v>
      </c>
    </row>
    <row r="928" spans="1:14" ht="54" customHeight="1">
      <c r="A928" s="4" t="s">
        <v>6966</v>
      </c>
      <c r="B928" s="4" t="s">
        <v>240</v>
      </c>
      <c r="C928" s="4" t="s">
        <v>241</v>
      </c>
      <c r="D928" s="4" t="s">
        <v>5861</v>
      </c>
      <c r="E928" s="4" t="s">
        <v>6965</v>
      </c>
      <c r="F928" s="4" t="s">
        <v>5926</v>
      </c>
      <c r="G928" s="4" t="s">
        <v>1422</v>
      </c>
      <c r="H928" s="4">
        <v>1</v>
      </c>
      <c r="I928" s="4">
        <v>1</v>
      </c>
      <c r="J928" s="4" t="s">
        <v>6967</v>
      </c>
      <c r="K928" s="4" t="s">
        <v>246</v>
      </c>
      <c r="L928" s="6">
        <v>46319</v>
      </c>
      <c r="M928" s="4" t="s">
        <v>5864</v>
      </c>
      <c r="N928" s="4" t="s">
        <v>5865</v>
      </c>
    </row>
    <row r="929" spans="1:14" ht="40" customHeight="1">
      <c r="A929" s="8" t="s">
        <v>6968</v>
      </c>
      <c r="B929" s="8" t="s">
        <v>240</v>
      </c>
      <c r="C929" s="8" t="s">
        <v>241</v>
      </c>
      <c r="D929" s="8" t="s">
        <v>5861</v>
      </c>
      <c r="E929" s="8" t="s">
        <v>6965</v>
      </c>
      <c r="F929" s="8" t="s">
        <v>6096</v>
      </c>
      <c r="G929" s="8" t="s">
        <v>1422</v>
      </c>
      <c r="H929" s="8">
        <v>1</v>
      </c>
      <c r="I929" s="8">
        <v>1</v>
      </c>
      <c r="J929" s="8" t="s">
        <v>6969</v>
      </c>
      <c r="K929" s="8" t="s">
        <v>246</v>
      </c>
      <c r="L929" s="9">
        <v>46319</v>
      </c>
      <c r="M929" s="8" t="s">
        <v>5864</v>
      </c>
      <c r="N929" s="8" t="s">
        <v>5870</v>
      </c>
    </row>
    <row r="930" spans="1:14" ht="40" customHeight="1">
      <c r="A930" s="4" t="s">
        <v>6970</v>
      </c>
      <c r="B930" s="4" t="s">
        <v>240</v>
      </c>
      <c r="C930" s="4" t="s">
        <v>241</v>
      </c>
      <c r="D930" s="4" t="s">
        <v>5861</v>
      </c>
      <c r="E930" s="4" t="s">
        <v>6965</v>
      </c>
      <c r="F930" s="4" t="s">
        <v>6486</v>
      </c>
      <c r="G930" s="4" t="s">
        <v>1422</v>
      </c>
      <c r="H930" s="4">
        <v>1</v>
      </c>
      <c r="I930" s="4">
        <v>1</v>
      </c>
      <c r="J930" s="4" t="s">
        <v>6971</v>
      </c>
      <c r="K930" s="4" t="s">
        <v>246</v>
      </c>
      <c r="L930" s="6">
        <v>46319</v>
      </c>
      <c r="M930" s="4" t="s">
        <v>5864</v>
      </c>
      <c r="N930" s="4" t="s">
        <v>5870</v>
      </c>
    </row>
    <row r="931" spans="1:14" ht="40" customHeight="1">
      <c r="A931" s="8" t="s">
        <v>6972</v>
      </c>
      <c r="B931" s="8" t="s">
        <v>240</v>
      </c>
      <c r="C931" s="8" t="s">
        <v>241</v>
      </c>
      <c r="D931" s="8" t="s">
        <v>5861</v>
      </c>
      <c r="E931" s="8" t="s">
        <v>6965</v>
      </c>
      <c r="F931" s="8" t="s">
        <v>6489</v>
      </c>
      <c r="G931" s="8" t="s">
        <v>1422</v>
      </c>
      <c r="H931" s="8">
        <v>1</v>
      </c>
      <c r="I931" s="8">
        <v>1</v>
      </c>
      <c r="J931" s="8" t="s">
        <v>6973</v>
      </c>
      <c r="K931" s="8" t="s">
        <v>246</v>
      </c>
      <c r="L931" s="9">
        <v>46319</v>
      </c>
      <c r="M931" s="8" t="s">
        <v>5864</v>
      </c>
      <c r="N931" s="8" t="s">
        <v>5870</v>
      </c>
    </row>
    <row r="932" spans="1:14" ht="40" customHeight="1">
      <c r="A932" s="4" t="s">
        <v>6974</v>
      </c>
      <c r="B932" s="4" t="s">
        <v>240</v>
      </c>
      <c r="C932" s="4" t="s">
        <v>241</v>
      </c>
      <c r="D932" s="4" t="s">
        <v>5861</v>
      </c>
      <c r="E932" s="4" t="s">
        <v>6965</v>
      </c>
      <c r="F932" s="4" t="s">
        <v>6492</v>
      </c>
      <c r="G932" s="4" t="s">
        <v>1422</v>
      </c>
      <c r="H932" s="4">
        <v>1</v>
      </c>
      <c r="I932" s="4">
        <v>1</v>
      </c>
      <c r="J932" s="4" t="s">
        <v>6975</v>
      </c>
      <c r="K932" s="4" t="s">
        <v>246</v>
      </c>
      <c r="L932" s="6">
        <v>46319</v>
      </c>
      <c r="M932" s="4" t="s">
        <v>5864</v>
      </c>
      <c r="N932" s="4" t="s">
        <v>5870</v>
      </c>
    </row>
    <row r="933" spans="1:14" ht="40" customHeight="1">
      <c r="A933" s="8" t="s">
        <v>6976</v>
      </c>
      <c r="B933" s="8" t="s">
        <v>240</v>
      </c>
      <c r="C933" s="8" t="s">
        <v>241</v>
      </c>
      <c r="D933" s="8" t="s">
        <v>5861</v>
      </c>
      <c r="E933" s="8" t="s">
        <v>6965</v>
      </c>
      <c r="F933" s="8" t="s">
        <v>6495</v>
      </c>
      <c r="G933" s="8" t="s">
        <v>1422</v>
      </c>
      <c r="H933" s="8">
        <v>1</v>
      </c>
      <c r="I933" s="8">
        <v>1</v>
      </c>
      <c r="J933" s="8" t="s">
        <v>6977</v>
      </c>
      <c r="K933" s="8" t="s">
        <v>246</v>
      </c>
      <c r="L933" s="9">
        <v>46319</v>
      </c>
      <c r="M933" s="8" t="s">
        <v>5864</v>
      </c>
      <c r="N933" s="8" t="s">
        <v>5870</v>
      </c>
    </row>
    <row r="934" spans="1:14" ht="40" customHeight="1">
      <c r="A934" s="4" t="s">
        <v>6978</v>
      </c>
      <c r="B934" s="4" t="s">
        <v>240</v>
      </c>
      <c r="C934" s="4" t="s">
        <v>241</v>
      </c>
      <c r="D934" s="4" t="s">
        <v>5861</v>
      </c>
      <c r="E934" s="4" t="s">
        <v>6965</v>
      </c>
      <c r="F934" s="4" t="s">
        <v>6979</v>
      </c>
      <c r="G934" s="4" t="s">
        <v>1422</v>
      </c>
      <c r="H934" s="4">
        <v>1</v>
      </c>
      <c r="I934" s="4">
        <v>1</v>
      </c>
      <c r="J934" s="4" t="s">
        <v>6980</v>
      </c>
      <c r="K934" s="4" t="s">
        <v>246</v>
      </c>
      <c r="L934" s="6">
        <v>46319</v>
      </c>
      <c r="M934" s="4" t="s">
        <v>5864</v>
      </c>
      <c r="N934" s="4" t="s">
        <v>5870</v>
      </c>
    </row>
    <row r="935" spans="1:14" ht="40" customHeight="1">
      <c r="A935" s="8" t="s">
        <v>6981</v>
      </c>
      <c r="B935" s="8" t="s">
        <v>240</v>
      </c>
      <c r="C935" s="8" t="s">
        <v>241</v>
      </c>
      <c r="D935" s="8" t="s">
        <v>5861</v>
      </c>
      <c r="E935" s="8" t="s">
        <v>6982</v>
      </c>
      <c r="F935" s="8" t="s">
        <v>5935</v>
      </c>
      <c r="G935" s="8" t="s">
        <v>1422</v>
      </c>
      <c r="H935" s="8">
        <v>1</v>
      </c>
      <c r="I935" s="8">
        <v>1</v>
      </c>
      <c r="J935" s="8" t="s">
        <v>6982</v>
      </c>
      <c r="K935" s="8" t="s">
        <v>246</v>
      </c>
      <c r="L935" s="9">
        <v>46319</v>
      </c>
      <c r="M935" s="8" t="s">
        <v>5864</v>
      </c>
      <c r="N935" s="8" t="s">
        <v>5865</v>
      </c>
    </row>
    <row r="936" spans="1:14" ht="54" customHeight="1">
      <c r="A936" s="4" t="s">
        <v>6983</v>
      </c>
      <c r="B936" s="4" t="s">
        <v>240</v>
      </c>
      <c r="C936" s="4" t="s">
        <v>241</v>
      </c>
      <c r="D936" s="4" t="s">
        <v>5861</v>
      </c>
      <c r="E936" s="4" t="s">
        <v>6982</v>
      </c>
      <c r="F936" s="4" t="s">
        <v>6984</v>
      </c>
      <c r="G936" s="4" t="s">
        <v>1422</v>
      </c>
      <c r="H936" s="4">
        <v>1</v>
      </c>
      <c r="I936" s="4">
        <v>1</v>
      </c>
      <c r="J936" s="4" t="s">
        <v>6985</v>
      </c>
      <c r="K936" s="4" t="s">
        <v>246</v>
      </c>
      <c r="L936" s="6">
        <v>46319</v>
      </c>
      <c r="M936" s="4" t="s">
        <v>5864</v>
      </c>
      <c r="N936" s="4" t="s">
        <v>5870</v>
      </c>
    </row>
    <row r="937" spans="1:14" ht="54" customHeight="1">
      <c r="A937" s="8" t="s">
        <v>6986</v>
      </c>
      <c r="B937" s="8" t="s">
        <v>240</v>
      </c>
      <c r="C937" s="8" t="s">
        <v>241</v>
      </c>
      <c r="D937" s="8" t="s">
        <v>5861</v>
      </c>
      <c r="E937" s="8" t="s">
        <v>6982</v>
      </c>
      <c r="F937" s="8" t="s">
        <v>6987</v>
      </c>
      <c r="G937" s="8" t="s">
        <v>1422</v>
      </c>
      <c r="H937" s="8">
        <v>1</v>
      </c>
      <c r="I937" s="8">
        <v>1</v>
      </c>
      <c r="J937" s="8" t="s">
        <v>6988</v>
      </c>
      <c r="K937" s="8" t="s">
        <v>246</v>
      </c>
      <c r="L937" s="9">
        <v>46319</v>
      </c>
      <c r="M937" s="8" t="s">
        <v>5864</v>
      </c>
      <c r="N937" s="8" t="s">
        <v>5870</v>
      </c>
    </row>
    <row r="938" spans="1:14" ht="68" customHeight="1">
      <c r="A938" s="4" t="s">
        <v>6989</v>
      </c>
      <c r="B938" s="4" t="s">
        <v>240</v>
      </c>
      <c r="C938" s="4" t="s">
        <v>241</v>
      </c>
      <c r="D938" s="4" t="s">
        <v>5861</v>
      </c>
      <c r="E938" s="4" t="s">
        <v>6982</v>
      </c>
      <c r="F938" s="4" t="s">
        <v>6990</v>
      </c>
      <c r="G938" s="4" t="s">
        <v>1422</v>
      </c>
      <c r="H938" s="4">
        <v>1</v>
      </c>
      <c r="I938" s="4">
        <v>1</v>
      </c>
      <c r="J938" s="4" t="s">
        <v>6991</v>
      </c>
      <c r="K938" s="4" t="s">
        <v>246</v>
      </c>
      <c r="L938" s="6">
        <v>46319</v>
      </c>
      <c r="M938" s="4" t="s">
        <v>5864</v>
      </c>
      <c r="N938" s="4" t="s">
        <v>5870</v>
      </c>
    </row>
    <row r="939" spans="1:14" ht="54" customHeight="1">
      <c r="A939" s="8" t="s">
        <v>6992</v>
      </c>
      <c r="B939" s="8" t="s">
        <v>240</v>
      </c>
      <c r="C939" s="8" t="s">
        <v>241</v>
      </c>
      <c r="D939" s="8" t="s">
        <v>5861</v>
      </c>
      <c r="E939" s="8" t="s">
        <v>6982</v>
      </c>
      <c r="F939" s="8" t="s">
        <v>6993</v>
      </c>
      <c r="G939" s="8" t="s">
        <v>1422</v>
      </c>
      <c r="H939" s="8">
        <v>1</v>
      </c>
      <c r="I939" s="8">
        <v>1</v>
      </c>
      <c r="J939" s="8" t="s">
        <v>6994</v>
      </c>
      <c r="K939" s="8" t="s">
        <v>246</v>
      </c>
      <c r="L939" s="9">
        <v>46319</v>
      </c>
      <c r="M939" s="8" t="s">
        <v>5864</v>
      </c>
      <c r="N939" s="8" t="s">
        <v>5870</v>
      </c>
    </row>
    <row r="940" spans="1:14" ht="68" customHeight="1">
      <c r="A940" s="4" t="s">
        <v>6995</v>
      </c>
      <c r="B940" s="4" t="s">
        <v>240</v>
      </c>
      <c r="C940" s="4" t="s">
        <v>241</v>
      </c>
      <c r="D940" s="4" t="s">
        <v>5861</v>
      </c>
      <c r="E940" s="4" t="s">
        <v>6982</v>
      </c>
      <c r="F940" s="4" t="s">
        <v>6996</v>
      </c>
      <c r="G940" s="4" t="s">
        <v>1422</v>
      </c>
      <c r="H940" s="4">
        <v>1</v>
      </c>
      <c r="I940" s="4">
        <v>1</v>
      </c>
      <c r="J940" s="4" t="s">
        <v>6997</v>
      </c>
      <c r="K940" s="4" t="s">
        <v>246</v>
      </c>
      <c r="L940" s="6">
        <v>46319</v>
      </c>
      <c r="M940" s="4" t="s">
        <v>5864</v>
      </c>
      <c r="N940" s="4" t="s">
        <v>5870</v>
      </c>
    </row>
    <row r="941" spans="1:14" ht="40" customHeight="1">
      <c r="A941" s="8" t="s">
        <v>6998</v>
      </c>
      <c r="B941" s="8" t="s">
        <v>240</v>
      </c>
      <c r="C941" s="8" t="s">
        <v>241</v>
      </c>
      <c r="D941" s="8" t="s">
        <v>5861</v>
      </c>
      <c r="E941" s="8" t="s">
        <v>6999</v>
      </c>
      <c r="F941" s="8" t="s">
        <v>7000</v>
      </c>
      <c r="G941" s="8" t="s">
        <v>1422</v>
      </c>
      <c r="H941" s="8">
        <v>1</v>
      </c>
      <c r="I941" s="8">
        <v>1</v>
      </c>
      <c r="J941" s="8" t="s">
        <v>6999</v>
      </c>
      <c r="K941" s="8" t="s">
        <v>246</v>
      </c>
      <c r="L941" s="9">
        <v>46319</v>
      </c>
      <c r="M941" s="8" t="s">
        <v>5864</v>
      </c>
      <c r="N941" s="8" t="s">
        <v>5865</v>
      </c>
    </row>
    <row r="942" spans="1:14" ht="40" customHeight="1">
      <c r="A942" s="4" t="s">
        <v>7001</v>
      </c>
      <c r="B942" s="4" t="s">
        <v>240</v>
      </c>
      <c r="C942" s="4" t="s">
        <v>241</v>
      </c>
      <c r="D942" s="4" t="s">
        <v>5861</v>
      </c>
      <c r="E942" s="4" t="s">
        <v>6999</v>
      </c>
      <c r="F942" s="4" t="s">
        <v>7002</v>
      </c>
      <c r="G942" s="4" t="s">
        <v>1422</v>
      </c>
      <c r="H942" s="4">
        <v>1</v>
      </c>
      <c r="I942" s="4">
        <v>1</v>
      </c>
      <c r="J942" s="4" t="s">
        <v>7003</v>
      </c>
      <c r="K942" s="4" t="s">
        <v>246</v>
      </c>
      <c r="L942" s="6">
        <v>46319</v>
      </c>
      <c r="M942" s="4" t="s">
        <v>5864</v>
      </c>
      <c r="N942" s="4" t="s">
        <v>5865</v>
      </c>
    </row>
    <row r="943" spans="1:14" ht="40" customHeight="1">
      <c r="A943" s="8" t="s">
        <v>7004</v>
      </c>
      <c r="B943" s="8" t="s">
        <v>240</v>
      </c>
      <c r="C943" s="8" t="s">
        <v>241</v>
      </c>
      <c r="D943" s="8" t="s">
        <v>5861</v>
      </c>
      <c r="E943" s="8" t="s">
        <v>6999</v>
      </c>
      <c r="F943" s="8" t="s">
        <v>7005</v>
      </c>
      <c r="G943" s="8" t="s">
        <v>1422</v>
      </c>
      <c r="H943" s="8">
        <v>1</v>
      </c>
      <c r="I943" s="8">
        <v>1</v>
      </c>
      <c r="J943" s="8" t="s">
        <v>7006</v>
      </c>
      <c r="K943" s="8" t="s">
        <v>246</v>
      </c>
      <c r="L943" s="9">
        <v>46319</v>
      </c>
      <c r="M943" s="8" t="s">
        <v>5864</v>
      </c>
      <c r="N943" s="8" t="s">
        <v>5870</v>
      </c>
    </row>
    <row r="944" spans="1:14" ht="40" customHeight="1">
      <c r="A944" s="4" t="s">
        <v>7007</v>
      </c>
      <c r="B944" s="4" t="s">
        <v>240</v>
      </c>
      <c r="C944" s="4" t="s">
        <v>241</v>
      </c>
      <c r="D944" s="4" t="s">
        <v>5861</v>
      </c>
      <c r="E944" s="4" t="s">
        <v>6999</v>
      </c>
      <c r="F944" s="4" t="s">
        <v>7008</v>
      </c>
      <c r="G944" s="4" t="s">
        <v>1422</v>
      </c>
      <c r="H944" s="4">
        <v>1</v>
      </c>
      <c r="I944" s="4">
        <v>1</v>
      </c>
      <c r="J944" s="4" t="s">
        <v>7009</v>
      </c>
      <c r="K944" s="4" t="s">
        <v>246</v>
      </c>
      <c r="L944" s="6">
        <v>46319</v>
      </c>
      <c r="M944" s="4" t="s">
        <v>5864</v>
      </c>
      <c r="N944" s="4" t="s">
        <v>5870</v>
      </c>
    </row>
    <row r="945" spans="1:14" ht="40" customHeight="1">
      <c r="A945" s="8" t="s">
        <v>7010</v>
      </c>
      <c r="B945" s="8" t="s">
        <v>240</v>
      </c>
      <c r="C945" s="8" t="s">
        <v>241</v>
      </c>
      <c r="D945" s="8" t="s">
        <v>5861</v>
      </c>
      <c r="E945" s="8" t="s">
        <v>6999</v>
      </c>
      <c r="F945" s="8" t="s">
        <v>7011</v>
      </c>
      <c r="G945" s="8" t="s">
        <v>1422</v>
      </c>
      <c r="H945" s="8">
        <v>1</v>
      </c>
      <c r="I945" s="8">
        <v>1</v>
      </c>
      <c r="J945" s="8" t="s">
        <v>7012</v>
      </c>
      <c r="K945" s="8" t="s">
        <v>246</v>
      </c>
      <c r="L945" s="9">
        <v>46319</v>
      </c>
      <c r="M945" s="8" t="s">
        <v>5864</v>
      </c>
      <c r="N945" s="8" t="s">
        <v>5870</v>
      </c>
    </row>
    <row r="946" spans="1:14" ht="40" customHeight="1">
      <c r="A946" s="4" t="s">
        <v>7013</v>
      </c>
      <c r="B946" s="4" t="s">
        <v>240</v>
      </c>
      <c r="C946" s="4" t="s">
        <v>241</v>
      </c>
      <c r="D946" s="4" t="s">
        <v>5861</v>
      </c>
      <c r="E946" s="4" t="s">
        <v>6999</v>
      </c>
      <c r="F946" s="4" t="s">
        <v>7014</v>
      </c>
      <c r="G946" s="4" t="s">
        <v>1422</v>
      </c>
      <c r="H946" s="4">
        <v>1</v>
      </c>
      <c r="I946" s="4">
        <v>1</v>
      </c>
      <c r="J946" s="4" t="s">
        <v>7015</v>
      </c>
      <c r="K946" s="4" t="s">
        <v>246</v>
      </c>
      <c r="L946" s="6">
        <v>46319</v>
      </c>
      <c r="M946" s="4" t="s">
        <v>5864</v>
      </c>
      <c r="N946" s="4" t="s">
        <v>5870</v>
      </c>
    </row>
    <row r="947" spans="1:14" ht="40" customHeight="1">
      <c r="A947" s="8" t="s">
        <v>7016</v>
      </c>
      <c r="B947" s="8" t="s">
        <v>240</v>
      </c>
      <c r="C947" s="8" t="s">
        <v>241</v>
      </c>
      <c r="D947" s="8" t="s">
        <v>5861</v>
      </c>
      <c r="E947" s="8" t="s">
        <v>6999</v>
      </c>
      <c r="F947" s="8" t="s">
        <v>7017</v>
      </c>
      <c r="G947" s="8" t="s">
        <v>1422</v>
      </c>
      <c r="H947" s="8">
        <v>1</v>
      </c>
      <c r="I947" s="8">
        <v>1</v>
      </c>
      <c r="J947" s="8" t="s">
        <v>7018</v>
      </c>
      <c r="K947" s="8" t="s">
        <v>246</v>
      </c>
      <c r="L947" s="9">
        <v>46319</v>
      </c>
      <c r="M947" s="8" t="s">
        <v>5864</v>
      </c>
      <c r="N947" s="8" t="s">
        <v>5870</v>
      </c>
    </row>
    <row r="948" spans="1:14" ht="40" customHeight="1">
      <c r="A948" s="4" t="s">
        <v>7019</v>
      </c>
      <c r="B948" s="4" t="s">
        <v>240</v>
      </c>
      <c r="C948" s="4" t="s">
        <v>241</v>
      </c>
      <c r="D948" s="4" t="s">
        <v>5867</v>
      </c>
      <c r="E948" s="4" t="s">
        <v>7020</v>
      </c>
      <c r="F948" s="4" t="s">
        <v>6248</v>
      </c>
      <c r="G948" s="4" t="s">
        <v>1422</v>
      </c>
      <c r="H948" s="4">
        <v>1</v>
      </c>
      <c r="I948" s="4">
        <v>1</v>
      </c>
      <c r="J948" s="4" t="s">
        <v>7020</v>
      </c>
      <c r="K948" s="4" t="s">
        <v>246</v>
      </c>
      <c r="L948" s="6">
        <v>46319</v>
      </c>
      <c r="M948" s="4" t="s">
        <v>5864</v>
      </c>
      <c r="N948" s="4" t="s">
        <v>5865</v>
      </c>
    </row>
    <row r="949" spans="1:14" ht="82" customHeight="1">
      <c r="A949" s="8" t="s">
        <v>7021</v>
      </c>
      <c r="B949" s="8" t="s">
        <v>240</v>
      </c>
      <c r="C949" s="8" t="s">
        <v>241</v>
      </c>
      <c r="D949" s="8" t="s">
        <v>5867</v>
      </c>
      <c r="E949" s="8" t="s">
        <v>7020</v>
      </c>
      <c r="F949" s="8" t="s">
        <v>6176</v>
      </c>
      <c r="G949" s="8" t="s">
        <v>1422</v>
      </c>
      <c r="H949" s="8">
        <v>1</v>
      </c>
      <c r="I949" s="8">
        <v>1</v>
      </c>
      <c r="J949" s="8" t="s">
        <v>7022</v>
      </c>
      <c r="K949" s="8" t="s">
        <v>246</v>
      </c>
      <c r="L949" s="9">
        <v>46319</v>
      </c>
      <c r="M949" s="8" t="s">
        <v>5864</v>
      </c>
      <c r="N949" s="8" t="s">
        <v>5870</v>
      </c>
    </row>
    <row r="950" spans="1:14" ht="68" customHeight="1">
      <c r="A950" s="4" t="s">
        <v>7023</v>
      </c>
      <c r="B950" s="4" t="s">
        <v>240</v>
      </c>
      <c r="C950" s="4" t="s">
        <v>241</v>
      </c>
      <c r="D950" s="4" t="s">
        <v>5867</v>
      </c>
      <c r="E950" s="4" t="s">
        <v>7020</v>
      </c>
      <c r="F950" s="4" t="s">
        <v>6179</v>
      </c>
      <c r="G950" s="4" t="s">
        <v>1422</v>
      </c>
      <c r="H950" s="4">
        <v>1</v>
      </c>
      <c r="I950" s="4">
        <v>1</v>
      </c>
      <c r="J950" s="4" t="s">
        <v>7024</v>
      </c>
      <c r="K950" s="4" t="s">
        <v>246</v>
      </c>
      <c r="L950" s="6">
        <v>46319</v>
      </c>
      <c r="M950" s="4" t="s">
        <v>5864</v>
      </c>
      <c r="N950" s="4" t="s">
        <v>5870</v>
      </c>
    </row>
    <row r="951" spans="1:14" ht="96" customHeight="1">
      <c r="A951" s="8" t="s">
        <v>7025</v>
      </c>
      <c r="B951" s="8" t="s">
        <v>240</v>
      </c>
      <c r="C951" s="8" t="s">
        <v>241</v>
      </c>
      <c r="D951" s="8" t="s">
        <v>5867</v>
      </c>
      <c r="E951" s="8" t="s">
        <v>7020</v>
      </c>
      <c r="F951" s="8" t="s">
        <v>6867</v>
      </c>
      <c r="G951" s="8" t="s">
        <v>1422</v>
      </c>
      <c r="H951" s="8">
        <v>1</v>
      </c>
      <c r="I951" s="8">
        <v>1</v>
      </c>
      <c r="J951" s="8" t="s">
        <v>7026</v>
      </c>
      <c r="K951" s="8" t="s">
        <v>246</v>
      </c>
      <c r="L951" s="9">
        <v>46319</v>
      </c>
      <c r="M951" s="8" t="s">
        <v>5864</v>
      </c>
      <c r="N951" s="8" t="s">
        <v>5870</v>
      </c>
    </row>
    <row r="952" spans="1:14" ht="96" customHeight="1">
      <c r="A952" s="4" t="s">
        <v>7027</v>
      </c>
      <c r="B952" s="4" t="s">
        <v>240</v>
      </c>
      <c r="C952" s="4" t="s">
        <v>241</v>
      </c>
      <c r="D952" s="4" t="s">
        <v>5867</v>
      </c>
      <c r="E952" s="4" t="s">
        <v>7020</v>
      </c>
      <c r="F952" s="4" t="s">
        <v>7028</v>
      </c>
      <c r="G952" s="4" t="s">
        <v>1422</v>
      </c>
      <c r="H952" s="4">
        <v>1</v>
      </c>
      <c r="I952" s="4">
        <v>1</v>
      </c>
      <c r="J952" s="4" t="s">
        <v>7029</v>
      </c>
      <c r="K952" s="4" t="s">
        <v>246</v>
      </c>
      <c r="L952" s="6">
        <v>46319</v>
      </c>
      <c r="M952" s="4" t="s">
        <v>5864</v>
      </c>
      <c r="N952" s="4" t="s">
        <v>5870</v>
      </c>
    </row>
    <row r="953" spans="1:14" ht="40" customHeight="1">
      <c r="A953" s="8" t="s">
        <v>7030</v>
      </c>
      <c r="B953" s="8" t="s">
        <v>240</v>
      </c>
      <c r="C953" s="8" t="s">
        <v>241</v>
      </c>
      <c r="D953" s="8" t="s">
        <v>5867</v>
      </c>
      <c r="E953" s="8" t="s">
        <v>7020</v>
      </c>
      <c r="F953" s="8" t="s">
        <v>7031</v>
      </c>
      <c r="G953" s="8" t="s">
        <v>1422</v>
      </c>
      <c r="H953" s="8">
        <v>1</v>
      </c>
      <c r="I953" s="8">
        <v>1</v>
      </c>
      <c r="J953" s="8" t="s">
        <v>7032</v>
      </c>
      <c r="K953" s="8" t="s">
        <v>246</v>
      </c>
      <c r="L953" s="9">
        <v>46319</v>
      </c>
      <c r="M953" s="8" t="s">
        <v>5864</v>
      </c>
      <c r="N953" s="8" t="s">
        <v>5870</v>
      </c>
    </row>
    <row r="954" spans="1:14" ht="54" customHeight="1">
      <c r="A954" s="4" t="s">
        <v>7033</v>
      </c>
      <c r="B954" s="4" t="s">
        <v>240</v>
      </c>
      <c r="C954" s="4" t="s">
        <v>241</v>
      </c>
      <c r="D954" s="4" t="s">
        <v>5867</v>
      </c>
      <c r="E954" s="4" t="s">
        <v>7020</v>
      </c>
      <c r="F954" s="4" t="s">
        <v>7034</v>
      </c>
      <c r="G954" s="4" t="s">
        <v>1422</v>
      </c>
      <c r="H954" s="4">
        <v>1</v>
      </c>
      <c r="I954" s="4">
        <v>1</v>
      </c>
      <c r="J954" s="4" t="s">
        <v>7035</v>
      </c>
      <c r="K954" s="4" t="s">
        <v>246</v>
      </c>
      <c r="L954" s="6">
        <v>46319</v>
      </c>
      <c r="M954" s="4" t="s">
        <v>5864</v>
      </c>
      <c r="N954" s="4" t="s">
        <v>5870</v>
      </c>
    </row>
    <row r="955" spans="1:14" ht="40" customHeight="1">
      <c r="A955" s="8" t="s">
        <v>7036</v>
      </c>
      <c r="B955" s="8" t="s">
        <v>240</v>
      </c>
      <c r="C955" s="8" t="s">
        <v>241</v>
      </c>
      <c r="D955" s="8" t="s">
        <v>5867</v>
      </c>
      <c r="E955" s="8" t="s">
        <v>7037</v>
      </c>
      <c r="F955" s="8" t="s">
        <v>7038</v>
      </c>
      <c r="G955" s="8" t="s">
        <v>1422</v>
      </c>
      <c r="H955" s="8">
        <v>1</v>
      </c>
      <c r="I955" s="8">
        <v>1</v>
      </c>
      <c r="J955" s="8" t="s">
        <v>7037</v>
      </c>
      <c r="K955" s="8" t="s">
        <v>246</v>
      </c>
      <c r="L955" s="9">
        <v>46319</v>
      </c>
      <c r="M955" s="8" t="s">
        <v>5864</v>
      </c>
      <c r="N955" s="8" t="s">
        <v>5870</v>
      </c>
    </row>
    <row r="956" spans="1:14" ht="96" customHeight="1">
      <c r="A956" s="4" t="s">
        <v>7039</v>
      </c>
      <c r="B956" s="4" t="s">
        <v>240</v>
      </c>
      <c r="C956" s="4" t="s">
        <v>241</v>
      </c>
      <c r="D956" s="4" t="s">
        <v>5867</v>
      </c>
      <c r="E956" s="4" t="s">
        <v>7037</v>
      </c>
      <c r="F956" s="4" t="s">
        <v>6006</v>
      </c>
      <c r="G956" s="4" t="s">
        <v>1422</v>
      </c>
      <c r="H956" s="4">
        <v>1</v>
      </c>
      <c r="I956" s="4">
        <v>1</v>
      </c>
      <c r="J956" s="4" t="s">
        <v>7040</v>
      </c>
      <c r="K956" s="4" t="s">
        <v>246</v>
      </c>
      <c r="L956" s="6">
        <v>46319</v>
      </c>
      <c r="M956" s="4" t="s">
        <v>5864</v>
      </c>
      <c r="N956" s="4" t="s">
        <v>5870</v>
      </c>
    </row>
    <row r="957" spans="1:14" ht="152" customHeight="1">
      <c r="A957" s="8" t="s">
        <v>7041</v>
      </c>
      <c r="B957" s="8" t="s">
        <v>240</v>
      </c>
      <c r="C957" s="8" t="s">
        <v>241</v>
      </c>
      <c r="D957" s="8" t="s">
        <v>5867</v>
      </c>
      <c r="E957" s="8" t="s">
        <v>7037</v>
      </c>
      <c r="F957" s="8" t="s">
        <v>6544</v>
      </c>
      <c r="G957" s="8" t="s">
        <v>1422</v>
      </c>
      <c r="H957" s="8">
        <v>1</v>
      </c>
      <c r="I957" s="8">
        <v>1</v>
      </c>
      <c r="J957" s="8" t="s">
        <v>7042</v>
      </c>
      <c r="K957" s="8" t="s">
        <v>246</v>
      </c>
      <c r="L957" s="9">
        <v>46319</v>
      </c>
      <c r="M957" s="8" t="s">
        <v>5864</v>
      </c>
      <c r="N957" s="8" t="s">
        <v>5870</v>
      </c>
    </row>
    <row r="958" spans="1:14" ht="40" customHeight="1">
      <c r="A958" s="4" t="s">
        <v>7043</v>
      </c>
      <c r="B958" s="4" t="s">
        <v>240</v>
      </c>
      <c r="C958" s="4" t="s">
        <v>241</v>
      </c>
      <c r="D958" s="4" t="s">
        <v>5867</v>
      </c>
      <c r="E958" s="4" t="s">
        <v>7037</v>
      </c>
      <c r="F958" s="4" t="s">
        <v>6547</v>
      </c>
      <c r="G958" s="4" t="s">
        <v>1422</v>
      </c>
      <c r="H958" s="4">
        <v>1</v>
      </c>
      <c r="I958" s="4">
        <v>1</v>
      </c>
      <c r="J958" s="4" t="s">
        <v>7044</v>
      </c>
      <c r="K958" s="4" t="s">
        <v>246</v>
      </c>
      <c r="L958" s="6">
        <v>46319</v>
      </c>
      <c r="M958" s="4" t="s">
        <v>5864</v>
      </c>
      <c r="N958" s="4" t="s">
        <v>5870</v>
      </c>
    </row>
    <row r="959" spans="1:14" ht="40" customHeight="1">
      <c r="A959" s="8" t="s">
        <v>7045</v>
      </c>
      <c r="B959" s="8" t="s">
        <v>240</v>
      </c>
      <c r="C959" s="8" t="s">
        <v>241</v>
      </c>
      <c r="D959" s="8" t="s">
        <v>637</v>
      </c>
      <c r="E959" s="8" t="s">
        <v>637</v>
      </c>
      <c r="F959" s="8" t="s">
        <v>920</v>
      </c>
      <c r="G959" s="8" t="s">
        <v>1422</v>
      </c>
      <c r="H959" s="8">
        <v>1</v>
      </c>
      <c r="I959" s="8">
        <v>1</v>
      </c>
      <c r="J959" s="8" t="s">
        <v>637</v>
      </c>
      <c r="K959" s="8" t="s">
        <v>246</v>
      </c>
      <c r="L959" s="9">
        <v>46319</v>
      </c>
      <c r="M959" s="8" t="s">
        <v>5864</v>
      </c>
      <c r="N959" s="8" t="s">
        <v>5865</v>
      </c>
    </row>
    <row r="960" spans="1:14" ht="40" customHeight="1">
      <c r="A960" s="4" t="s">
        <v>7046</v>
      </c>
      <c r="B960" s="4" t="s">
        <v>240</v>
      </c>
      <c r="C960" s="4" t="s">
        <v>241</v>
      </c>
      <c r="D960" s="4" t="s">
        <v>637</v>
      </c>
      <c r="E960" s="4" t="s">
        <v>637</v>
      </c>
      <c r="F960" s="4" t="s">
        <v>988</v>
      </c>
      <c r="G960" s="4" t="s">
        <v>1422</v>
      </c>
      <c r="H960" s="4">
        <v>1</v>
      </c>
      <c r="I960" s="4">
        <v>1</v>
      </c>
      <c r="J960" s="4" t="s">
        <v>1424</v>
      </c>
      <c r="K960" s="4" t="s">
        <v>246</v>
      </c>
      <c r="L960" s="6">
        <v>46319</v>
      </c>
      <c r="M960" s="4" t="s">
        <v>5864</v>
      </c>
      <c r="N960" s="4" t="s">
        <v>5870</v>
      </c>
    </row>
    <row r="961" spans="1:14" ht="40" customHeight="1">
      <c r="A961" s="8" t="s">
        <v>7047</v>
      </c>
      <c r="B961" s="8" t="s">
        <v>240</v>
      </c>
      <c r="C961" s="8" t="s">
        <v>241</v>
      </c>
      <c r="D961" s="8" t="s">
        <v>637</v>
      </c>
      <c r="E961" s="8" t="s">
        <v>637</v>
      </c>
      <c r="F961" s="8" t="s">
        <v>992</v>
      </c>
      <c r="G961" s="8" t="s">
        <v>1422</v>
      </c>
      <c r="H961" s="8">
        <v>1</v>
      </c>
      <c r="I961" s="8">
        <v>1</v>
      </c>
      <c r="J961" s="8" t="s">
        <v>1427</v>
      </c>
      <c r="K961" s="8" t="s">
        <v>246</v>
      </c>
      <c r="L961" s="9">
        <v>46319</v>
      </c>
      <c r="M961" s="8" t="s">
        <v>5864</v>
      </c>
      <c r="N961" s="8" t="s">
        <v>5870</v>
      </c>
    </row>
    <row r="962" spans="1:14" ht="40" customHeight="1">
      <c r="A962" s="4" t="s">
        <v>7048</v>
      </c>
      <c r="B962" s="4" t="s">
        <v>240</v>
      </c>
      <c r="C962" s="4" t="s">
        <v>241</v>
      </c>
      <c r="D962" s="4" t="s">
        <v>637</v>
      </c>
      <c r="E962" s="4" t="s">
        <v>637</v>
      </c>
      <c r="F962" s="4" t="s">
        <v>996</v>
      </c>
      <c r="G962" s="4" t="s">
        <v>1422</v>
      </c>
      <c r="H962" s="4">
        <v>1</v>
      </c>
      <c r="I962" s="4">
        <v>1</v>
      </c>
      <c r="J962" s="4" t="s">
        <v>1430</v>
      </c>
      <c r="K962" s="4" t="s">
        <v>246</v>
      </c>
      <c r="L962" s="6">
        <v>46319</v>
      </c>
      <c r="M962" s="4" t="s">
        <v>5864</v>
      </c>
      <c r="N962" s="4" t="s">
        <v>5870</v>
      </c>
    </row>
    <row r="963" spans="1:14" ht="40" customHeight="1">
      <c r="A963" s="8" t="s">
        <v>5185</v>
      </c>
      <c r="B963" s="8" t="s">
        <v>240</v>
      </c>
      <c r="C963" s="8" t="s">
        <v>241</v>
      </c>
      <c r="D963" s="8" t="s">
        <v>7</v>
      </c>
      <c r="E963" s="8" t="s">
        <v>41</v>
      </c>
      <c r="F963" s="8" t="s">
        <v>6212</v>
      </c>
      <c r="G963" s="8" t="s">
        <v>1422</v>
      </c>
      <c r="H963" s="8">
        <v>1</v>
      </c>
      <c r="I963" s="8">
        <v>1</v>
      </c>
      <c r="J963" s="8" t="s">
        <v>5186</v>
      </c>
      <c r="K963" s="8" t="s">
        <v>246</v>
      </c>
      <c r="L963" s="9">
        <v>46319</v>
      </c>
      <c r="M963" s="8" t="s">
        <v>5864</v>
      </c>
      <c r="N963" s="8" t="s">
        <v>5870</v>
      </c>
    </row>
    <row r="964" spans="1:14" ht="40" customHeight="1">
      <c r="A964" s="4" t="s">
        <v>5187</v>
      </c>
      <c r="B964" s="4" t="s">
        <v>240</v>
      </c>
      <c r="C964" s="4" t="s">
        <v>241</v>
      </c>
      <c r="D964" s="4" t="s">
        <v>7</v>
      </c>
      <c r="E964" s="4" t="s">
        <v>41</v>
      </c>
      <c r="F964" s="4" t="s">
        <v>6213</v>
      </c>
      <c r="G964" s="4" t="s">
        <v>1422</v>
      </c>
      <c r="H964" s="4">
        <v>1</v>
      </c>
      <c r="I964" s="4">
        <v>1</v>
      </c>
      <c r="J964" s="4" t="s">
        <v>5188</v>
      </c>
      <c r="K964" s="4" t="s">
        <v>246</v>
      </c>
      <c r="L964" s="6">
        <v>46319</v>
      </c>
      <c r="M964" s="4" t="s">
        <v>5864</v>
      </c>
      <c r="N964" s="4" t="s">
        <v>5870</v>
      </c>
    </row>
    <row r="965" spans="1:14" ht="40" customHeight="1">
      <c r="A965" s="8" t="s">
        <v>5189</v>
      </c>
      <c r="B965" s="8" t="s">
        <v>240</v>
      </c>
      <c r="C965" s="8" t="s">
        <v>241</v>
      </c>
      <c r="D965" s="8" t="s">
        <v>7</v>
      </c>
      <c r="E965" s="8" t="s">
        <v>41</v>
      </c>
      <c r="F965" s="8" t="s">
        <v>6214</v>
      </c>
      <c r="G965" s="8" t="s">
        <v>1422</v>
      </c>
      <c r="H965" s="8">
        <v>1</v>
      </c>
      <c r="I965" s="8">
        <v>1</v>
      </c>
      <c r="J965" s="8" t="s">
        <v>5190</v>
      </c>
      <c r="K965" s="8" t="s">
        <v>246</v>
      </c>
      <c r="L965" s="9">
        <v>46319</v>
      </c>
      <c r="M965" s="8" t="s">
        <v>5864</v>
      </c>
      <c r="N965" s="8" t="s">
        <v>5870</v>
      </c>
    </row>
    <row r="966" spans="1:14" ht="40" customHeight="1">
      <c r="A966" s="4" t="s">
        <v>5191</v>
      </c>
      <c r="B966" s="4" t="s">
        <v>240</v>
      </c>
      <c r="C966" s="4" t="s">
        <v>241</v>
      </c>
      <c r="D966" s="4" t="s">
        <v>7</v>
      </c>
      <c r="E966" s="4" t="s">
        <v>41</v>
      </c>
      <c r="F966" s="4" t="s">
        <v>6215</v>
      </c>
      <c r="G966" s="4" t="s">
        <v>1422</v>
      </c>
      <c r="H966" s="4">
        <v>1</v>
      </c>
      <c r="I966" s="4">
        <v>1</v>
      </c>
      <c r="J966" s="4" t="s">
        <v>5192</v>
      </c>
      <c r="K966" s="4" t="s">
        <v>246</v>
      </c>
      <c r="L966" s="6">
        <v>46319</v>
      </c>
      <c r="M966" s="4" t="s">
        <v>5864</v>
      </c>
      <c r="N966" s="4" t="s">
        <v>5870</v>
      </c>
    </row>
    <row r="967" spans="1:14" ht="40" customHeight="1">
      <c r="A967" s="8" t="s">
        <v>5193</v>
      </c>
      <c r="B967" s="8" t="s">
        <v>240</v>
      </c>
      <c r="C967" s="8" t="s">
        <v>241</v>
      </c>
      <c r="D967" s="8" t="s">
        <v>7</v>
      </c>
      <c r="E967" s="8" t="s">
        <v>41</v>
      </c>
      <c r="F967" s="8" t="s">
        <v>6216</v>
      </c>
      <c r="G967" s="8" t="s">
        <v>1422</v>
      </c>
      <c r="H967" s="8">
        <v>1</v>
      </c>
      <c r="I967" s="8">
        <v>1</v>
      </c>
      <c r="J967" s="8" t="s">
        <v>5194</v>
      </c>
      <c r="K967" s="8" t="s">
        <v>246</v>
      </c>
      <c r="L967" s="9">
        <v>46319</v>
      </c>
      <c r="M967" s="8" t="s">
        <v>5864</v>
      </c>
      <c r="N967" s="8" t="s">
        <v>5870</v>
      </c>
    </row>
    <row r="968" spans="1:14" ht="40" customHeight="1">
      <c r="A968" s="4" t="s">
        <v>5195</v>
      </c>
      <c r="B968" s="4" t="s">
        <v>240</v>
      </c>
      <c r="C968" s="4" t="s">
        <v>241</v>
      </c>
      <c r="D968" s="4" t="s">
        <v>7</v>
      </c>
      <c r="E968" s="4" t="s">
        <v>41</v>
      </c>
      <c r="F968" s="4" t="s">
        <v>6284</v>
      </c>
      <c r="G968" s="4" t="s">
        <v>1422</v>
      </c>
      <c r="H968" s="4">
        <v>1</v>
      </c>
      <c r="I968" s="4">
        <v>1</v>
      </c>
      <c r="J968" s="4" t="s">
        <v>5196</v>
      </c>
      <c r="K968" s="4" t="s">
        <v>246</v>
      </c>
      <c r="L968" s="6">
        <v>46319</v>
      </c>
      <c r="M968" s="4" t="s">
        <v>5864</v>
      </c>
      <c r="N968" s="4" t="s">
        <v>5870</v>
      </c>
    </row>
    <row r="969" spans="1:14" ht="40" customHeight="1">
      <c r="A969" s="8" t="s">
        <v>5197</v>
      </c>
      <c r="B969" s="8" t="s">
        <v>240</v>
      </c>
      <c r="C969" s="8" t="s">
        <v>241</v>
      </c>
      <c r="D969" s="8" t="s">
        <v>7</v>
      </c>
      <c r="E969" s="8" t="s">
        <v>41</v>
      </c>
      <c r="F969" s="8" t="s">
        <v>6285</v>
      </c>
      <c r="G969" s="8" t="s">
        <v>1422</v>
      </c>
      <c r="H969" s="8">
        <v>1</v>
      </c>
      <c r="I969" s="8">
        <v>1</v>
      </c>
      <c r="J969" s="8" t="s">
        <v>5198</v>
      </c>
      <c r="K969" s="8" t="s">
        <v>246</v>
      </c>
      <c r="L969" s="9">
        <v>46319</v>
      </c>
      <c r="M969" s="8" t="s">
        <v>5864</v>
      </c>
      <c r="N969" s="8" t="s">
        <v>5870</v>
      </c>
    </row>
    <row r="970" spans="1:14" ht="40" customHeight="1">
      <c r="A970" s="4" t="s">
        <v>5199</v>
      </c>
      <c r="B970" s="4" t="s">
        <v>240</v>
      </c>
      <c r="C970" s="4" t="s">
        <v>241</v>
      </c>
      <c r="D970" s="4" t="s">
        <v>7</v>
      </c>
      <c r="E970" s="4" t="s">
        <v>41</v>
      </c>
      <c r="F970" s="4" t="s">
        <v>6286</v>
      </c>
      <c r="G970" s="4" t="s">
        <v>1422</v>
      </c>
      <c r="H970" s="4">
        <v>1</v>
      </c>
      <c r="I970" s="4">
        <v>1</v>
      </c>
      <c r="J970" s="4" t="s">
        <v>5200</v>
      </c>
      <c r="K970" s="4" t="s">
        <v>246</v>
      </c>
      <c r="L970" s="6">
        <v>46319</v>
      </c>
      <c r="M970" s="4" t="s">
        <v>5864</v>
      </c>
      <c r="N970" s="4" t="s">
        <v>5870</v>
      </c>
    </row>
    <row r="971" spans="1:14" ht="40" customHeight="1">
      <c r="A971" s="8" t="s">
        <v>4094</v>
      </c>
      <c r="B971" s="8" t="s">
        <v>240</v>
      </c>
      <c r="C971" s="8" t="s">
        <v>241</v>
      </c>
      <c r="D971" s="8" t="s">
        <v>5879</v>
      </c>
      <c r="E971" s="8" t="s">
        <v>41</v>
      </c>
      <c r="F971" s="8" t="s">
        <v>3463</v>
      </c>
      <c r="G971" s="8" t="s">
        <v>1422</v>
      </c>
      <c r="H971" s="8">
        <v>1</v>
      </c>
      <c r="I971" s="8">
        <v>1</v>
      </c>
      <c r="J971" s="8" t="s">
        <v>4095</v>
      </c>
      <c r="K971" s="8" t="s">
        <v>246</v>
      </c>
      <c r="L971" s="9">
        <v>46319</v>
      </c>
      <c r="M971" s="8" t="s">
        <v>5864</v>
      </c>
      <c r="N971" s="8" t="s">
        <v>5870</v>
      </c>
    </row>
    <row r="972" spans="1:14" ht="40" customHeight="1">
      <c r="A972" s="4" t="s">
        <v>4096</v>
      </c>
      <c r="B972" s="4" t="s">
        <v>240</v>
      </c>
      <c r="C972" s="4" t="s">
        <v>241</v>
      </c>
      <c r="D972" s="4" t="s">
        <v>5879</v>
      </c>
      <c r="E972" s="4" t="s">
        <v>41</v>
      </c>
      <c r="F972" s="4" t="s">
        <v>3485</v>
      </c>
      <c r="G972" s="4" t="s">
        <v>1422</v>
      </c>
      <c r="H972" s="4">
        <v>1</v>
      </c>
      <c r="I972" s="4">
        <v>1</v>
      </c>
      <c r="J972" s="4" t="s">
        <v>4097</v>
      </c>
      <c r="K972" s="4" t="s">
        <v>246</v>
      </c>
      <c r="L972" s="6">
        <v>46319</v>
      </c>
      <c r="M972" s="4" t="s">
        <v>5864</v>
      </c>
      <c r="N972" s="4" t="s">
        <v>5870</v>
      </c>
    </row>
    <row r="973" spans="1:14" ht="40" customHeight="1">
      <c r="A973" s="8" t="s">
        <v>4098</v>
      </c>
      <c r="B973" s="8" t="s">
        <v>240</v>
      </c>
      <c r="C973" s="8" t="s">
        <v>241</v>
      </c>
      <c r="D973" s="8" t="s">
        <v>5879</v>
      </c>
      <c r="E973" s="8" t="s">
        <v>41</v>
      </c>
      <c r="F973" s="8" t="s">
        <v>3655</v>
      </c>
      <c r="G973" s="8" t="s">
        <v>1422</v>
      </c>
      <c r="H973" s="8">
        <v>1</v>
      </c>
      <c r="I973" s="8">
        <v>1</v>
      </c>
      <c r="J973" s="8" t="s">
        <v>4099</v>
      </c>
      <c r="K973" s="8" t="s">
        <v>246</v>
      </c>
      <c r="L973" s="9">
        <v>46319</v>
      </c>
      <c r="M973" s="8" t="s">
        <v>5864</v>
      </c>
      <c r="N973" s="8" t="s">
        <v>5870</v>
      </c>
    </row>
    <row r="974" spans="1:14" ht="40" customHeight="1">
      <c r="A974" s="4" t="s">
        <v>4100</v>
      </c>
      <c r="B974" s="4" t="s">
        <v>240</v>
      </c>
      <c r="C974" s="4" t="s">
        <v>241</v>
      </c>
      <c r="D974" s="4" t="s">
        <v>5879</v>
      </c>
      <c r="E974" s="4" t="s">
        <v>41</v>
      </c>
      <c r="F974" s="4" t="s">
        <v>3494</v>
      </c>
      <c r="G974" s="4" t="s">
        <v>1422</v>
      </c>
      <c r="H974" s="4">
        <v>1</v>
      </c>
      <c r="I974" s="4">
        <v>1</v>
      </c>
      <c r="J974" s="4" t="s">
        <v>4101</v>
      </c>
      <c r="K974" s="4" t="s">
        <v>246</v>
      </c>
      <c r="L974" s="6">
        <v>46319</v>
      </c>
      <c r="M974" s="4" t="s">
        <v>5864</v>
      </c>
      <c r="N974" s="4" t="s">
        <v>5870</v>
      </c>
    </row>
    <row r="975" spans="1:14" ht="40" customHeight="1">
      <c r="A975" s="8" t="s">
        <v>4102</v>
      </c>
      <c r="B975" s="8" t="s">
        <v>240</v>
      </c>
      <c r="C975" s="8" t="s">
        <v>241</v>
      </c>
      <c r="D975" s="8" t="s">
        <v>5879</v>
      </c>
      <c r="E975" s="8" t="s">
        <v>41</v>
      </c>
      <c r="F975" s="8" t="s">
        <v>3497</v>
      </c>
      <c r="G975" s="8" t="s">
        <v>1422</v>
      </c>
      <c r="H975" s="8">
        <v>1</v>
      </c>
      <c r="I975" s="8">
        <v>1</v>
      </c>
      <c r="J975" s="8" t="s">
        <v>4103</v>
      </c>
      <c r="K975" s="8" t="s">
        <v>246</v>
      </c>
      <c r="L975" s="9">
        <v>46319</v>
      </c>
      <c r="M975" s="8" t="s">
        <v>5864</v>
      </c>
      <c r="N975" s="8" t="s">
        <v>5870</v>
      </c>
    </row>
    <row r="976" spans="1:14" ht="40" customHeight="1">
      <c r="A976" s="4" t="s">
        <v>4104</v>
      </c>
      <c r="B976" s="4" t="s">
        <v>240</v>
      </c>
      <c r="C976" s="4" t="s">
        <v>241</v>
      </c>
      <c r="D976" s="4" t="s">
        <v>5879</v>
      </c>
      <c r="E976" s="4" t="s">
        <v>41</v>
      </c>
      <c r="F976" s="4" t="s">
        <v>3588</v>
      </c>
      <c r="G976" s="4" t="s">
        <v>1422</v>
      </c>
      <c r="H976" s="4">
        <v>1</v>
      </c>
      <c r="I976" s="4">
        <v>1</v>
      </c>
      <c r="J976" s="4" t="s">
        <v>4105</v>
      </c>
      <c r="K976" s="4" t="s">
        <v>246</v>
      </c>
      <c r="L976" s="6">
        <v>46319</v>
      </c>
      <c r="M976" s="4" t="s">
        <v>5864</v>
      </c>
      <c r="N976" s="4" t="s">
        <v>5870</v>
      </c>
    </row>
    <row r="977" spans="1:14" ht="40" customHeight="1">
      <c r="A977" s="8" t="s">
        <v>4106</v>
      </c>
      <c r="B977" s="8" t="s">
        <v>240</v>
      </c>
      <c r="C977" s="8" t="s">
        <v>241</v>
      </c>
      <c r="D977" s="8" t="s">
        <v>5879</v>
      </c>
      <c r="E977" s="8" t="s">
        <v>41</v>
      </c>
      <c r="F977" s="8" t="s">
        <v>3664</v>
      </c>
      <c r="G977" s="8" t="s">
        <v>1422</v>
      </c>
      <c r="H977" s="8">
        <v>1</v>
      </c>
      <c r="I977" s="8">
        <v>1</v>
      </c>
      <c r="J977" s="8" t="s">
        <v>4107</v>
      </c>
      <c r="K977" s="8" t="s">
        <v>246</v>
      </c>
      <c r="L977" s="9">
        <v>46319</v>
      </c>
      <c r="M977" s="8" t="s">
        <v>5864</v>
      </c>
      <c r="N977" s="8" t="s">
        <v>5870</v>
      </c>
    </row>
    <row r="978" spans="1:14" ht="54" customHeight="1">
      <c r="A978" s="4" t="s">
        <v>7049</v>
      </c>
      <c r="B978" s="4" t="s">
        <v>240</v>
      </c>
      <c r="C978" s="4" t="s">
        <v>241</v>
      </c>
      <c r="D978" s="4" t="s">
        <v>2969</v>
      </c>
      <c r="E978" s="4" t="s">
        <v>41</v>
      </c>
      <c r="F978" s="4" t="s">
        <v>5881</v>
      </c>
      <c r="G978" s="4" t="s">
        <v>1422</v>
      </c>
      <c r="H978" s="4">
        <v>1</v>
      </c>
      <c r="I978" s="4">
        <v>1</v>
      </c>
      <c r="J978" s="4" t="s">
        <v>7050</v>
      </c>
      <c r="K978" s="4" t="s">
        <v>246</v>
      </c>
      <c r="L978" s="6">
        <v>46319</v>
      </c>
      <c r="M978" s="4" t="s">
        <v>5864</v>
      </c>
      <c r="N978" s="4" t="s">
        <v>5883</v>
      </c>
    </row>
    <row r="979" spans="1:14" ht="54" customHeight="1">
      <c r="A979" s="8" t="s">
        <v>7051</v>
      </c>
      <c r="B979" s="8" t="s">
        <v>240</v>
      </c>
      <c r="C979" s="8" t="s">
        <v>241</v>
      </c>
      <c r="D979" s="8" t="s">
        <v>2969</v>
      </c>
      <c r="E979" s="8" t="s">
        <v>41</v>
      </c>
      <c r="F979" s="8" t="s">
        <v>5885</v>
      </c>
      <c r="G979" s="8" t="s">
        <v>1422</v>
      </c>
      <c r="H979" s="8">
        <v>1</v>
      </c>
      <c r="I979" s="8">
        <v>1</v>
      </c>
      <c r="J979" s="8" t="s">
        <v>7052</v>
      </c>
      <c r="K979" s="8" t="s">
        <v>246</v>
      </c>
      <c r="L979" s="9">
        <v>46319</v>
      </c>
      <c r="M979" s="8" t="s">
        <v>5864</v>
      </c>
      <c r="N979" s="8" t="s">
        <v>5883</v>
      </c>
    </row>
    <row r="980" spans="1:14" ht="68" customHeight="1">
      <c r="A980" s="4" t="s">
        <v>7053</v>
      </c>
      <c r="B980" s="4" t="s">
        <v>240</v>
      </c>
      <c r="C980" s="4" t="s">
        <v>241</v>
      </c>
      <c r="D980" s="4" t="s">
        <v>2969</v>
      </c>
      <c r="E980" s="4" t="s">
        <v>41</v>
      </c>
      <c r="F980" s="4" t="s">
        <v>5888</v>
      </c>
      <c r="G980" s="4" t="s">
        <v>1422</v>
      </c>
      <c r="H980" s="4">
        <v>1</v>
      </c>
      <c r="I980" s="4">
        <v>1</v>
      </c>
      <c r="J980" s="4" t="s">
        <v>7054</v>
      </c>
      <c r="K980" s="4" t="s">
        <v>246</v>
      </c>
      <c r="L980" s="6">
        <v>46319</v>
      </c>
      <c r="M980" s="4" t="s">
        <v>5864</v>
      </c>
      <c r="N980" s="4" t="s">
        <v>5883</v>
      </c>
    </row>
    <row r="981" spans="1:14" ht="40" customHeight="1">
      <c r="A981" s="8" t="s">
        <v>7055</v>
      </c>
      <c r="B981" s="8" t="s">
        <v>240</v>
      </c>
      <c r="C981" s="8" t="s">
        <v>241</v>
      </c>
      <c r="D981" s="8" t="s">
        <v>2969</v>
      </c>
      <c r="E981" s="8" t="s">
        <v>41</v>
      </c>
      <c r="F981" s="8" t="s">
        <v>5891</v>
      </c>
      <c r="G981" s="8" t="s">
        <v>1422</v>
      </c>
      <c r="H981" s="8">
        <v>1</v>
      </c>
      <c r="I981" s="8">
        <v>1</v>
      </c>
      <c r="J981" s="8" t="s">
        <v>7056</v>
      </c>
      <c r="K981" s="8" t="s">
        <v>246</v>
      </c>
      <c r="L981" s="9">
        <v>46319</v>
      </c>
      <c r="M981" s="8" t="s">
        <v>5864</v>
      </c>
      <c r="N981" s="8" t="s">
        <v>5883</v>
      </c>
    </row>
    <row r="982" spans="1:14" ht="68" customHeight="1">
      <c r="A982" s="4" t="s">
        <v>7057</v>
      </c>
      <c r="B982" s="4" t="s">
        <v>240</v>
      </c>
      <c r="C982" s="4" t="s">
        <v>241</v>
      </c>
      <c r="D982" s="4" t="s">
        <v>2969</v>
      </c>
      <c r="E982" s="4" t="s">
        <v>41</v>
      </c>
      <c r="F982" s="4" t="s">
        <v>5894</v>
      </c>
      <c r="G982" s="4" t="s">
        <v>1422</v>
      </c>
      <c r="H982" s="4">
        <v>1</v>
      </c>
      <c r="I982" s="4">
        <v>1</v>
      </c>
      <c r="J982" s="4" t="s">
        <v>7058</v>
      </c>
      <c r="K982" s="4" t="s">
        <v>246</v>
      </c>
      <c r="L982" s="6">
        <v>46319</v>
      </c>
      <c r="M982" s="4" t="s">
        <v>5864</v>
      </c>
      <c r="N982" s="4" t="s">
        <v>5883</v>
      </c>
    </row>
    <row r="983" spans="1:14" ht="82" customHeight="1">
      <c r="A983" s="8" t="s">
        <v>7059</v>
      </c>
      <c r="B983" s="8" t="s">
        <v>240</v>
      </c>
      <c r="C983" s="8" t="s">
        <v>241</v>
      </c>
      <c r="D983" s="8" t="s">
        <v>2969</v>
      </c>
      <c r="E983" s="8" t="s">
        <v>41</v>
      </c>
      <c r="F983" s="8" t="s">
        <v>5897</v>
      </c>
      <c r="G983" s="8" t="s">
        <v>1422</v>
      </c>
      <c r="H983" s="8">
        <v>1</v>
      </c>
      <c r="I983" s="8">
        <v>1</v>
      </c>
      <c r="J983" s="8" t="s">
        <v>7060</v>
      </c>
      <c r="K983" s="8" t="s">
        <v>246</v>
      </c>
      <c r="L983" s="9">
        <v>46319</v>
      </c>
      <c r="M983" s="8" t="s">
        <v>5864</v>
      </c>
      <c r="N983" s="8" t="s">
        <v>5883</v>
      </c>
    </row>
    <row r="984" spans="1:14" ht="110" customHeight="1">
      <c r="A984" s="4" t="s">
        <v>7061</v>
      </c>
      <c r="B984" s="4" t="s">
        <v>249</v>
      </c>
      <c r="C984" s="4" t="s">
        <v>250</v>
      </c>
      <c r="D984" s="4" t="s">
        <v>5861</v>
      </c>
      <c r="E984" s="4" t="s">
        <v>41</v>
      </c>
      <c r="F984" s="4" t="s">
        <v>5994</v>
      </c>
      <c r="G984" s="4" t="s">
        <v>1436</v>
      </c>
      <c r="H984" s="4">
        <v>1</v>
      </c>
      <c r="I984" s="4">
        <v>1</v>
      </c>
      <c r="J984" s="4" t="s">
        <v>7062</v>
      </c>
      <c r="K984" s="4" t="s">
        <v>256</v>
      </c>
      <c r="L984" s="6">
        <v>46319</v>
      </c>
      <c r="M984" s="4" t="s">
        <v>5864</v>
      </c>
      <c r="N984" s="4" t="s">
        <v>5865</v>
      </c>
    </row>
    <row r="985" spans="1:14" ht="40" customHeight="1">
      <c r="A985" s="8" t="s">
        <v>7063</v>
      </c>
      <c r="B985" s="8" t="s">
        <v>249</v>
      </c>
      <c r="C985" s="8" t="s">
        <v>250</v>
      </c>
      <c r="D985" s="8" t="s">
        <v>5861</v>
      </c>
      <c r="E985" s="8" t="s">
        <v>7064</v>
      </c>
      <c r="F985" s="8" t="s">
        <v>5997</v>
      </c>
      <c r="G985" s="8" t="s">
        <v>1436</v>
      </c>
      <c r="H985" s="8">
        <v>1</v>
      </c>
      <c r="I985" s="8">
        <v>1</v>
      </c>
      <c r="J985" s="8" t="s">
        <v>7064</v>
      </c>
      <c r="K985" s="8" t="s">
        <v>256</v>
      </c>
      <c r="L985" s="9">
        <v>46319</v>
      </c>
      <c r="M985" s="8" t="s">
        <v>5864</v>
      </c>
      <c r="N985" s="8" t="s">
        <v>5865</v>
      </c>
    </row>
    <row r="986" spans="1:14" ht="40" customHeight="1">
      <c r="A986" s="4" t="s">
        <v>7065</v>
      </c>
      <c r="B986" s="4" t="s">
        <v>249</v>
      </c>
      <c r="C986" s="4" t="s">
        <v>250</v>
      </c>
      <c r="D986" s="4" t="s">
        <v>5861</v>
      </c>
      <c r="E986" s="4" t="s">
        <v>7064</v>
      </c>
      <c r="F986" s="4" t="s">
        <v>7066</v>
      </c>
      <c r="G986" s="4" t="s">
        <v>1436</v>
      </c>
      <c r="H986" s="4">
        <v>1</v>
      </c>
      <c r="I986" s="4">
        <v>1</v>
      </c>
      <c r="J986" s="4" t="s">
        <v>7067</v>
      </c>
      <c r="K986" s="4" t="s">
        <v>256</v>
      </c>
      <c r="L986" s="6">
        <v>46319</v>
      </c>
      <c r="M986" s="4" t="s">
        <v>5864</v>
      </c>
      <c r="N986" s="4" t="s">
        <v>5870</v>
      </c>
    </row>
    <row r="987" spans="1:14" ht="40" customHeight="1">
      <c r="A987" s="8" t="s">
        <v>7068</v>
      </c>
      <c r="B987" s="8" t="s">
        <v>249</v>
      </c>
      <c r="C987" s="8" t="s">
        <v>250</v>
      </c>
      <c r="D987" s="8" t="s">
        <v>5861</v>
      </c>
      <c r="E987" s="8" t="s">
        <v>7064</v>
      </c>
      <c r="F987" s="8" t="s">
        <v>7069</v>
      </c>
      <c r="G987" s="8" t="s">
        <v>1436</v>
      </c>
      <c r="H987" s="8">
        <v>1</v>
      </c>
      <c r="I987" s="8">
        <v>1</v>
      </c>
      <c r="J987" s="8" t="s">
        <v>7070</v>
      </c>
      <c r="K987" s="8" t="s">
        <v>256</v>
      </c>
      <c r="L987" s="9">
        <v>46319</v>
      </c>
      <c r="M987" s="8" t="s">
        <v>5864</v>
      </c>
      <c r="N987" s="8" t="s">
        <v>5870</v>
      </c>
    </row>
    <row r="988" spans="1:14" ht="40" customHeight="1">
      <c r="A988" s="4" t="s">
        <v>7071</v>
      </c>
      <c r="B988" s="4" t="s">
        <v>249</v>
      </c>
      <c r="C988" s="4" t="s">
        <v>250</v>
      </c>
      <c r="D988" s="4" t="s">
        <v>5861</v>
      </c>
      <c r="E988" s="4" t="s">
        <v>7064</v>
      </c>
      <c r="F988" s="4" t="s">
        <v>7072</v>
      </c>
      <c r="G988" s="4" t="s">
        <v>1436</v>
      </c>
      <c r="H988" s="4">
        <v>1</v>
      </c>
      <c r="I988" s="4">
        <v>1</v>
      </c>
      <c r="J988" s="4" t="s">
        <v>7073</v>
      </c>
      <c r="K988" s="4" t="s">
        <v>256</v>
      </c>
      <c r="L988" s="6">
        <v>46319</v>
      </c>
      <c r="M988" s="4" t="s">
        <v>5864</v>
      </c>
      <c r="N988" s="4" t="s">
        <v>5870</v>
      </c>
    </row>
    <row r="989" spans="1:14" ht="40" customHeight="1">
      <c r="A989" s="8" t="s">
        <v>7074</v>
      </c>
      <c r="B989" s="8" t="s">
        <v>249</v>
      </c>
      <c r="C989" s="8" t="s">
        <v>250</v>
      </c>
      <c r="D989" s="8" t="s">
        <v>5861</v>
      </c>
      <c r="E989" s="8" t="s">
        <v>7064</v>
      </c>
      <c r="F989" s="8" t="s">
        <v>7075</v>
      </c>
      <c r="G989" s="8" t="s">
        <v>1436</v>
      </c>
      <c r="H989" s="8">
        <v>1</v>
      </c>
      <c r="I989" s="8">
        <v>1</v>
      </c>
      <c r="J989" s="8" t="s">
        <v>7076</v>
      </c>
      <c r="K989" s="8" t="s">
        <v>256</v>
      </c>
      <c r="L989" s="9">
        <v>46319</v>
      </c>
      <c r="M989" s="8" t="s">
        <v>5864</v>
      </c>
      <c r="N989" s="8" t="s">
        <v>5870</v>
      </c>
    </row>
    <row r="990" spans="1:14" ht="54" customHeight="1">
      <c r="A990" s="4" t="s">
        <v>7077</v>
      </c>
      <c r="B990" s="4" t="s">
        <v>249</v>
      </c>
      <c r="C990" s="4" t="s">
        <v>250</v>
      </c>
      <c r="D990" s="4" t="s">
        <v>5867</v>
      </c>
      <c r="E990" s="4" t="s">
        <v>41</v>
      </c>
      <c r="F990" s="4" t="s">
        <v>5868</v>
      </c>
      <c r="G990" s="4" t="s">
        <v>1436</v>
      </c>
      <c r="H990" s="4">
        <v>1</v>
      </c>
      <c r="I990" s="4">
        <v>1</v>
      </c>
      <c r="J990" s="4" t="s">
        <v>7078</v>
      </c>
      <c r="K990" s="4" t="s">
        <v>256</v>
      </c>
      <c r="L990" s="6">
        <v>46319</v>
      </c>
      <c r="M990" s="4" t="s">
        <v>5864</v>
      </c>
      <c r="N990" s="4" t="s">
        <v>5870</v>
      </c>
    </row>
    <row r="991" spans="1:14" ht="40" customHeight="1">
      <c r="A991" s="8" t="s">
        <v>7079</v>
      </c>
      <c r="B991" s="8" t="s">
        <v>249</v>
      </c>
      <c r="C991" s="8" t="s">
        <v>250</v>
      </c>
      <c r="D991" s="8" t="s">
        <v>5867</v>
      </c>
      <c r="E991" s="8" t="s">
        <v>41</v>
      </c>
      <c r="F991" s="8" t="s">
        <v>6176</v>
      </c>
      <c r="G991" s="8" t="s">
        <v>1436</v>
      </c>
      <c r="H991" s="8">
        <v>1</v>
      </c>
      <c r="I991" s="8">
        <v>1</v>
      </c>
      <c r="J991" s="8" t="s">
        <v>7080</v>
      </c>
      <c r="K991" s="8" t="s">
        <v>256</v>
      </c>
      <c r="L991" s="9">
        <v>46319</v>
      </c>
      <c r="M991" s="8" t="s">
        <v>5864</v>
      </c>
      <c r="N991" s="8" t="s">
        <v>5870</v>
      </c>
    </row>
    <row r="992" spans="1:14" ht="40" customHeight="1">
      <c r="A992" s="4" t="s">
        <v>7081</v>
      </c>
      <c r="B992" s="4" t="s">
        <v>249</v>
      </c>
      <c r="C992" s="4" t="s">
        <v>250</v>
      </c>
      <c r="D992" s="4" t="s">
        <v>5867</v>
      </c>
      <c r="E992" s="4" t="s">
        <v>41</v>
      </c>
      <c r="F992" s="4" t="s">
        <v>6179</v>
      </c>
      <c r="G992" s="4" t="s">
        <v>1436</v>
      </c>
      <c r="H992" s="4">
        <v>1</v>
      </c>
      <c r="I992" s="4">
        <v>1</v>
      </c>
      <c r="J992" s="4" t="s">
        <v>7082</v>
      </c>
      <c r="K992" s="4" t="s">
        <v>256</v>
      </c>
      <c r="L992" s="6">
        <v>46319</v>
      </c>
      <c r="M992" s="4" t="s">
        <v>5864</v>
      </c>
      <c r="N992" s="4" t="s">
        <v>5870</v>
      </c>
    </row>
    <row r="993" spans="1:14" ht="40" customHeight="1">
      <c r="A993" s="8" t="s">
        <v>7083</v>
      </c>
      <c r="B993" s="8" t="s">
        <v>249</v>
      </c>
      <c r="C993" s="8" t="s">
        <v>250</v>
      </c>
      <c r="D993" s="8" t="s">
        <v>5867</v>
      </c>
      <c r="E993" s="8" t="s">
        <v>41</v>
      </c>
      <c r="F993" s="8" t="s">
        <v>6867</v>
      </c>
      <c r="G993" s="8" t="s">
        <v>1436</v>
      </c>
      <c r="H993" s="8">
        <v>1</v>
      </c>
      <c r="I993" s="8">
        <v>1</v>
      </c>
      <c r="J993" s="8" t="s">
        <v>7084</v>
      </c>
      <c r="K993" s="8" t="s">
        <v>256</v>
      </c>
      <c r="L993" s="9">
        <v>46319</v>
      </c>
      <c r="M993" s="8" t="s">
        <v>5864</v>
      </c>
      <c r="N993" s="8" t="s">
        <v>5870</v>
      </c>
    </row>
    <row r="994" spans="1:14" ht="54" customHeight="1">
      <c r="A994" s="4" t="s">
        <v>7085</v>
      </c>
      <c r="B994" s="4" t="s">
        <v>249</v>
      </c>
      <c r="C994" s="4" t="s">
        <v>250</v>
      </c>
      <c r="D994" s="4" t="s">
        <v>5867</v>
      </c>
      <c r="E994" s="4" t="s">
        <v>41</v>
      </c>
      <c r="F994" s="4" t="s">
        <v>7028</v>
      </c>
      <c r="G994" s="4" t="s">
        <v>1436</v>
      </c>
      <c r="H994" s="4">
        <v>1</v>
      </c>
      <c r="I994" s="4">
        <v>1</v>
      </c>
      <c r="J994" s="4" t="s">
        <v>7086</v>
      </c>
      <c r="K994" s="4" t="s">
        <v>256</v>
      </c>
      <c r="L994" s="6">
        <v>46319</v>
      </c>
      <c r="M994" s="4" t="s">
        <v>5864</v>
      </c>
      <c r="N994" s="4" t="s">
        <v>5870</v>
      </c>
    </row>
    <row r="995" spans="1:14" ht="40" customHeight="1">
      <c r="A995" s="8" t="s">
        <v>7087</v>
      </c>
      <c r="B995" s="8" t="s">
        <v>249</v>
      </c>
      <c r="C995" s="8" t="s">
        <v>250</v>
      </c>
      <c r="D995" s="8" t="s">
        <v>5867</v>
      </c>
      <c r="E995" s="8" t="s">
        <v>41</v>
      </c>
      <c r="F995" s="8" t="s">
        <v>6184</v>
      </c>
      <c r="G995" s="8" t="s">
        <v>1436</v>
      </c>
      <c r="H995" s="8">
        <v>1</v>
      </c>
      <c r="I995" s="8">
        <v>1</v>
      </c>
      <c r="J995" s="8" t="s">
        <v>7088</v>
      </c>
      <c r="K995" s="8" t="s">
        <v>256</v>
      </c>
      <c r="L995" s="9">
        <v>46319</v>
      </c>
      <c r="M995" s="8" t="s">
        <v>5864</v>
      </c>
      <c r="N995" s="8" t="s">
        <v>6087</v>
      </c>
    </row>
    <row r="996" spans="1:14" ht="54" customHeight="1">
      <c r="A996" s="4" t="s">
        <v>7089</v>
      </c>
      <c r="B996" s="4" t="s">
        <v>249</v>
      </c>
      <c r="C996" s="4" t="s">
        <v>250</v>
      </c>
      <c r="D996" s="4" t="s">
        <v>5867</v>
      </c>
      <c r="E996" s="4" t="s">
        <v>41</v>
      </c>
      <c r="F996" s="4" t="s">
        <v>6015</v>
      </c>
      <c r="G996" s="4" t="s">
        <v>1436</v>
      </c>
      <c r="H996" s="4">
        <v>1</v>
      </c>
      <c r="I996" s="4">
        <v>1</v>
      </c>
      <c r="J996" s="4" t="s">
        <v>7090</v>
      </c>
      <c r="K996" s="4" t="s">
        <v>256</v>
      </c>
      <c r="L996" s="6">
        <v>46319</v>
      </c>
      <c r="M996" s="4" t="s">
        <v>5864</v>
      </c>
      <c r="N996" s="4" t="s">
        <v>5870</v>
      </c>
    </row>
    <row r="997" spans="1:14" ht="82" customHeight="1">
      <c r="A997" s="8" t="s">
        <v>7091</v>
      </c>
      <c r="B997" s="8" t="s">
        <v>249</v>
      </c>
      <c r="C997" s="8" t="s">
        <v>250</v>
      </c>
      <c r="D997" s="8" t="s">
        <v>5867</v>
      </c>
      <c r="E997" s="8" t="s">
        <v>41</v>
      </c>
      <c r="F997" s="8" t="s">
        <v>6554</v>
      </c>
      <c r="G997" s="8" t="s">
        <v>1436</v>
      </c>
      <c r="H997" s="8">
        <v>1</v>
      </c>
      <c r="I997" s="8">
        <v>1</v>
      </c>
      <c r="J997" s="8" t="s">
        <v>7092</v>
      </c>
      <c r="K997" s="8" t="s">
        <v>256</v>
      </c>
      <c r="L997" s="9">
        <v>46319</v>
      </c>
      <c r="M997" s="8" t="s">
        <v>5864</v>
      </c>
      <c r="N997" s="8" t="s">
        <v>5870</v>
      </c>
    </row>
    <row r="998" spans="1:14" ht="82" customHeight="1">
      <c r="A998" s="4" t="s">
        <v>7093</v>
      </c>
      <c r="B998" s="4" t="s">
        <v>249</v>
      </c>
      <c r="C998" s="4" t="s">
        <v>250</v>
      </c>
      <c r="D998" s="4" t="s">
        <v>5867</v>
      </c>
      <c r="E998" s="4" t="s">
        <v>41</v>
      </c>
      <c r="F998" s="4" t="s">
        <v>6557</v>
      </c>
      <c r="G998" s="4" t="s">
        <v>1436</v>
      </c>
      <c r="H998" s="4">
        <v>1</v>
      </c>
      <c r="I998" s="4">
        <v>1</v>
      </c>
      <c r="J998" s="4" t="s">
        <v>7094</v>
      </c>
      <c r="K998" s="4" t="s">
        <v>256</v>
      </c>
      <c r="L998" s="6">
        <v>46319</v>
      </c>
      <c r="M998" s="4" t="s">
        <v>5864</v>
      </c>
      <c r="N998" s="4" t="s">
        <v>5870</v>
      </c>
    </row>
    <row r="999" spans="1:14" ht="68" customHeight="1">
      <c r="A999" s="8" t="s">
        <v>7095</v>
      </c>
      <c r="B999" s="8" t="s">
        <v>249</v>
      </c>
      <c r="C999" s="8" t="s">
        <v>250</v>
      </c>
      <c r="D999" s="8" t="s">
        <v>5867</v>
      </c>
      <c r="E999" s="8" t="s">
        <v>41</v>
      </c>
      <c r="F999" s="8" t="s">
        <v>6560</v>
      </c>
      <c r="G999" s="8" t="s">
        <v>1436</v>
      </c>
      <c r="H999" s="8">
        <v>1</v>
      </c>
      <c r="I999" s="8">
        <v>1</v>
      </c>
      <c r="J999" s="8" t="s">
        <v>7096</v>
      </c>
      <c r="K999" s="8" t="s">
        <v>256</v>
      </c>
      <c r="L999" s="9">
        <v>46319</v>
      </c>
      <c r="M999" s="8" t="s">
        <v>5864</v>
      </c>
      <c r="N999" s="8" t="s">
        <v>5870</v>
      </c>
    </row>
    <row r="1000" spans="1:14" ht="40" customHeight="1">
      <c r="A1000" s="4" t="s">
        <v>7097</v>
      </c>
      <c r="B1000" s="4" t="s">
        <v>249</v>
      </c>
      <c r="C1000" s="4" t="s">
        <v>250</v>
      </c>
      <c r="D1000" s="4" t="s">
        <v>637</v>
      </c>
      <c r="E1000" s="4" t="s">
        <v>41</v>
      </c>
      <c r="F1000" s="4" t="s">
        <v>904</v>
      </c>
      <c r="G1000" s="4" t="s">
        <v>1436</v>
      </c>
      <c r="H1000" s="4">
        <v>1</v>
      </c>
      <c r="I1000" s="4">
        <v>1</v>
      </c>
      <c r="J1000" s="4" t="s">
        <v>1434</v>
      </c>
      <c r="K1000" s="4" t="s">
        <v>256</v>
      </c>
      <c r="L1000" s="6">
        <v>46319</v>
      </c>
      <c r="M1000" s="4" t="s">
        <v>5864</v>
      </c>
      <c r="N1000" s="4" t="s">
        <v>5870</v>
      </c>
    </row>
    <row r="1001" spans="1:14" ht="40" customHeight="1">
      <c r="A1001" s="8" t="s">
        <v>7098</v>
      </c>
      <c r="B1001" s="8" t="s">
        <v>249</v>
      </c>
      <c r="C1001" s="8" t="s">
        <v>250</v>
      </c>
      <c r="D1001" s="8" t="s">
        <v>637</v>
      </c>
      <c r="E1001" s="8" t="s">
        <v>41</v>
      </c>
      <c r="F1001" s="8" t="s">
        <v>912</v>
      </c>
      <c r="G1001" s="8" t="s">
        <v>1436</v>
      </c>
      <c r="H1001" s="8">
        <v>1</v>
      </c>
      <c r="I1001" s="8">
        <v>1</v>
      </c>
      <c r="J1001" s="8" t="s">
        <v>1438</v>
      </c>
      <c r="K1001" s="8" t="s">
        <v>256</v>
      </c>
      <c r="L1001" s="9">
        <v>46319</v>
      </c>
      <c r="M1001" s="8" t="s">
        <v>5864</v>
      </c>
      <c r="N1001" s="8" t="s">
        <v>5870</v>
      </c>
    </row>
    <row r="1002" spans="1:14" ht="40" customHeight="1">
      <c r="A1002" s="4" t="s">
        <v>7099</v>
      </c>
      <c r="B1002" s="4" t="s">
        <v>249</v>
      </c>
      <c r="C1002" s="4" t="s">
        <v>250</v>
      </c>
      <c r="D1002" s="4" t="s">
        <v>637</v>
      </c>
      <c r="E1002" s="4" t="s">
        <v>41</v>
      </c>
      <c r="F1002" s="4" t="s">
        <v>1015</v>
      </c>
      <c r="G1002" s="4" t="s">
        <v>1436</v>
      </c>
      <c r="H1002" s="4">
        <v>1</v>
      </c>
      <c r="I1002" s="4">
        <v>1</v>
      </c>
      <c r="J1002" s="4" t="s">
        <v>1441</v>
      </c>
      <c r="K1002" s="4" t="s">
        <v>256</v>
      </c>
      <c r="L1002" s="6">
        <v>46319</v>
      </c>
      <c r="M1002" s="4" t="s">
        <v>5864</v>
      </c>
      <c r="N1002" s="4" t="s">
        <v>5870</v>
      </c>
    </row>
    <row r="1003" spans="1:14" ht="40" customHeight="1">
      <c r="A1003" s="8" t="s">
        <v>7100</v>
      </c>
      <c r="B1003" s="8" t="s">
        <v>249</v>
      </c>
      <c r="C1003" s="8" t="s">
        <v>250</v>
      </c>
      <c r="D1003" s="8" t="s">
        <v>637</v>
      </c>
      <c r="E1003" s="8" t="s">
        <v>41</v>
      </c>
      <c r="F1003" s="8" t="s">
        <v>1019</v>
      </c>
      <c r="G1003" s="8" t="s">
        <v>1436</v>
      </c>
      <c r="H1003" s="8">
        <v>1</v>
      </c>
      <c r="I1003" s="8">
        <v>1</v>
      </c>
      <c r="J1003" s="8" t="s">
        <v>1444</v>
      </c>
      <c r="K1003" s="8" t="s">
        <v>256</v>
      </c>
      <c r="L1003" s="9">
        <v>46319</v>
      </c>
      <c r="M1003" s="8" t="s">
        <v>5864</v>
      </c>
      <c r="N1003" s="8" t="s">
        <v>5870</v>
      </c>
    </row>
    <row r="1004" spans="1:14" ht="40" customHeight="1">
      <c r="A1004" s="4" t="s">
        <v>7101</v>
      </c>
      <c r="B1004" s="4" t="s">
        <v>249</v>
      </c>
      <c r="C1004" s="4" t="s">
        <v>250</v>
      </c>
      <c r="D1004" s="4" t="s">
        <v>637</v>
      </c>
      <c r="E1004" s="4" t="s">
        <v>41</v>
      </c>
      <c r="F1004" s="4" t="s">
        <v>1147</v>
      </c>
      <c r="G1004" s="4" t="s">
        <v>1436</v>
      </c>
      <c r="H1004" s="4">
        <v>1</v>
      </c>
      <c r="I1004" s="4">
        <v>1</v>
      </c>
      <c r="J1004" s="4" t="s">
        <v>1447</v>
      </c>
      <c r="K1004" s="4" t="s">
        <v>256</v>
      </c>
      <c r="L1004" s="6">
        <v>46319</v>
      </c>
      <c r="M1004" s="4" t="s">
        <v>5864</v>
      </c>
      <c r="N1004" s="4" t="s">
        <v>5870</v>
      </c>
    </row>
    <row r="1005" spans="1:14" ht="40" customHeight="1">
      <c r="A1005" s="8" t="s">
        <v>7102</v>
      </c>
      <c r="B1005" s="8" t="s">
        <v>249</v>
      </c>
      <c r="C1005" s="8" t="s">
        <v>250</v>
      </c>
      <c r="D1005" s="8" t="s">
        <v>637</v>
      </c>
      <c r="E1005" s="8" t="s">
        <v>41</v>
      </c>
      <c r="F1005" s="8" t="s">
        <v>1254</v>
      </c>
      <c r="G1005" s="8" t="s">
        <v>1436</v>
      </c>
      <c r="H1005" s="8">
        <v>1</v>
      </c>
      <c r="I1005" s="8">
        <v>1</v>
      </c>
      <c r="J1005" s="8" t="s">
        <v>1450</v>
      </c>
      <c r="K1005" s="8" t="s">
        <v>256</v>
      </c>
      <c r="L1005" s="9">
        <v>46319</v>
      </c>
      <c r="M1005" s="8" t="s">
        <v>5864</v>
      </c>
      <c r="N1005" s="8" t="s">
        <v>5870</v>
      </c>
    </row>
    <row r="1006" spans="1:14" ht="40" customHeight="1">
      <c r="A1006" s="4" t="s">
        <v>7103</v>
      </c>
      <c r="B1006" s="4" t="s">
        <v>249</v>
      </c>
      <c r="C1006" s="4" t="s">
        <v>250</v>
      </c>
      <c r="D1006" s="4" t="s">
        <v>914</v>
      </c>
      <c r="E1006" s="4" t="s">
        <v>41</v>
      </c>
      <c r="F1006" s="4" t="s">
        <v>952</v>
      </c>
      <c r="G1006" s="4" t="s">
        <v>1436</v>
      </c>
      <c r="H1006" s="4">
        <v>1</v>
      </c>
      <c r="I1006" s="4">
        <v>1</v>
      </c>
      <c r="J1006" s="4" t="s">
        <v>1453</v>
      </c>
      <c r="K1006" s="4" t="s">
        <v>256</v>
      </c>
      <c r="L1006" s="6">
        <v>46319</v>
      </c>
      <c r="M1006" s="4" t="s">
        <v>5864</v>
      </c>
      <c r="N1006" s="4" t="s">
        <v>6087</v>
      </c>
    </row>
    <row r="1007" spans="1:14" ht="40" customHeight="1">
      <c r="A1007" s="8" t="s">
        <v>7104</v>
      </c>
      <c r="B1007" s="8" t="s">
        <v>249</v>
      </c>
      <c r="C1007" s="8" t="s">
        <v>250</v>
      </c>
      <c r="D1007" s="8" t="s">
        <v>914</v>
      </c>
      <c r="E1007" s="8" t="s">
        <v>41</v>
      </c>
      <c r="F1007" s="8" t="s">
        <v>1458</v>
      </c>
      <c r="G1007" s="8" t="s">
        <v>1436</v>
      </c>
      <c r="H1007" s="8">
        <v>1</v>
      </c>
      <c r="I1007" s="8">
        <v>1</v>
      </c>
      <c r="J1007" s="8" t="s">
        <v>1456</v>
      </c>
      <c r="K1007" s="8" t="s">
        <v>256</v>
      </c>
      <c r="L1007" s="9">
        <v>46319</v>
      </c>
      <c r="M1007" s="8" t="s">
        <v>5864</v>
      </c>
      <c r="N1007" s="8" t="s">
        <v>5865</v>
      </c>
    </row>
    <row r="1008" spans="1:14" ht="40" customHeight="1">
      <c r="A1008" s="4" t="s">
        <v>7105</v>
      </c>
      <c r="B1008" s="4" t="s">
        <v>249</v>
      </c>
      <c r="C1008" s="4" t="s">
        <v>250</v>
      </c>
      <c r="D1008" s="4" t="s">
        <v>914</v>
      </c>
      <c r="E1008" s="4" t="s">
        <v>41</v>
      </c>
      <c r="F1008" s="4" t="s">
        <v>1066</v>
      </c>
      <c r="G1008" s="4" t="s">
        <v>1436</v>
      </c>
      <c r="H1008" s="4">
        <v>1</v>
      </c>
      <c r="I1008" s="4">
        <v>1</v>
      </c>
      <c r="J1008" s="4" t="s">
        <v>1460</v>
      </c>
      <c r="K1008" s="4" t="s">
        <v>256</v>
      </c>
      <c r="L1008" s="6">
        <v>46319</v>
      </c>
      <c r="M1008" s="4" t="s">
        <v>5864</v>
      </c>
      <c r="N1008" s="4" t="s">
        <v>6087</v>
      </c>
    </row>
    <row r="1009" spans="1:14" ht="40" customHeight="1">
      <c r="A1009" s="8" t="s">
        <v>7106</v>
      </c>
      <c r="B1009" s="8" t="s">
        <v>249</v>
      </c>
      <c r="C1009" s="8" t="s">
        <v>250</v>
      </c>
      <c r="D1009" s="8" t="s">
        <v>914</v>
      </c>
      <c r="E1009" s="8" t="s">
        <v>41</v>
      </c>
      <c r="F1009" s="8" t="s">
        <v>1465</v>
      </c>
      <c r="G1009" s="8" t="s">
        <v>1436</v>
      </c>
      <c r="H1009" s="8">
        <v>1</v>
      </c>
      <c r="I1009" s="8">
        <v>1</v>
      </c>
      <c r="J1009" s="8" t="s">
        <v>1463</v>
      </c>
      <c r="K1009" s="8" t="s">
        <v>256</v>
      </c>
      <c r="L1009" s="9">
        <v>46319</v>
      </c>
      <c r="M1009" s="8" t="s">
        <v>5864</v>
      </c>
      <c r="N1009" s="8" t="s">
        <v>5865</v>
      </c>
    </row>
    <row r="1010" spans="1:14" ht="40" customHeight="1">
      <c r="A1010" s="4" t="s">
        <v>7107</v>
      </c>
      <c r="B1010" s="4" t="s">
        <v>249</v>
      </c>
      <c r="C1010" s="4" t="s">
        <v>250</v>
      </c>
      <c r="D1010" s="4" t="s">
        <v>914</v>
      </c>
      <c r="E1010" s="4" t="s">
        <v>41</v>
      </c>
      <c r="F1010" s="4" t="s">
        <v>1469</v>
      </c>
      <c r="G1010" s="4" t="s">
        <v>1436</v>
      </c>
      <c r="H1010" s="4">
        <v>1</v>
      </c>
      <c r="I1010" s="4">
        <v>1</v>
      </c>
      <c r="J1010" s="4" t="s">
        <v>1467</v>
      </c>
      <c r="K1010" s="4" t="s">
        <v>256</v>
      </c>
      <c r="L1010" s="6">
        <v>46319</v>
      </c>
      <c r="M1010" s="4" t="s">
        <v>5864</v>
      </c>
      <c r="N1010" s="4" t="s">
        <v>6087</v>
      </c>
    </row>
    <row r="1011" spans="1:14" ht="40" customHeight="1">
      <c r="A1011" s="8" t="s">
        <v>7108</v>
      </c>
      <c r="B1011" s="8" t="s">
        <v>249</v>
      </c>
      <c r="C1011" s="8" t="s">
        <v>250</v>
      </c>
      <c r="D1011" s="8" t="s">
        <v>914</v>
      </c>
      <c r="E1011" s="8" t="s">
        <v>41</v>
      </c>
      <c r="F1011" s="8" t="s">
        <v>1473</v>
      </c>
      <c r="G1011" s="8" t="s">
        <v>1436</v>
      </c>
      <c r="H1011" s="8">
        <v>1</v>
      </c>
      <c r="I1011" s="8">
        <v>1</v>
      </c>
      <c r="J1011" s="8" t="s">
        <v>1471</v>
      </c>
      <c r="K1011" s="8" t="s">
        <v>256</v>
      </c>
      <c r="L1011" s="9">
        <v>46319</v>
      </c>
      <c r="M1011" s="8" t="s">
        <v>5864</v>
      </c>
      <c r="N1011" s="8" t="s">
        <v>5865</v>
      </c>
    </row>
    <row r="1012" spans="1:14" ht="40" customHeight="1">
      <c r="A1012" s="4" t="s">
        <v>7109</v>
      </c>
      <c r="B1012" s="4" t="s">
        <v>249</v>
      </c>
      <c r="C1012" s="4" t="s">
        <v>250</v>
      </c>
      <c r="D1012" s="4" t="s">
        <v>914</v>
      </c>
      <c r="E1012" s="4" t="s">
        <v>41</v>
      </c>
      <c r="F1012" s="4" t="s">
        <v>1477</v>
      </c>
      <c r="G1012" s="4" t="s">
        <v>1436</v>
      </c>
      <c r="H1012" s="4">
        <v>1</v>
      </c>
      <c r="I1012" s="4">
        <v>1</v>
      </c>
      <c r="J1012" s="4" t="s">
        <v>1475</v>
      </c>
      <c r="K1012" s="4" t="s">
        <v>256</v>
      </c>
      <c r="L1012" s="6">
        <v>46319</v>
      </c>
      <c r="M1012" s="4" t="s">
        <v>5864</v>
      </c>
      <c r="N1012" s="4" t="s">
        <v>6087</v>
      </c>
    </row>
    <row r="1013" spans="1:14" ht="40" customHeight="1">
      <c r="A1013" s="8" t="s">
        <v>7110</v>
      </c>
      <c r="B1013" s="8" t="s">
        <v>249</v>
      </c>
      <c r="C1013" s="8" t="s">
        <v>250</v>
      </c>
      <c r="D1013" s="8" t="s">
        <v>914</v>
      </c>
      <c r="E1013" s="8" t="s">
        <v>41</v>
      </c>
      <c r="F1013" s="8" t="s">
        <v>1481</v>
      </c>
      <c r="G1013" s="8" t="s">
        <v>1436</v>
      </c>
      <c r="H1013" s="8">
        <v>1</v>
      </c>
      <c r="I1013" s="8">
        <v>1</v>
      </c>
      <c r="J1013" s="8" t="s">
        <v>1479</v>
      </c>
      <c r="K1013" s="8" t="s">
        <v>256</v>
      </c>
      <c r="L1013" s="9">
        <v>46319</v>
      </c>
      <c r="M1013" s="8" t="s">
        <v>5864</v>
      </c>
      <c r="N1013" s="8" t="s">
        <v>5865</v>
      </c>
    </row>
    <row r="1014" spans="1:14" ht="40" customHeight="1">
      <c r="A1014" s="4" t="s">
        <v>7111</v>
      </c>
      <c r="B1014" s="4" t="s">
        <v>249</v>
      </c>
      <c r="C1014" s="4" t="s">
        <v>250</v>
      </c>
      <c r="D1014" s="4" t="s">
        <v>914</v>
      </c>
      <c r="E1014" s="4" t="s">
        <v>41</v>
      </c>
      <c r="F1014" s="4" t="s">
        <v>1485</v>
      </c>
      <c r="G1014" s="4" t="s">
        <v>1436</v>
      </c>
      <c r="H1014" s="4">
        <v>1</v>
      </c>
      <c r="I1014" s="4">
        <v>1</v>
      </c>
      <c r="J1014" s="4" t="s">
        <v>1483</v>
      </c>
      <c r="K1014" s="4" t="s">
        <v>256</v>
      </c>
      <c r="L1014" s="6">
        <v>46319</v>
      </c>
      <c r="M1014" s="4" t="s">
        <v>5864</v>
      </c>
      <c r="N1014" s="4" t="s">
        <v>6087</v>
      </c>
    </row>
    <row r="1015" spans="1:14" ht="40" customHeight="1">
      <c r="A1015" s="8" t="s">
        <v>7112</v>
      </c>
      <c r="B1015" s="8" t="s">
        <v>249</v>
      </c>
      <c r="C1015" s="8" t="s">
        <v>250</v>
      </c>
      <c r="D1015" s="8" t="s">
        <v>914</v>
      </c>
      <c r="E1015" s="8" t="s">
        <v>41</v>
      </c>
      <c r="F1015" s="8" t="s">
        <v>1489</v>
      </c>
      <c r="G1015" s="8" t="s">
        <v>1436</v>
      </c>
      <c r="H1015" s="8">
        <v>1</v>
      </c>
      <c r="I1015" s="8">
        <v>1</v>
      </c>
      <c r="J1015" s="8" t="s">
        <v>1487</v>
      </c>
      <c r="K1015" s="8" t="s">
        <v>256</v>
      </c>
      <c r="L1015" s="9">
        <v>46319</v>
      </c>
      <c r="M1015" s="8" t="s">
        <v>5864</v>
      </c>
      <c r="N1015" s="8" t="s">
        <v>5865</v>
      </c>
    </row>
    <row r="1016" spans="1:14" ht="40" customHeight="1">
      <c r="A1016" s="4" t="s">
        <v>5201</v>
      </c>
      <c r="B1016" s="4" t="s">
        <v>249</v>
      </c>
      <c r="C1016" s="4" t="s">
        <v>250</v>
      </c>
      <c r="D1016" s="4" t="s">
        <v>7</v>
      </c>
      <c r="E1016" s="4" t="s">
        <v>41</v>
      </c>
      <c r="F1016" s="4" t="s">
        <v>6212</v>
      </c>
      <c r="G1016" s="4" t="s">
        <v>1436</v>
      </c>
      <c r="H1016" s="4">
        <v>1</v>
      </c>
      <c r="I1016" s="4">
        <v>1</v>
      </c>
      <c r="J1016" s="4" t="s">
        <v>5202</v>
      </c>
      <c r="K1016" s="4" t="s">
        <v>256</v>
      </c>
      <c r="L1016" s="6">
        <v>46319</v>
      </c>
      <c r="M1016" s="4" t="s">
        <v>5864</v>
      </c>
      <c r="N1016" s="4" t="s">
        <v>5870</v>
      </c>
    </row>
    <row r="1017" spans="1:14" ht="40" customHeight="1">
      <c r="A1017" s="8" t="s">
        <v>5203</v>
      </c>
      <c r="B1017" s="8" t="s">
        <v>249</v>
      </c>
      <c r="C1017" s="8" t="s">
        <v>250</v>
      </c>
      <c r="D1017" s="8" t="s">
        <v>7</v>
      </c>
      <c r="E1017" s="8" t="s">
        <v>41</v>
      </c>
      <c r="F1017" s="8" t="s">
        <v>6213</v>
      </c>
      <c r="G1017" s="8" t="s">
        <v>1436</v>
      </c>
      <c r="H1017" s="8">
        <v>1</v>
      </c>
      <c r="I1017" s="8">
        <v>1</v>
      </c>
      <c r="J1017" s="8" t="s">
        <v>5204</v>
      </c>
      <c r="K1017" s="8" t="s">
        <v>256</v>
      </c>
      <c r="L1017" s="9">
        <v>46319</v>
      </c>
      <c r="M1017" s="8" t="s">
        <v>5864</v>
      </c>
      <c r="N1017" s="8" t="s">
        <v>5870</v>
      </c>
    </row>
    <row r="1018" spans="1:14" ht="40" customHeight="1">
      <c r="A1018" s="4" t="s">
        <v>5205</v>
      </c>
      <c r="B1018" s="4" t="s">
        <v>249</v>
      </c>
      <c r="C1018" s="4" t="s">
        <v>250</v>
      </c>
      <c r="D1018" s="4" t="s">
        <v>7</v>
      </c>
      <c r="E1018" s="4" t="s">
        <v>41</v>
      </c>
      <c r="F1018" s="4" t="s">
        <v>6214</v>
      </c>
      <c r="G1018" s="4" t="s">
        <v>1436</v>
      </c>
      <c r="H1018" s="4">
        <v>1</v>
      </c>
      <c r="I1018" s="4">
        <v>1</v>
      </c>
      <c r="J1018" s="4" t="s">
        <v>5206</v>
      </c>
      <c r="K1018" s="4" t="s">
        <v>256</v>
      </c>
      <c r="L1018" s="6">
        <v>46319</v>
      </c>
      <c r="M1018" s="4" t="s">
        <v>5864</v>
      </c>
      <c r="N1018" s="4" t="s">
        <v>5870</v>
      </c>
    </row>
    <row r="1019" spans="1:14" ht="40" customHeight="1">
      <c r="A1019" s="8" t="s">
        <v>5207</v>
      </c>
      <c r="B1019" s="8" t="s">
        <v>249</v>
      </c>
      <c r="C1019" s="8" t="s">
        <v>250</v>
      </c>
      <c r="D1019" s="8" t="s">
        <v>7</v>
      </c>
      <c r="E1019" s="8" t="s">
        <v>41</v>
      </c>
      <c r="F1019" s="8" t="s">
        <v>6215</v>
      </c>
      <c r="G1019" s="8" t="s">
        <v>1436</v>
      </c>
      <c r="H1019" s="8">
        <v>1</v>
      </c>
      <c r="I1019" s="8">
        <v>1</v>
      </c>
      <c r="J1019" s="8" t="s">
        <v>5208</v>
      </c>
      <c r="K1019" s="8" t="s">
        <v>256</v>
      </c>
      <c r="L1019" s="9">
        <v>46319</v>
      </c>
      <c r="M1019" s="8" t="s">
        <v>5864</v>
      </c>
      <c r="N1019" s="8" t="s">
        <v>5870</v>
      </c>
    </row>
    <row r="1020" spans="1:14" ht="40" customHeight="1">
      <c r="A1020" s="4" t="s">
        <v>5209</v>
      </c>
      <c r="B1020" s="4" t="s">
        <v>249</v>
      </c>
      <c r="C1020" s="4" t="s">
        <v>250</v>
      </c>
      <c r="D1020" s="4" t="s">
        <v>7</v>
      </c>
      <c r="E1020" s="4" t="s">
        <v>41</v>
      </c>
      <c r="F1020" s="4" t="s">
        <v>6216</v>
      </c>
      <c r="G1020" s="4" t="s">
        <v>1436</v>
      </c>
      <c r="H1020" s="4">
        <v>1</v>
      </c>
      <c r="I1020" s="4">
        <v>1</v>
      </c>
      <c r="J1020" s="4" t="s">
        <v>5210</v>
      </c>
      <c r="K1020" s="4" t="s">
        <v>256</v>
      </c>
      <c r="L1020" s="6">
        <v>46319</v>
      </c>
      <c r="M1020" s="4" t="s">
        <v>5864</v>
      </c>
      <c r="N1020" s="4" t="s">
        <v>5870</v>
      </c>
    </row>
    <row r="1021" spans="1:14" ht="40" customHeight="1">
      <c r="A1021" s="8" t="s">
        <v>5211</v>
      </c>
      <c r="B1021" s="8" t="s">
        <v>249</v>
      </c>
      <c r="C1021" s="8" t="s">
        <v>250</v>
      </c>
      <c r="D1021" s="8" t="s">
        <v>7</v>
      </c>
      <c r="E1021" s="8" t="s">
        <v>41</v>
      </c>
      <c r="F1021" s="8" t="s">
        <v>6284</v>
      </c>
      <c r="G1021" s="8" t="s">
        <v>1436</v>
      </c>
      <c r="H1021" s="8">
        <v>1</v>
      </c>
      <c r="I1021" s="8">
        <v>1</v>
      </c>
      <c r="J1021" s="8" t="s">
        <v>5212</v>
      </c>
      <c r="K1021" s="8" t="s">
        <v>256</v>
      </c>
      <c r="L1021" s="9">
        <v>46319</v>
      </c>
      <c r="M1021" s="8" t="s">
        <v>5864</v>
      </c>
      <c r="N1021" s="8" t="s">
        <v>5870</v>
      </c>
    </row>
    <row r="1022" spans="1:14" ht="40" customHeight="1">
      <c r="A1022" s="4" t="s">
        <v>4108</v>
      </c>
      <c r="B1022" s="4" t="s">
        <v>249</v>
      </c>
      <c r="C1022" s="4" t="s">
        <v>250</v>
      </c>
      <c r="D1022" s="4" t="s">
        <v>5879</v>
      </c>
      <c r="E1022" s="4" t="s">
        <v>41</v>
      </c>
      <c r="F1022" s="4" t="s">
        <v>3449</v>
      </c>
      <c r="G1022" s="4" t="s">
        <v>1436</v>
      </c>
      <c r="H1022" s="4">
        <v>1</v>
      </c>
      <c r="I1022" s="4">
        <v>1</v>
      </c>
      <c r="J1022" s="4" t="s">
        <v>4109</v>
      </c>
      <c r="K1022" s="4" t="s">
        <v>256</v>
      </c>
      <c r="L1022" s="6">
        <v>46319</v>
      </c>
      <c r="M1022" s="4" t="s">
        <v>5864</v>
      </c>
      <c r="N1022" s="4" t="s">
        <v>5865</v>
      </c>
    </row>
    <row r="1023" spans="1:14" ht="40" customHeight="1">
      <c r="A1023" s="8" t="s">
        <v>4110</v>
      </c>
      <c r="B1023" s="8" t="s">
        <v>249</v>
      </c>
      <c r="C1023" s="8" t="s">
        <v>250</v>
      </c>
      <c r="D1023" s="8" t="s">
        <v>5879</v>
      </c>
      <c r="E1023" s="8" t="s">
        <v>41</v>
      </c>
      <c r="F1023" s="8" t="s">
        <v>3466</v>
      </c>
      <c r="G1023" s="8" t="s">
        <v>1436</v>
      </c>
      <c r="H1023" s="8">
        <v>1</v>
      </c>
      <c r="I1023" s="8">
        <v>1</v>
      </c>
      <c r="J1023" s="8" t="s">
        <v>4111</v>
      </c>
      <c r="K1023" s="8" t="s">
        <v>256</v>
      </c>
      <c r="L1023" s="9">
        <v>46319</v>
      </c>
      <c r="M1023" s="8" t="s">
        <v>5864</v>
      </c>
      <c r="N1023" s="8" t="s">
        <v>5865</v>
      </c>
    </row>
    <row r="1024" spans="1:14" ht="40" customHeight="1">
      <c r="A1024" s="4" t="s">
        <v>4112</v>
      </c>
      <c r="B1024" s="4" t="s">
        <v>249</v>
      </c>
      <c r="C1024" s="4" t="s">
        <v>250</v>
      </c>
      <c r="D1024" s="4" t="s">
        <v>5879</v>
      </c>
      <c r="E1024" s="4" t="s">
        <v>41</v>
      </c>
      <c r="F1024" s="4" t="s">
        <v>3469</v>
      </c>
      <c r="G1024" s="4" t="s">
        <v>1436</v>
      </c>
      <c r="H1024" s="4">
        <v>1</v>
      </c>
      <c r="I1024" s="4">
        <v>1</v>
      </c>
      <c r="J1024" s="4" t="s">
        <v>4113</v>
      </c>
      <c r="K1024" s="4" t="s">
        <v>256</v>
      </c>
      <c r="L1024" s="6">
        <v>46319</v>
      </c>
      <c r="M1024" s="4" t="s">
        <v>5864</v>
      </c>
      <c r="N1024" s="4" t="s">
        <v>5865</v>
      </c>
    </row>
    <row r="1025" spans="1:14" ht="40" customHeight="1">
      <c r="A1025" s="8" t="s">
        <v>4114</v>
      </c>
      <c r="B1025" s="8" t="s">
        <v>249</v>
      </c>
      <c r="C1025" s="8" t="s">
        <v>250</v>
      </c>
      <c r="D1025" s="8" t="s">
        <v>5879</v>
      </c>
      <c r="E1025" s="8" t="s">
        <v>41</v>
      </c>
      <c r="F1025" s="8" t="s">
        <v>3472</v>
      </c>
      <c r="G1025" s="8" t="s">
        <v>1436</v>
      </c>
      <c r="H1025" s="8">
        <v>1</v>
      </c>
      <c r="I1025" s="8">
        <v>1</v>
      </c>
      <c r="J1025" s="8" t="s">
        <v>4115</v>
      </c>
      <c r="K1025" s="8" t="s">
        <v>256</v>
      </c>
      <c r="L1025" s="9">
        <v>46319</v>
      </c>
      <c r="M1025" s="8" t="s">
        <v>5864</v>
      </c>
      <c r="N1025" s="8" t="s">
        <v>5865</v>
      </c>
    </row>
    <row r="1026" spans="1:14" ht="40" customHeight="1">
      <c r="A1026" s="4" t="s">
        <v>4116</v>
      </c>
      <c r="B1026" s="4" t="s">
        <v>249</v>
      </c>
      <c r="C1026" s="4" t="s">
        <v>250</v>
      </c>
      <c r="D1026" s="4" t="s">
        <v>5879</v>
      </c>
      <c r="E1026" s="4" t="s">
        <v>41</v>
      </c>
      <c r="F1026" s="4" t="s">
        <v>3475</v>
      </c>
      <c r="G1026" s="4" t="s">
        <v>1436</v>
      </c>
      <c r="H1026" s="4">
        <v>1</v>
      </c>
      <c r="I1026" s="4">
        <v>1</v>
      </c>
      <c r="J1026" s="4" t="s">
        <v>4117</v>
      </c>
      <c r="K1026" s="4" t="s">
        <v>256</v>
      </c>
      <c r="L1026" s="6">
        <v>46319</v>
      </c>
      <c r="M1026" s="4" t="s">
        <v>5864</v>
      </c>
      <c r="N1026" s="4" t="s">
        <v>5865</v>
      </c>
    </row>
    <row r="1027" spans="1:14" ht="40" customHeight="1">
      <c r="A1027" s="8" t="s">
        <v>4118</v>
      </c>
      <c r="B1027" s="8" t="s">
        <v>249</v>
      </c>
      <c r="C1027" s="8" t="s">
        <v>250</v>
      </c>
      <c r="D1027" s="8" t="s">
        <v>5879</v>
      </c>
      <c r="E1027" s="8" t="s">
        <v>41</v>
      </c>
      <c r="F1027" s="8" t="s">
        <v>3478</v>
      </c>
      <c r="G1027" s="8" t="s">
        <v>1436</v>
      </c>
      <c r="H1027" s="8">
        <v>1</v>
      </c>
      <c r="I1027" s="8">
        <v>1</v>
      </c>
      <c r="J1027" s="8" t="s">
        <v>4119</v>
      </c>
      <c r="K1027" s="8" t="s">
        <v>256</v>
      </c>
      <c r="L1027" s="9">
        <v>46319</v>
      </c>
      <c r="M1027" s="8" t="s">
        <v>5864</v>
      </c>
      <c r="N1027" s="8" t="s">
        <v>5865</v>
      </c>
    </row>
    <row r="1028" spans="1:14" ht="40" customHeight="1">
      <c r="A1028" s="4" t="s">
        <v>4120</v>
      </c>
      <c r="B1028" s="4" t="s">
        <v>249</v>
      </c>
      <c r="C1028" s="4" t="s">
        <v>250</v>
      </c>
      <c r="D1028" s="4" t="s">
        <v>5879</v>
      </c>
      <c r="E1028" s="4" t="s">
        <v>41</v>
      </c>
      <c r="F1028" s="4" t="s">
        <v>3603</v>
      </c>
      <c r="G1028" s="4" t="s">
        <v>1436</v>
      </c>
      <c r="H1028" s="4">
        <v>1</v>
      </c>
      <c r="I1028" s="4">
        <v>1</v>
      </c>
      <c r="J1028" s="4" t="s">
        <v>4121</v>
      </c>
      <c r="K1028" s="4" t="s">
        <v>256</v>
      </c>
      <c r="L1028" s="6">
        <v>46319</v>
      </c>
      <c r="M1028" s="4" t="s">
        <v>5864</v>
      </c>
      <c r="N1028" s="4" t="s">
        <v>5865</v>
      </c>
    </row>
    <row r="1029" spans="1:14" ht="40" customHeight="1">
      <c r="A1029" s="8" t="s">
        <v>4122</v>
      </c>
      <c r="B1029" s="8" t="s">
        <v>249</v>
      </c>
      <c r="C1029" s="8" t="s">
        <v>250</v>
      </c>
      <c r="D1029" s="8" t="s">
        <v>5879</v>
      </c>
      <c r="E1029" s="8" t="s">
        <v>41</v>
      </c>
      <c r="F1029" s="8" t="s">
        <v>3838</v>
      </c>
      <c r="G1029" s="8" t="s">
        <v>1436</v>
      </c>
      <c r="H1029" s="8">
        <v>1</v>
      </c>
      <c r="I1029" s="8">
        <v>1</v>
      </c>
      <c r="J1029" s="8" t="s">
        <v>4123</v>
      </c>
      <c r="K1029" s="8" t="s">
        <v>256</v>
      </c>
      <c r="L1029" s="9">
        <v>46319</v>
      </c>
      <c r="M1029" s="8" t="s">
        <v>5864</v>
      </c>
      <c r="N1029" s="8" t="s">
        <v>5865</v>
      </c>
    </row>
    <row r="1030" spans="1:14" ht="40" customHeight="1">
      <c r="A1030" s="4" t="s">
        <v>4124</v>
      </c>
      <c r="B1030" s="4" t="s">
        <v>249</v>
      </c>
      <c r="C1030" s="4" t="s">
        <v>250</v>
      </c>
      <c r="D1030" s="4" t="s">
        <v>5879</v>
      </c>
      <c r="E1030" s="4" t="s">
        <v>41</v>
      </c>
      <c r="F1030" s="4" t="s">
        <v>3608</v>
      </c>
      <c r="G1030" s="4" t="s">
        <v>1436</v>
      </c>
      <c r="H1030" s="4">
        <v>1</v>
      </c>
      <c r="I1030" s="4">
        <v>1</v>
      </c>
      <c r="J1030" s="4" t="s">
        <v>4125</v>
      </c>
      <c r="K1030" s="4" t="s">
        <v>256</v>
      </c>
      <c r="L1030" s="6">
        <v>46319</v>
      </c>
      <c r="M1030" s="4" t="s">
        <v>5864</v>
      </c>
      <c r="N1030" s="4" t="s">
        <v>5865</v>
      </c>
    </row>
    <row r="1031" spans="1:14" ht="40" customHeight="1">
      <c r="A1031" s="8" t="s">
        <v>4126</v>
      </c>
      <c r="B1031" s="8" t="s">
        <v>249</v>
      </c>
      <c r="C1031" s="8" t="s">
        <v>250</v>
      </c>
      <c r="D1031" s="8" t="s">
        <v>5879</v>
      </c>
      <c r="E1031" s="8" t="s">
        <v>41</v>
      </c>
      <c r="F1031" s="8" t="s">
        <v>3611</v>
      </c>
      <c r="G1031" s="8" t="s">
        <v>1436</v>
      </c>
      <c r="H1031" s="8">
        <v>1</v>
      </c>
      <c r="I1031" s="8">
        <v>1</v>
      </c>
      <c r="J1031" s="8" t="s">
        <v>4127</v>
      </c>
      <c r="K1031" s="8" t="s">
        <v>256</v>
      </c>
      <c r="L1031" s="9">
        <v>46319</v>
      </c>
      <c r="M1031" s="8" t="s">
        <v>5864</v>
      </c>
      <c r="N1031" s="8" t="s">
        <v>5865</v>
      </c>
    </row>
    <row r="1032" spans="1:14" ht="40" customHeight="1">
      <c r="A1032" s="4" t="s">
        <v>4128</v>
      </c>
      <c r="B1032" s="4" t="s">
        <v>249</v>
      </c>
      <c r="C1032" s="4" t="s">
        <v>250</v>
      </c>
      <c r="D1032" s="4" t="s">
        <v>5879</v>
      </c>
      <c r="E1032" s="4" t="s">
        <v>41</v>
      </c>
      <c r="F1032" s="4" t="s">
        <v>3775</v>
      </c>
      <c r="G1032" s="4" t="s">
        <v>1436</v>
      </c>
      <c r="H1032" s="4">
        <v>1</v>
      </c>
      <c r="I1032" s="4">
        <v>1</v>
      </c>
      <c r="J1032" s="4" t="s">
        <v>4129</v>
      </c>
      <c r="K1032" s="4" t="s">
        <v>256</v>
      </c>
      <c r="L1032" s="6">
        <v>46319</v>
      </c>
      <c r="M1032" s="4" t="s">
        <v>5864</v>
      </c>
      <c r="N1032" s="4" t="s">
        <v>5865</v>
      </c>
    </row>
    <row r="1033" spans="1:14" ht="40" customHeight="1">
      <c r="A1033" s="8" t="s">
        <v>4130</v>
      </c>
      <c r="B1033" s="8" t="s">
        <v>249</v>
      </c>
      <c r="C1033" s="8" t="s">
        <v>250</v>
      </c>
      <c r="D1033" s="8" t="s">
        <v>5879</v>
      </c>
      <c r="E1033" s="8" t="s">
        <v>41</v>
      </c>
      <c r="F1033" s="8" t="s">
        <v>3847</v>
      </c>
      <c r="G1033" s="8" t="s">
        <v>1436</v>
      </c>
      <c r="H1033" s="8">
        <v>1</v>
      </c>
      <c r="I1033" s="8">
        <v>1</v>
      </c>
      <c r="J1033" s="8" t="s">
        <v>4131</v>
      </c>
      <c r="K1033" s="8" t="s">
        <v>256</v>
      </c>
      <c r="L1033" s="9">
        <v>46319</v>
      </c>
      <c r="M1033" s="8" t="s">
        <v>5864</v>
      </c>
      <c r="N1033" s="8" t="s">
        <v>5865</v>
      </c>
    </row>
    <row r="1034" spans="1:14" ht="40" customHeight="1">
      <c r="A1034" s="4" t="s">
        <v>4132</v>
      </c>
      <c r="B1034" s="4" t="s">
        <v>249</v>
      </c>
      <c r="C1034" s="4" t="s">
        <v>250</v>
      </c>
      <c r="D1034" s="4" t="s">
        <v>5879</v>
      </c>
      <c r="E1034" s="4" t="s">
        <v>41</v>
      </c>
      <c r="F1034" s="4" t="s">
        <v>3777</v>
      </c>
      <c r="G1034" s="4" t="s">
        <v>1436</v>
      </c>
      <c r="H1034" s="4">
        <v>1</v>
      </c>
      <c r="I1034" s="4">
        <v>1</v>
      </c>
      <c r="J1034" s="4" t="s">
        <v>4133</v>
      </c>
      <c r="K1034" s="4" t="s">
        <v>256</v>
      </c>
      <c r="L1034" s="6">
        <v>46319</v>
      </c>
      <c r="M1034" s="4" t="s">
        <v>5864</v>
      </c>
      <c r="N1034" s="4" t="s">
        <v>5865</v>
      </c>
    </row>
    <row r="1035" spans="1:14" ht="54" customHeight="1">
      <c r="A1035" s="8" t="s">
        <v>4134</v>
      </c>
      <c r="B1035" s="8" t="s">
        <v>249</v>
      </c>
      <c r="C1035" s="8" t="s">
        <v>250</v>
      </c>
      <c r="D1035" s="8" t="s">
        <v>5879</v>
      </c>
      <c r="E1035" s="8" t="s">
        <v>41</v>
      </c>
      <c r="F1035" s="8" t="s">
        <v>3779</v>
      </c>
      <c r="G1035" s="8" t="s">
        <v>1436</v>
      </c>
      <c r="H1035" s="8">
        <v>1</v>
      </c>
      <c r="I1035" s="8">
        <v>1</v>
      </c>
      <c r="J1035" s="8" t="s">
        <v>4135</v>
      </c>
      <c r="K1035" s="8" t="s">
        <v>256</v>
      </c>
      <c r="L1035" s="9">
        <v>46319</v>
      </c>
      <c r="M1035" s="8" t="s">
        <v>5864</v>
      </c>
      <c r="N1035" s="8" t="s">
        <v>5865</v>
      </c>
    </row>
    <row r="1036" spans="1:14" ht="40" customHeight="1">
      <c r="A1036" s="4" t="s">
        <v>4136</v>
      </c>
      <c r="B1036" s="4" t="s">
        <v>249</v>
      </c>
      <c r="C1036" s="4" t="s">
        <v>250</v>
      </c>
      <c r="D1036" s="4" t="s">
        <v>5879</v>
      </c>
      <c r="E1036" s="4" t="s">
        <v>41</v>
      </c>
      <c r="F1036" s="4" t="s">
        <v>3781</v>
      </c>
      <c r="G1036" s="4" t="s">
        <v>1436</v>
      </c>
      <c r="H1036" s="4">
        <v>1</v>
      </c>
      <c r="I1036" s="4">
        <v>1</v>
      </c>
      <c r="J1036" s="4" t="s">
        <v>4137</v>
      </c>
      <c r="K1036" s="4" t="s">
        <v>256</v>
      </c>
      <c r="L1036" s="6">
        <v>46319</v>
      </c>
      <c r="M1036" s="4" t="s">
        <v>5864</v>
      </c>
      <c r="N1036" s="4" t="s">
        <v>5865</v>
      </c>
    </row>
    <row r="1037" spans="1:14" ht="40" customHeight="1">
      <c r="A1037" s="8" t="s">
        <v>4138</v>
      </c>
      <c r="B1037" s="8" t="s">
        <v>249</v>
      </c>
      <c r="C1037" s="8" t="s">
        <v>250</v>
      </c>
      <c r="D1037" s="8" t="s">
        <v>5879</v>
      </c>
      <c r="E1037" s="8" t="s">
        <v>41</v>
      </c>
      <c r="F1037" s="8" t="s">
        <v>3783</v>
      </c>
      <c r="G1037" s="8" t="s">
        <v>1436</v>
      </c>
      <c r="H1037" s="8">
        <v>1</v>
      </c>
      <c r="I1037" s="8">
        <v>1</v>
      </c>
      <c r="J1037" s="8" t="s">
        <v>4139</v>
      </c>
      <c r="K1037" s="8" t="s">
        <v>256</v>
      </c>
      <c r="L1037" s="9">
        <v>46319</v>
      </c>
      <c r="M1037" s="8" t="s">
        <v>5864</v>
      </c>
      <c r="N1037" s="8" t="s">
        <v>5865</v>
      </c>
    </row>
    <row r="1038" spans="1:14" ht="54" customHeight="1">
      <c r="A1038" s="4" t="s">
        <v>4140</v>
      </c>
      <c r="B1038" s="4" t="s">
        <v>249</v>
      </c>
      <c r="C1038" s="4" t="s">
        <v>250</v>
      </c>
      <c r="D1038" s="4" t="s">
        <v>5879</v>
      </c>
      <c r="E1038" s="4" t="s">
        <v>41</v>
      </c>
      <c r="F1038" s="4" t="s">
        <v>3785</v>
      </c>
      <c r="G1038" s="4" t="s">
        <v>1436</v>
      </c>
      <c r="H1038" s="4">
        <v>1</v>
      </c>
      <c r="I1038" s="4">
        <v>1</v>
      </c>
      <c r="J1038" s="4" t="s">
        <v>4141</v>
      </c>
      <c r="K1038" s="4" t="s">
        <v>256</v>
      </c>
      <c r="L1038" s="6">
        <v>46319</v>
      </c>
      <c r="M1038" s="4" t="s">
        <v>5864</v>
      </c>
      <c r="N1038" s="4" t="s">
        <v>5865</v>
      </c>
    </row>
    <row r="1039" spans="1:14" ht="40" customHeight="1">
      <c r="A1039" s="8" t="s">
        <v>4142</v>
      </c>
      <c r="B1039" s="8" t="s">
        <v>249</v>
      </c>
      <c r="C1039" s="8" t="s">
        <v>250</v>
      </c>
      <c r="D1039" s="8" t="s">
        <v>5879</v>
      </c>
      <c r="E1039" s="8" t="s">
        <v>41</v>
      </c>
      <c r="F1039" s="8" t="s">
        <v>3885</v>
      </c>
      <c r="G1039" s="8" t="s">
        <v>1436</v>
      </c>
      <c r="H1039" s="8">
        <v>1</v>
      </c>
      <c r="I1039" s="8">
        <v>1</v>
      </c>
      <c r="J1039" s="8" t="s">
        <v>4143</v>
      </c>
      <c r="K1039" s="8" t="s">
        <v>256</v>
      </c>
      <c r="L1039" s="9">
        <v>46319</v>
      </c>
      <c r="M1039" s="8" t="s">
        <v>5864</v>
      </c>
      <c r="N1039" s="8" t="s">
        <v>5865</v>
      </c>
    </row>
    <row r="1040" spans="1:14" ht="40" customHeight="1">
      <c r="A1040" s="4" t="s">
        <v>4144</v>
      </c>
      <c r="B1040" s="4" t="s">
        <v>249</v>
      </c>
      <c r="C1040" s="4" t="s">
        <v>250</v>
      </c>
      <c r="D1040" s="4" t="s">
        <v>5879</v>
      </c>
      <c r="E1040" s="4" t="s">
        <v>41</v>
      </c>
      <c r="F1040" s="4" t="s">
        <v>4146</v>
      </c>
      <c r="G1040" s="4" t="s">
        <v>1436</v>
      </c>
      <c r="H1040" s="4">
        <v>1</v>
      </c>
      <c r="I1040" s="4">
        <v>1</v>
      </c>
      <c r="J1040" s="4" t="s">
        <v>4145</v>
      </c>
      <c r="K1040" s="4" t="s">
        <v>256</v>
      </c>
      <c r="L1040" s="6">
        <v>46319</v>
      </c>
      <c r="M1040" s="4" t="s">
        <v>5864</v>
      </c>
      <c r="N1040" s="4" t="s">
        <v>6087</v>
      </c>
    </row>
    <row r="1041" spans="1:14" ht="40" customHeight="1">
      <c r="A1041" s="8" t="s">
        <v>4147</v>
      </c>
      <c r="B1041" s="8" t="s">
        <v>249</v>
      </c>
      <c r="C1041" s="8" t="s">
        <v>250</v>
      </c>
      <c r="D1041" s="8" t="s">
        <v>5879</v>
      </c>
      <c r="E1041" s="8" t="s">
        <v>41</v>
      </c>
      <c r="F1041" s="8" t="s">
        <v>3789</v>
      </c>
      <c r="G1041" s="8" t="s">
        <v>1436</v>
      </c>
      <c r="H1041" s="8">
        <v>1</v>
      </c>
      <c r="I1041" s="8">
        <v>1</v>
      </c>
      <c r="J1041" s="8" t="s">
        <v>4148</v>
      </c>
      <c r="K1041" s="8" t="s">
        <v>256</v>
      </c>
      <c r="L1041" s="9">
        <v>46319</v>
      </c>
      <c r="M1041" s="8" t="s">
        <v>5864</v>
      </c>
      <c r="N1041" s="8" t="s">
        <v>5865</v>
      </c>
    </row>
    <row r="1042" spans="1:14" ht="40" customHeight="1">
      <c r="A1042" s="4" t="s">
        <v>4149</v>
      </c>
      <c r="B1042" s="4" t="s">
        <v>249</v>
      </c>
      <c r="C1042" s="4" t="s">
        <v>250</v>
      </c>
      <c r="D1042" s="4" t="s">
        <v>5879</v>
      </c>
      <c r="E1042" s="4" t="s">
        <v>41</v>
      </c>
      <c r="F1042" s="4" t="s">
        <v>3460</v>
      </c>
      <c r="G1042" s="4" t="s">
        <v>1436</v>
      </c>
      <c r="H1042" s="4">
        <v>1</v>
      </c>
      <c r="I1042" s="4">
        <v>1</v>
      </c>
      <c r="J1042" s="4" t="s">
        <v>4150</v>
      </c>
      <c r="K1042" s="4" t="s">
        <v>256</v>
      </c>
      <c r="L1042" s="6">
        <v>46319</v>
      </c>
      <c r="M1042" s="4" t="s">
        <v>5864</v>
      </c>
      <c r="N1042" s="4" t="s">
        <v>5865</v>
      </c>
    </row>
    <row r="1043" spans="1:14" ht="54" customHeight="1">
      <c r="A1043" s="8" t="s">
        <v>4151</v>
      </c>
      <c r="B1043" s="8" t="s">
        <v>249</v>
      </c>
      <c r="C1043" s="8" t="s">
        <v>250</v>
      </c>
      <c r="D1043" s="8" t="s">
        <v>5879</v>
      </c>
      <c r="E1043" s="8" t="s">
        <v>41</v>
      </c>
      <c r="F1043" s="8" t="s">
        <v>3815</v>
      </c>
      <c r="G1043" s="8" t="s">
        <v>1436</v>
      </c>
      <c r="H1043" s="8">
        <v>1</v>
      </c>
      <c r="I1043" s="8">
        <v>1</v>
      </c>
      <c r="J1043" s="8" t="s">
        <v>4152</v>
      </c>
      <c r="K1043" s="8" t="s">
        <v>256</v>
      </c>
      <c r="L1043" s="9">
        <v>46319</v>
      </c>
      <c r="M1043" s="8" t="s">
        <v>5864</v>
      </c>
      <c r="N1043" s="8" t="s">
        <v>5865</v>
      </c>
    </row>
    <row r="1044" spans="1:14" ht="40" customHeight="1">
      <c r="A1044" s="4" t="s">
        <v>4153</v>
      </c>
      <c r="B1044" s="4" t="s">
        <v>249</v>
      </c>
      <c r="C1044" s="4" t="s">
        <v>250</v>
      </c>
      <c r="D1044" s="4" t="s">
        <v>5879</v>
      </c>
      <c r="E1044" s="4" t="s">
        <v>41</v>
      </c>
      <c r="F1044" s="4" t="s">
        <v>3701</v>
      </c>
      <c r="G1044" s="4" t="s">
        <v>1436</v>
      </c>
      <c r="H1044" s="4">
        <v>1</v>
      </c>
      <c r="I1044" s="4">
        <v>1</v>
      </c>
      <c r="J1044" s="4" t="s">
        <v>4154</v>
      </c>
      <c r="K1044" s="4" t="s">
        <v>256</v>
      </c>
      <c r="L1044" s="6">
        <v>46319</v>
      </c>
      <c r="M1044" s="4" t="s">
        <v>5864</v>
      </c>
      <c r="N1044" s="4" t="s">
        <v>5865</v>
      </c>
    </row>
    <row r="1045" spans="1:14" ht="40" customHeight="1">
      <c r="A1045" s="8" t="s">
        <v>4155</v>
      </c>
      <c r="B1045" s="8" t="s">
        <v>249</v>
      </c>
      <c r="C1045" s="8" t="s">
        <v>250</v>
      </c>
      <c r="D1045" s="8" t="s">
        <v>5879</v>
      </c>
      <c r="E1045" s="8" t="s">
        <v>41</v>
      </c>
      <c r="F1045" s="8" t="s">
        <v>3819</v>
      </c>
      <c r="G1045" s="8" t="s">
        <v>1436</v>
      </c>
      <c r="H1045" s="8">
        <v>1</v>
      </c>
      <c r="I1045" s="8">
        <v>1</v>
      </c>
      <c r="J1045" s="8" t="s">
        <v>4156</v>
      </c>
      <c r="K1045" s="8" t="s">
        <v>256</v>
      </c>
      <c r="L1045" s="9">
        <v>46319</v>
      </c>
      <c r="M1045" s="8" t="s">
        <v>5864</v>
      </c>
      <c r="N1045" s="8" t="s">
        <v>5865</v>
      </c>
    </row>
    <row r="1046" spans="1:14" ht="40" customHeight="1">
      <c r="A1046" s="4" t="s">
        <v>4157</v>
      </c>
      <c r="B1046" s="4" t="s">
        <v>249</v>
      </c>
      <c r="C1046" s="4" t="s">
        <v>250</v>
      </c>
      <c r="D1046" s="4" t="s">
        <v>5879</v>
      </c>
      <c r="E1046" s="4" t="s">
        <v>41</v>
      </c>
      <c r="F1046" s="4" t="s">
        <v>4158</v>
      </c>
      <c r="G1046" s="4" t="s">
        <v>1436</v>
      </c>
      <c r="H1046" s="4">
        <v>1</v>
      </c>
      <c r="I1046" s="4">
        <v>1</v>
      </c>
      <c r="J1046" s="4" t="s">
        <v>4145</v>
      </c>
      <c r="K1046" s="4" t="s">
        <v>256</v>
      </c>
      <c r="L1046" s="6">
        <v>46319</v>
      </c>
      <c r="M1046" s="4" t="s">
        <v>5864</v>
      </c>
      <c r="N1046" s="4" t="s">
        <v>6087</v>
      </c>
    </row>
    <row r="1047" spans="1:14" ht="40" customHeight="1">
      <c r="A1047" s="8" t="s">
        <v>4159</v>
      </c>
      <c r="B1047" s="8" t="s">
        <v>249</v>
      </c>
      <c r="C1047" s="8" t="s">
        <v>250</v>
      </c>
      <c r="D1047" s="8" t="s">
        <v>5879</v>
      </c>
      <c r="E1047" s="8" t="s">
        <v>41</v>
      </c>
      <c r="F1047" s="8" t="s">
        <v>4160</v>
      </c>
      <c r="G1047" s="8" t="s">
        <v>1436</v>
      </c>
      <c r="H1047" s="8">
        <v>1</v>
      </c>
      <c r="I1047" s="8">
        <v>1</v>
      </c>
      <c r="J1047" s="8" t="s">
        <v>4148</v>
      </c>
      <c r="K1047" s="8" t="s">
        <v>256</v>
      </c>
      <c r="L1047" s="9">
        <v>46319</v>
      </c>
      <c r="M1047" s="8" t="s">
        <v>5864</v>
      </c>
      <c r="N1047" s="8" t="s">
        <v>5865</v>
      </c>
    </row>
    <row r="1048" spans="1:14" ht="40" customHeight="1">
      <c r="A1048" s="4" t="s">
        <v>4161</v>
      </c>
      <c r="B1048" s="4" t="s">
        <v>249</v>
      </c>
      <c r="C1048" s="4" t="s">
        <v>250</v>
      </c>
      <c r="D1048" s="4" t="s">
        <v>5879</v>
      </c>
      <c r="E1048" s="4" t="s">
        <v>41</v>
      </c>
      <c r="F1048" s="4" t="s">
        <v>4163</v>
      </c>
      <c r="G1048" s="4" t="s">
        <v>1436</v>
      </c>
      <c r="H1048" s="4">
        <v>1</v>
      </c>
      <c r="I1048" s="4">
        <v>1</v>
      </c>
      <c r="J1048" s="4" t="s">
        <v>4162</v>
      </c>
      <c r="K1048" s="4" t="s">
        <v>256</v>
      </c>
      <c r="L1048" s="6">
        <v>46319</v>
      </c>
      <c r="M1048" s="4" t="s">
        <v>5864</v>
      </c>
      <c r="N1048" s="4" t="s">
        <v>5865</v>
      </c>
    </row>
    <row r="1049" spans="1:14" ht="54" customHeight="1">
      <c r="A1049" s="8" t="s">
        <v>4164</v>
      </c>
      <c r="B1049" s="8" t="s">
        <v>249</v>
      </c>
      <c r="C1049" s="8" t="s">
        <v>250</v>
      </c>
      <c r="D1049" s="8" t="s">
        <v>5879</v>
      </c>
      <c r="E1049" s="8" t="s">
        <v>41</v>
      </c>
      <c r="F1049" s="8" t="s">
        <v>4166</v>
      </c>
      <c r="G1049" s="8" t="s">
        <v>1436</v>
      </c>
      <c r="H1049" s="8">
        <v>1</v>
      </c>
      <c r="I1049" s="8">
        <v>1</v>
      </c>
      <c r="J1049" s="8" t="s">
        <v>4165</v>
      </c>
      <c r="K1049" s="8" t="s">
        <v>256</v>
      </c>
      <c r="L1049" s="9">
        <v>46319</v>
      </c>
      <c r="M1049" s="8" t="s">
        <v>5864</v>
      </c>
      <c r="N1049" s="8" t="s">
        <v>5865</v>
      </c>
    </row>
    <row r="1050" spans="1:14" ht="40" customHeight="1">
      <c r="A1050" s="4" t="s">
        <v>4167</v>
      </c>
      <c r="B1050" s="4" t="s">
        <v>249</v>
      </c>
      <c r="C1050" s="4" t="s">
        <v>250</v>
      </c>
      <c r="D1050" s="4" t="s">
        <v>5879</v>
      </c>
      <c r="E1050" s="4" t="s">
        <v>41</v>
      </c>
      <c r="F1050" s="4" t="s">
        <v>4169</v>
      </c>
      <c r="G1050" s="4" t="s">
        <v>1436</v>
      </c>
      <c r="H1050" s="4">
        <v>1</v>
      </c>
      <c r="I1050" s="4">
        <v>1</v>
      </c>
      <c r="J1050" s="4" t="s">
        <v>4168</v>
      </c>
      <c r="K1050" s="4" t="s">
        <v>256</v>
      </c>
      <c r="L1050" s="6">
        <v>46319</v>
      </c>
      <c r="M1050" s="4" t="s">
        <v>5864</v>
      </c>
      <c r="N1050" s="4" t="s">
        <v>5865</v>
      </c>
    </row>
    <row r="1051" spans="1:14" ht="40" customHeight="1">
      <c r="A1051" s="8" t="s">
        <v>4170</v>
      </c>
      <c r="B1051" s="8" t="s">
        <v>249</v>
      </c>
      <c r="C1051" s="8" t="s">
        <v>250</v>
      </c>
      <c r="D1051" s="8" t="s">
        <v>5879</v>
      </c>
      <c r="E1051" s="8" t="s">
        <v>41</v>
      </c>
      <c r="F1051" s="8" t="s">
        <v>4172</v>
      </c>
      <c r="G1051" s="8" t="s">
        <v>1436</v>
      </c>
      <c r="H1051" s="8">
        <v>1</v>
      </c>
      <c r="I1051" s="8">
        <v>1</v>
      </c>
      <c r="J1051" s="8" t="s">
        <v>4171</v>
      </c>
      <c r="K1051" s="8" t="s">
        <v>256</v>
      </c>
      <c r="L1051" s="9">
        <v>46319</v>
      </c>
      <c r="M1051" s="8" t="s">
        <v>5864</v>
      </c>
      <c r="N1051" s="8" t="s">
        <v>5865</v>
      </c>
    </row>
    <row r="1052" spans="1:14" ht="40" customHeight="1">
      <c r="A1052" s="4" t="s">
        <v>4173</v>
      </c>
      <c r="B1052" s="4" t="s">
        <v>249</v>
      </c>
      <c r="C1052" s="4" t="s">
        <v>250</v>
      </c>
      <c r="D1052" s="4" t="s">
        <v>5879</v>
      </c>
      <c r="E1052" s="4" t="s">
        <v>41</v>
      </c>
      <c r="F1052" s="4" t="s">
        <v>4175</v>
      </c>
      <c r="G1052" s="4" t="s">
        <v>1436</v>
      </c>
      <c r="H1052" s="4">
        <v>1</v>
      </c>
      <c r="I1052" s="4">
        <v>1</v>
      </c>
      <c r="J1052" s="4" t="s">
        <v>4174</v>
      </c>
      <c r="K1052" s="4" t="s">
        <v>256</v>
      </c>
      <c r="L1052" s="6">
        <v>46319</v>
      </c>
      <c r="M1052" s="4" t="s">
        <v>5864</v>
      </c>
      <c r="N1052" s="4" t="s">
        <v>5865</v>
      </c>
    </row>
    <row r="1053" spans="1:14" ht="40" customHeight="1">
      <c r="A1053" s="8" t="s">
        <v>4176</v>
      </c>
      <c r="B1053" s="8" t="s">
        <v>249</v>
      </c>
      <c r="C1053" s="8" t="s">
        <v>250</v>
      </c>
      <c r="D1053" s="8" t="s">
        <v>5879</v>
      </c>
      <c r="E1053" s="8" t="s">
        <v>41</v>
      </c>
      <c r="F1053" s="8" t="s">
        <v>4177</v>
      </c>
      <c r="G1053" s="8" t="s">
        <v>1436</v>
      </c>
      <c r="H1053" s="8">
        <v>1</v>
      </c>
      <c r="I1053" s="8">
        <v>1</v>
      </c>
      <c r="J1053" s="8" t="s">
        <v>4145</v>
      </c>
      <c r="K1053" s="8" t="s">
        <v>256</v>
      </c>
      <c r="L1053" s="9">
        <v>46319</v>
      </c>
      <c r="M1053" s="8" t="s">
        <v>5864</v>
      </c>
      <c r="N1053" s="8" t="s">
        <v>6087</v>
      </c>
    </row>
    <row r="1054" spans="1:14" ht="40" customHeight="1">
      <c r="A1054" s="4" t="s">
        <v>4178</v>
      </c>
      <c r="B1054" s="4" t="s">
        <v>249</v>
      </c>
      <c r="C1054" s="4" t="s">
        <v>250</v>
      </c>
      <c r="D1054" s="4" t="s">
        <v>5879</v>
      </c>
      <c r="E1054" s="4" t="s">
        <v>41</v>
      </c>
      <c r="F1054" s="4" t="s">
        <v>4179</v>
      </c>
      <c r="G1054" s="4" t="s">
        <v>1436</v>
      </c>
      <c r="H1054" s="4">
        <v>1</v>
      </c>
      <c r="I1054" s="4">
        <v>1</v>
      </c>
      <c r="J1054" s="4" t="s">
        <v>4148</v>
      </c>
      <c r="K1054" s="4" t="s">
        <v>256</v>
      </c>
      <c r="L1054" s="6">
        <v>46319</v>
      </c>
      <c r="M1054" s="4" t="s">
        <v>5864</v>
      </c>
      <c r="N1054" s="4" t="s">
        <v>5865</v>
      </c>
    </row>
    <row r="1055" spans="1:14" ht="40" customHeight="1">
      <c r="A1055" s="8" t="s">
        <v>4180</v>
      </c>
      <c r="B1055" s="8" t="s">
        <v>249</v>
      </c>
      <c r="C1055" s="8" t="s">
        <v>250</v>
      </c>
      <c r="D1055" s="8" t="s">
        <v>5879</v>
      </c>
      <c r="E1055" s="8" t="s">
        <v>41</v>
      </c>
      <c r="F1055" s="8" t="s">
        <v>4182</v>
      </c>
      <c r="G1055" s="8" t="s">
        <v>1436</v>
      </c>
      <c r="H1055" s="8">
        <v>1</v>
      </c>
      <c r="I1055" s="8">
        <v>1</v>
      </c>
      <c r="J1055" s="8" t="s">
        <v>4181</v>
      </c>
      <c r="K1055" s="8" t="s">
        <v>256</v>
      </c>
      <c r="L1055" s="9">
        <v>46319</v>
      </c>
      <c r="M1055" s="8" t="s">
        <v>5864</v>
      </c>
      <c r="N1055" s="8" t="s">
        <v>5865</v>
      </c>
    </row>
    <row r="1056" spans="1:14" ht="40" customHeight="1">
      <c r="A1056" s="4" t="s">
        <v>4183</v>
      </c>
      <c r="B1056" s="4" t="s">
        <v>249</v>
      </c>
      <c r="C1056" s="4" t="s">
        <v>250</v>
      </c>
      <c r="D1056" s="4" t="s">
        <v>5879</v>
      </c>
      <c r="E1056" s="4" t="s">
        <v>41</v>
      </c>
      <c r="F1056" s="4" t="s">
        <v>4185</v>
      </c>
      <c r="G1056" s="4" t="s">
        <v>1436</v>
      </c>
      <c r="H1056" s="4">
        <v>1</v>
      </c>
      <c r="I1056" s="4">
        <v>1</v>
      </c>
      <c r="J1056" s="4" t="s">
        <v>4184</v>
      </c>
      <c r="K1056" s="4" t="s">
        <v>256</v>
      </c>
      <c r="L1056" s="6">
        <v>46319</v>
      </c>
      <c r="M1056" s="4" t="s">
        <v>5864</v>
      </c>
      <c r="N1056" s="4" t="s">
        <v>5865</v>
      </c>
    </row>
    <row r="1057" spans="1:14" ht="68" customHeight="1">
      <c r="A1057" s="8" t="s">
        <v>7113</v>
      </c>
      <c r="B1057" s="8" t="s">
        <v>249</v>
      </c>
      <c r="C1057" s="8" t="s">
        <v>250</v>
      </c>
      <c r="D1057" s="8" t="s">
        <v>2969</v>
      </c>
      <c r="E1057" s="8" t="s">
        <v>41</v>
      </c>
      <c r="F1057" s="8" t="s">
        <v>5881</v>
      </c>
      <c r="G1057" s="8" t="s">
        <v>1436</v>
      </c>
      <c r="H1057" s="8">
        <v>1</v>
      </c>
      <c r="I1057" s="8">
        <v>1</v>
      </c>
      <c r="J1057" s="8" t="s">
        <v>7114</v>
      </c>
      <c r="K1057" s="8" t="s">
        <v>256</v>
      </c>
      <c r="L1057" s="9">
        <v>46319</v>
      </c>
      <c r="M1057" s="8" t="s">
        <v>5864</v>
      </c>
      <c r="N1057" s="8" t="s">
        <v>5883</v>
      </c>
    </row>
    <row r="1058" spans="1:14" ht="82" customHeight="1">
      <c r="A1058" s="4" t="s">
        <v>7115</v>
      </c>
      <c r="B1058" s="4" t="s">
        <v>249</v>
      </c>
      <c r="C1058" s="4" t="s">
        <v>250</v>
      </c>
      <c r="D1058" s="4" t="s">
        <v>2969</v>
      </c>
      <c r="E1058" s="4" t="s">
        <v>41</v>
      </c>
      <c r="F1058" s="4" t="s">
        <v>5885</v>
      </c>
      <c r="G1058" s="4" t="s">
        <v>1436</v>
      </c>
      <c r="H1058" s="4">
        <v>1</v>
      </c>
      <c r="I1058" s="4">
        <v>1</v>
      </c>
      <c r="J1058" s="4" t="s">
        <v>7116</v>
      </c>
      <c r="K1058" s="4" t="s">
        <v>256</v>
      </c>
      <c r="L1058" s="6">
        <v>46319</v>
      </c>
      <c r="M1058" s="4" t="s">
        <v>5864</v>
      </c>
      <c r="N1058" s="4" t="s">
        <v>5883</v>
      </c>
    </row>
    <row r="1059" spans="1:14" ht="54" customHeight="1">
      <c r="A1059" s="8" t="s">
        <v>7117</v>
      </c>
      <c r="B1059" s="8" t="s">
        <v>249</v>
      </c>
      <c r="C1059" s="8" t="s">
        <v>250</v>
      </c>
      <c r="D1059" s="8" t="s">
        <v>2969</v>
      </c>
      <c r="E1059" s="8" t="s">
        <v>41</v>
      </c>
      <c r="F1059" s="8" t="s">
        <v>5888</v>
      </c>
      <c r="G1059" s="8" t="s">
        <v>1436</v>
      </c>
      <c r="H1059" s="8">
        <v>1</v>
      </c>
      <c r="I1059" s="8">
        <v>1</v>
      </c>
      <c r="J1059" s="8" t="s">
        <v>7118</v>
      </c>
      <c r="K1059" s="8" t="s">
        <v>256</v>
      </c>
      <c r="L1059" s="9">
        <v>46319</v>
      </c>
      <c r="M1059" s="8" t="s">
        <v>5864</v>
      </c>
      <c r="N1059" s="8" t="s">
        <v>5883</v>
      </c>
    </row>
    <row r="1060" spans="1:14" ht="68" customHeight="1">
      <c r="A1060" s="4" t="s">
        <v>7119</v>
      </c>
      <c r="B1060" s="4" t="s">
        <v>249</v>
      </c>
      <c r="C1060" s="4" t="s">
        <v>250</v>
      </c>
      <c r="D1060" s="4" t="s">
        <v>2969</v>
      </c>
      <c r="E1060" s="4" t="s">
        <v>41</v>
      </c>
      <c r="F1060" s="4" t="s">
        <v>5891</v>
      </c>
      <c r="G1060" s="4" t="s">
        <v>1436</v>
      </c>
      <c r="H1060" s="4">
        <v>1</v>
      </c>
      <c r="I1060" s="4">
        <v>1</v>
      </c>
      <c r="J1060" s="4" t="s">
        <v>7120</v>
      </c>
      <c r="K1060" s="4" t="s">
        <v>256</v>
      </c>
      <c r="L1060" s="6">
        <v>46319</v>
      </c>
      <c r="M1060" s="4" t="s">
        <v>5864</v>
      </c>
      <c r="N1060" s="4" t="s">
        <v>5883</v>
      </c>
    </row>
    <row r="1061" spans="1:14" ht="54" customHeight="1">
      <c r="A1061" s="8" t="s">
        <v>7121</v>
      </c>
      <c r="B1061" s="8" t="s">
        <v>249</v>
      </c>
      <c r="C1061" s="8" t="s">
        <v>250</v>
      </c>
      <c r="D1061" s="8" t="s">
        <v>2969</v>
      </c>
      <c r="E1061" s="8" t="s">
        <v>41</v>
      </c>
      <c r="F1061" s="8" t="s">
        <v>5894</v>
      </c>
      <c r="G1061" s="8" t="s">
        <v>1436</v>
      </c>
      <c r="H1061" s="8">
        <v>1</v>
      </c>
      <c r="I1061" s="8">
        <v>1</v>
      </c>
      <c r="J1061" s="8" t="s">
        <v>7122</v>
      </c>
      <c r="K1061" s="8" t="s">
        <v>256</v>
      </c>
      <c r="L1061" s="9">
        <v>46319</v>
      </c>
      <c r="M1061" s="8" t="s">
        <v>5864</v>
      </c>
      <c r="N1061" s="8" t="s">
        <v>5883</v>
      </c>
    </row>
    <row r="1062" spans="1:14" ht="68" customHeight="1">
      <c r="A1062" s="4" t="s">
        <v>7123</v>
      </c>
      <c r="B1062" s="4" t="s">
        <v>249</v>
      </c>
      <c r="C1062" s="4" t="s">
        <v>250</v>
      </c>
      <c r="D1062" s="4" t="s">
        <v>2969</v>
      </c>
      <c r="E1062" s="4" t="s">
        <v>41</v>
      </c>
      <c r="F1062" s="4" t="s">
        <v>5897</v>
      </c>
      <c r="G1062" s="4" t="s">
        <v>1436</v>
      </c>
      <c r="H1062" s="4">
        <v>1</v>
      </c>
      <c r="I1062" s="4">
        <v>1</v>
      </c>
      <c r="J1062" s="4" t="s">
        <v>7124</v>
      </c>
      <c r="K1062" s="4" t="s">
        <v>256</v>
      </c>
      <c r="L1062" s="6">
        <v>46319</v>
      </c>
      <c r="M1062" s="4" t="s">
        <v>5864</v>
      </c>
      <c r="N1062" s="4" t="s">
        <v>5883</v>
      </c>
    </row>
    <row r="1063" spans="1:14" ht="54" customHeight="1">
      <c r="A1063" s="8" t="s">
        <v>7125</v>
      </c>
      <c r="B1063" s="8" t="s">
        <v>249</v>
      </c>
      <c r="C1063" s="8" t="s">
        <v>250</v>
      </c>
      <c r="D1063" s="8" t="s">
        <v>2969</v>
      </c>
      <c r="E1063" s="8" t="s">
        <v>41</v>
      </c>
      <c r="F1063" s="8" t="s">
        <v>5900</v>
      </c>
      <c r="G1063" s="8" t="s">
        <v>1436</v>
      </c>
      <c r="H1063" s="8">
        <v>1</v>
      </c>
      <c r="I1063" s="8">
        <v>1</v>
      </c>
      <c r="J1063" s="8" t="s">
        <v>7126</v>
      </c>
      <c r="K1063" s="8" t="s">
        <v>256</v>
      </c>
      <c r="L1063" s="9">
        <v>46319</v>
      </c>
      <c r="M1063" s="8" t="s">
        <v>5864</v>
      </c>
      <c r="N1063" s="8" t="s">
        <v>5883</v>
      </c>
    </row>
    <row r="1064" spans="1:14" ht="68" customHeight="1">
      <c r="A1064" s="4" t="s">
        <v>7127</v>
      </c>
      <c r="B1064" s="4" t="s">
        <v>249</v>
      </c>
      <c r="C1064" s="4" t="s">
        <v>250</v>
      </c>
      <c r="D1064" s="4" t="s">
        <v>2969</v>
      </c>
      <c r="E1064" s="4" t="s">
        <v>41</v>
      </c>
      <c r="F1064" s="4" t="s">
        <v>5903</v>
      </c>
      <c r="G1064" s="4" t="s">
        <v>1436</v>
      </c>
      <c r="H1064" s="4">
        <v>1</v>
      </c>
      <c r="I1064" s="4">
        <v>1</v>
      </c>
      <c r="J1064" s="4" t="s">
        <v>7128</v>
      </c>
      <c r="K1064" s="4" t="s">
        <v>256</v>
      </c>
      <c r="L1064" s="6">
        <v>46319</v>
      </c>
      <c r="M1064" s="4" t="s">
        <v>5864</v>
      </c>
      <c r="N1064" s="4" t="s">
        <v>5883</v>
      </c>
    </row>
    <row r="1065" spans="1:14" ht="54" customHeight="1">
      <c r="A1065" s="8" t="s">
        <v>7129</v>
      </c>
      <c r="B1065" s="8" t="s">
        <v>249</v>
      </c>
      <c r="C1065" s="8" t="s">
        <v>250</v>
      </c>
      <c r="D1065" s="8" t="s">
        <v>2969</v>
      </c>
      <c r="E1065" s="8" t="s">
        <v>41</v>
      </c>
      <c r="F1065" s="8" t="s">
        <v>5906</v>
      </c>
      <c r="G1065" s="8" t="s">
        <v>1436</v>
      </c>
      <c r="H1065" s="8">
        <v>1</v>
      </c>
      <c r="I1065" s="8">
        <v>1</v>
      </c>
      <c r="J1065" s="8" t="s">
        <v>7130</v>
      </c>
      <c r="K1065" s="8" t="s">
        <v>256</v>
      </c>
      <c r="L1065" s="9">
        <v>46319</v>
      </c>
      <c r="M1065" s="8" t="s">
        <v>5864</v>
      </c>
      <c r="N1065" s="8" t="s">
        <v>5883</v>
      </c>
    </row>
    <row r="1066" spans="1:14" ht="68" customHeight="1">
      <c r="A1066" s="4" t="s">
        <v>7131</v>
      </c>
      <c r="B1066" s="4" t="s">
        <v>249</v>
      </c>
      <c r="C1066" s="4" t="s">
        <v>250</v>
      </c>
      <c r="D1066" s="4" t="s">
        <v>2969</v>
      </c>
      <c r="E1066" s="4" t="s">
        <v>41</v>
      </c>
      <c r="F1066" s="4" t="s">
        <v>5909</v>
      </c>
      <c r="G1066" s="4" t="s">
        <v>1436</v>
      </c>
      <c r="H1066" s="4">
        <v>1</v>
      </c>
      <c r="I1066" s="4">
        <v>1</v>
      </c>
      <c r="J1066" s="4" t="s">
        <v>7132</v>
      </c>
      <c r="K1066" s="4" t="s">
        <v>256</v>
      </c>
      <c r="L1066" s="6">
        <v>46319</v>
      </c>
      <c r="M1066" s="4" t="s">
        <v>5864</v>
      </c>
      <c r="N1066" s="4" t="s">
        <v>5883</v>
      </c>
    </row>
    <row r="1067" spans="1:14" ht="68" customHeight="1">
      <c r="A1067" s="8" t="s">
        <v>7133</v>
      </c>
      <c r="B1067" s="8" t="s">
        <v>249</v>
      </c>
      <c r="C1067" s="8" t="s">
        <v>250</v>
      </c>
      <c r="D1067" s="8" t="s">
        <v>2969</v>
      </c>
      <c r="E1067" s="8" t="s">
        <v>41</v>
      </c>
      <c r="F1067" s="8" t="s">
        <v>5912</v>
      </c>
      <c r="G1067" s="8" t="s">
        <v>1436</v>
      </c>
      <c r="H1067" s="8">
        <v>1</v>
      </c>
      <c r="I1067" s="8">
        <v>1</v>
      </c>
      <c r="J1067" s="8" t="s">
        <v>7134</v>
      </c>
      <c r="K1067" s="8" t="s">
        <v>256</v>
      </c>
      <c r="L1067" s="9">
        <v>46319</v>
      </c>
      <c r="M1067" s="8" t="s">
        <v>5864</v>
      </c>
      <c r="N1067" s="8" t="s">
        <v>5883</v>
      </c>
    </row>
    <row r="1068" spans="1:14" ht="68" customHeight="1">
      <c r="A1068" s="4" t="s">
        <v>7135</v>
      </c>
      <c r="B1068" s="4" t="s">
        <v>249</v>
      </c>
      <c r="C1068" s="4" t="s">
        <v>250</v>
      </c>
      <c r="D1068" s="4" t="s">
        <v>2969</v>
      </c>
      <c r="E1068" s="4" t="s">
        <v>41</v>
      </c>
      <c r="F1068" s="4" t="s">
        <v>5973</v>
      </c>
      <c r="G1068" s="4" t="s">
        <v>1436</v>
      </c>
      <c r="H1068" s="4">
        <v>1</v>
      </c>
      <c r="I1068" s="4">
        <v>1</v>
      </c>
      <c r="J1068" s="4" t="s">
        <v>7136</v>
      </c>
      <c r="K1068" s="4" t="s">
        <v>256</v>
      </c>
      <c r="L1068" s="6">
        <v>46319</v>
      </c>
      <c r="M1068" s="4" t="s">
        <v>5864</v>
      </c>
      <c r="N1068" s="4" t="s">
        <v>5883</v>
      </c>
    </row>
    <row r="1069" spans="1:14" ht="68" customHeight="1">
      <c r="A1069" s="8" t="s">
        <v>7137</v>
      </c>
      <c r="B1069" s="8" t="s">
        <v>249</v>
      </c>
      <c r="C1069" s="8" t="s">
        <v>250</v>
      </c>
      <c r="D1069" s="8" t="s">
        <v>2969</v>
      </c>
      <c r="E1069" s="8" t="s">
        <v>41</v>
      </c>
      <c r="F1069" s="8" t="s">
        <v>5976</v>
      </c>
      <c r="G1069" s="8" t="s">
        <v>1436</v>
      </c>
      <c r="H1069" s="8">
        <v>1</v>
      </c>
      <c r="I1069" s="8">
        <v>1</v>
      </c>
      <c r="J1069" s="8" t="s">
        <v>7138</v>
      </c>
      <c r="K1069" s="8" t="s">
        <v>256</v>
      </c>
      <c r="L1069" s="9">
        <v>46319</v>
      </c>
      <c r="M1069" s="8" t="s">
        <v>5864</v>
      </c>
      <c r="N1069" s="8" t="s">
        <v>5883</v>
      </c>
    </row>
    <row r="1070" spans="1:14" ht="54" customHeight="1">
      <c r="A1070" s="4" t="s">
        <v>7139</v>
      </c>
      <c r="B1070" s="4" t="s">
        <v>249</v>
      </c>
      <c r="C1070" s="4" t="s">
        <v>250</v>
      </c>
      <c r="D1070" s="4" t="s">
        <v>2969</v>
      </c>
      <c r="E1070" s="4" t="s">
        <v>41</v>
      </c>
      <c r="F1070" s="4" t="s">
        <v>5979</v>
      </c>
      <c r="G1070" s="4" t="s">
        <v>1436</v>
      </c>
      <c r="H1070" s="4">
        <v>1</v>
      </c>
      <c r="I1070" s="4">
        <v>1</v>
      </c>
      <c r="J1070" s="4" t="s">
        <v>7140</v>
      </c>
      <c r="K1070" s="4" t="s">
        <v>256</v>
      </c>
      <c r="L1070" s="6">
        <v>46319</v>
      </c>
      <c r="M1070" s="4" t="s">
        <v>5864</v>
      </c>
      <c r="N1070" s="4" t="s">
        <v>5883</v>
      </c>
    </row>
    <row r="1071" spans="1:14" ht="96" customHeight="1">
      <c r="A1071" s="8" t="s">
        <v>7141</v>
      </c>
      <c r="B1071" s="8" t="s">
        <v>260</v>
      </c>
      <c r="C1071" s="8" t="s">
        <v>261</v>
      </c>
      <c r="D1071" s="8" t="s">
        <v>5861</v>
      </c>
      <c r="E1071" s="8" t="s">
        <v>41</v>
      </c>
      <c r="F1071" s="8" t="s">
        <v>5862</v>
      </c>
      <c r="G1071" s="8" t="s">
        <v>1493</v>
      </c>
      <c r="H1071" s="8">
        <v>1</v>
      </c>
      <c r="I1071" s="8">
        <v>1</v>
      </c>
      <c r="J1071" s="8" t="s">
        <v>7142</v>
      </c>
      <c r="K1071" s="8" t="s">
        <v>267</v>
      </c>
      <c r="L1071" s="9">
        <v>46319</v>
      </c>
      <c r="M1071" s="8" t="s">
        <v>5864</v>
      </c>
      <c r="N1071" s="8" t="s">
        <v>5865</v>
      </c>
    </row>
    <row r="1072" spans="1:14" ht="40" customHeight="1">
      <c r="A1072" s="4" t="s">
        <v>7143</v>
      </c>
      <c r="B1072" s="4" t="s">
        <v>260</v>
      </c>
      <c r="C1072" s="4" t="s">
        <v>261</v>
      </c>
      <c r="D1072" s="4" t="s">
        <v>5861</v>
      </c>
      <c r="E1072" s="4" t="s">
        <v>41</v>
      </c>
      <c r="F1072" s="4" t="s">
        <v>5920</v>
      </c>
      <c r="G1072" s="4" t="s">
        <v>1493</v>
      </c>
      <c r="H1072" s="4">
        <v>1</v>
      </c>
      <c r="I1072" s="4">
        <v>1</v>
      </c>
      <c r="J1072" s="4" t="s">
        <v>7144</v>
      </c>
      <c r="K1072" s="4" t="s">
        <v>267</v>
      </c>
      <c r="L1072" s="6">
        <v>46319</v>
      </c>
      <c r="M1072" s="4" t="s">
        <v>5864</v>
      </c>
      <c r="N1072" s="4" t="s">
        <v>5865</v>
      </c>
    </row>
    <row r="1073" spans="1:14" ht="40" customHeight="1">
      <c r="A1073" s="8" t="s">
        <v>7145</v>
      </c>
      <c r="B1073" s="8" t="s">
        <v>260</v>
      </c>
      <c r="C1073" s="8" t="s">
        <v>261</v>
      </c>
      <c r="D1073" s="8" t="s">
        <v>5861</v>
      </c>
      <c r="E1073" s="8" t="s">
        <v>41</v>
      </c>
      <c r="F1073" s="8" t="s">
        <v>5924</v>
      </c>
      <c r="G1073" s="8" t="s">
        <v>1493</v>
      </c>
      <c r="H1073" s="8">
        <v>1</v>
      </c>
      <c r="I1073" s="8">
        <v>1</v>
      </c>
      <c r="J1073" s="8" t="s">
        <v>7146</v>
      </c>
      <c r="K1073" s="8" t="s">
        <v>267</v>
      </c>
      <c r="L1073" s="9">
        <v>46319</v>
      </c>
      <c r="M1073" s="8" t="s">
        <v>5864</v>
      </c>
      <c r="N1073" s="8" t="s">
        <v>5865</v>
      </c>
    </row>
    <row r="1074" spans="1:14" ht="40" customHeight="1">
      <c r="A1074" s="4" t="s">
        <v>7147</v>
      </c>
      <c r="B1074" s="4" t="s">
        <v>260</v>
      </c>
      <c r="C1074" s="4" t="s">
        <v>261</v>
      </c>
      <c r="D1074" s="4" t="s">
        <v>5861</v>
      </c>
      <c r="E1074" s="4" t="s">
        <v>41</v>
      </c>
      <c r="F1074" s="4" t="s">
        <v>5926</v>
      </c>
      <c r="G1074" s="4" t="s">
        <v>1493</v>
      </c>
      <c r="H1074" s="4">
        <v>1</v>
      </c>
      <c r="I1074" s="4">
        <v>1</v>
      </c>
      <c r="J1074" s="4" t="s">
        <v>7148</v>
      </c>
      <c r="K1074" s="4" t="s">
        <v>267</v>
      </c>
      <c r="L1074" s="6">
        <v>46319</v>
      </c>
      <c r="M1074" s="4" t="s">
        <v>5864</v>
      </c>
      <c r="N1074" s="4" t="s">
        <v>5865</v>
      </c>
    </row>
    <row r="1075" spans="1:14" ht="54" customHeight="1">
      <c r="A1075" s="8" t="s">
        <v>7149</v>
      </c>
      <c r="B1075" s="8" t="s">
        <v>260</v>
      </c>
      <c r="C1075" s="8" t="s">
        <v>261</v>
      </c>
      <c r="D1075" s="8" t="s">
        <v>5861</v>
      </c>
      <c r="E1075" s="8" t="s">
        <v>41</v>
      </c>
      <c r="F1075" s="8" t="s">
        <v>5932</v>
      </c>
      <c r="G1075" s="8" t="s">
        <v>1493</v>
      </c>
      <c r="H1075" s="8">
        <v>1</v>
      </c>
      <c r="I1075" s="8">
        <v>1</v>
      </c>
      <c r="J1075" s="8" t="s">
        <v>7150</v>
      </c>
      <c r="K1075" s="8" t="s">
        <v>267</v>
      </c>
      <c r="L1075" s="9">
        <v>46319</v>
      </c>
      <c r="M1075" s="8" t="s">
        <v>5864</v>
      </c>
      <c r="N1075" s="8" t="s">
        <v>5865</v>
      </c>
    </row>
    <row r="1076" spans="1:14" ht="40" customHeight="1">
      <c r="A1076" s="4" t="s">
        <v>7151</v>
      </c>
      <c r="B1076" s="4" t="s">
        <v>260</v>
      </c>
      <c r="C1076" s="4" t="s">
        <v>261</v>
      </c>
      <c r="D1076" s="4" t="s">
        <v>5867</v>
      </c>
      <c r="E1076" s="4" t="s">
        <v>41</v>
      </c>
      <c r="F1076" s="4" t="s">
        <v>5868</v>
      </c>
      <c r="G1076" s="4" t="s">
        <v>1493</v>
      </c>
      <c r="H1076" s="4">
        <v>1</v>
      </c>
      <c r="I1076" s="4">
        <v>1</v>
      </c>
      <c r="J1076" s="4" t="s">
        <v>7152</v>
      </c>
      <c r="K1076" s="4" t="s">
        <v>267</v>
      </c>
      <c r="L1076" s="6">
        <v>46319</v>
      </c>
      <c r="M1076" s="4" t="s">
        <v>5864</v>
      </c>
      <c r="N1076" s="4" t="s">
        <v>6087</v>
      </c>
    </row>
    <row r="1077" spans="1:14" ht="40" customHeight="1">
      <c r="A1077" s="8" t="s">
        <v>7153</v>
      </c>
      <c r="B1077" s="8" t="s">
        <v>260</v>
      </c>
      <c r="C1077" s="8" t="s">
        <v>261</v>
      </c>
      <c r="D1077" s="8" t="s">
        <v>5867</v>
      </c>
      <c r="E1077" s="8" t="s">
        <v>41</v>
      </c>
      <c r="F1077" s="8" t="s">
        <v>6142</v>
      </c>
      <c r="G1077" s="8" t="s">
        <v>1493</v>
      </c>
      <c r="H1077" s="8">
        <v>1</v>
      </c>
      <c r="I1077" s="8">
        <v>1</v>
      </c>
      <c r="J1077" s="8" t="s">
        <v>7154</v>
      </c>
      <c r="K1077" s="8" t="s">
        <v>267</v>
      </c>
      <c r="L1077" s="9">
        <v>46319</v>
      </c>
      <c r="M1077" s="8" t="s">
        <v>5864</v>
      </c>
      <c r="N1077" s="8" t="s">
        <v>5865</v>
      </c>
    </row>
    <row r="1078" spans="1:14" ht="40" customHeight="1">
      <c r="A1078" s="4" t="s">
        <v>7155</v>
      </c>
      <c r="B1078" s="4" t="s">
        <v>260</v>
      </c>
      <c r="C1078" s="4" t="s">
        <v>261</v>
      </c>
      <c r="D1078" s="4" t="s">
        <v>5867</v>
      </c>
      <c r="E1078" s="4" t="s">
        <v>41</v>
      </c>
      <c r="F1078" s="4" t="s">
        <v>6391</v>
      </c>
      <c r="G1078" s="4" t="s">
        <v>1493</v>
      </c>
      <c r="H1078" s="4">
        <v>1</v>
      </c>
      <c r="I1078" s="4">
        <v>1</v>
      </c>
      <c r="J1078" s="4" t="s">
        <v>7156</v>
      </c>
      <c r="K1078" s="4" t="s">
        <v>267</v>
      </c>
      <c r="L1078" s="6">
        <v>46319</v>
      </c>
      <c r="M1078" s="4" t="s">
        <v>5864</v>
      </c>
      <c r="N1078" s="4" t="s">
        <v>5865</v>
      </c>
    </row>
    <row r="1079" spans="1:14" ht="40" customHeight="1">
      <c r="A1079" s="8" t="s">
        <v>7157</v>
      </c>
      <c r="B1079" s="8" t="s">
        <v>260</v>
      </c>
      <c r="C1079" s="8" t="s">
        <v>261</v>
      </c>
      <c r="D1079" s="8" t="s">
        <v>5867</v>
      </c>
      <c r="E1079" s="8" t="s">
        <v>41</v>
      </c>
      <c r="F1079" s="8" t="s">
        <v>6015</v>
      </c>
      <c r="G1079" s="8" t="s">
        <v>1493</v>
      </c>
      <c r="H1079" s="8">
        <v>1</v>
      </c>
      <c r="I1079" s="8">
        <v>1</v>
      </c>
      <c r="J1079" s="8" t="s">
        <v>7158</v>
      </c>
      <c r="K1079" s="8" t="s">
        <v>267</v>
      </c>
      <c r="L1079" s="9">
        <v>46319</v>
      </c>
      <c r="M1079" s="8" t="s">
        <v>5864</v>
      </c>
      <c r="N1079" s="8" t="s">
        <v>6087</v>
      </c>
    </row>
    <row r="1080" spans="1:14" ht="40" customHeight="1">
      <c r="A1080" s="4" t="s">
        <v>7159</v>
      </c>
      <c r="B1080" s="4" t="s">
        <v>260</v>
      </c>
      <c r="C1080" s="4" t="s">
        <v>261</v>
      </c>
      <c r="D1080" s="4" t="s">
        <v>5867</v>
      </c>
      <c r="E1080" s="4" t="s">
        <v>41</v>
      </c>
      <c r="F1080" s="4" t="s">
        <v>6774</v>
      </c>
      <c r="G1080" s="4" t="s">
        <v>1493</v>
      </c>
      <c r="H1080" s="4">
        <v>1</v>
      </c>
      <c r="I1080" s="4">
        <v>1</v>
      </c>
      <c r="J1080" s="4" t="s">
        <v>7160</v>
      </c>
      <c r="K1080" s="4" t="s">
        <v>267</v>
      </c>
      <c r="L1080" s="6">
        <v>46319</v>
      </c>
      <c r="M1080" s="4" t="s">
        <v>5864</v>
      </c>
      <c r="N1080" s="4" t="s">
        <v>5865</v>
      </c>
    </row>
    <row r="1081" spans="1:14" ht="40" customHeight="1">
      <c r="A1081" s="8" t="s">
        <v>7161</v>
      </c>
      <c r="B1081" s="8" t="s">
        <v>260</v>
      </c>
      <c r="C1081" s="8" t="s">
        <v>261</v>
      </c>
      <c r="D1081" s="8" t="s">
        <v>637</v>
      </c>
      <c r="E1081" s="8" t="s">
        <v>41</v>
      </c>
      <c r="F1081" s="8" t="s">
        <v>920</v>
      </c>
      <c r="G1081" s="8" t="s">
        <v>1493</v>
      </c>
      <c r="H1081" s="8">
        <v>1</v>
      </c>
      <c r="I1081" s="8">
        <v>1</v>
      </c>
      <c r="J1081" s="8" t="s">
        <v>1491</v>
      </c>
      <c r="K1081" s="8" t="s">
        <v>267</v>
      </c>
      <c r="L1081" s="9">
        <v>46319</v>
      </c>
      <c r="M1081" s="8" t="s">
        <v>5864</v>
      </c>
      <c r="N1081" s="8" t="s">
        <v>5865</v>
      </c>
    </row>
    <row r="1082" spans="1:14" ht="40" customHeight="1">
      <c r="A1082" s="4" t="s">
        <v>7162</v>
      </c>
      <c r="B1082" s="4" t="s">
        <v>260</v>
      </c>
      <c r="C1082" s="4" t="s">
        <v>261</v>
      </c>
      <c r="D1082" s="4" t="s">
        <v>637</v>
      </c>
      <c r="E1082" s="4" t="s">
        <v>41</v>
      </c>
      <c r="F1082" s="4" t="s">
        <v>1087</v>
      </c>
      <c r="G1082" s="4" t="s">
        <v>1493</v>
      </c>
      <c r="H1082" s="4">
        <v>1</v>
      </c>
      <c r="I1082" s="4">
        <v>1</v>
      </c>
      <c r="J1082" s="4" t="s">
        <v>1495</v>
      </c>
      <c r="K1082" s="4" t="s">
        <v>267</v>
      </c>
      <c r="L1082" s="6">
        <v>46319</v>
      </c>
      <c r="M1082" s="4" t="s">
        <v>5864</v>
      </c>
      <c r="N1082" s="4" t="s">
        <v>5865</v>
      </c>
    </row>
    <row r="1083" spans="1:14" ht="40" customHeight="1">
      <c r="A1083" s="8" t="s">
        <v>7163</v>
      </c>
      <c r="B1083" s="8" t="s">
        <v>260</v>
      </c>
      <c r="C1083" s="8" t="s">
        <v>261</v>
      </c>
      <c r="D1083" s="8" t="s">
        <v>637</v>
      </c>
      <c r="E1083" s="8" t="s">
        <v>41</v>
      </c>
      <c r="F1083" s="8" t="s">
        <v>1091</v>
      </c>
      <c r="G1083" s="8" t="s">
        <v>1493</v>
      </c>
      <c r="H1083" s="8">
        <v>1</v>
      </c>
      <c r="I1083" s="8">
        <v>1</v>
      </c>
      <c r="J1083" s="8" t="s">
        <v>1498</v>
      </c>
      <c r="K1083" s="8" t="s">
        <v>267</v>
      </c>
      <c r="L1083" s="9">
        <v>46319</v>
      </c>
      <c r="M1083" s="8" t="s">
        <v>5864</v>
      </c>
      <c r="N1083" s="8" t="s">
        <v>5865</v>
      </c>
    </row>
    <row r="1084" spans="1:14" ht="40" customHeight="1">
      <c r="A1084" s="4" t="s">
        <v>7164</v>
      </c>
      <c r="B1084" s="4" t="s">
        <v>260</v>
      </c>
      <c r="C1084" s="4" t="s">
        <v>261</v>
      </c>
      <c r="D1084" s="4" t="s">
        <v>637</v>
      </c>
      <c r="E1084" s="4" t="s">
        <v>41</v>
      </c>
      <c r="F1084" s="4" t="s">
        <v>1095</v>
      </c>
      <c r="G1084" s="4" t="s">
        <v>1493</v>
      </c>
      <c r="H1084" s="4">
        <v>1</v>
      </c>
      <c r="I1084" s="4">
        <v>1</v>
      </c>
      <c r="J1084" s="4" t="s">
        <v>1501</v>
      </c>
      <c r="K1084" s="4" t="s">
        <v>267</v>
      </c>
      <c r="L1084" s="6">
        <v>46319</v>
      </c>
      <c r="M1084" s="4" t="s">
        <v>5864</v>
      </c>
      <c r="N1084" s="4" t="s">
        <v>5865</v>
      </c>
    </row>
    <row r="1085" spans="1:14" ht="40" customHeight="1">
      <c r="A1085" s="8" t="s">
        <v>7165</v>
      </c>
      <c r="B1085" s="8" t="s">
        <v>260</v>
      </c>
      <c r="C1085" s="8" t="s">
        <v>261</v>
      </c>
      <c r="D1085" s="8" t="s">
        <v>637</v>
      </c>
      <c r="E1085" s="8" t="s">
        <v>41</v>
      </c>
      <c r="F1085" s="8" t="s">
        <v>1099</v>
      </c>
      <c r="G1085" s="8" t="s">
        <v>1493</v>
      </c>
      <c r="H1085" s="8">
        <v>1</v>
      </c>
      <c r="I1085" s="8">
        <v>1</v>
      </c>
      <c r="J1085" s="8" t="s">
        <v>1504</v>
      </c>
      <c r="K1085" s="8" t="s">
        <v>267</v>
      </c>
      <c r="L1085" s="9">
        <v>46319</v>
      </c>
      <c r="M1085" s="8" t="s">
        <v>5864</v>
      </c>
      <c r="N1085" s="8" t="s">
        <v>5865</v>
      </c>
    </row>
    <row r="1086" spans="1:14" ht="40" customHeight="1">
      <c r="A1086" s="4" t="s">
        <v>7166</v>
      </c>
      <c r="B1086" s="4" t="s">
        <v>260</v>
      </c>
      <c r="C1086" s="4" t="s">
        <v>261</v>
      </c>
      <c r="D1086" s="4" t="s">
        <v>637</v>
      </c>
      <c r="E1086" s="4" t="s">
        <v>41</v>
      </c>
      <c r="F1086" s="4" t="s">
        <v>1103</v>
      </c>
      <c r="G1086" s="4" t="s">
        <v>1493</v>
      </c>
      <c r="H1086" s="4">
        <v>1</v>
      </c>
      <c r="I1086" s="4">
        <v>1</v>
      </c>
      <c r="J1086" s="4" t="s">
        <v>1507</v>
      </c>
      <c r="K1086" s="4" t="s">
        <v>267</v>
      </c>
      <c r="L1086" s="6">
        <v>46319</v>
      </c>
      <c r="M1086" s="4" t="s">
        <v>5864</v>
      </c>
      <c r="N1086" s="4" t="s">
        <v>5865</v>
      </c>
    </row>
    <row r="1087" spans="1:14" ht="40" customHeight="1">
      <c r="A1087" s="8" t="s">
        <v>7167</v>
      </c>
      <c r="B1087" s="8" t="s">
        <v>260</v>
      </c>
      <c r="C1087" s="8" t="s">
        <v>261</v>
      </c>
      <c r="D1087" s="8" t="s">
        <v>637</v>
      </c>
      <c r="E1087" s="8" t="s">
        <v>41</v>
      </c>
      <c r="F1087" s="8" t="s">
        <v>1107</v>
      </c>
      <c r="G1087" s="8" t="s">
        <v>1493</v>
      </c>
      <c r="H1087" s="8">
        <v>1</v>
      </c>
      <c r="I1087" s="8">
        <v>1</v>
      </c>
      <c r="J1087" s="8" t="s">
        <v>1510</v>
      </c>
      <c r="K1087" s="8" t="s">
        <v>267</v>
      </c>
      <c r="L1087" s="9">
        <v>46319</v>
      </c>
      <c r="M1087" s="8" t="s">
        <v>5864</v>
      </c>
      <c r="N1087" s="8" t="s">
        <v>5865</v>
      </c>
    </row>
    <row r="1088" spans="1:14" ht="40" customHeight="1">
      <c r="A1088" s="4" t="s">
        <v>7168</v>
      </c>
      <c r="B1088" s="4" t="s">
        <v>260</v>
      </c>
      <c r="C1088" s="4" t="s">
        <v>261</v>
      </c>
      <c r="D1088" s="4" t="s">
        <v>637</v>
      </c>
      <c r="E1088" s="4" t="s">
        <v>41</v>
      </c>
      <c r="F1088" s="4" t="s">
        <v>1111</v>
      </c>
      <c r="G1088" s="4" t="s">
        <v>1493</v>
      </c>
      <c r="H1088" s="4">
        <v>1</v>
      </c>
      <c r="I1088" s="4">
        <v>1</v>
      </c>
      <c r="J1088" s="4" t="s">
        <v>1513</v>
      </c>
      <c r="K1088" s="4" t="s">
        <v>267</v>
      </c>
      <c r="L1088" s="6">
        <v>46319</v>
      </c>
      <c r="M1088" s="4" t="s">
        <v>5864</v>
      </c>
      <c r="N1088" s="4" t="s">
        <v>5865</v>
      </c>
    </row>
    <row r="1089" spans="1:14" ht="40" customHeight="1">
      <c r="A1089" s="8" t="s">
        <v>7169</v>
      </c>
      <c r="B1089" s="8" t="s">
        <v>260</v>
      </c>
      <c r="C1089" s="8" t="s">
        <v>261</v>
      </c>
      <c r="D1089" s="8" t="s">
        <v>914</v>
      </c>
      <c r="E1089" s="8" t="s">
        <v>41</v>
      </c>
      <c r="F1089" s="8" t="s">
        <v>1023</v>
      </c>
      <c r="G1089" s="8" t="s">
        <v>1493</v>
      </c>
      <c r="H1089" s="8">
        <v>1</v>
      </c>
      <c r="I1089" s="8">
        <v>1</v>
      </c>
      <c r="J1089" s="8" t="s">
        <v>1516</v>
      </c>
      <c r="K1089" s="8" t="s">
        <v>267</v>
      </c>
      <c r="L1089" s="9">
        <v>46319</v>
      </c>
      <c r="M1089" s="8" t="s">
        <v>5864</v>
      </c>
      <c r="N1089" s="8" t="s">
        <v>5865</v>
      </c>
    </row>
    <row r="1090" spans="1:14" ht="40" customHeight="1">
      <c r="A1090" s="4" t="s">
        <v>7170</v>
      </c>
      <c r="B1090" s="4" t="s">
        <v>260</v>
      </c>
      <c r="C1090" s="4" t="s">
        <v>261</v>
      </c>
      <c r="D1090" s="4" t="s">
        <v>914</v>
      </c>
      <c r="E1090" s="4" t="s">
        <v>41</v>
      </c>
      <c r="F1090" s="4" t="s">
        <v>1458</v>
      </c>
      <c r="G1090" s="4" t="s">
        <v>1493</v>
      </c>
      <c r="H1090" s="4">
        <v>1</v>
      </c>
      <c r="I1090" s="4">
        <v>1</v>
      </c>
      <c r="J1090" s="4" t="s">
        <v>1519</v>
      </c>
      <c r="K1090" s="4" t="s">
        <v>267</v>
      </c>
      <c r="L1090" s="6">
        <v>46319</v>
      </c>
      <c r="M1090" s="4" t="s">
        <v>5864</v>
      </c>
      <c r="N1090" s="4" t="s">
        <v>5865</v>
      </c>
    </row>
    <row r="1091" spans="1:14" ht="40" customHeight="1">
      <c r="A1091" s="8" t="s">
        <v>7171</v>
      </c>
      <c r="B1091" s="8" t="s">
        <v>260</v>
      </c>
      <c r="C1091" s="8" t="s">
        <v>261</v>
      </c>
      <c r="D1091" s="8" t="s">
        <v>914</v>
      </c>
      <c r="E1091" s="8" t="s">
        <v>41</v>
      </c>
      <c r="F1091" s="8" t="s">
        <v>1524</v>
      </c>
      <c r="G1091" s="8" t="s">
        <v>1493</v>
      </c>
      <c r="H1091" s="8">
        <v>1</v>
      </c>
      <c r="I1091" s="8">
        <v>1</v>
      </c>
      <c r="J1091" s="8" t="s">
        <v>1522</v>
      </c>
      <c r="K1091" s="8" t="s">
        <v>267</v>
      </c>
      <c r="L1091" s="9">
        <v>46319</v>
      </c>
      <c r="M1091" s="8" t="s">
        <v>5864</v>
      </c>
      <c r="N1091" s="8" t="s">
        <v>5865</v>
      </c>
    </row>
    <row r="1092" spans="1:14" ht="40" customHeight="1">
      <c r="A1092" s="4" t="s">
        <v>5213</v>
      </c>
      <c r="B1092" s="4" t="s">
        <v>260</v>
      </c>
      <c r="C1092" s="4" t="s">
        <v>261</v>
      </c>
      <c r="D1092" s="4" t="s">
        <v>7</v>
      </c>
      <c r="E1092" s="4" t="s">
        <v>41</v>
      </c>
      <c r="F1092" s="4" t="s">
        <v>6212</v>
      </c>
      <c r="G1092" s="4" t="s">
        <v>1493</v>
      </c>
      <c r="H1092" s="4">
        <v>1</v>
      </c>
      <c r="I1092" s="4">
        <v>1</v>
      </c>
      <c r="J1092" s="4" t="s">
        <v>5214</v>
      </c>
      <c r="K1092" s="4" t="s">
        <v>267</v>
      </c>
      <c r="L1092" s="6">
        <v>46319</v>
      </c>
      <c r="M1092" s="4" t="s">
        <v>5864</v>
      </c>
      <c r="N1092" s="4" t="s">
        <v>6087</v>
      </c>
    </row>
    <row r="1093" spans="1:14" ht="40" customHeight="1">
      <c r="A1093" s="8" t="s">
        <v>5215</v>
      </c>
      <c r="B1093" s="8" t="s">
        <v>260</v>
      </c>
      <c r="C1093" s="8" t="s">
        <v>261</v>
      </c>
      <c r="D1093" s="8" t="s">
        <v>7</v>
      </c>
      <c r="E1093" s="8" t="s">
        <v>41</v>
      </c>
      <c r="F1093" s="8" t="s">
        <v>6834</v>
      </c>
      <c r="G1093" s="8" t="s">
        <v>1493</v>
      </c>
      <c r="H1093" s="8">
        <v>1</v>
      </c>
      <c r="I1093" s="8">
        <v>1</v>
      </c>
      <c r="J1093" s="8" t="s">
        <v>5216</v>
      </c>
      <c r="K1093" s="8" t="s">
        <v>267</v>
      </c>
      <c r="L1093" s="9">
        <v>46319</v>
      </c>
      <c r="M1093" s="8" t="s">
        <v>5864</v>
      </c>
      <c r="N1093" s="8" t="s">
        <v>5865</v>
      </c>
    </row>
    <row r="1094" spans="1:14" ht="40" customHeight="1">
      <c r="A1094" s="4" t="s">
        <v>5217</v>
      </c>
      <c r="B1094" s="4" t="s">
        <v>260</v>
      </c>
      <c r="C1094" s="4" t="s">
        <v>261</v>
      </c>
      <c r="D1094" s="4" t="s">
        <v>7</v>
      </c>
      <c r="E1094" s="4" t="s">
        <v>41</v>
      </c>
      <c r="F1094" s="4" t="s">
        <v>7172</v>
      </c>
      <c r="G1094" s="4" t="s">
        <v>1493</v>
      </c>
      <c r="H1094" s="4">
        <v>1</v>
      </c>
      <c r="I1094" s="4">
        <v>1</v>
      </c>
      <c r="J1094" s="4" t="s">
        <v>5218</v>
      </c>
      <c r="K1094" s="4" t="s">
        <v>267</v>
      </c>
      <c r="L1094" s="6">
        <v>46319</v>
      </c>
      <c r="M1094" s="4" t="s">
        <v>5864</v>
      </c>
      <c r="N1094" s="4" t="s">
        <v>5865</v>
      </c>
    </row>
    <row r="1095" spans="1:14" ht="40" customHeight="1">
      <c r="A1095" s="8" t="s">
        <v>5219</v>
      </c>
      <c r="B1095" s="8" t="s">
        <v>260</v>
      </c>
      <c r="C1095" s="8" t="s">
        <v>261</v>
      </c>
      <c r="D1095" s="8" t="s">
        <v>7</v>
      </c>
      <c r="E1095" s="8" t="s">
        <v>41</v>
      </c>
      <c r="F1095" s="8" t="s">
        <v>6921</v>
      </c>
      <c r="G1095" s="8" t="s">
        <v>1493</v>
      </c>
      <c r="H1095" s="8">
        <v>1</v>
      </c>
      <c r="I1095" s="8">
        <v>1</v>
      </c>
      <c r="J1095" s="8" t="s">
        <v>5220</v>
      </c>
      <c r="K1095" s="8" t="s">
        <v>267</v>
      </c>
      <c r="L1095" s="9">
        <v>46319</v>
      </c>
      <c r="M1095" s="8" t="s">
        <v>5864</v>
      </c>
      <c r="N1095" s="8" t="s">
        <v>5865</v>
      </c>
    </row>
    <row r="1096" spans="1:14" ht="40" customHeight="1">
      <c r="A1096" s="4" t="s">
        <v>5221</v>
      </c>
      <c r="B1096" s="4" t="s">
        <v>260</v>
      </c>
      <c r="C1096" s="4" t="s">
        <v>261</v>
      </c>
      <c r="D1096" s="4" t="s">
        <v>7</v>
      </c>
      <c r="E1096" s="4" t="s">
        <v>41</v>
      </c>
      <c r="F1096" s="4" t="s">
        <v>7173</v>
      </c>
      <c r="G1096" s="4" t="s">
        <v>1493</v>
      </c>
      <c r="H1096" s="4">
        <v>1</v>
      </c>
      <c r="I1096" s="4">
        <v>1</v>
      </c>
      <c r="J1096" s="4" t="s">
        <v>5222</v>
      </c>
      <c r="K1096" s="4" t="s">
        <v>267</v>
      </c>
      <c r="L1096" s="6">
        <v>46319</v>
      </c>
      <c r="M1096" s="4" t="s">
        <v>5864</v>
      </c>
      <c r="N1096" s="4" t="s">
        <v>5865</v>
      </c>
    </row>
    <row r="1097" spans="1:14" ht="40" customHeight="1">
      <c r="A1097" s="8" t="s">
        <v>5223</v>
      </c>
      <c r="B1097" s="8" t="s">
        <v>260</v>
      </c>
      <c r="C1097" s="8" t="s">
        <v>261</v>
      </c>
      <c r="D1097" s="8" t="s">
        <v>7</v>
      </c>
      <c r="E1097" s="8" t="s">
        <v>41</v>
      </c>
      <c r="F1097" s="8" t="s">
        <v>7174</v>
      </c>
      <c r="G1097" s="8" t="s">
        <v>1493</v>
      </c>
      <c r="H1097" s="8">
        <v>1</v>
      </c>
      <c r="I1097" s="8">
        <v>1</v>
      </c>
      <c r="J1097" s="8" t="s">
        <v>5224</v>
      </c>
      <c r="K1097" s="8" t="s">
        <v>267</v>
      </c>
      <c r="L1097" s="9">
        <v>46319</v>
      </c>
      <c r="M1097" s="8" t="s">
        <v>5864</v>
      </c>
      <c r="N1097" s="8" t="s">
        <v>5865</v>
      </c>
    </row>
    <row r="1098" spans="1:14" ht="40" customHeight="1">
      <c r="A1098" s="4" t="s">
        <v>5225</v>
      </c>
      <c r="B1098" s="4" t="s">
        <v>260</v>
      </c>
      <c r="C1098" s="4" t="s">
        <v>261</v>
      </c>
      <c r="D1098" s="4" t="s">
        <v>7</v>
      </c>
      <c r="E1098" s="4" t="s">
        <v>41</v>
      </c>
      <c r="F1098" s="4" t="s">
        <v>6928</v>
      </c>
      <c r="G1098" s="4" t="s">
        <v>1493</v>
      </c>
      <c r="H1098" s="4">
        <v>1</v>
      </c>
      <c r="I1098" s="4">
        <v>1</v>
      </c>
      <c r="J1098" s="4" t="s">
        <v>5226</v>
      </c>
      <c r="K1098" s="4" t="s">
        <v>267</v>
      </c>
      <c r="L1098" s="6">
        <v>46319</v>
      </c>
      <c r="M1098" s="4" t="s">
        <v>5864</v>
      </c>
      <c r="N1098" s="4" t="s">
        <v>5865</v>
      </c>
    </row>
    <row r="1099" spans="1:14" ht="40" customHeight="1">
      <c r="A1099" s="8" t="s">
        <v>5227</v>
      </c>
      <c r="B1099" s="8" t="s">
        <v>260</v>
      </c>
      <c r="C1099" s="8" t="s">
        <v>261</v>
      </c>
      <c r="D1099" s="8" t="s">
        <v>7</v>
      </c>
      <c r="E1099" s="8" t="s">
        <v>41</v>
      </c>
      <c r="F1099" s="8" t="s">
        <v>7175</v>
      </c>
      <c r="G1099" s="8" t="s">
        <v>1493</v>
      </c>
      <c r="H1099" s="8">
        <v>1</v>
      </c>
      <c r="I1099" s="8">
        <v>1</v>
      </c>
      <c r="J1099" s="8" t="s">
        <v>5228</v>
      </c>
      <c r="K1099" s="8" t="s">
        <v>267</v>
      </c>
      <c r="L1099" s="9">
        <v>46319</v>
      </c>
      <c r="M1099" s="8" t="s">
        <v>5864</v>
      </c>
      <c r="N1099" s="8" t="s">
        <v>6087</v>
      </c>
    </row>
    <row r="1100" spans="1:14" ht="40" customHeight="1">
      <c r="A1100" s="4" t="s">
        <v>5229</v>
      </c>
      <c r="B1100" s="4" t="s">
        <v>260</v>
      </c>
      <c r="C1100" s="4" t="s">
        <v>261</v>
      </c>
      <c r="D1100" s="4" t="s">
        <v>7</v>
      </c>
      <c r="E1100" s="4" t="s">
        <v>41</v>
      </c>
      <c r="F1100" s="4" t="s">
        <v>7176</v>
      </c>
      <c r="G1100" s="4" t="s">
        <v>1493</v>
      </c>
      <c r="H1100" s="4">
        <v>1</v>
      </c>
      <c r="I1100" s="4">
        <v>1</v>
      </c>
      <c r="J1100" s="4" t="s">
        <v>5230</v>
      </c>
      <c r="K1100" s="4" t="s">
        <v>267</v>
      </c>
      <c r="L1100" s="6">
        <v>46319</v>
      </c>
      <c r="M1100" s="4" t="s">
        <v>5864</v>
      </c>
      <c r="N1100" s="4" t="s">
        <v>5865</v>
      </c>
    </row>
    <row r="1101" spans="1:14" ht="40" customHeight="1">
      <c r="A1101" s="8" t="s">
        <v>5231</v>
      </c>
      <c r="B1101" s="8" t="s">
        <v>260</v>
      </c>
      <c r="C1101" s="8" t="s">
        <v>261</v>
      </c>
      <c r="D1101" s="8" t="s">
        <v>7</v>
      </c>
      <c r="E1101" s="8" t="s">
        <v>41</v>
      </c>
      <c r="F1101" s="8" t="s">
        <v>7177</v>
      </c>
      <c r="G1101" s="8" t="s">
        <v>1493</v>
      </c>
      <c r="H1101" s="8">
        <v>1</v>
      </c>
      <c r="I1101" s="8">
        <v>1</v>
      </c>
      <c r="J1101" s="8" t="s">
        <v>5232</v>
      </c>
      <c r="K1101" s="8" t="s">
        <v>267</v>
      </c>
      <c r="L1101" s="9">
        <v>46319</v>
      </c>
      <c r="M1101" s="8" t="s">
        <v>5864</v>
      </c>
      <c r="N1101" s="8" t="s">
        <v>5865</v>
      </c>
    </row>
    <row r="1102" spans="1:14" ht="40" customHeight="1">
      <c r="A1102" s="4" t="s">
        <v>4186</v>
      </c>
      <c r="B1102" s="4" t="s">
        <v>260</v>
      </c>
      <c r="C1102" s="4" t="s">
        <v>261</v>
      </c>
      <c r="D1102" s="4" t="s">
        <v>5879</v>
      </c>
      <c r="E1102" s="4" t="s">
        <v>41</v>
      </c>
      <c r="F1102" s="4" t="s">
        <v>3463</v>
      </c>
      <c r="G1102" s="4" t="s">
        <v>1493</v>
      </c>
      <c r="H1102" s="4">
        <v>1</v>
      </c>
      <c r="I1102" s="4">
        <v>1</v>
      </c>
      <c r="J1102" s="4" t="s">
        <v>4187</v>
      </c>
      <c r="K1102" s="4" t="s">
        <v>267</v>
      </c>
      <c r="L1102" s="6">
        <v>46319</v>
      </c>
      <c r="M1102" s="4" t="s">
        <v>5864</v>
      </c>
      <c r="N1102" s="4" t="s">
        <v>6087</v>
      </c>
    </row>
    <row r="1103" spans="1:14" ht="54" customHeight="1">
      <c r="A1103" s="8" t="s">
        <v>4188</v>
      </c>
      <c r="B1103" s="8" t="s">
        <v>260</v>
      </c>
      <c r="C1103" s="8" t="s">
        <v>261</v>
      </c>
      <c r="D1103" s="8" t="s">
        <v>5879</v>
      </c>
      <c r="E1103" s="8" t="s">
        <v>41</v>
      </c>
      <c r="F1103" s="8" t="s">
        <v>3466</v>
      </c>
      <c r="G1103" s="8" t="s">
        <v>1493</v>
      </c>
      <c r="H1103" s="8">
        <v>1</v>
      </c>
      <c r="I1103" s="8">
        <v>1</v>
      </c>
      <c r="J1103" s="8" t="s">
        <v>4189</v>
      </c>
      <c r="K1103" s="8" t="s">
        <v>267</v>
      </c>
      <c r="L1103" s="9">
        <v>46319</v>
      </c>
      <c r="M1103" s="8" t="s">
        <v>5864</v>
      </c>
      <c r="N1103" s="8" t="s">
        <v>5865</v>
      </c>
    </row>
    <row r="1104" spans="1:14" ht="40" customHeight="1">
      <c r="A1104" s="4" t="s">
        <v>4190</v>
      </c>
      <c r="B1104" s="4" t="s">
        <v>260</v>
      </c>
      <c r="C1104" s="4" t="s">
        <v>261</v>
      </c>
      <c r="D1104" s="4" t="s">
        <v>5879</v>
      </c>
      <c r="E1104" s="4" t="s">
        <v>41</v>
      </c>
      <c r="F1104" s="4" t="s">
        <v>3469</v>
      </c>
      <c r="G1104" s="4" t="s">
        <v>1493</v>
      </c>
      <c r="H1104" s="4">
        <v>1</v>
      </c>
      <c r="I1104" s="4">
        <v>1</v>
      </c>
      <c r="J1104" s="4" t="s">
        <v>4191</v>
      </c>
      <c r="K1104" s="4" t="s">
        <v>267</v>
      </c>
      <c r="L1104" s="6">
        <v>46319</v>
      </c>
      <c r="M1104" s="4" t="s">
        <v>5864</v>
      </c>
      <c r="N1104" s="4" t="s">
        <v>5865</v>
      </c>
    </row>
    <row r="1105" spans="1:14" ht="40" customHeight="1">
      <c r="A1105" s="8" t="s">
        <v>4192</v>
      </c>
      <c r="B1105" s="8" t="s">
        <v>260</v>
      </c>
      <c r="C1105" s="8" t="s">
        <v>261</v>
      </c>
      <c r="D1105" s="8" t="s">
        <v>5879</v>
      </c>
      <c r="E1105" s="8" t="s">
        <v>41</v>
      </c>
      <c r="F1105" s="8" t="s">
        <v>3472</v>
      </c>
      <c r="G1105" s="8" t="s">
        <v>1493</v>
      </c>
      <c r="H1105" s="8">
        <v>1</v>
      </c>
      <c r="I1105" s="8">
        <v>1</v>
      </c>
      <c r="J1105" s="8" t="s">
        <v>4193</v>
      </c>
      <c r="K1105" s="8" t="s">
        <v>267</v>
      </c>
      <c r="L1105" s="9">
        <v>46319</v>
      </c>
      <c r="M1105" s="8" t="s">
        <v>5864</v>
      </c>
      <c r="N1105" s="8" t="s">
        <v>5865</v>
      </c>
    </row>
    <row r="1106" spans="1:14" ht="54" customHeight="1">
      <c r="A1106" s="4" t="s">
        <v>4194</v>
      </c>
      <c r="B1106" s="4" t="s">
        <v>260</v>
      </c>
      <c r="C1106" s="4" t="s">
        <v>261</v>
      </c>
      <c r="D1106" s="4" t="s">
        <v>5879</v>
      </c>
      <c r="E1106" s="4" t="s">
        <v>41</v>
      </c>
      <c r="F1106" s="4" t="s">
        <v>3475</v>
      </c>
      <c r="G1106" s="4" t="s">
        <v>1493</v>
      </c>
      <c r="H1106" s="4">
        <v>1</v>
      </c>
      <c r="I1106" s="4">
        <v>1</v>
      </c>
      <c r="J1106" s="4" t="s">
        <v>4195</v>
      </c>
      <c r="K1106" s="4" t="s">
        <v>267</v>
      </c>
      <c r="L1106" s="6">
        <v>46319</v>
      </c>
      <c r="M1106" s="4" t="s">
        <v>5864</v>
      </c>
      <c r="N1106" s="4" t="s">
        <v>5865</v>
      </c>
    </row>
    <row r="1107" spans="1:14" ht="40" customHeight="1">
      <c r="A1107" s="8" t="s">
        <v>4196</v>
      </c>
      <c r="B1107" s="8" t="s">
        <v>260</v>
      </c>
      <c r="C1107" s="8" t="s">
        <v>261</v>
      </c>
      <c r="D1107" s="8" t="s">
        <v>5879</v>
      </c>
      <c r="E1107" s="8" t="s">
        <v>41</v>
      </c>
      <c r="F1107" s="8" t="s">
        <v>3915</v>
      </c>
      <c r="G1107" s="8" t="s">
        <v>1493</v>
      </c>
      <c r="H1107" s="8">
        <v>1</v>
      </c>
      <c r="I1107" s="8">
        <v>1</v>
      </c>
      <c r="J1107" s="8" t="s">
        <v>4197</v>
      </c>
      <c r="K1107" s="8" t="s">
        <v>267</v>
      </c>
      <c r="L1107" s="9">
        <v>46319</v>
      </c>
      <c r="M1107" s="8" t="s">
        <v>5864</v>
      </c>
      <c r="N1107" s="8" t="s">
        <v>6087</v>
      </c>
    </row>
    <row r="1108" spans="1:14" ht="40" customHeight="1">
      <c r="A1108" s="4" t="s">
        <v>4198</v>
      </c>
      <c r="B1108" s="4" t="s">
        <v>260</v>
      </c>
      <c r="C1108" s="4" t="s">
        <v>261</v>
      </c>
      <c r="D1108" s="4" t="s">
        <v>5879</v>
      </c>
      <c r="E1108" s="4" t="s">
        <v>41</v>
      </c>
      <c r="F1108" s="4" t="s">
        <v>3838</v>
      </c>
      <c r="G1108" s="4" t="s">
        <v>1493</v>
      </c>
      <c r="H1108" s="4">
        <v>1</v>
      </c>
      <c r="I1108" s="4">
        <v>1</v>
      </c>
      <c r="J1108" s="4" t="s">
        <v>4199</v>
      </c>
      <c r="K1108" s="4" t="s">
        <v>267</v>
      </c>
      <c r="L1108" s="6">
        <v>46319</v>
      </c>
      <c r="M1108" s="4" t="s">
        <v>5864</v>
      </c>
      <c r="N1108" s="4" t="s">
        <v>5865</v>
      </c>
    </row>
    <row r="1109" spans="1:14" ht="40" customHeight="1">
      <c r="A1109" s="8" t="s">
        <v>4200</v>
      </c>
      <c r="B1109" s="8" t="s">
        <v>260</v>
      </c>
      <c r="C1109" s="8" t="s">
        <v>261</v>
      </c>
      <c r="D1109" s="8" t="s">
        <v>5879</v>
      </c>
      <c r="E1109" s="8" t="s">
        <v>41</v>
      </c>
      <c r="F1109" s="8" t="s">
        <v>3608</v>
      </c>
      <c r="G1109" s="8" t="s">
        <v>1493</v>
      </c>
      <c r="H1109" s="8">
        <v>1</v>
      </c>
      <c r="I1109" s="8">
        <v>1</v>
      </c>
      <c r="J1109" s="8" t="s">
        <v>4201</v>
      </c>
      <c r="K1109" s="8" t="s">
        <v>267</v>
      </c>
      <c r="L1109" s="9">
        <v>46319</v>
      </c>
      <c r="M1109" s="8" t="s">
        <v>5864</v>
      </c>
      <c r="N1109" s="8" t="s">
        <v>5865</v>
      </c>
    </row>
    <row r="1110" spans="1:14" ht="40" customHeight="1">
      <c r="A1110" s="4" t="s">
        <v>4202</v>
      </c>
      <c r="B1110" s="4" t="s">
        <v>260</v>
      </c>
      <c r="C1110" s="4" t="s">
        <v>261</v>
      </c>
      <c r="D1110" s="4" t="s">
        <v>5879</v>
      </c>
      <c r="E1110" s="4" t="s">
        <v>41</v>
      </c>
      <c r="F1110" s="4" t="s">
        <v>3611</v>
      </c>
      <c r="G1110" s="4" t="s">
        <v>1493</v>
      </c>
      <c r="H1110" s="4">
        <v>1</v>
      </c>
      <c r="I1110" s="4">
        <v>1</v>
      </c>
      <c r="J1110" s="4" t="s">
        <v>4203</v>
      </c>
      <c r="K1110" s="4" t="s">
        <v>267</v>
      </c>
      <c r="L1110" s="6">
        <v>46319</v>
      </c>
      <c r="M1110" s="4" t="s">
        <v>5864</v>
      </c>
      <c r="N1110" s="4" t="s">
        <v>5865</v>
      </c>
    </row>
    <row r="1111" spans="1:14" ht="40" customHeight="1">
      <c r="A1111" s="8" t="s">
        <v>4204</v>
      </c>
      <c r="B1111" s="8" t="s">
        <v>260</v>
      </c>
      <c r="C1111" s="8" t="s">
        <v>261</v>
      </c>
      <c r="D1111" s="8" t="s">
        <v>5879</v>
      </c>
      <c r="E1111" s="8" t="s">
        <v>41</v>
      </c>
      <c r="F1111" s="8" t="s">
        <v>3775</v>
      </c>
      <c r="G1111" s="8" t="s">
        <v>1493</v>
      </c>
      <c r="H1111" s="8">
        <v>1</v>
      </c>
      <c r="I1111" s="8">
        <v>1</v>
      </c>
      <c r="J1111" s="8" t="s">
        <v>4205</v>
      </c>
      <c r="K1111" s="8" t="s">
        <v>267</v>
      </c>
      <c r="L1111" s="9">
        <v>46319</v>
      </c>
      <c r="M1111" s="8" t="s">
        <v>5864</v>
      </c>
      <c r="N1111" s="8" t="s">
        <v>5865</v>
      </c>
    </row>
    <row r="1112" spans="1:14" ht="54" customHeight="1">
      <c r="A1112" s="4" t="s">
        <v>7178</v>
      </c>
      <c r="B1112" s="4" t="s">
        <v>260</v>
      </c>
      <c r="C1112" s="4" t="s">
        <v>261</v>
      </c>
      <c r="D1112" s="4" t="s">
        <v>2969</v>
      </c>
      <c r="E1112" s="4" t="s">
        <v>41</v>
      </c>
      <c r="F1112" s="4" t="s">
        <v>5881</v>
      </c>
      <c r="G1112" s="4" t="s">
        <v>1493</v>
      </c>
      <c r="H1112" s="4">
        <v>1</v>
      </c>
      <c r="I1112" s="4">
        <v>1</v>
      </c>
      <c r="J1112" s="4" t="s">
        <v>7179</v>
      </c>
      <c r="K1112" s="4" t="s">
        <v>267</v>
      </c>
      <c r="L1112" s="6">
        <v>46319</v>
      </c>
      <c r="M1112" s="4" t="s">
        <v>5864</v>
      </c>
      <c r="N1112" s="4" t="s">
        <v>5883</v>
      </c>
    </row>
    <row r="1113" spans="1:14" ht="68" customHeight="1">
      <c r="A1113" s="8" t="s">
        <v>7180</v>
      </c>
      <c r="B1113" s="8" t="s">
        <v>260</v>
      </c>
      <c r="C1113" s="8" t="s">
        <v>261</v>
      </c>
      <c r="D1113" s="8" t="s">
        <v>2969</v>
      </c>
      <c r="E1113" s="8" t="s">
        <v>41</v>
      </c>
      <c r="F1113" s="8" t="s">
        <v>5885</v>
      </c>
      <c r="G1113" s="8" t="s">
        <v>1493</v>
      </c>
      <c r="H1113" s="8">
        <v>1</v>
      </c>
      <c r="I1113" s="8">
        <v>1</v>
      </c>
      <c r="J1113" s="8" t="s">
        <v>7181</v>
      </c>
      <c r="K1113" s="8" t="s">
        <v>267</v>
      </c>
      <c r="L1113" s="9">
        <v>46319</v>
      </c>
      <c r="M1113" s="8" t="s">
        <v>5864</v>
      </c>
      <c r="N1113" s="8" t="s">
        <v>5883</v>
      </c>
    </row>
    <row r="1114" spans="1:14" ht="68" customHeight="1">
      <c r="A1114" s="4" t="s">
        <v>7182</v>
      </c>
      <c r="B1114" s="4" t="s">
        <v>260</v>
      </c>
      <c r="C1114" s="4" t="s">
        <v>261</v>
      </c>
      <c r="D1114" s="4" t="s">
        <v>2969</v>
      </c>
      <c r="E1114" s="4" t="s">
        <v>41</v>
      </c>
      <c r="F1114" s="4" t="s">
        <v>5888</v>
      </c>
      <c r="G1114" s="4" t="s">
        <v>1493</v>
      </c>
      <c r="H1114" s="4">
        <v>1</v>
      </c>
      <c r="I1114" s="4">
        <v>1</v>
      </c>
      <c r="J1114" s="4" t="s">
        <v>7183</v>
      </c>
      <c r="K1114" s="4" t="s">
        <v>267</v>
      </c>
      <c r="L1114" s="6">
        <v>46319</v>
      </c>
      <c r="M1114" s="4" t="s">
        <v>5864</v>
      </c>
      <c r="N1114" s="4" t="s">
        <v>5883</v>
      </c>
    </row>
    <row r="1115" spans="1:14" ht="40" customHeight="1">
      <c r="A1115" s="8" t="s">
        <v>7184</v>
      </c>
      <c r="B1115" s="8" t="s">
        <v>260</v>
      </c>
      <c r="C1115" s="8" t="s">
        <v>261</v>
      </c>
      <c r="D1115" s="8" t="s">
        <v>2969</v>
      </c>
      <c r="E1115" s="8" t="s">
        <v>41</v>
      </c>
      <c r="F1115" s="8" t="s">
        <v>5891</v>
      </c>
      <c r="G1115" s="8" t="s">
        <v>1493</v>
      </c>
      <c r="H1115" s="8">
        <v>1</v>
      </c>
      <c r="I1115" s="8">
        <v>1</v>
      </c>
      <c r="J1115" s="8" t="s">
        <v>7185</v>
      </c>
      <c r="K1115" s="8" t="s">
        <v>267</v>
      </c>
      <c r="L1115" s="9">
        <v>46319</v>
      </c>
      <c r="M1115" s="8" t="s">
        <v>5864</v>
      </c>
      <c r="N1115" s="8" t="s">
        <v>5883</v>
      </c>
    </row>
    <row r="1116" spans="1:14" ht="68" customHeight="1">
      <c r="A1116" s="4" t="s">
        <v>7186</v>
      </c>
      <c r="B1116" s="4" t="s">
        <v>260</v>
      </c>
      <c r="C1116" s="4" t="s">
        <v>261</v>
      </c>
      <c r="D1116" s="4" t="s">
        <v>2969</v>
      </c>
      <c r="E1116" s="4" t="s">
        <v>41</v>
      </c>
      <c r="F1116" s="4" t="s">
        <v>5894</v>
      </c>
      <c r="G1116" s="4" t="s">
        <v>1493</v>
      </c>
      <c r="H1116" s="4">
        <v>1</v>
      </c>
      <c r="I1116" s="4">
        <v>1</v>
      </c>
      <c r="J1116" s="4" t="s">
        <v>7187</v>
      </c>
      <c r="K1116" s="4" t="s">
        <v>267</v>
      </c>
      <c r="L1116" s="6">
        <v>46319</v>
      </c>
      <c r="M1116" s="4" t="s">
        <v>5864</v>
      </c>
      <c r="N1116" s="4" t="s">
        <v>5883</v>
      </c>
    </row>
    <row r="1117" spans="1:14" ht="82" customHeight="1">
      <c r="A1117" s="8" t="s">
        <v>7188</v>
      </c>
      <c r="B1117" s="8" t="s">
        <v>260</v>
      </c>
      <c r="C1117" s="8" t="s">
        <v>261</v>
      </c>
      <c r="D1117" s="8" t="s">
        <v>2969</v>
      </c>
      <c r="E1117" s="8" t="s">
        <v>41</v>
      </c>
      <c r="F1117" s="8" t="s">
        <v>5897</v>
      </c>
      <c r="G1117" s="8" t="s">
        <v>1493</v>
      </c>
      <c r="H1117" s="8">
        <v>1</v>
      </c>
      <c r="I1117" s="8">
        <v>1</v>
      </c>
      <c r="J1117" s="8" t="s">
        <v>7189</v>
      </c>
      <c r="K1117" s="8" t="s">
        <v>267</v>
      </c>
      <c r="L1117" s="9">
        <v>46319</v>
      </c>
      <c r="M1117" s="8" t="s">
        <v>5864</v>
      </c>
      <c r="N1117" s="8" t="s">
        <v>5883</v>
      </c>
    </row>
    <row r="1118" spans="1:14" ht="54" customHeight="1">
      <c r="A1118" s="4" t="s">
        <v>7190</v>
      </c>
      <c r="B1118" s="4" t="s">
        <v>260</v>
      </c>
      <c r="C1118" s="4" t="s">
        <v>261</v>
      </c>
      <c r="D1118" s="4" t="s">
        <v>2969</v>
      </c>
      <c r="E1118" s="4" t="s">
        <v>41</v>
      </c>
      <c r="F1118" s="4" t="s">
        <v>5900</v>
      </c>
      <c r="G1118" s="4" t="s">
        <v>1493</v>
      </c>
      <c r="H1118" s="4">
        <v>1</v>
      </c>
      <c r="I1118" s="4">
        <v>1</v>
      </c>
      <c r="J1118" s="4" t="s">
        <v>7191</v>
      </c>
      <c r="K1118" s="4" t="s">
        <v>267</v>
      </c>
      <c r="L1118" s="6">
        <v>46319</v>
      </c>
      <c r="M1118" s="4" t="s">
        <v>5864</v>
      </c>
      <c r="N1118" s="4" t="s">
        <v>5883</v>
      </c>
    </row>
    <row r="1119" spans="1:14" ht="40" customHeight="1">
      <c r="A1119" s="8" t="s">
        <v>7192</v>
      </c>
      <c r="B1119" s="8" t="s">
        <v>260</v>
      </c>
      <c r="C1119" s="8" t="s">
        <v>261</v>
      </c>
      <c r="D1119" s="8" t="s">
        <v>2969</v>
      </c>
      <c r="E1119" s="8" t="s">
        <v>41</v>
      </c>
      <c r="F1119" s="8" t="s">
        <v>5903</v>
      </c>
      <c r="G1119" s="8" t="s">
        <v>1493</v>
      </c>
      <c r="H1119" s="8">
        <v>1</v>
      </c>
      <c r="I1119" s="8">
        <v>1</v>
      </c>
      <c r="J1119" s="8" t="s">
        <v>7193</v>
      </c>
      <c r="K1119" s="8" t="s">
        <v>267</v>
      </c>
      <c r="L1119" s="9">
        <v>46319</v>
      </c>
      <c r="M1119" s="8" t="s">
        <v>5864</v>
      </c>
      <c r="N1119" s="8" t="s">
        <v>5883</v>
      </c>
    </row>
    <row r="1120" spans="1:14" ht="82" customHeight="1">
      <c r="A1120" s="4" t="s">
        <v>7194</v>
      </c>
      <c r="B1120" s="4" t="s">
        <v>270</v>
      </c>
      <c r="C1120" s="4" t="s">
        <v>271</v>
      </c>
      <c r="D1120" s="4" t="s">
        <v>5861</v>
      </c>
      <c r="E1120" s="4" t="s">
        <v>41</v>
      </c>
      <c r="F1120" s="4" t="s">
        <v>5862</v>
      </c>
      <c r="G1120" s="4" t="s">
        <v>1528</v>
      </c>
      <c r="H1120" s="4">
        <v>1</v>
      </c>
      <c r="I1120" s="4">
        <v>1</v>
      </c>
      <c r="J1120" s="4" t="s">
        <v>7195</v>
      </c>
      <c r="K1120" s="4" t="s">
        <v>277</v>
      </c>
      <c r="L1120" s="6">
        <v>46319</v>
      </c>
      <c r="M1120" s="4" t="s">
        <v>5864</v>
      </c>
      <c r="N1120" s="4" t="s">
        <v>5865</v>
      </c>
    </row>
    <row r="1121" spans="1:14" ht="82" customHeight="1">
      <c r="A1121" s="8" t="s">
        <v>7196</v>
      </c>
      <c r="B1121" s="8" t="s">
        <v>270</v>
      </c>
      <c r="C1121" s="8" t="s">
        <v>271</v>
      </c>
      <c r="D1121" s="8" t="s">
        <v>5861</v>
      </c>
      <c r="E1121" s="8" t="s">
        <v>41</v>
      </c>
      <c r="F1121" s="8" t="s">
        <v>5920</v>
      </c>
      <c r="G1121" s="8" t="s">
        <v>1528</v>
      </c>
      <c r="H1121" s="8">
        <v>1</v>
      </c>
      <c r="I1121" s="8">
        <v>1</v>
      </c>
      <c r="J1121" s="8" t="s">
        <v>7197</v>
      </c>
      <c r="K1121" s="8" t="s">
        <v>277</v>
      </c>
      <c r="L1121" s="9">
        <v>46319</v>
      </c>
      <c r="M1121" s="8" t="s">
        <v>5864</v>
      </c>
      <c r="N1121" s="8" t="s">
        <v>5865</v>
      </c>
    </row>
    <row r="1122" spans="1:14" ht="82" customHeight="1">
      <c r="A1122" s="4" t="s">
        <v>7198</v>
      </c>
      <c r="B1122" s="4" t="s">
        <v>270</v>
      </c>
      <c r="C1122" s="4" t="s">
        <v>271</v>
      </c>
      <c r="D1122" s="4" t="s">
        <v>5861</v>
      </c>
      <c r="E1122" s="4" t="s">
        <v>41</v>
      </c>
      <c r="F1122" s="4" t="s">
        <v>5924</v>
      </c>
      <c r="G1122" s="4" t="s">
        <v>1528</v>
      </c>
      <c r="H1122" s="4">
        <v>1</v>
      </c>
      <c r="I1122" s="4">
        <v>1</v>
      </c>
      <c r="J1122" s="4" t="s">
        <v>7199</v>
      </c>
      <c r="K1122" s="4" t="s">
        <v>277</v>
      </c>
      <c r="L1122" s="6">
        <v>46319</v>
      </c>
      <c r="M1122" s="4" t="s">
        <v>5864</v>
      </c>
      <c r="N1122" s="4" t="s">
        <v>5865</v>
      </c>
    </row>
    <row r="1123" spans="1:14" ht="82" customHeight="1">
      <c r="A1123" s="8" t="s">
        <v>7200</v>
      </c>
      <c r="B1123" s="8" t="s">
        <v>270</v>
      </c>
      <c r="C1123" s="8" t="s">
        <v>271</v>
      </c>
      <c r="D1123" s="8" t="s">
        <v>5861</v>
      </c>
      <c r="E1123" s="8" t="s">
        <v>41</v>
      </c>
      <c r="F1123" s="8" t="s">
        <v>5930</v>
      </c>
      <c r="G1123" s="8" t="s">
        <v>1528</v>
      </c>
      <c r="H1123" s="8">
        <v>1</v>
      </c>
      <c r="I1123" s="8">
        <v>1</v>
      </c>
      <c r="J1123" s="8" t="s">
        <v>7201</v>
      </c>
      <c r="K1123" s="8" t="s">
        <v>277</v>
      </c>
      <c r="L1123" s="9">
        <v>46319</v>
      </c>
      <c r="M1123" s="8" t="s">
        <v>5864</v>
      </c>
      <c r="N1123" s="8" t="s">
        <v>5865</v>
      </c>
    </row>
    <row r="1124" spans="1:14" ht="82" customHeight="1">
      <c r="A1124" s="4" t="s">
        <v>7202</v>
      </c>
      <c r="B1124" s="4" t="s">
        <v>270</v>
      </c>
      <c r="C1124" s="4" t="s">
        <v>271</v>
      </c>
      <c r="D1124" s="4" t="s">
        <v>5861</v>
      </c>
      <c r="E1124" s="4" t="s">
        <v>41</v>
      </c>
      <c r="F1124" s="4" t="s">
        <v>5932</v>
      </c>
      <c r="G1124" s="4" t="s">
        <v>1528</v>
      </c>
      <c r="H1124" s="4">
        <v>1</v>
      </c>
      <c r="I1124" s="4">
        <v>1</v>
      </c>
      <c r="J1124" s="4" t="s">
        <v>7203</v>
      </c>
      <c r="K1124" s="4" t="s">
        <v>277</v>
      </c>
      <c r="L1124" s="6">
        <v>46319</v>
      </c>
      <c r="M1124" s="4" t="s">
        <v>5864</v>
      </c>
      <c r="N1124" s="4" t="s">
        <v>5865</v>
      </c>
    </row>
    <row r="1125" spans="1:14" ht="82" customHeight="1">
      <c r="A1125" s="8" t="s">
        <v>7204</v>
      </c>
      <c r="B1125" s="8" t="s">
        <v>270</v>
      </c>
      <c r="C1125" s="8" t="s">
        <v>271</v>
      </c>
      <c r="D1125" s="8" t="s">
        <v>5861</v>
      </c>
      <c r="E1125" s="8" t="s">
        <v>41</v>
      </c>
      <c r="F1125" s="8" t="s">
        <v>5938</v>
      </c>
      <c r="G1125" s="8" t="s">
        <v>1528</v>
      </c>
      <c r="H1125" s="8">
        <v>1</v>
      </c>
      <c r="I1125" s="8">
        <v>1</v>
      </c>
      <c r="J1125" s="8" t="s">
        <v>7205</v>
      </c>
      <c r="K1125" s="8" t="s">
        <v>277</v>
      </c>
      <c r="L1125" s="9">
        <v>46319</v>
      </c>
      <c r="M1125" s="8" t="s">
        <v>5864</v>
      </c>
      <c r="N1125" s="8" t="s">
        <v>5865</v>
      </c>
    </row>
    <row r="1126" spans="1:14" ht="82" customHeight="1">
      <c r="A1126" s="4" t="s">
        <v>7206</v>
      </c>
      <c r="B1126" s="4" t="s">
        <v>270</v>
      </c>
      <c r="C1126" s="4" t="s">
        <v>271</v>
      </c>
      <c r="D1126" s="4" t="s">
        <v>5861</v>
      </c>
      <c r="E1126" s="4" t="s">
        <v>41</v>
      </c>
      <c r="F1126" s="4" t="s">
        <v>5941</v>
      </c>
      <c r="G1126" s="4" t="s">
        <v>1528</v>
      </c>
      <c r="H1126" s="4">
        <v>1</v>
      </c>
      <c r="I1126" s="4">
        <v>1</v>
      </c>
      <c r="J1126" s="4" t="s">
        <v>7207</v>
      </c>
      <c r="K1126" s="4" t="s">
        <v>277</v>
      </c>
      <c r="L1126" s="6">
        <v>46319</v>
      </c>
      <c r="M1126" s="4" t="s">
        <v>5864</v>
      </c>
      <c r="N1126" s="4" t="s">
        <v>5865</v>
      </c>
    </row>
    <row r="1127" spans="1:14" ht="82" customHeight="1">
      <c r="A1127" s="8" t="s">
        <v>7208</v>
      </c>
      <c r="B1127" s="8" t="s">
        <v>270</v>
      </c>
      <c r="C1127" s="8" t="s">
        <v>271</v>
      </c>
      <c r="D1127" s="8" t="s">
        <v>5867</v>
      </c>
      <c r="E1127" s="8" t="s">
        <v>41</v>
      </c>
      <c r="F1127" s="8" t="s">
        <v>5868</v>
      </c>
      <c r="G1127" s="8" t="s">
        <v>1528</v>
      </c>
      <c r="H1127" s="8">
        <v>1</v>
      </c>
      <c r="I1127" s="8">
        <v>1</v>
      </c>
      <c r="J1127" s="8" t="s">
        <v>7209</v>
      </c>
      <c r="K1127" s="8" t="s">
        <v>277</v>
      </c>
      <c r="L1127" s="9">
        <v>46319</v>
      </c>
      <c r="M1127" s="8" t="s">
        <v>5864</v>
      </c>
      <c r="N1127" s="8" t="s">
        <v>5870</v>
      </c>
    </row>
    <row r="1128" spans="1:14" ht="82" customHeight="1">
      <c r="A1128" s="4" t="s">
        <v>7210</v>
      </c>
      <c r="B1128" s="4" t="s">
        <v>270</v>
      </c>
      <c r="C1128" s="4" t="s">
        <v>271</v>
      </c>
      <c r="D1128" s="4" t="s">
        <v>5867</v>
      </c>
      <c r="E1128" s="4" t="s">
        <v>41</v>
      </c>
      <c r="F1128" s="4" t="s">
        <v>5872</v>
      </c>
      <c r="G1128" s="4" t="s">
        <v>1528</v>
      </c>
      <c r="H1128" s="4">
        <v>1</v>
      </c>
      <c r="I1128" s="4">
        <v>1</v>
      </c>
      <c r="J1128" s="4" t="s">
        <v>7211</v>
      </c>
      <c r="K1128" s="4" t="s">
        <v>277</v>
      </c>
      <c r="L1128" s="6">
        <v>46319</v>
      </c>
      <c r="M1128" s="4" t="s">
        <v>5864</v>
      </c>
      <c r="N1128" s="4" t="s">
        <v>5870</v>
      </c>
    </row>
    <row r="1129" spans="1:14" ht="82" customHeight="1">
      <c r="A1129" s="8" t="s">
        <v>7212</v>
      </c>
      <c r="B1129" s="8" t="s">
        <v>270</v>
      </c>
      <c r="C1129" s="8" t="s">
        <v>271</v>
      </c>
      <c r="D1129" s="8" t="s">
        <v>5867</v>
      </c>
      <c r="E1129" s="8" t="s">
        <v>41</v>
      </c>
      <c r="F1129" s="8" t="s">
        <v>6142</v>
      </c>
      <c r="G1129" s="8" t="s">
        <v>1528</v>
      </c>
      <c r="H1129" s="8">
        <v>1</v>
      </c>
      <c r="I1129" s="8">
        <v>1</v>
      </c>
      <c r="J1129" s="8" t="s">
        <v>7213</v>
      </c>
      <c r="K1129" s="8" t="s">
        <v>277</v>
      </c>
      <c r="L1129" s="9">
        <v>46319</v>
      </c>
      <c r="M1129" s="8" t="s">
        <v>5864</v>
      </c>
      <c r="N1129" s="8" t="s">
        <v>5865</v>
      </c>
    </row>
    <row r="1130" spans="1:14" ht="82" customHeight="1">
      <c r="A1130" s="4" t="s">
        <v>7214</v>
      </c>
      <c r="B1130" s="4" t="s">
        <v>270</v>
      </c>
      <c r="C1130" s="4" t="s">
        <v>271</v>
      </c>
      <c r="D1130" s="4" t="s">
        <v>5867</v>
      </c>
      <c r="E1130" s="4" t="s">
        <v>41</v>
      </c>
      <c r="F1130" s="4" t="s">
        <v>6391</v>
      </c>
      <c r="G1130" s="4" t="s">
        <v>1528</v>
      </c>
      <c r="H1130" s="4">
        <v>1</v>
      </c>
      <c r="I1130" s="4">
        <v>1</v>
      </c>
      <c r="J1130" s="4" t="s">
        <v>7215</v>
      </c>
      <c r="K1130" s="4" t="s">
        <v>277</v>
      </c>
      <c r="L1130" s="6">
        <v>46319</v>
      </c>
      <c r="M1130" s="4" t="s">
        <v>5864</v>
      </c>
      <c r="N1130" s="4" t="s">
        <v>5865</v>
      </c>
    </row>
    <row r="1131" spans="1:14" ht="82" customHeight="1">
      <c r="A1131" s="8" t="s">
        <v>7216</v>
      </c>
      <c r="B1131" s="8" t="s">
        <v>270</v>
      </c>
      <c r="C1131" s="8" t="s">
        <v>271</v>
      </c>
      <c r="D1131" s="8" t="s">
        <v>5867</v>
      </c>
      <c r="E1131" s="8" t="s">
        <v>41</v>
      </c>
      <c r="F1131" s="8" t="s">
        <v>6015</v>
      </c>
      <c r="G1131" s="8" t="s">
        <v>1528</v>
      </c>
      <c r="H1131" s="8">
        <v>1</v>
      </c>
      <c r="I1131" s="8">
        <v>1</v>
      </c>
      <c r="J1131" s="8" t="s">
        <v>7217</v>
      </c>
      <c r="K1131" s="8" t="s">
        <v>277</v>
      </c>
      <c r="L1131" s="9">
        <v>46319</v>
      </c>
      <c r="M1131" s="8" t="s">
        <v>5864</v>
      </c>
      <c r="N1131" s="8" t="s">
        <v>6087</v>
      </c>
    </row>
    <row r="1132" spans="1:14" ht="82" customHeight="1">
      <c r="A1132" s="4" t="s">
        <v>7218</v>
      </c>
      <c r="B1132" s="4" t="s">
        <v>270</v>
      </c>
      <c r="C1132" s="4" t="s">
        <v>271</v>
      </c>
      <c r="D1132" s="4" t="s">
        <v>5867</v>
      </c>
      <c r="E1132" s="4" t="s">
        <v>41</v>
      </c>
      <c r="F1132" s="4" t="s">
        <v>6774</v>
      </c>
      <c r="G1132" s="4" t="s">
        <v>1528</v>
      </c>
      <c r="H1132" s="4">
        <v>1</v>
      </c>
      <c r="I1132" s="4">
        <v>1</v>
      </c>
      <c r="J1132" s="4" t="s">
        <v>7219</v>
      </c>
      <c r="K1132" s="4" t="s">
        <v>277</v>
      </c>
      <c r="L1132" s="6">
        <v>46319</v>
      </c>
      <c r="M1132" s="4" t="s">
        <v>5864</v>
      </c>
      <c r="N1132" s="4" t="s">
        <v>5865</v>
      </c>
    </row>
    <row r="1133" spans="1:14" ht="82" customHeight="1">
      <c r="A1133" s="8" t="s">
        <v>7220</v>
      </c>
      <c r="B1133" s="8" t="s">
        <v>270</v>
      </c>
      <c r="C1133" s="8" t="s">
        <v>271</v>
      </c>
      <c r="D1133" s="8" t="s">
        <v>637</v>
      </c>
      <c r="E1133" s="8" t="s">
        <v>41</v>
      </c>
      <c r="F1133" s="8" t="s">
        <v>904</v>
      </c>
      <c r="G1133" s="8" t="s">
        <v>1528</v>
      </c>
      <c r="H1133" s="8">
        <v>1</v>
      </c>
      <c r="I1133" s="8">
        <v>1</v>
      </c>
      <c r="J1133" s="8" t="s">
        <v>1526</v>
      </c>
      <c r="K1133" s="8" t="s">
        <v>277</v>
      </c>
      <c r="L1133" s="9">
        <v>46319</v>
      </c>
      <c r="M1133" s="8" t="s">
        <v>5864</v>
      </c>
      <c r="N1133" s="8" t="s">
        <v>5870</v>
      </c>
    </row>
    <row r="1134" spans="1:14" ht="82" customHeight="1">
      <c r="A1134" s="4" t="s">
        <v>7221</v>
      </c>
      <c r="B1134" s="4" t="s">
        <v>270</v>
      </c>
      <c r="C1134" s="4" t="s">
        <v>271</v>
      </c>
      <c r="D1134" s="4" t="s">
        <v>637</v>
      </c>
      <c r="E1134" s="4" t="s">
        <v>41</v>
      </c>
      <c r="F1134" s="4" t="s">
        <v>912</v>
      </c>
      <c r="G1134" s="4" t="s">
        <v>1528</v>
      </c>
      <c r="H1134" s="4">
        <v>1</v>
      </c>
      <c r="I1134" s="4">
        <v>1</v>
      </c>
      <c r="J1134" s="4" t="s">
        <v>1530</v>
      </c>
      <c r="K1134" s="4" t="s">
        <v>277</v>
      </c>
      <c r="L1134" s="6">
        <v>46319</v>
      </c>
      <c r="M1134" s="4" t="s">
        <v>5864</v>
      </c>
      <c r="N1134" s="4" t="s">
        <v>5870</v>
      </c>
    </row>
    <row r="1135" spans="1:14" ht="82" customHeight="1">
      <c r="A1135" s="8" t="s">
        <v>7222</v>
      </c>
      <c r="B1135" s="8" t="s">
        <v>270</v>
      </c>
      <c r="C1135" s="8" t="s">
        <v>271</v>
      </c>
      <c r="D1135" s="8" t="s">
        <v>637</v>
      </c>
      <c r="E1135" s="8" t="s">
        <v>41</v>
      </c>
      <c r="F1135" s="8" t="s">
        <v>1015</v>
      </c>
      <c r="G1135" s="8" t="s">
        <v>1528</v>
      </c>
      <c r="H1135" s="8">
        <v>1</v>
      </c>
      <c r="I1135" s="8">
        <v>1</v>
      </c>
      <c r="J1135" s="8" t="s">
        <v>1533</v>
      </c>
      <c r="K1135" s="8" t="s">
        <v>277</v>
      </c>
      <c r="L1135" s="9">
        <v>46319</v>
      </c>
      <c r="M1135" s="8" t="s">
        <v>5864</v>
      </c>
      <c r="N1135" s="8" t="s">
        <v>5870</v>
      </c>
    </row>
    <row r="1136" spans="1:14" ht="82" customHeight="1">
      <c r="A1136" s="4" t="s">
        <v>7223</v>
      </c>
      <c r="B1136" s="4" t="s">
        <v>270</v>
      </c>
      <c r="C1136" s="4" t="s">
        <v>271</v>
      </c>
      <c r="D1136" s="4" t="s">
        <v>637</v>
      </c>
      <c r="E1136" s="4" t="s">
        <v>41</v>
      </c>
      <c r="F1136" s="4" t="s">
        <v>1019</v>
      </c>
      <c r="G1136" s="4" t="s">
        <v>1528</v>
      </c>
      <c r="H1136" s="4">
        <v>1</v>
      </c>
      <c r="I1136" s="4">
        <v>1</v>
      </c>
      <c r="J1136" s="4" t="s">
        <v>1536</v>
      </c>
      <c r="K1136" s="4" t="s">
        <v>277</v>
      </c>
      <c r="L1136" s="6">
        <v>46319</v>
      </c>
      <c r="M1136" s="4" t="s">
        <v>5864</v>
      </c>
      <c r="N1136" s="4" t="s">
        <v>5870</v>
      </c>
    </row>
    <row r="1137" spans="1:14" ht="82" customHeight="1">
      <c r="A1137" s="8" t="s">
        <v>7224</v>
      </c>
      <c r="B1137" s="8" t="s">
        <v>270</v>
      </c>
      <c r="C1137" s="8" t="s">
        <v>271</v>
      </c>
      <c r="D1137" s="8" t="s">
        <v>637</v>
      </c>
      <c r="E1137" s="8" t="s">
        <v>41</v>
      </c>
      <c r="F1137" s="8" t="s">
        <v>1055</v>
      </c>
      <c r="G1137" s="8" t="s">
        <v>1528</v>
      </c>
      <c r="H1137" s="8">
        <v>1</v>
      </c>
      <c r="I1137" s="8">
        <v>1</v>
      </c>
      <c r="J1137" s="8" t="s">
        <v>1539</v>
      </c>
      <c r="K1137" s="8" t="s">
        <v>277</v>
      </c>
      <c r="L1137" s="9">
        <v>46319</v>
      </c>
      <c r="M1137" s="8" t="s">
        <v>5864</v>
      </c>
      <c r="N1137" s="8" t="s">
        <v>6087</v>
      </c>
    </row>
    <row r="1138" spans="1:14" ht="82" customHeight="1">
      <c r="A1138" s="4" t="s">
        <v>7225</v>
      </c>
      <c r="B1138" s="4" t="s">
        <v>270</v>
      </c>
      <c r="C1138" s="4" t="s">
        <v>271</v>
      </c>
      <c r="D1138" s="4" t="s">
        <v>637</v>
      </c>
      <c r="E1138" s="4" t="s">
        <v>41</v>
      </c>
      <c r="F1138" s="4" t="s">
        <v>1095</v>
      </c>
      <c r="G1138" s="4" t="s">
        <v>1528</v>
      </c>
      <c r="H1138" s="4">
        <v>1</v>
      </c>
      <c r="I1138" s="4">
        <v>1</v>
      </c>
      <c r="J1138" s="4" t="s">
        <v>1542</v>
      </c>
      <c r="K1138" s="4" t="s">
        <v>277</v>
      </c>
      <c r="L1138" s="6">
        <v>46319</v>
      </c>
      <c r="M1138" s="4" t="s">
        <v>5864</v>
      </c>
      <c r="N1138" s="4" t="s">
        <v>5865</v>
      </c>
    </row>
    <row r="1139" spans="1:14" ht="82" customHeight="1">
      <c r="A1139" s="8" t="s">
        <v>5233</v>
      </c>
      <c r="B1139" s="8" t="s">
        <v>270</v>
      </c>
      <c r="C1139" s="8" t="s">
        <v>271</v>
      </c>
      <c r="D1139" s="8" t="s">
        <v>7</v>
      </c>
      <c r="E1139" s="8" t="s">
        <v>41</v>
      </c>
      <c r="F1139" s="8" t="s">
        <v>6212</v>
      </c>
      <c r="G1139" s="8" t="s">
        <v>1528</v>
      </c>
      <c r="H1139" s="8">
        <v>1</v>
      </c>
      <c r="I1139" s="8">
        <v>1</v>
      </c>
      <c r="J1139" s="8" t="s">
        <v>5234</v>
      </c>
      <c r="K1139" s="8" t="s">
        <v>277</v>
      </c>
      <c r="L1139" s="9">
        <v>46319</v>
      </c>
      <c r="M1139" s="8" t="s">
        <v>5864</v>
      </c>
      <c r="N1139" s="8" t="s">
        <v>5870</v>
      </c>
    </row>
    <row r="1140" spans="1:14" ht="82" customHeight="1">
      <c r="A1140" s="4" t="s">
        <v>5235</v>
      </c>
      <c r="B1140" s="4" t="s">
        <v>270</v>
      </c>
      <c r="C1140" s="4" t="s">
        <v>271</v>
      </c>
      <c r="D1140" s="4" t="s">
        <v>7</v>
      </c>
      <c r="E1140" s="4" t="s">
        <v>41</v>
      </c>
      <c r="F1140" s="4" t="s">
        <v>6213</v>
      </c>
      <c r="G1140" s="4" t="s">
        <v>1528</v>
      </c>
      <c r="H1140" s="4">
        <v>1</v>
      </c>
      <c r="I1140" s="4">
        <v>1</v>
      </c>
      <c r="J1140" s="4" t="s">
        <v>5236</v>
      </c>
      <c r="K1140" s="4" t="s">
        <v>277</v>
      </c>
      <c r="L1140" s="6">
        <v>46319</v>
      </c>
      <c r="M1140" s="4" t="s">
        <v>5864</v>
      </c>
      <c r="N1140" s="4" t="s">
        <v>5870</v>
      </c>
    </row>
    <row r="1141" spans="1:14" ht="82" customHeight="1">
      <c r="A1141" s="8" t="s">
        <v>5237</v>
      </c>
      <c r="B1141" s="8" t="s">
        <v>270</v>
      </c>
      <c r="C1141" s="8" t="s">
        <v>271</v>
      </c>
      <c r="D1141" s="8" t="s">
        <v>7</v>
      </c>
      <c r="E1141" s="8" t="s">
        <v>41</v>
      </c>
      <c r="F1141" s="8" t="s">
        <v>6214</v>
      </c>
      <c r="G1141" s="8" t="s">
        <v>1528</v>
      </c>
      <c r="H1141" s="8">
        <v>1</v>
      </c>
      <c r="I1141" s="8">
        <v>1</v>
      </c>
      <c r="J1141" s="8" t="s">
        <v>5238</v>
      </c>
      <c r="K1141" s="8" t="s">
        <v>277</v>
      </c>
      <c r="L1141" s="9">
        <v>46319</v>
      </c>
      <c r="M1141" s="8" t="s">
        <v>5864</v>
      </c>
      <c r="N1141" s="8" t="s">
        <v>5870</v>
      </c>
    </row>
    <row r="1142" spans="1:14" ht="82" customHeight="1">
      <c r="A1142" s="4" t="s">
        <v>5239</v>
      </c>
      <c r="B1142" s="4" t="s">
        <v>270</v>
      </c>
      <c r="C1142" s="4" t="s">
        <v>271</v>
      </c>
      <c r="D1142" s="4" t="s">
        <v>7</v>
      </c>
      <c r="E1142" s="4" t="s">
        <v>41</v>
      </c>
      <c r="F1142" s="4" t="s">
        <v>6215</v>
      </c>
      <c r="G1142" s="4" t="s">
        <v>1528</v>
      </c>
      <c r="H1142" s="4">
        <v>1</v>
      </c>
      <c r="I1142" s="4">
        <v>1</v>
      </c>
      <c r="J1142" s="4" t="s">
        <v>5240</v>
      </c>
      <c r="K1142" s="4" t="s">
        <v>277</v>
      </c>
      <c r="L1142" s="6">
        <v>46319</v>
      </c>
      <c r="M1142" s="4" t="s">
        <v>5864</v>
      </c>
      <c r="N1142" s="4" t="s">
        <v>5870</v>
      </c>
    </row>
    <row r="1143" spans="1:14" ht="82" customHeight="1">
      <c r="A1143" s="8" t="s">
        <v>5241</v>
      </c>
      <c r="B1143" s="8" t="s">
        <v>270</v>
      </c>
      <c r="C1143" s="8" t="s">
        <v>271</v>
      </c>
      <c r="D1143" s="8" t="s">
        <v>7</v>
      </c>
      <c r="E1143" s="8" t="s">
        <v>41</v>
      </c>
      <c r="F1143" s="8" t="s">
        <v>6216</v>
      </c>
      <c r="G1143" s="8" t="s">
        <v>1528</v>
      </c>
      <c r="H1143" s="8">
        <v>1</v>
      </c>
      <c r="I1143" s="8">
        <v>1</v>
      </c>
      <c r="J1143" s="8" t="s">
        <v>5242</v>
      </c>
      <c r="K1143" s="8" t="s">
        <v>277</v>
      </c>
      <c r="L1143" s="9">
        <v>46319</v>
      </c>
      <c r="M1143" s="8" t="s">
        <v>5864</v>
      </c>
      <c r="N1143" s="8" t="s">
        <v>5870</v>
      </c>
    </row>
    <row r="1144" spans="1:14" ht="82" customHeight="1">
      <c r="A1144" s="4" t="s">
        <v>5243</v>
      </c>
      <c r="B1144" s="4" t="s">
        <v>270</v>
      </c>
      <c r="C1144" s="4" t="s">
        <v>271</v>
      </c>
      <c r="D1144" s="4" t="s">
        <v>7</v>
      </c>
      <c r="E1144" s="4" t="s">
        <v>41</v>
      </c>
      <c r="F1144" s="4" t="s">
        <v>6284</v>
      </c>
      <c r="G1144" s="4" t="s">
        <v>1528</v>
      </c>
      <c r="H1144" s="4">
        <v>1</v>
      </c>
      <c r="I1144" s="4">
        <v>1</v>
      </c>
      <c r="J1144" s="4" t="s">
        <v>5244</v>
      </c>
      <c r="K1144" s="4" t="s">
        <v>277</v>
      </c>
      <c r="L1144" s="6">
        <v>46319</v>
      </c>
      <c r="M1144" s="4" t="s">
        <v>5864</v>
      </c>
      <c r="N1144" s="4" t="s">
        <v>5870</v>
      </c>
    </row>
    <row r="1145" spans="1:14" ht="82" customHeight="1">
      <c r="A1145" s="8" t="s">
        <v>5245</v>
      </c>
      <c r="B1145" s="8" t="s">
        <v>270</v>
      </c>
      <c r="C1145" s="8" t="s">
        <v>271</v>
      </c>
      <c r="D1145" s="8" t="s">
        <v>7</v>
      </c>
      <c r="E1145" s="8" t="s">
        <v>41</v>
      </c>
      <c r="F1145" s="8" t="s">
        <v>6285</v>
      </c>
      <c r="G1145" s="8" t="s">
        <v>1528</v>
      </c>
      <c r="H1145" s="8">
        <v>1</v>
      </c>
      <c r="I1145" s="8">
        <v>1</v>
      </c>
      <c r="J1145" s="8" t="s">
        <v>5246</v>
      </c>
      <c r="K1145" s="8" t="s">
        <v>277</v>
      </c>
      <c r="L1145" s="9">
        <v>46319</v>
      </c>
      <c r="M1145" s="8" t="s">
        <v>5864</v>
      </c>
      <c r="N1145" s="8" t="s">
        <v>5870</v>
      </c>
    </row>
    <row r="1146" spans="1:14" ht="82" customHeight="1">
      <c r="A1146" s="4" t="s">
        <v>4206</v>
      </c>
      <c r="B1146" s="4" t="s">
        <v>270</v>
      </c>
      <c r="C1146" s="4" t="s">
        <v>271</v>
      </c>
      <c r="D1146" s="4" t="s">
        <v>5879</v>
      </c>
      <c r="E1146" s="4" t="s">
        <v>41</v>
      </c>
      <c r="F1146" s="4" t="s">
        <v>3449</v>
      </c>
      <c r="G1146" s="4" t="s">
        <v>1528</v>
      </c>
      <c r="H1146" s="4">
        <v>1</v>
      </c>
      <c r="I1146" s="4">
        <v>1</v>
      </c>
      <c r="J1146" s="4" t="s">
        <v>4207</v>
      </c>
      <c r="K1146" s="4" t="s">
        <v>277</v>
      </c>
      <c r="L1146" s="6">
        <v>46319</v>
      </c>
      <c r="M1146" s="4" t="s">
        <v>5864</v>
      </c>
      <c r="N1146" s="4" t="s">
        <v>5865</v>
      </c>
    </row>
    <row r="1147" spans="1:14" ht="82" customHeight="1">
      <c r="A1147" s="8" t="s">
        <v>4208</v>
      </c>
      <c r="B1147" s="8" t="s">
        <v>270</v>
      </c>
      <c r="C1147" s="8" t="s">
        <v>271</v>
      </c>
      <c r="D1147" s="8" t="s">
        <v>5879</v>
      </c>
      <c r="E1147" s="8" t="s">
        <v>41</v>
      </c>
      <c r="F1147" s="8" t="s">
        <v>3466</v>
      </c>
      <c r="G1147" s="8" t="s">
        <v>1528</v>
      </c>
      <c r="H1147" s="8">
        <v>1</v>
      </c>
      <c r="I1147" s="8">
        <v>1</v>
      </c>
      <c r="J1147" s="8" t="s">
        <v>4209</v>
      </c>
      <c r="K1147" s="8" t="s">
        <v>277</v>
      </c>
      <c r="L1147" s="9">
        <v>46319</v>
      </c>
      <c r="M1147" s="8" t="s">
        <v>5864</v>
      </c>
      <c r="N1147" s="8" t="s">
        <v>5865</v>
      </c>
    </row>
    <row r="1148" spans="1:14" ht="82" customHeight="1">
      <c r="A1148" s="4" t="s">
        <v>4210</v>
      </c>
      <c r="B1148" s="4" t="s">
        <v>270</v>
      </c>
      <c r="C1148" s="4" t="s">
        <v>271</v>
      </c>
      <c r="D1148" s="4" t="s">
        <v>5879</v>
      </c>
      <c r="E1148" s="4" t="s">
        <v>41</v>
      </c>
      <c r="F1148" s="4" t="s">
        <v>3469</v>
      </c>
      <c r="G1148" s="4" t="s">
        <v>1528</v>
      </c>
      <c r="H1148" s="4">
        <v>1</v>
      </c>
      <c r="I1148" s="4">
        <v>1</v>
      </c>
      <c r="J1148" s="4" t="s">
        <v>4211</v>
      </c>
      <c r="K1148" s="4" t="s">
        <v>277</v>
      </c>
      <c r="L1148" s="6">
        <v>46319</v>
      </c>
      <c r="M1148" s="4" t="s">
        <v>5864</v>
      </c>
      <c r="N1148" s="4" t="s">
        <v>5865</v>
      </c>
    </row>
    <row r="1149" spans="1:14" ht="82" customHeight="1">
      <c r="A1149" s="8" t="s">
        <v>7226</v>
      </c>
      <c r="B1149" s="8" t="s">
        <v>270</v>
      </c>
      <c r="C1149" s="8" t="s">
        <v>271</v>
      </c>
      <c r="D1149" s="8" t="s">
        <v>2969</v>
      </c>
      <c r="E1149" s="8" t="s">
        <v>41</v>
      </c>
      <c r="F1149" s="8" t="s">
        <v>5881</v>
      </c>
      <c r="G1149" s="8" t="s">
        <v>1528</v>
      </c>
      <c r="H1149" s="8">
        <v>1</v>
      </c>
      <c r="I1149" s="8">
        <v>1</v>
      </c>
      <c r="J1149" s="8" t="s">
        <v>7227</v>
      </c>
      <c r="K1149" s="8" t="s">
        <v>277</v>
      </c>
      <c r="L1149" s="9">
        <v>46319</v>
      </c>
      <c r="M1149" s="8" t="s">
        <v>5864</v>
      </c>
      <c r="N1149" s="8" t="s">
        <v>5883</v>
      </c>
    </row>
    <row r="1150" spans="1:14" ht="82" customHeight="1">
      <c r="A1150" s="4" t="s">
        <v>7228</v>
      </c>
      <c r="B1150" s="4" t="s">
        <v>270</v>
      </c>
      <c r="C1150" s="4" t="s">
        <v>271</v>
      </c>
      <c r="D1150" s="4" t="s">
        <v>2969</v>
      </c>
      <c r="E1150" s="4" t="s">
        <v>41</v>
      </c>
      <c r="F1150" s="4" t="s">
        <v>5885</v>
      </c>
      <c r="G1150" s="4" t="s">
        <v>1528</v>
      </c>
      <c r="H1150" s="4">
        <v>1</v>
      </c>
      <c r="I1150" s="4">
        <v>1</v>
      </c>
      <c r="J1150" s="4" t="s">
        <v>7229</v>
      </c>
      <c r="K1150" s="4" t="s">
        <v>277</v>
      </c>
      <c r="L1150" s="6">
        <v>46319</v>
      </c>
      <c r="M1150" s="4" t="s">
        <v>5864</v>
      </c>
      <c r="N1150" s="4" t="s">
        <v>5883</v>
      </c>
    </row>
    <row r="1151" spans="1:14" ht="82" customHeight="1">
      <c r="A1151" s="8" t="s">
        <v>7230</v>
      </c>
      <c r="B1151" s="8" t="s">
        <v>270</v>
      </c>
      <c r="C1151" s="8" t="s">
        <v>271</v>
      </c>
      <c r="D1151" s="8" t="s">
        <v>2969</v>
      </c>
      <c r="E1151" s="8" t="s">
        <v>41</v>
      </c>
      <c r="F1151" s="8" t="s">
        <v>5888</v>
      </c>
      <c r="G1151" s="8" t="s">
        <v>1528</v>
      </c>
      <c r="H1151" s="8">
        <v>1</v>
      </c>
      <c r="I1151" s="8">
        <v>1</v>
      </c>
      <c r="J1151" s="8" t="s">
        <v>7231</v>
      </c>
      <c r="K1151" s="8" t="s">
        <v>277</v>
      </c>
      <c r="L1151" s="9">
        <v>46319</v>
      </c>
      <c r="M1151" s="8" t="s">
        <v>5864</v>
      </c>
      <c r="N1151" s="8" t="s">
        <v>5883</v>
      </c>
    </row>
    <row r="1152" spans="1:14" ht="82" customHeight="1">
      <c r="A1152" s="4" t="s">
        <v>7232</v>
      </c>
      <c r="B1152" s="4" t="s">
        <v>270</v>
      </c>
      <c r="C1152" s="4" t="s">
        <v>271</v>
      </c>
      <c r="D1152" s="4" t="s">
        <v>2969</v>
      </c>
      <c r="E1152" s="4" t="s">
        <v>41</v>
      </c>
      <c r="F1152" s="4" t="s">
        <v>5891</v>
      </c>
      <c r="G1152" s="4" t="s">
        <v>1528</v>
      </c>
      <c r="H1152" s="4">
        <v>1</v>
      </c>
      <c r="I1152" s="4">
        <v>1</v>
      </c>
      <c r="J1152" s="4" t="s">
        <v>7233</v>
      </c>
      <c r="K1152" s="4" t="s">
        <v>277</v>
      </c>
      <c r="L1152" s="6">
        <v>46319</v>
      </c>
      <c r="M1152" s="4" t="s">
        <v>5864</v>
      </c>
      <c r="N1152" s="4" t="s">
        <v>5883</v>
      </c>
    </row>
    <row r="1153" spans="1:14" ht="82" customHeight="1">
      <c r="A1153" s="8" t="s">
        <v>7234</v>
      </c>
      <c r="B1153" s="8" t="s">
        <v>270</v>
      </c>
      <c r="C1153" s="8" t="s">
        <v>271</v>
      </c>
      <c r="D1153" s="8" t="s">
        <v>2969</v>
      </c>
      <c r="E1153" s="8" t="s">
        <v>41</v>
      </c>
      <c r="F1153" s="8" t="s">
        <v>5894</v>
      </c>
      <c r="G1153" s="8" t="s">
        <v>1528</v>
      </c>
      <c r="H1153" s="8">
        <v>1</v>
      </c>
      <c r="I1153" s="8">
        <v>1</v>
      </c>
      <c r="J1153" s="8" t="s">
        <v>7235</v>
      </c>
      <c r="K1153" s="8" t="s">
        <v>277</v>
      </c>
      <c r="L1153" s="9">
        <v>46319</v>
      </c>
      <c r="M1153" s="8" t="s">
        <v>5864</v>
      </c>
      <c r="N1153" s="8" t="s">
        <v>5883</v>
      </c>
    </row>
    <row r="1154" spans="1:14" ht="82" customHeight="1">
      <c r="A1154" s="4" t="s">
        <v>7236</v>
      </c>
      <c r="B1154" s="4" t="s">
        <v>270</v>
      </c>
      <c r="C1154" s="4" t="s">
        <v>271</v>
      </c>
      <c r="D1154" s="4" t="s">
        <v>2969</v>
      </c>
      <c r="E1154" s="4" t="s">
        <v>41</v>
      </c>
      <c r="F1154" s="4" t="s">
        <v>5897</v>
      </c>
      <c r="G1154" s="4" t="s">
        <v>1528</v>
      </c>
      <c r="H1154" s="4">
        <v>1</v>
      </c>
      <c r="I1154" s="4">
        <v>1</v>
      </c>
      <c r="J1154" s="4" t="s">
        <v>7237</v>
      </c>
      <c r="K1154" s="4" t="s">
        <v>277</v>
      </c>
      <c r="L1154" s="6">
        <v>46319</v>
      </c>
      <c r="M1154" s="4" t="s">
        <v>5864</v>
      </c>
      <c r="N1154" s="4" t="s">
        <v>5883</v>
      </c>
    </row>
    <row r="1155" spans="1:14" ht="82" customHeight="1">
      <c r="A1155" s="8" t="s">
        <v>7238</v>
      </c>
      <c r="B1155" s="8" t="s">
        <v>270</v>
      </c>
      <c r="C1155" s="8" t="s">
        <v>271</v>
      </c>
      <c r="D1155" s="8" t="s">
        <v>2969</v>
      </c>
      <c r="E1155" s="8" t="s">
        <v>41</v>
      </c>
      <c r="F1155" s="8" t="s">
        <v>5900</v>
      </c>
      <c r="G1155" s="8" t="s">
        <v>1528</v>
      </c>
      <c r="H1155" s="8">
        <v>1</v>
      </c>
      <c r="I1155" s="8">
        <v>1</v>
      </c>
      <c r="J1155" s="8" t="s">
        <v>7239</v>
      </c>
      <c r="K1155" s="8" t="s">
        <v>277</v>
      </c>
      <c r="L1155" s="9">
        <v>46319</v>
      </c>
      <c r="M1155" s="8" t="s">
        <v>5864</v>
      </c>
      <c r="N1155" s="8" t="s">
        <v>5883</v>
      </c>
    </row>
    <row r="1156" spans="1:14" ht="82" customHeight="1">
      <c r="A1156" s="4" t="s">
        <v>7240</v>
      </c>
      <c r="B1156" s="4" t="s">
        <v>270</v>
      </c>
      <c r="C1156" s="4" t="s">
        <v>271</v>
      </c>
      <c r="D1156" s="4" t="s">
        <v>2969</v>
      </c>
      <c r="E1156" s="4" t="s">
        <v>41</v>
      </c>
      <c r="F1156" s="4" t="s">
        <v>5903</v>
      </c>
      <c r="G1156" s="4" t="s">
        <v>1528</v>
      </c>
      <c r="H1156" s="4">
        <v>1</v>
      </c>
      <c r="I1156" s="4">
        <v>1</v>
      </c>
      <c r="J1156" s="4" t="s">
        <v>7241</v>
      </c>
      <c r="K1156" s="4" t="s">
        <v>277</v>
      </c>
      <c r="L1156" s="6">
        <v>46319</v>
      </c>
      <c r="M1156" s="4" t="s">
        <v>5864</v>
      </c>
      <c r="N1156" s="4" t="s">
        <v>5883</v>
      </c>
    </row>
    <row r="1157" spans="1:14" ht="82" customHeight="1">
      <c r="A1157" s="8" t="s">
        <v>7242</v>
      </c>
      <c r="B1157" s="8" t="s">
        <v>270</v>
      </c>
      <c r="C1157" s="8" t="s">
        <v>271</v>
      </c>
      <c r="D1157" s="8" t="s">
        <v>2969</v>
      </c>
      <c r="E1157" s="8" t="s">
        <v>41</v>
      </c>
      <c r="F1157" s="8" t="s">
        <v>5906</v>
      </c>
      <c r="G1157" s="8" t="s">
        <v>1528</v>
      </c>
      <c r="H1157" s="8">
        <v>1</v>
      </c>
      <c r="I1157" s="8">
        <v>1</v>
      </c>
      <c r="J1157" s="8" t="s">
        <v>7243</v>
      </c>
      <c r="K1157" s="8" t="s">
        <v>277</v>
      </c>
      <c r="L1157" s="9">
        <v>46319</v>
      </c>
      <c r="M1157" s="8" t="s">
        <v>5864</v>
      </c>
      <c r="N1157" s="8" t="s">
        <v>5883</v>
      </c>
    </row>
    <row r="1158" spans="1:14" ht="82" customHeight="1">
      <c r="A1158" s="4" t="s">
        <v>7244</v>
      </c>
      <c r="B1158" s="4" t="s">
        <v>270</v>
      </c>
      <c r="C1158" s="4" t="s">
        <v>271</v>
      </c>
      <c r="D1158" s="4" t="s">
        <v>2969</v>
      </c>
      <c r="E1158" s="4" t="s">
        <v>41</v>
      </c>
      <c r="F1158" s="4" t="s">
        <v>5909</v>
      </c>
      <c r="G1158" s="4" t="s">
        <v>1528</v>
      </c>
      <c r="H1158" s="4">
        <v>1</v>
      </c>
      <c r="I1158" s="4">
        <v>1</v>
      </c>
      <c r="J1158" s="4" t="s">
        <v>7245</v>
      </c>
      <c r="K1158" s="4" t="s">
        <v>277</v>
      </c>
      <c r="L1158" s="6">
        <v>46319</v>
      </c>
      <c r="M1158" s="4" t="s">
        <v>5864</v>
      </c>
      <c r="N1158" s="4" t="s">
        <v>5883</v>
      </c>
    </row>
    <row r="1159" spans="1:14" ht="82" customHeight="1">
      <c r="A1159" s="8" t="s">
        <v>7246</v>
      </c>
      <c r="B1159" s="8" t="s">
        <v>270</v>
      </c>
      <c r="C1159" s="8" t="s">
        <v>271</v>
      </c>
      <c r="D1159" s="8" t="s">
        <v>2969</v>
      </c>
      <c r="E1159" s="8" t="s">
        <v>41</v>
      </c>
      <c r="F1159" s="8" t="s">
        <v>5912</v>
      </c>
      <c r="G1159" s="8" t="s">
        <v>1528</v>
      </c>
      <c r="H1159" s="8">
        <v>1</v>
      </c>
      <c r="I1159" s="8">
        <v>1</v>
      </c>
      <c r="J1159" s="8" t="s">
        <v>7247</v>
      </c>
      <c r="K1159" s="8" t="s">
        <v>277</v>
      </c>
      <c r="L1159" s="9">
        <v>46319</v>
      </c>
      <c r="M1159" s="8" t="s">
        <v>5864</v>
      </c>
      <c r="N1159" s="8" t="s">
        <v>5883</v>
      </c>
    </row>
    <row r="1160" spans="1:14" ht="82" customHeight="1">
      <c r="A1160" s="4" t="s">
        <v>7248</v>
      </c>
      <c r="B1160" s="4" t="s">
        <v>270</v>
      </c>
      <c r="C1160" s="4" t="s">
        <v>271</v>
      </c>
      <c r="D1160" s="4" t="s">
        <v>2969</v>
      </c>
      <c r="E1160" s="4" t="s">
        <v>41</v>
      </c>
      <c r="F1160" s="4" t="s">
        <v>5973</v>
      </c>
      <c r="G1160" s="4" t="s">
        <v>1528</v>
      </c>
      <c r="H1160" s="4">
        <v>1</v>
      </c>
      <c r="I1160" s="4">
        <v>1</v>
      </c>
      <c r="J1160" s="4" t="s">
        <v>7249</v>
      </c>
      <c r="K1160" s="4" t="s">
        <v>277</v>
      </c>
      <c r="L1160" s="6">
        <v>46319</v>
      </c>
      <c r="M1160" s="4" t="s">
        <v>5864</v>
      </c>
      <c r="N1160" s="4" t="s">
        <v>5883</v>
      </c>
    </row>
    <row r="1161" spans="1:14" ht="82" customHeight="1">
      <c r="A1161" s="8" t="s">
        <v>7250</v>
      </c>
      <c r="B1161" s="8" t="s">
        <v>270</v>
      </c>
      <c r="C1161" s="8" t="s">
        <v>271</v>
      </c>
      <c r="D1161" s="8" t="s">
        <v>2969</v>
      </c>
      <c r="E1161" s="8" t="s">
        <v>41</v>
      </c>
      <c r="F1161" s="8" t="s">
        <v>5976</v>
      </c>
      <c r="G1161" s="8" t="s">
        <v>1528</v>
      </c>
      <c r="H1161" s="8">
        <v>1</v>
      </c>
      <c r="I1161" s="8">
        <v>1</v>
      </c>
      <c r="J1161" s="8" t="s">
        <v>7251</v>
      </c>
      <c r="K1161" s="8" t="s">
        <v>277</v>
      </c>
      <c r="L1161" s="9">
        <v>46319</v>
      </c>
      <c r="M1161" s="8" t="s">
        <v>5864</v>
      </c>
      <c r="N1161" s="8" t="s">
        <v>5883</v>
      </c>
    </row>
    <row r="1162" spans="1:14" ht="82" customHeight="1">
      <c r="A1162" s="4" t="s">
        <v>7252</v>
      </c>
      <c r="B1162" s="4" t="s">
        <v>270</v>
      </c>
      <c r="C1162" s="4" t="s">
        <v>271</v>
      </c>
      <c r="D1162" s="4" t="s">
        <v>2969</v>
      </c>
      <c r="E1162" s="4" t="s">
        <v>41</v>
      </c>
      <c r="F1162" s="4" t="s">
        <v>5979</v>
      </c>
      <c r="G1162" s="4" t="s">
        <v>1528</v>
      </c>
      <c r="H1162" s="4">
        <v>1</v>
      </c>
      <c r="I1162" s="4">
        <v>1</v>
      </c>
      <c r="J1162" s="4" t="s">
        <v>7253</v>
      </c>
      <c r="K1162" s="4" t="s">
        <v>277</v>
      </c>
      <c r="L1162" s="6">
        <v>46319</v>
      </c>
      <c r="M1162" s="4" t="s">
        <v>5864</v>
      </c>
      <c r="N1162" s="4" t="s">
        <v>5883</v>
      </c>
    </row>
    <row r="1163" spans="1:14" ht="82" customHeight="1">
      <c r="A1163" s="8" t="s">
        <v>7254</v>
      </c>
      <c r="B1163" s="8" t="s">
        <v>280</v>
      </c>
      <c r="C1163" s="8" t="s">
        <v>281</v>
      </c>
      <c r="D1163" s="8" t="s">
        <v>5861</v>
      </c>
      <c r="E1163" s="8" t="s">
        <v>41</v>
      </c>
      <c r="F1163" s="8" t="s">
        <v>5862</v>
      </c>
      <c r="G1163" s="8" t="s">
        <v>1548</v>
      </c>
      <c r="H1163" s="8">
        <v>1</v>
      </c>
      <c r="I1163" s="8">
        <v>1</v>
      </c>
      <c r="J1163" s="8" t="s">
        <v>7255</v>
      </c>
      <c r="K1163" s="8" t="s">
        <v>288</v>
      </c>
      <c r="L1163" s="9">
        <v>46319</v>
      </c>
      <c r="M1163" s="8" t="s">
        <v>5864</v>
      </c>
      <c r="N1163" s="8" t="s">
        <v>5865</v>
      </c>
    </row>
    <row r="1164" spans="1:14" ht="40" customHeight="1">
      <c r="A1164" s="4" t="s">
        <v>7256</v>
      </c>
      <c r="B1164" s="4" t="s">
        <v>280</v>
      </c>
      <c r="C1164" s="4" t="s">
        <v>281</v>
      </c>
      <c r="D1164" s="4" t="s">
        <v>5867</v>
      </c>
      <c r="E1164" s="4" t="s">
        <v>41</v>
      </c>
      <c r="F1164" s="4" t="s">
        <v>6248</v>
      </c>
      <c r="G1164" s="4" t="s">
        <v>1548</v>
      </c>
      <c r="H1164" s="4">
        <v>1</v>
      </c>
      <c r="I1164" s="4">
        <v>1</v>
      </c>
      <c r="J1164" s="4" t="s">
        <v>7257</v>
      </c>
      <c r="K1164" s="4" t="s">
        <v>288</v>
      </c>
      <c r="L1164" s="6">
        <v>46319</v>
      </c>
      <c r="M1164" s="4" t="s">
        <v>5864</v>
      </c>
      <c r="N1164" s="4" t="s">
        <v>5870</v>
      </c>
    </row>
    <row r="1165" spans="1:14" ht="54" customHeight="1">
      <c r="A1165" s="8" t="s">
        <v>7258</v>
      </c>
      <c r="B1165" s="8" t="s">
        <v>280</v>
      </c>
      <c r="C1165" s="8" t="s">
        <v>281</v>
      </c>
      <c r="D1165" s="8" t="s">
        <v>637</v>
      </c>
      <c r="E1165" s="8" t="s">
        <v>41</v>
      </c>
      <c r="F1165" s="8" t="s">
        <v>904</v>
      </c>
      <c r="G1165" s="8" t="s">
        <v>1548</v>
      </c>
      <c r="H1165" s="8">
        <v>1</v>
      </c>
      <c r="I1165" s="8">
        <v>1</v>
      </c>
      <c r="J1165" s="8" t="s">
        <v>1546</v>
      </c>
      <c r="K1165" s="8" t="s">
        <v>288</v>
      </c>
      <c r="L1165" s="9">
        <v>46319</v>
      </c>
      <c r="M1165" s="8" t="s">
        <v>5864</v>
      </c>
      <c r="N1165" s="8" t="s">
        <v>5870</v>
      </c>
    </row>
    <row r="1166" spans="1:14" ht="40" customHeight="1">
      <c r="A1166" s="4" t="s">
        <v>7259</v>
      </c>
      <c r="B1166" s="4" t="s">
        <v>280</v>
      </c>
      <c r="C1166" s="4" t="s">
        <v>281</v>
      </c>
      <c r="D1166" s="4" t="s">
        <v>637</v>
      </c>
      <c r="E1166" s="4" t="s">
        <v>41</v>
      </c>
      <c r="F1166" s="4" t="s">
        <v>912</v>
      </c>
      <c r="G1166" s="4" t="s">
        <v>1548</v>
      </c>
      <c r="H1166" s="4">
        <v>1</v>
      </c>
      <c r="I1166" s="4">
        <v>1</v>
      </c>
      <c r="J1166" s="4" t="s">
        <v>1550</v>
      </c>
      <c r="K1166" s="4" t="s">
        <v>288</v>
      </c>
      <c r="L1166" s="6">
        <v>46319</v>
      </c>
      <c r="M1166" s="4" t="s">
        <v>5864</v>
      </c>
      <c r="N1166" s="4" t="s">
        <v>5870</v>
      </c>
    </row>
    <row r="1167" spans="1:14" ht="40" customHeight="1">
      <c r="A1167" s="8" t="s">
        <v>5247</v>
      </c>
      <c r="B1167" s="8" t="s">
        <v>280</v>
      </c>
      <c r="C1167" s="8" t="s">
        <v>281</v>
      </c>
      <c r="D1167" s="8" t="s">
        <v>7</v>
      </c>
      <c r="E1167" s="8" t="s">
        <v>5248</v>
      </c>
      <c r="F1167" s="8" t="s">
        <v>6212</v>
      </c>
      <c r="G1167" s="8" t="s">
        <v>1548</v>
      </c>
      <c r="H1167" s="8">
        <v>1</v>
      </c>
      <c r="I1167" s="8">
        <v>1</v>
      </c>
      <c r="J1167" s="8" t="s">
        <v>5248</v>
      </c>
      <c r="K1167" s="8" t="s">
        <v>288</v>
      </c>
      <c r="L1167" s="9">
        <v>46319</v>
      </c>
      <c r="M1167" s="8" t="s">
        <v>5864</v>
      </c>
      <c r="N1167" s="8" t="s">
        <v>5870</v>
      </c>
    </row>
    <row r="1168" spans="1:14" ht="40" customHeight="1">
      <c r="A1168" s="4" t="s">
        <v>5249</v>
      </c>
      <c r="B1168" s="4" t="s">
        <v>280</v>
      </c>
      <c r="C1168" s="4" t="s">
        <v>281</v>
      </c>
      <c r="D1168" s="4" t="s">
        <v>7</v>
      </c>
      <c r="E1168" s="4" t="s">
        <v>5248</v>
      </c>
      <c r="F1168" s="4" t="s">
        <v>7260</v>
      </c>
      <c r="G1168" s="4" t="s">
        <v>1548</v>
      </c>
      <c r="H1168" s="4">
        <v>1</v>
      </c>
      <c r="I1168" s="4">
        <v>1</v>
      </c>
      <c r="J1168" s="4" t="s">
        <v>5250</v>
      </c>
      <c r="K1168" s="4" t="s">
        <v>288</v>
      </c>
      <c r="L1168" s="6">
        <v>46319</v>
      </c>
      <c r="M1168" s="4" t="s">
        <v>5864</v>
      </c>
      <c r="N1168" s="4" t="s">
        <v>5870</v>
      </c>
    </row>
    <row r="1169" spans="1:14" ht="40" customHeight="1">
      <c r="A1169" s="8" t="s">
        <v>5251</v>
      </c>
      <c r="B1169" s="8" t="s">
        <v>280</v>
      </c>
      <c r="C1169" s="8" t="s">
        <v>281</v>
      </c>
      <c r="D1169" s="8" t="s">
        <v>7</v>
      </c>
      <c r="E1169" s="8" t="s">
        <v>5248</v>
      </c>
      <c r="F1169" s="8" t="s">
        <v>7261</v>
      </c>
      <c r="G1169" s="8" t="s">
        <v>1548</v>
      </c>
      <c r="H1169" s="8">
        <v>1</v>
      </c>
      <c r="I1169" s="8">
        <v>1</v>
      </c>
      <c r="J1169" s="8" t="s">
        <v>5252</v>
      </c>
      <c r="K1169" s="8" t="s">
        <v>288</v>
      </c>
      <c r="L1169" s="9">
        <v>46319</v>
      </c>
      <c r="M1169" s="8" t="s">
        <v>5864</v>
      </c>
      <c r="N1169" s="8" t="s">
        <v>5870</v>
      </c>
    </row>
    <row r="1170" spans="1:14" ht="40" customHeight="1">
      <c r="A1170" s="4" t="s">
        <v>5253</v>
      </c>
      <c r="B1170" s="4" t="s">
        <v>280</v>
      </c>
      <c r="C1170" s="4" t="s">
        <v>281</v>
      </c>
      <c r="D1170" s="4" t="s">
        <v>7</v>
      </c>
      <c r="E1170" s="4" t="s">
        <v>5248</v>
      </c>
      <c r="F1170" s="4" t="s">
        <v>7262</v>
      </c>
      <c r="G1170" s="4" t="s">
        <v>1548</v>
      </c>
      <c r="H1170" s="4">
        <v>1</v>
      </c>
      <c r="I1170" s="4">
        <v>1</v>
      </c>
      <c r="J1170" s="4" t="s">
        <v>5254</v>
      </c>
      <c r="K1170" s="4" t="s">
        <v>288</v>
      </c>
      <c r="L1170" s="6">
        <v>46319</v>
      </c>
      <c r="M1170" s="4" t="s">
        <v>5864</v>
      </c>
      <c r="N1170" s="4" t="s">
        <v>5870</v>
      </c>
    </row>
    <row r="1171" spans="1:14" ht="40" customHeight="1">
      <c r="A1171" s="8" t="s">
        <v>5255</v>
      </c>
      <c r="B1171" s="8" t="s">
        <v>280</v>
      </c>
      <c r="C1171" s="8" t="s">
        <v>281</v>
      </c>
      <c r="D1171" s="8" t="s">
        <v>7</v>
      </c>
      <c r="E1171" s="8" t="s">
        <v>5248</v>
      </c>
      <c r="F1171" s="8" t="s">
        <v>7263</v>
      </c>
      <c r="G1171" s="8" t="s">
        <v>1548</v>
      </c>
      <c r="H1171" s="8">
        <v>1</v>
      </c>
      <c r="I1171" s="8">
        <v>1</v>
      </c>
      <c r="J1171" s="8" t="s">
        <v>5256</v>
      </c>
      <c r="K1171" s="8" t="s">
        <v>288</v>
      </c>
      <c r="L1171" s="9">
        <v>46319</v>
      </c>
      <c r="M1171" s="8" t="s">
        <v>5864</v>
      </c>
      <c r="N1171" s="8" t="s">
        <v>5870</v>
      </c>
    </row>
    <row r="1172" spans="1:14" ht="40" customHeight="1">
      <c r="A1172" s="4" t="s">
        <v>5257</v>
      </c>
      <c r="B1172" s="4" t="s">
        <v>280</v>
      </c>
      <c r="C1172" s="4" t="s">
        <v>281</v>
      </c>
      <c r="D1172" s="4" t="s">
        <v>7</v>
      </c>
      <c r="E1172" s="4" t="s">
        <v>5258</v>
      </c>
      <c r="F1172" s="4" t="s">
        <v>6585</v>
      </c>
      <c r="G1172" s="4" t="s">
        <v>1548</v>
      </c>
      <c r="H1172" s="4">
        <v>1</v>
      </c>
      <c r="I1172" s="4">
        <v>1</v>
      </c>
      <c r="J1172" s="4" t="s">
        <v>5258</v>
      </c>
      <c r="K1172" s="4" t="s">
        <v>288</v>
      </c>
      <c r="L1172" s="6">
        <v>46319</v>
      </c>
      <c r="M1172" s="4" t="s">
        <v>5864</v>
      </c>
      <c r="N1172" s="4" t="s">
        <v>5870</v>
      </c>
    </row>
    <row r="1173" spans="1:14" ht="40" customHeight="1">
      <c r="A1173" s="8" t="s">
        <v>5259</v>
      </c>
      <c r="B1173" s="8" t="s">
        <v>280</v>
      </c>
      <c r="C1173" s="8" t="s">
        <v>281</v>
      </c>
      <c r="D1173" s="8" t="s">
        <v>7</v>
      </c>
      <c r="E1173" s="8" t="s">
        <v>5258</v>
      </c>
      <c r="F1173" s="8" t="s">
        <v>7264</v>
      </c>
      <c r="G1173" s="8" t="s">
        <v>1548</v>
      </c>
      <c r="H1173" s="8">
        <v>1</v>
      </c>
      <c r="I1173" s="8">
        <v>1</v>
      </c>
      <c r="J1173" s="8" t="s">
        <v>5260</v>
      </c>
      <c r="K1173" s="8" t="s">
        <v>288</v>
      </c>
      <c r="L1173" s="9">
        <v>46319</v>
      </c>
      <c r="M1173" s="8" t="s">
        <v>5864</v>
      </c>
      <c r="N1173" s="8" t="s">
        <v>5870</v>
      </c>
    </row>
    <row r="1174" spans="1:14" ht="40" customHeight="1">
      <c r="A1174" s="4" t="s">
        <v>5261</v>
      </c>
      <c r="B1174" s="4" t="s">
        <v>280</v>
      </c>
      <c r="C1174" s="4" t="s">
        <v>281</v>
      </c>
      <c r="D1174" s="4" t="s">
        <v>7</v>
      </c>
      <c r="E1174" s="4" t="s">
        <v>5258</v>
      </c>
      <c r="F1174" s="4" t="s">
        <v>7265</v>
      </c>
      <c r="G1174" s="4" t="s">
        <v>1548</v>
      </c>
      <c r="H1174" s="4">
        <v>1</v>
      </c>
      <c r="I1174" s="4">
        <v>1</v>
      </c>
      <c r="J1174" s="4" t="s">
        <v>5262</v>
      </c>
      <c r="K1174" s="4" t="s">
        <v>288</v>
      </c>
      <c r="L1174" s="6">
        <v>46319</v>
      </c>
      <c r="M1174" s="4" t="s">
        <v>5864</v>
      </c>
      <c r="N1174" s="4" t="s">
        <v>5870</v>
      </c>
    </row>
    <row r="1175" spans="1:14" ht="40" customHeight="1">
      <c r="A1175" s="8" t="s">
        <v>5263</v>
      </c>
      <c r="B1175" s="8" t="s">
        <v>280</v>
      </c>
      <c r="C1175" s="8" t="s">
        <v>281</v>
      </c>
      <c r="D1175" s="8" t="s">
        <v>7</v>
      </c>
      <c r="E1175" s="8" t="s">
        <v>5258</v>
      </c>
      <c r="F1175" s="8" t="s">
        <v>7266</v>
      </c>
      <c r="G1175" s="8" t="s">
        <v>1548</v>
      </c>
      <c r="H1175" s="8">
        <v>1</v>
      </c>
      <c r="I1175" s="8">
        <v>1</v>
      </c>
      <c r="J1175" s="8" t="s">
        <v>5264</v>
      </c>
      <c r="K1175" s="8" t="s">
        <v>288</v>
      </c>
      <c r="L1175" s="9">
        <v>46319</v>
      </c>
      <c r="M1175" s="8" t="s">
        <v>5864</v>
      </c>
      <c r="N1175" s="8" t="s">
        <v>5870</v>
      </c>
    </row>
    <row r="1176" spans="1:14" ht="40" customHeight="1">
      <c r="A1176" s="4" t="s">
        <v>5265</v>
      </c>
      <c r="B1176" s="4" t="s">
        <v>280</v>
      </c>
      <c r="C1176" s="4" t="s">
        <v>281</v>
      </c>
      <c r="D1176" s="4" t="s">
        <v>7</v>
      </c>
      <c r="E1176" s="4" t="s">
        <v>5266</v>
      </c>
      <c r="F1176" s="4" t="s">
        <v>6590</v>
      </c>
      <c r="G1176" s="4" t="s">
        <v>1548</v>
      </c>
      <c r="H1176" s="4">
        <v>1</v>
      </c>
      <c r="I1176" s="4">
        <v>1</v>
      </c>
      <c r="J1176" s="4" t="s">
        <v>5266</v>
      </c>
      <c r="K1176" s="4" t="s">
        <v>288</v>
      </c>
      <c r="L1176" s="6">
        <v>46319</v>
      </c>
      <c r="M1176" s="4" t="s">
        <v>5864</v>
      </c>
      <c r="N1176" s="4" t="s">
        <v>5870</v>
      </c>
    </row>
    <row r="1177" spans="1:14" ht="40" customHeight="1">
      <c r="A1177" s="8" t="s">
        <v>5267</v>
      </c>
      <c r="B1177" s="8" t="s">
        <v>280</v>
      </c>
      <c r="C1177" s="8" t="s">
        <v>281</v>
      </c>
      <c r="D1177" s="8" t="s">
        <v>7</v>
      </c>
      <c r="E1177" s="8" t="s">
        <v>5266</v>
      </c>
      <c r="F1177" s="8" t="s">
        <v>7267</v>
      </c>
      <c r="G1177" s="8" t="s">
        <v>1548</v>
      </c>
      <c r="H1177" s="8">
        <v>1</v>
      </c>
      <c r="I1177" s="8">
        <v>1</v>
      </c>
      <c r="J1177" s="8" t="s">
        <v>5268</v>
      </c>
      <c r="K1177" s="8" t="s">
        <v>288</v>
      </c>
      <c r="L1177" s="9">
        <v>46319</v>
      </c>
      <c r="M1177" s="8" t="s">
        <v>5864</v>
      </c>
      <c r="N1177" s="8" t="s">
        <v>5870</v>
      </c>
    </row>
    <row r="1178" spans="1:14" ht="40" customHeight="1">
      <c r="A1178" s="4" t="s">
        <v>5269</v>
      </c>
      <c r="B1178" s="4" t="s">
        <v>280</v>
      </c>
      <c r="C1178" s="4" t="s">
        <v>281</v>
      </c>
      <c r="D1178" s="4" t="s">
        <v>7</v>
      </c>
      <c r="E1178" s="4" t="s">
        <v>5266</v>
      </c>
      <c r="F1178" s="4" t="s">
        <v>7268</v>
      </c>
      <c r="G1178" s="4" t="s">
        <v>1548</v>
      </c>
      <c r="H1178" s="4">
        <v>1</v>
      </c>
      <c r="I1178" s="4">
        <v>1</v>
      </c>
      <c r="J1178" s="4" t="s">
        <v>5270</v>
      </c>
      <c r="K1178" s="4" t="s">
        <v>288</v>
      </c>
      <c r="L1178" s="6">
        <v>46319</v>
      </c>
      <c r="M1178" s="4" t="s">
        <v>5864</v>
      </c>
      <c r="N1178" s="4" t="s">
        <v>5870</v>
      </c>
    </row>
    <row r="1179" spans="1:14" ht="40" customHeight="1">
      <c r="A1179" s="8" t="s">
        <v>5271</v>
      </c>
      <c r="B1179" s="8" t="s">
        <v>280</v>
      </c>
      <c r="C1179" s="8" t="s">
        <v>281</v>
      </c>
      <c r="D1179" s="8" t="s">
        <v>7</v>
      </c>
      <c r="E1179" s="8" t="s">
        <v>5266</v>
      </c>
      <c r="F1179" s="8" t="s">
        <v>7269</v>
      </c>
      <c r="G1179" s="8" t="s">
        <v>1548</v>
      </c>
      <c r="H1179" s="8">
        <v>1</v>
      </c>
      <c r="I1179" s="8">
        <v>1</v>
      </c>
      <c r="J1179" s="8" t="s">
        <v>5272</v>
      </c>
      <c r="K1179" s="8" t="s">
        <v>288</v>
      </c>
      <c r="L1179" s="9">
        <v>46319</v>
      </c>
      <c r="M1179" s="8" t="s">
        <v>5864</v>
      </c>
      <c r="N1179" s="8" t="s">
        <v>5870</v>
      </c>
    </row>
    <row r="1180" spans="1:14" ht="40" customHeight="1">
      <c r="A1180" s="4" t="s">
        <v>5273</v>
      </c>
      <c r="B1180" s="4" t="s">
        <v>280</v>
      </c>
      <c r="C1180" s="4" t="s">
        <v>281</v>
      </c>
      <c r="D1180" s="4" t="s">
        <v>7</v>
      </c>
      <c r="E1180" s="4" t="s">
        <v>5266</v>
      </c>
      <c r="F1180" s="4" t="s">
        <v>7270</v>
      </c>
      <c r="G1180" s="4" t="s">
        <v>1548</v>
      </c>
      <c r="H1180" s="4">
        <v>1</v>
      </c>
      <c r="I1180" s="4">
        <v>1</v>
      </c>
      <c r="J1180" s="4" t="s">
        <v>5274</v>
      </c>
      <c r="K1180" s="4" t="s">
        <v>288</v>
      </c>
      <c r="L1180" s="6">
        <v>46319</v>
      </c>
      <c r="M1180" s="4" t="s">
        <v>5864</v>
      </c>
      <c r="N1180" s="4" t="s">
        <v>5870</v>
      </c>
    </row>
    <row r="1181" spans="1:14" ht="40" customHeight="1">
      <c r="A1181" s="8" t="s">
        <v>4212</v>
      </c>
      <c r="B1181" s="8" t="s">
        <v>280</v>
      </c>
      <c r="C1181" s="8" t="s">
        <v>281</v>
      </c>
      <c r="D1181" s="8" t="s">
        <v>5879</v>
      </c>
      <c r="E1181" s="8" t="s">
        <v>41</v>
      </c>
      <c r="F1181" s="8" t="s">
        <v>4214</v>
      </c>
      <c r="G1181" s="8" t="s">
        <v>1548</v>
      </c>
      <c r="H1181" s="8">
        <v>1</v>
      </c>
      <c r="I1181" s="8">
        <v>1</v>
      </c>
      <c r="J1181" s="8" t="s">
        <v>4213</v>
      </c>
      <c r="K1181" s="8" t="s">
        <v>288</v>
      </c>
      <c r="L1181" s="9">
        <v>46319</v>
      </c>
      <c r="M1181" s="8" t="s">
        <v>5864</v>
      </c>
      <c r="N1181" s="8" t="s">
        <v>6087</v>
      </c>
    </row>
    <row r="1182" spans="1:14" ht="40" customHeight="1">
      <c r="A1182" s="4" t="s">
        <v>4215</v>
      </c>
      <c r="B1182" s="4" t="s">
        <v>280</v>
      </c>
      <c r="C1182" s="4" t="s">
        <v>281</v>
      </c>
      <c r="D1182" s="4" t="s">
        <v>5879</v>
      </c>
      <c r="E1182" s="4" t="s">
        <v>41</v>
      </c>
      <c r="F1182" s="4" t="s">
        <v>3769</v>
      </c>
      <c r="G1182" s="4" t="s">
        <v>1548</v>
      </c>
      <c r="H1182" s="4">
        <v>1</v>
      </c>
      <c r="I1182" s="4">
        <v>1</v>
      </c>
      <c r="J1182" s="4" t="s">
        <v>4216</v>
      </c>
      <c r="K1182" s="4" t="s">
        <v>288</v>
      </c>
      <c r="L1182" s="6">
        <v>46319</v>
      </c>
      <c r="M1182" s="4" t="s">
        <v>5864</v>
      </c>
      <c r="N1182" s="4" t="s">
        <v>5870</v>
      </c>
    </row>
    <row r="1183" spans="1:14" ht="40" customHeight="1">
      <c r="A1183" s="8" t="s">
        <v>4217</v>
      </c>
      <c r="B1183" s="8" t="s">
        <v>280</v>
      </c>
      <c r="C1183" s="8" t="s">
        <v>281</v>
      </c>
      <c r="D1183" s="8" t="s">
        <v>5879</v>
      </c>
      <c r="E1183" s="8" t="s">
        <v>41</v>
      </c>
      <c r="F1183" s="8" t="s">
        <v>4219</v>
      </c>
      <c r="G1183" s="8" t="s">
        <v>1548</v>
      </c>
      <c r="H1183" s="8">
        <v>1</v>
      </c>
      <c r="I1183" s="8">
        <v>1</v>
      </c>
      <c r="J1183" s="8" t="s">
        <v>4218</v>
      </c>
      <c r="K1183" s="8" t="s">
        <v>288</v>
      </c>
      <c r="L1183" s="9">
        <v>46319</v>
      </c>
      <c r="M1183" s="8" t="s">
        <v>5864</v>
      </c>
      <c r="N1183" s="8" t="s">
        <v>5870</v>
      </c>
    </row>
    <row r="1184" spans="1:14" ht="40" customHeight="1">
      <c r="A1184" s="4" t="s">
        <v>4220</v>
      </c>
      <c r="B1184" s="4" t="s">
        <v>280</v>
      </c>
      <c r="C1184" s="4" t="s">
        <v>281</v>
      </c>
      <c r="D1184" s="4" t="s">
        <v>5879</v>
      </c>
      <c r="E1184" s="4" t="s">
        <v>41</v>
      </c>
      <c r="F1184" s="4" t="s">
        <v>4222</v>
      </c>
      <c r="G1184" s="4" t="s">
        <v>1548</v>
      </c>
      <c r="H1184" s="4">
        <v>1</v>
      </c>
      <c r="I1184" s="4">
        <v>1</v>
      </c>
      <c r="J1184" s="4" t="s">
        <v>4221</v>
      </c>
      <c r="K1184" s="4" t="s">
        <v>288</v>
      </c>
      <c r="L1184" s="6">
        <v>46319</v>
      </c>
      <c r="M1184" s="4" t="s">
        <v>5864</v>
      </c>
      <c r="N1184" s="4" t="s">
        <v>5870</v>
      </c>
    </row>
    <row r="1185" spans="1:14" ht="40" customHeight="1">
      <c r="A1185" s="8" t="s">
        <v>4223</v>
      </c>
      <c r="B1185" s="8" t="s">
        <v>280</v>
      </c>
      <c r="C1185" s="8" t="s">
        <v>281</v>
      </c>
      <c r="D1185" s="8" t="s">
        <v>5879</v>
      </c>
      <c r="E1185" s="8" t="s">
        <v>41</v>
      </c>
      <c r="F1185" s="8" t="s">
        <v>4225</v>
      </c>
      <c r="G1185" s="8" t="s">
        <v>1548</v>
      </c>
      <c r="H1185" s="8">
        <v>1</v>
      </c>
      <c r="I1185" s="8">
        <v>1</v>
      </c>
      <c r="J1185" s="8" t="s">
        <v>4224</v>
      </c>
      <c r="K1185" s="8" t="s">
        <v>288</v>
      </c>
      <c r="L1185" s="9">
        <v>46319</v>
      </c>
      <c r="M1185" s="8" t="s">
        <v>5864</v>
      </c>
      <c r="N1185" s="8" t="s">
        <v>5870</v>
      </c>
    </row>
    <row r="1186" spans="1:14" ht="40" customHeight="1">
      <c r="A1186" s="4" t="s">
        <v>4226</v>
      </c>
      <c r="B1186" s="4" t="s">
        <v>280</v>
      </c>
      <c r="C1186" s="4" t="s">
        <v>281</v>
      </c>
      <c r="D1186" s="4" t="s">
        <v>5879</v>
      </c>
      <c r="E1186" s="4" t="s">
        <v>41</v>
      </c>
      <c r="F1186" s="4" t="s">
        <v>4228</v>
      </c>
      <c r="G1186" s="4" t="s">
        <v>1548</v>
      </c>
      <c r="H1186" s="4">
        <v>1</v>
      </c>
      <c r="I1186" s="4">
        <v>1</v>
      </c>
      <c r="J1186" s="4" t="s">
        <v>4227</v>
      </c>
      <c r="K1186" s="4" t="s">
        <v>288</v>
      </c>
      <c r="L1186" s="6">
        <v>46319</v>
      </c>
      <c r="M1186" s="4" t="s">
        <v>5864</v>
      </c>
      <c r="N1186" s="4" t="s">
        <v>5870</v>
      </c>
    </row>
    <row r="1187" spans="1:14" ht="40" customHeight="1">
      <c r="A1187" s="8" t="s">
        <v>4229</v>
      </c>
      <c r="B1187" s="8" t="s">
        <v>280</v>
      </c>
      <c r="C1187" s="8" t="s">
        <v>281</v>
      </c>
      <c r="D1187" s="8" t="s">
        <v>5879</v>
      </c>
      <c r="E1187" s="8" t="s">
        <v>41</v>
      </c>
      <c r="F1187" s="8" t="s">
        <v>4231</v>
      </c>
      <c r="G1187" s="8" t="s">
        <v>1548</v>
      </c>
      <c r="H1187" s="8">
        <v>1</v>
      </c>
      <c r="I1187" s="8">
        <v>1</v>
      </c>
      <c r="J1187" s="8" t="s">
        <v>4230</v>
      </c>
      <c r="K1187" s="8" t="s">
        <v>288</v>
      </c>
      <c r="L1187" s="9">
        <v>46319</v>
      </c>
      <c r="M1187" s="8" t="s">
        <v>5864</v>
      </c>
      <c r="N1187" s="8" t="s">
        <v>6087</v>
      </c>
    </row>
    <row r="1188" spans="1:14" ht="40" customHeight="1">
      <c r="A1188" s="4" t="s">
        <v>4232</v>
      </c>
      <c r="B1188" s="4" t="s">
        <v>280</v>
      </c>
      <c r="C1188" s="4" t="s">
        <v>281</v>
      </c>
      <c r="D1188" s="4" t="s">
        <v>5879</v>
      </c>
      <c r="E1188" s="4" t="s">
        <v>41</v>
      </c>
      <c r="F1188" s="4" t="s">
        <v>4234</v>
      </c>
      <c r="G1188" s="4" t="s">
        <v>1548</v>
      </c>
      <c r="H1188" s="4">
        <v>1</v>
      </c>
      <c r="I1188" s="4">
        <v>1</v>
      </c>
      <c r="J1188" s="4" t="s">
        <v>4233</v>
      </c>
      <c r="K1188" s="4" t="s">
        <v>288</v>
      </c>
      <c r="L1188" s="6">
        <v>46319</v>
      </c>
      <c r="M1188" s="4" t="s">
        <v>5864</v>
      </c>
      <c r="N1188" s="4" t="s">
        <v>5870</v>
      </c>
    </row>
    <row r="1189" spans="1:14" ht="40" customHeight="1">
      <c r="A1189" s="8" t="s">
        <v>4235</v>
      </c>
      <c r="B1189" s="8" t="s">
        <v>280</v>
      </c>
      <c r="C1189" s="8" t="s">
        <v>281</v>
      </c>
      <c r="D1189" s="8" t="s">
        <v>5879</v>
      </c>
      <c r="E1189" s="8" t="s">
        <v>41</v>
      </c>
      <c r="F1189" s="8" t="s">
        <v>4237</v>
      </c>
      <c r="G1189" s="8" t="s">
        <v>1548</v>
      </c>
      <c r="H1189" s="8">
        <v>1</v>
      </c>
      <c r="I1189" s="8">
        <v>1</v>
      </c>
      <c r="J1189" s="8" t="s">
        <v>4236</v>
      </c>
      <c r="K1189" s="8" t="s">
        <v>288</v>
      </c>
      <c r="L1189" s="9">
        <v>46319</v>
      </c>
      <c r="M1189" s="8" t="s">
        <v>5864</v>
      </c>
      <c r="N1189" s="8" t="s">
        <v>5870</v>
      </c>
    </row>
    <row r="1190" spans="1:14" ht="40" customHeight="1">
      <c r="A1190" s="4" t="s">
        <v>4238</v>
      </c>
      <c r="B1190" s="4" t="s">
        <v>280</v>
      </c>
      <c r="C1190" s="4" t="s">
        <v>281</v>
      </c>
      <c r="D1190" s="4" t="s">
        <v>5879</v>
      </c>
      <c r="E1190" s="4" t="s">
        <v>41</v>
      </c>
      <c r="F1190" s="4" t="s">
        <v>4240</v>
      </c>
      <c r="G1190" s="4" t="s">
        <v>1548</v>
      </c>
      <c r="H1190" s="4">
        <v>1</v>
      </c>
      <c r="I1190" s="4">
        <v>1</v>
      </c>
      <c r="J1190" s="4" t="s">
        <v>4239</v>
      </c>
      <c r="K1190" s="4" t="s">
        <v>288</v>
      </c>
      <c r="L1190" s="6">
        <v>46319</v>
      </c>
      <c r="M1190" s="4" t="s">
        <v>5864</v>
      </c>
      <c r="N1190" s="4" t="s">
        <v>5870</v>
      </c>
    </row>
    <row r="1191" spans="1:14" ht="40" customHeight="1">
      <c r="A1191" s="8" t="s">
        <v>4241</v>
      </c>
      <c r="B1191" s="8" t="s">
        <v>280</v>
      </c>
      <c r="C1191" s="8" t="s">
        <v>281</v>
      </c>
      <c r="D1191" s="8" t="s">
        <v>5879</v>
      </c>
      <c r="E1191" s="8" t="s">
        <v>41</v>
      </c>
      <c r="F1191" s="8" t="s">
        <v>4243</v>
      </c>
      <c r="G1191" s="8" t="s">
        <v>1548</v>
      </c>
      <c r="H1191" s="8">
        <v>1</v>
      </c>
      <c r="I1191" s="8">
        <v>1</v>
      </c>
      <c r="J1191" s="8" t="s">
        <v>4242</v>
      </c>
      <c r="K1191" s="8" t="s">
        <v>288</v>
      </c>
      <c r="L1191" s="9">
        <v>46319</v>
      </c>
      <c r="M1191" s="8" t="s">
        <v>5864</v>
      </c>
      <c r="N1191" s="8" t="s">
        <v>6087</v>
      </c>
    </row>
    <row r="1192" spans="1:14" ht="40" customHeight="1">
      <c r="A1192" s="4" t="s">
        <v>4244</v>
      </c>
      <c r="B1192" s="4" t="s">
        <v>280</v>
      </c>
      <c r="C1192" s="4" t="s">
        <v>281</v>
      </c>
      <c r="D1192" s="4" t="s">
        <v>5879</v>
      </c>
      <c r="E1192" s="4" t="s">
        <v>41</v>
      </c>
      <c r="F1192" s="4" t="s">
        <v>4246</v>
      </c>
      <c r="G1192" s="4" t="s">
        <v>1548</v>
      </c>
      <c r="H1192" s="4">
        <v>1</v>
      </c>
      <c r="I1192" s="4">
        <v>1</v>
      </c>
      <c r="J1192" s="4" t="s">
        <v>4245</v>
      </c>
      <c r="K1192" s="4" t="s">
        <v>288</v>
      </c>
      <c r="L1192" s="6">
        <v>46319</v>
      </c>
      <c r="M1192" s="4" t="s">
        <v>5864</v>
      </c>
      <c r="N1192" s="4" t="s">
        <v>5870</v>
      </c>
    </row>
    <row r="1193" spans="1:14" ht="40" customHeight="1">
      <c r="A1193" s="8" t="s">
        <v>4247</v>
      </c>
      <c r="B1193" s="8" t="s">
        <v>280</v>
      </c>
      <c r="C1193" s="8" t="s">
        <v>281</v>
      </c>
      <c r="D1193" s="8" t="s">
        <v>5879</v>
      </c>
      <c r="E1193" s="8" t="s">
        <v>41</v>
      </c>
      <c r="F1193" s="8" t="s">
        <v>4249</v>
      </c>
      <c r="G1193" s="8" t="s">
        <v>1548</v>
      </c>
      <c r="H1193" s="8">
        <v>1</v>
      </c>
      <c r="I1193" s="8">
        <v>1</v>
      </c>
      <c r="J1193" s="8" t="s">
        <v>4248</v>
      </c>
      <c r="K1193" s="8" t="s">
        <v>288</v>
      </c>
      <c r="L1193" s="9">
        <v>46319</v>
      </c>
      <c r="M1193" s="8" t="s">
        <v>5864</v>
      </c>
      <c r="N1193" s="8" t="s">
        <v>5870</v>
      </c>
    </row>
    <row r="1194" spans="1:14" ht="40" customHeight="1">
      <c r="A1194" s="4" t="s">
        <v>4250</v>
      </c>
      <c r="B1194" s="4" t="s">
        <v>280</v>
      </c>
      <c r="C1194" s="4" t="s">
        <v>281</v>
      </c>
      <c r="D1194" s="4" t="s">
        <v>5879</v>
      </c>
      <c r="E1194" s="4" t="s">
        <v>41</v>
      </c>
      <c r="F1194" s="4" t="s">
        <v>4252</v>
      </c>
      <c r="G1194" s="4" t="s">
        <v>1548</v>
      </c>
      <c r="H1194" s="4">
        <v>1</v>
      </c>
      <c r="I1194" s="4">
        <v>1</v>
      </c>
      <c r="J1194" s="4" t="s">
        <v>4251</v>
      </c>
      <c r="K1194" s="4" t="s">
        <v>288</v>
      </c>
      <c r="L1194" s="6">
        <v>46319</v>
      </c>
      <c r="M1194" s="4" t="s">
        <v>5864</v>
      </c>
      <c r="N1194" s="4" t="s">
        <v>5870</v>
      </c>
    </row>
    <row r="1195" spans="1:14" ht="40" customHeight="1">
      <c r="A1195" s="8" t="s">
        <v>4253</v>
      </c>
      <c r="B1195" s="8" t="s">
        <v>280</v>
      </c>
      <c r="C1195" s="8" t="s">
        <v>281</v>
      </c>
      <c r="D1195" s="8" t="s">
        <v>5879</v>
      </c>
      <c r="E1195" s="8" t="s">
        <v>41</v>
      </c>
      <c r="F1195" s="8" t="s">
        <v>4255</v>
      </c>
      <c r="G1195" s="8" t="s">
        <v>1548</v>
      </c>
      <c r="H1195" s="8">
        <v>1</v>
      </c>
      <c r="I1195" s="8">
        <v>1</v>
      </c>
      <c r="J1195" s="8" t="s">
        <v>4254</v>
      </c>
      <c r="K1195" s="8" t="s">
        <v>288</v>
      </c>
      <c r="L1195" s="9">
        <v>46319</v>
      </c>
      <c r="M1195" s="8" t="s">
        <v>5864</v>
      </c>
      <c r="N1195" s="8" t="s">
        <v>5870</v>
      </c>
    </row>
    <row r="1196" spans="1:14" ht="40" customHeight="1">
      <c r="A1196" s="4" t="s">
        <v>4256</v>
      </c>
      <c r="B1196" s="4" t="s">
        <v>280</v>
      </c>
      <c r="C1196" s="4" t="s">
        <v>281</v>
      </c>
      <c r="D1196" s="4" t="s">
        <v>5879</v>
      </c>
      <c r="E1196" s="4" t="s">
        <v>41</v>
      </c>
      <c r="F1196" s="4" t="s">
        <v>4258</v>
      </c>
      <c r="G1196" s="4" t="s">
        <v>1548</v>
      </c>
      <c r="H1196" s="4">
        <v>1</v>
      </c>
      <c r="I1196" s="4">
        <v>1</v>
      </c>
      <c r="J1196" s="4" t="s">
        <v>4257</v>
      </c>
      <c r="K1196" s="4" t="s">
        <v>288</v>
      </c>
      <c r="L1196" s="6">
        <v>46319</v>
      </c>
      <c r="M1196" s="4" t="s">
        <v>5864</v>
      </c>
      <c r="N1196" s="4" t="s">
        <v>5870</v>
      </c>
    </row>
    <row r="1197" spans="1:14" ht="54" customHeight="1">
      <c r="A1197" s="8" t="s">
        <v>7271</v>
      </c>
      <c r="B1197" s="8" t="s">
        <v>280</v>
      </c>
      <c r="C1197" s="8" t="s">
        <v>281</v>
      </c>
      <c r="D1197" s="8" t="s">
        <v>2969</v>
      </c>
      <c r="E1197" s="8" t="s">
        <v>41</v>
      </c>
      <c r="F1197" s="8" t="s">
        <v>5881</v>
      </c>
      <c r="G1197" s="8" t="s">
        <v>1548</v>
      </c>
      <c r="H1197" s="8">
        <v>1</v>
      </c>
      <c r="I1197" s="8">
        <v>1</v>
      </c>
      <c r="J1197" s="8" t="s">
        <v>7272</v>
      </c>
      <c r="K1197" s="8" t="s">
        <v>288</v>
      </c>
      <c r="L1197" s="9">
        <v>46319</v>
      </c>
      <c r="M1197" s="8" t="s">
        <v>5864</v>
      </c>
      <c r="N1197" s="8" t="s">
        <v>5883</v>
      </c>
    </row>
    <row r="1198" spans="1:14" ht="40" customHeight="1">
      <c r="A1198" s="4" t="s">
        <v>7273</v>
      </c>
      <c r="B1198" s="4" t="s">
        <v>280</v>
      </c>
      <c r="C1198" s="4" t="s">
        <v>281</v>
      </c>
      <c r="D1198" s="4" t="s">
        <v>2969</v>
      </c>
      <c r="E1198" s="4" t="s">
        <v>41</v>
      </c>
      <c r="F1198" s="4" t="s">
        <v>5885</v>
      </c>
      <c r="G1198" s="4" t="s">
        <v>1548</v>
      </c>
      <c r="H1198" s="4">
        <v>1</v>
      </c>
      <c r="I1198" s="4">
        <v>1</v>
      </c>
      <c r="J1198" s="4" t="s">
        <v>7274</v>
      </c>
      <c r="K1198" s="4" t="s">
        <v>288</v>
      </c>
      <c r="L1198" s="6">
        <v>46319</v>
      </c>
      <c r="M1198" s="4" t="s">
        <v>5864</v>
      </c>
      <c r="N1198" s="4" t="s">
        <v>5883</v>
      </c>
    </row>
    <row r="1199" spans="1:14" ht="68" customHeight="1">
      <c r="A1199" s="8" t="s">
        <v>7275</v>
      </c>
      <c r="B1199" s="8" t="s">
        <v>280</v>
      </c>
      <c r="C1199" s="8" t="s">
        <v>281</v>
      </c>
      <c r="D1199" s="8" t="s">
        <v>2969</v>
      </c>
      <c r="E1199" s="8" t="s">
        <v>41</v>
      </c>
      <c r="F1199" s="8" t="s">
        <v>5888</v>
      </c>
      <c r="G1199" s="8" t="s">
        <v>1548</v>
      </c>
      <c r="H1199" s="8">
        <v>1</v>
      </c>
      <c r="I1199" s="8">
        <v>1</v>
      </c>
      <c r="J1199" s="8" t="s">
        <v>7276</v>
      </c>
      <c r="K1199" s="8" t="s">
        <v>288</v>
      </c>
      <c r="L1199" s="9">
        <v>46319</v>
      </c>
      <c r="M1199" s="8" t="s">
        <v>5864</v>
      </c>
      <c r="N1199" s="8" t="s">
        <v>5883</v>
      </c>
    </row>
    <row r="1200" spans="1:14" ht="54" customHeight="1">
      <c r="A1200" s="4" t="s">
        <v>7277</v>
      </c>
      <c r="B1200" s="4" t="s">
        <v>280</v>
      </c>
      <c r="C1200" s="4" t="s">
        <v>281</v>
      </c>
      <c r="D1200" s="4" t="s">
        <v>2969</v>
      </c>
      <c r="E1200" s="4" t="s">
        <v>41</v>
      </c>
      <c r="F1200" s="4" t="s">
        <v>5891</v>
      </c>
      <c r="G1200" s="4" t="s">
        <v>1548</v>
      </c>
      <c r="H1200" s="4">
        <v>1</v>
      </c>
      <c r="I1200" s="4">
        <v>1</v>
      </c>
      <c r="J1200" s="4" t="s">
        <v>7278</v>
      </c>
      <c r="K1200" s="4" t="s">
        <v>288</v>
      </c>
      <c r="L1200" s="6">
        <v>46319</v>
      </c>
      <c r="M1200" s="4" t="s">
        <v>5864</v>
      </c>
      <c r="N1200" s="4" t="s">
        <v>5883</v>
      </c>
    </row>
    <row r="1201" spans="1:14" ht="54" customHeight="1">
      <c r="A1201" s="8" t="s">
        <v>7279</v>
      </c>
      <c r="B1201" s="8" t="s">
        <v>280</v>
      </c>
      <c r="C1201" s="8" t="s">
        <v>281</v>
      </c>
      <c r="D1201" s="8" t="s">
        <v>2969</v>
      </c>
      <c r="E1201" s="8" t="s">
        <v>41</v>
      </c>
      <c r="F1201" s="8" t="s">
        <v>5894</v>
      </c>
      <c r="G1201" s="8" t="s">
        <v>1548</v>
      </c>
      <c r="H1201" s="8">
        <v>1</v>
      </c>
      <c r="I1201" s="8">
        <v>1</v>
      </c>
      <c r="J1201" s="8" t="s">
        <v>7280</v>
      </c>
      <c r="K1201" s="8" t="s">
        <v>288</v>
      </c>
      <c r="L1201" s="9">
        <v>46319</v>
      </c>
      <c r="M1201" s="8" t="s">
        <v>5864</v>
      </c>
      <c r="N1201" s="8" t="s">
        <v>5883</v>
      </c>
    </row>
    <row r="1202" spans="1:14" ht="54" customHeight="1">
      <c r="A1202" s="4" t="s">
        <v>7281</v>
      </c>
      <c r="B1202" s="4" t="s">
        <v>280</v>
      </c>
      <c r="C1202" s="4" t="s">
        <v>281</v>
      </c>
      <c r="D1202" s="4" t="s">
        <v>2969</v>
      </c>
      <c r="E1202" s="4" t="s">
        <v>41</v>
      </c>
      <c r="F1202" s="4" t="s">
        <v>5897</v>
      </c>
      <c r="G1202" s="4" t="s">
        <v>1548</v>
      </c>
      <c r="H1202" s="4">
        <v>1</v>
      </c>
      <c r="I1202" s="4">
        <v>1</v>
      </c>
      <c r="J1202" s="4" t="s">
        <v>7282</v>
      </c>
      <c r="K1202" s="4" t="s">
        <v>288</v>
      </c>
      <c r="L1202" s="6">
        <v>46319</v>
      </c>
      <c r="M1202" s="4" t="s">
        <v>5864</v>
      </c>
      <c r="N1202" s="4" t="s">
        <v>5883</v>
      </c>
    </row>
    <row r="1203" spans="1:14" ht="54" customHeight="1">
      <c r="A1203" s="8" t="s">
        <v>7283</v>
      </c>
      <c r="B1203" s="8" t="s">
        <v>280</v>
      </c>
      <c r="C1203" s="8" t="s">
        <v>281</v>
      </c>
      <c r="D1203" s="8" t="s">
        <v>2969</v>
      </c>
      <c r="E1203" s="8" t="s">
        <v>41</v>
      </c>
      <c r="F1203" s="8" t="s">
        <v>5900</v>
      </c>
      <c r="G1203" s="8" t="s">
        <v>1548</v>
      </c>
      <c r="H1203" s="8">
        <v>1</v>
      </c>
      <c r="I1203" s="8">
        <v>1</v>
      </c>
      <c r="J1203" s="8" t="s">
        <v>7284</v>
      </c>
      <c r="K1203" s="8" t="s">
        <v>288</v>
      </c>
      <c r="L1203" s="9">
        <v>46319</v>
      </c>
      <c r="M1203" s="8" t="s">
        <v>5864</v>
      </c>
      <c r="N1203" s="8" t="s">
        <v>5883</v>
      </c>
    </row>
    <row r="1204" spans="1:14" ht="54" customHeight="1">
      <c r="A1204" s="4" t="s">
        <v>7285</v>
      </c>
      <c r="B1204" s="4" t="s">
        <v>280</v>
      </c>
      <c r="C1204" s="4" t="s">
        <v>281</v>
      </c>
      <c r="D1204" s="4" t="s">
        <v>2969</v>
      </c>
      <c r="E1204" s="4" t="s">
        <v>41</v>
      </c>
      <c r="F1204" s="4" t="s">
        <v>5903</v>
      </c>
      <c r="G1204" s="4" t="s">
        <v>1548</v>
      </c>
      <c r="H1204" s="4">
        <v>1</v>
      </c>
      <c r="I1204" s="4">
        <v>1</v>
      </c>
      <c r="J1204" s="4" t="s">
        <v>7286</v>
      </c>
      <c r="K1204" s="4" t="s">
        <v>288</v>
      </c>
      <c r="L1204" s="6">
        <v>46319</v>
      </c>
      <c r="M1204" s="4" t="s">
        <v>5864</v>
      </c>
      <c r="N1204" s="4" t="s">
        <v>5883</v>
      </c>
    </row>
    <row r="1205" spans="1:14" ht="68" customHeight="1">
      <c r="A1205" s="8" t="s">
        <v>7287</v>
      </c>
      <c r="B1205" s="8" t="s">
        <v>280</v>
      </c>
      <c r="C1205" s="8" t="s">
        <v>281</v>
      </c>
      <c r="D1205" s="8" t="s">
        <v>2969</v>
      </c>
      <c r="E1205" s="8" t="s">
        <v>41</v>
      </c>
      <c r="F1205" s="8" t="s">
        <v>5906</v>
      </c>
      <c r="G1205" s="8" t="s">
        <v>1548</v>
      </c>
      <c r="H1205" s="8">
        <v>1</v>
      </c>
      <c r="I1205" s="8">
        <v>1</v>
      </c>
      <c r="J1205" s="8" t="s">
        <v>7288</v>
      </c>
      <c r="K1205" s="8" t="s">
        <v>288</v>
      </c>
      <c r="L1205" s="9">
        <v>46319</v>
      </c>
      <c r="M1205" s="8" t="s">
        <v>5864</v>
      </c>
      <c r="N1205" s="8" t="s">
        <v>5883</v>
      </c>
    </row>
    <row r="1206" spans="1:14" ht="166" customHeight="1">
      <c r="A1206" s="4" t="s">
        <v>7289</v>
      </c>
      <c r="B1206" s="4" t="s">
        <v>291</v>
      </c>
      <c r="C1206" s="4" t="s">
        <v>292</v>
      </c>
      <c r="D1206" s="4" t="s">
        <v>5861</v>
      </c>
      <c r="E1206" s="4" t="s">
        <v>41</v>
      </c>
      <c r="F1206" s="4" t="s">
        <v>5862</v>
      </c>
      <c r="G1206" s="4" t="s">
        <v>1556</v>
      </c>
      <c r="H1206" s="4">
        <v>1</v>
      </c>
      <c r="I1206" s="4">
        <v>2</v>
      </c>
      <c r="J1206" s="4" t="s">
        <v>7290</v>
      </c>
      <c r="K1206" s="4" t="s">
        <v>296</v>
      </c>
      <c r="L1206" s="6">
        <v>46319</v>
      </c>
      <c r="M1206" s="4" t="s">
        <v>5864</v>
      </c>
      <c r="N1206" s="4" t="s">
        <v>5865</v>
      </c>
    </row>
    <row r="1207" spans="1:14" ht="68" customHeight="1">
      <c r="A1207" s="8" t="s">
        <v>7289</v>
      </c>
      <c r="B1207" s="8" t="s">
        <v>291</v>
      </c>
      <c r="C1207" s="8" t="s">
        <v>292</v>
      </c>
      <c r="D1207" s="8" t="s">
        <v>5861</v>
      </c>
      <c r="E1207" s="8" t="s">
        <v>41</v>
      </c>
      <c r="F1207" s="8" t="s">
        <v>5862</v>
      </c>
      <c r="G1207" s="8" t="s">
        <v>1556</v>
      </c>
      <c r="H1207" s="8">
        <v>2</v>
      </c>
      <c r="I1207" s="8">
        <v>2</v>
      </c>
      <c r="J1207" s="8" t="s">
        <v>7291</v>
      </c>
      <c r="K1207" s="8" t="s">
        <v>296</v>
      </c>
      <c r="L1207" s="9">
        <v>46319</v>
      </c>
      <c r="M1207" s="8" t="s">
        <v>5864</v>
      </c>
      <c r="N1207" s="8" t="s">
        <v>5865</v>
      </c>
    </row>
    <row r="1208" spans="1:14" ht="40" customHeight="1">
      <c r="A1208" s="4" t="s">
        <v>7292</v>
      </c>
      <c r="B1208" s="4" t="s">
        <v>291</v>
      </c>
      <c r="C1208" s="4" t="s">
        <v>292</v>
      </c>
      <c r="D1208" s="4" t="s">
        <v>5867</v>
      </c>
      <c r="E1208" s="4" t="s">
        <v>41</v>
      </c>
      <c r="F1208" s="4" t="s">
        <v>5868</v>
      </c>
      <c r="G1208" s="4" t="s">
        <v>1556</v>
      </c>
      <c r="H1208" s="4">
        <v>1</v>
      </c>
      <c r="I1208" s="4">
        <v>1</v>
      </c>
      <c r="J1208" s="4" t="s">
        <v>7293</v>
      </c>
      <c r="K1208" s="4" t="s">
        <v>296</v>
      </c>
      <c r="L1208" s="6">
        <v>46319</v>
      </c>
      <c r="M1208" s="4" t="s">
        <v>5864</v>
      </c>
      <c r="N1208" s="4" t="s">
        <v>6087</v>
      </c>
    </row>
    <row r="1209" spans="1:14" ht="40" customHeight="1">
      <c r="A1209" s="8" t="s">
        <v>7294</v>
      </c>
      <c r="B1209" s="8" t="s">
        <v>291</v>
      </c>
      <c r="C1209" s="8" t="s">
        <v>292</v>
      </c>
      <c r="D1209" s="8" t="s">
        <v>5867</v>
      </c>
      <c r="E1209" s="8" t="s">
        <v>41</v>
      </c>
      <c r="F1209" s="8" t="s">
        <v>6176</v>
      </c>
      <c r="G1209" s="8" t="s">
        <v>1556</v>
      </c>
      <c r="H1209" s="8">
        <v>1</v>
      </c>
      <c r="I1209" s="8">
        <v>1</v>
      </c>
      <c r="J1209" s="8" t="s">
        <v>7295</v>
      </c>
      <c r="K1209" s="8" t="s">
        <v>296</v>
      </c>
      <c r="L1209" s="9">
        <v>46319</v>
      </c>
      <c r="M1209" s="8" t="s">
        <v>5864</v>
      </c>
      <c r="N1209" s="8" t="s">
        <v>5870</v>
      </c>
    </row>
    <row r="1210" spans="1:14" ht="54" customHeight="1">
      <c r="A1210" s="4" t="s">
        <v>7296</v>
      </c>
      <c r="B1210" s="4" t="s">
        <v>291</v>
      </c>
      <c r="C1210" s="4" t="s">
        <v>292</v>
      </c>
      <c r="D1210" s="4" t="s">
        <v>5867</v>
      </c>
      <c r="E1210" s="4" t="s">
        <v>41</v>
      </c>
      <c r="F1210" s="4" t="s">
        <v>6179</v>
      </c>
      <c r="G1210" s="4" t="s">
        <v>1556</v>
      </c>
      <c r="H1210" s="4">
        <v>1</v>
      </c>
      <c r="I1210" s="4">
        <v>1</v>
      </c>
      <c r="J1210" s="4" t="s">
        <v>7297</v>
      </c>
      <c r="K1210" s="4" t="s">
        <v>296</v>
      </c>
      <c r="L1210" s="6">
        <v>46319</v>
      </c>
      <c r="M1210" s="4" t="s">
        <v>5864</v>
      </c>
      <c r="N1210" s="4" t="s">
        <v>5870</v>
      </c>
    </row>
    <row r="1211" spans="1:14" ht="40" customHeight="1">
      <c r="A1211" s="8" t="s">
        <v>7298</v>
      </c>
      <c r="B1211" s="8" t="s">
        <v>291</v>
      </c>
      <c r="C1211" s="8" t="s">
        <v>292</v>
      </c>
      <c r="D1211" s="8" t="s">
        <v>5867</v>
      </c>
      <c r="E1211" s="8" t="s">
        <v>41</v>
      </c>
      <c r="F1211" s="8" t="s">
        <v>6867</v>
      </c>
      <c r="G1211" s="8" t="s">
        <v>1556</v>
      </c>
      <c r="H1211" s="8">
        <v>1</v>
      </c>
      <c r="I1211" s="8">
        <v>1</v>
      </c>
      <c r="J1211" s="8" t="s">
        <v>7299</v>
      </c>
      <c r="K1211" s="8" t="s">
        <v>296</v>
      </c>
      <c r="L1211" s="9">
        <v>46319</v>
      </c>
      <c r="M1211" s="8" t="s">
        <v>5864</v>
      </c>
      <c r="N1211" s="8" t="s">
        <v>5870</v>
      </c>
    </row>
    <row r="1212" spans="1:14" ht="40" customHeight="1">
      <c r="A1212" s="4" t="s">
        <v>7300</v>
      </c>
      <c r="B1212" s="4" t="s">
        <v>291</v>
      </c>
      <c r="C1212" s="4" t="s">
        <v>292</v>
      </c>
      <c r="D1212" s="4" t="s">
        <v>5867</v>
      </c>
      <c r="E1212" s="4" t="s">
        <v>41</v>
      </c>
      <c r="F1212" s="4" t="s">
        <v>7028</v>
      </c>
      <c r="G1212" s="4" t="s">
        <v>1556</v>
      </c>
      <c r="H1212" s="4">
        <v>1</v>
      </c>
      <c r="I1212" s="4">
        <v>1</v>
      </c>
      <c r="J1212" s="4" t="s">
        <v>7301</v>
      </c>
      <c r="K1212" s="4" t="s">
        <v>296</v>
      </c>
      <c r="L1212" s="6">
        <v>46319</v>
      </c>
      <c r="M1212" s="4" t="s">
        <v>5864</v>
      </c>
      <c r="N1212" s="4" t="s">
        <v>5870</v>
      </c>
    </row>
    <row r="1213" spans="1:14" ht="40" customHeight="1">
      <c r="A1213" s="8" t="s">
        <v>7302</v>
      </c>
      <c r="B1213" s="8" t="s">
        <v>291</v>
      </c>
      <c r="C1213" s="8" t="s">
        <v>292</v>
      </c>
      <c r="D1213" s="8" t="s">
        <v>5867</v>
      </c>
      <c r="E1213" s="8" t="s">
        <v>41</v>
      </c>
      <c r="F1213" s="8" t="s">
        <v>6006</v>
      </c>
      <c r="G1213" s="8" t="s">
        <v>1556</v>
      </c>
      <c r="H1213" s="8">
        <v>1</v>
      </c>
      <c r="I1213" s="8">
        <v>1</v>
      </c>
      <c r="J1213" s="8" t="s">
        <v>7303</v>
      </c>
      <c r="K1213" s="8" t="s">
        <v>296</v>
      </c>
      <c r="L1213" s="9">
        <v>46319</v>
      </c>
      <c r="M1213" s="8" t="s">
        <v>5864</v>
      </c>
      <c r="N1213" s="8" t="s">
        <v>6087</v>
      </c>
    </row>
    <row r="1214" spans="1:14" ht="40" customHeight="1">
      <c r="A1214" s="4" t="s">
        <v>7304</v>
      </c>
      <c r="B1214" s="4" t="s">
        <v>291</v>
      </c>
      <c r="C1214" s="4" t="s">
        <v>292</v>
      </c>
      <c r="D1214" s="4" t="s">
        <v>5867</v>
      </c>
      <c r="E1214" s="4" t="s">
        <v>41</v>
      </c>
      <c r="F1214" s="4" t="s">
        <v>6184</v>
      </c>
      <c r="G1214" s="4" t="s">
        <v>1556</v>
      </c>
      <c r="H1214" s="4">
        <v>1</v>
      </c>
      <c r="I1214" s="4">
        <v>1</v>
      </c>
      <c r="J1214" s="4" t="s">
        <v>7305</v>
      </c>
      <c r="K1214" s="4" t="s">
        <v>296</v>
      </c>
      <c r="L1214" s="6">
        <v>46319</v>
      </c>
      <c r="M1214" s="4" t="s">
        <v>5864</v>
      </c>
      <c r="N1214" s="4" t="s">
        <v>5870</v>
      </c>
    </row>
    <row r="1215" spans="1:14" ht="40" customHeight="1">
      <c r="A1215" s="8" t="s">
        <v>7306</v>
      </c>
      <c r="B1215" s="8" t="s">
        <v>291</v>
      </c>
      <c r="C1215" s="8" t="s">
        <v>292</v>
      </c>
      <c r="D1215" s="8" t="s">
        <v>5867</v>
      </c>
      <c r="E1215" s="8" t="s">
        <v>41</v>
      </c>
      <c r="F1215" s="8" t="s">
        <v>6187</v>
      </c>
      <c r="G1215" s="8" t="s">
        <v>1556</v>
      </c>
      <c r="H1215" s="8">
        <v>1</v>
      </c>
      <c r="I1215" s="8">
        <v>1</v>
      </c>
      <c r="J1215" s="8" t="s">
        <v>7307</v>
      </c>
      <c r="K1215" s="8" t="s">
        <v>296</v>
      </c>
      <c r="L1215" s="9">
        <v>46319</v>
      </c>
      <c r="M1215" s="8" t="s">
        <v>5864</v>
      </c>
      <c r="N1215" s="8" t="s">
        <v>5870</v>
      </c>
    </row>
    <row r="1216" spans="1:14" ht="40" customHeight="1">
      <c r="A1216" s="4" t="s">
        <v>7308</v>
      </c>
      <c r="B1216" s="4" t="s">
        <v>291</v>
      </c>
      <c r="C1216" s="4" t="s">
        <v>292</v>
      </c>
      <c r="D1216" s="4" t="s">
        <v>5867</v>
      </c>
      <c r="E1216" s="4" t="s">
        <v>41</v>
      </c>
      <c r="F1216" s="4" t="s">
        <v>6190</v>
      </c>
      <c r="G1216" s="4" t="s">
        <v>1556</v>
      </c>
      <c r="H1216" s="4">
        <v>1</v>
      </c>
      <c r="I1216" s="4">
        <v>1</v>
      </c>
      <c r="J1216" s="4" t="s">
        <v>7309</v>
      </c>
      <c r="K1216" s="4" t="s">
        <v>296</v>
      </c>
      <c r="L1216" s="6">
        <v>46319</v>
      </c>
      <c r="M1216" s="4" t="s">
        <v>5864</v>
      </c>
      <c r="N1216" s="4" t="s">
        <v>5870</v>
      </c>
    </row>
    <row r="1217" spans="1:14" ht="40" customHeight="1">
      <c r="A1217" s="8" t="s">
        <v>7310</v>
      </c>
      <c r="B1217" s="8" t="s">
        <v>291</v>
      </c>
      <c r="C1217" s="8" t="s">
        <v>292</v>
      </c>
      <c r="D1217" s="8" t="s">
        <v>5867</v>
      </c>
      <c r="E1217" s="8" t="s">
        <v>41</v>
      </c>
      <c r="F1217" s="8" t="s">
        <v>6015</v>
      </c>
      <c r="G1217" s="8" t="s">
        <v>1556</v>
      </c>
      <c r="H1217" s="8">
        <v>1</v>
      </c>
      <c r="I1217" s="8">
        <v>1</v>
      </c>
      <c r="J1217" s="8" t="s">
        <v>7311</v>
      </c>
      <c r="K1217" s="8" t="s">
        <v>296</v>
      </c>
      <c r="L1217" s="9">
        <v>46319</v>
      </c>
      <c r="M1217" s="8" t="s">
        <v>5864</v>
      </c>
      <c r="N1217" s="8" t="s">
        <v>6087</v>
      </c>
    </row>
    <row r="1218" spans="1:14" ht="54" customHeight="1">
      <c r="A1218" s="4" t="s">
        <v>7312</v>
      </c>
      <c r="B1218" s="4" t="s">
        <v>291</v>
      </c>
      <c r="C1218" s="4" t="s">
        <v>292</v>
      </c>
      <c r="D1218" s="4" t="s">
        <v>5867</v>
      </c>
      <c r="E1218" s="4" t="s">
        <v>41</v>
      </c>
      <c r="F1218" s="4" t="s">
        <v>6774</v>
      </c>
      <c r="G1218" s="4" t="s">
        <v>1556</v>
      </c>
      <c r="H1218" s="4">
        <v>1</v>
      </c>
      <c r="I1218" s="4">
        <v>1</v>
      </c>
      <c r="J1218" s="4" t="s">
        <v>7313</v>
      </c>
      <c r="K1218" s="4" t="s">
        <v>296</v>
      </c>
      <c r="L1218" s="6">
        <v>46319</v>
      </c>
      <c r="M1218" s="4" t="s">
        <v>5864</v>
      </c>
      <c r="N1218" s="4" t="s">
        <v>5865</v>
      </c>
    </row>
    <row r="1219" spans="1:14" ht="40" customHeight="1">
      <c r="A1219" s="8" t="s">
        <v>7314</v>
      </c>
      <c r="B1219" s="8" t="s">
        <v>291</v>
      </c>
      <c r="C1219" s="8" t="s">
        <v>292</v>
      </c>
      <c r="D1219" s="8" t="s">
        <v>5867</v>
      </c>
      <c r="E1219" s="8" t="s">
        <v>41</v>
      </c>
      <c r="F1219" s="8" t="s">
        <v>6021</v>
      </c>
      <c r="G1219" s="8" t="s">
        <v>1556</v>
      </c>
      <c r="H1219" s="8">
        <v>1</v>
      </c>
      <c r="I1219" s="8">
        <v>1</v>
      </c>
      <c r="J1219" s="8" t="s">
        <v>6550</v>
      </c>
      <c r="K1219" s="8" t="s">
        <v>296</v>
      </c>
      <c r="L1219" s="9">
        <v>46319</v>
      </c>
      <c r="M1219" s="8" t="s">
        <v>5864</v>
      </c>
      <c r="N1219" s="8" t="s">
        <v>6087</v>
      </c>
    </row>
    <row r="1220" spans="1:14" ht="40" customHeight="1">
      <c r="A1220" s="4" t="s">
        <v>7315</v>
      </c>
      <c r="B1220" s="4" t="s">
        <v>291</v>
      </c>
      <c r="C1220" s="4" t="s">
        <v>292</v>
      </c>
      <c r="D1220" s="4" t="s">
        <v>5867</v>
      </c>
      <c r="E1220" s="4" t="s">
        <v>41</v>
      </c>
      <c r="F1220" s="4" t="s">
        <v>6674</v>
      </c>
      <c r="G1220" s="4" t="s">
        <v>1556</v>
      </c>
      <c r="H1220" s="4">
        <v>1</v>
      </c>
      <c r="I1220" s="4">
        <v>1</v>
      </c>
      <c r="J1220" s="4" t="s">
        <v>7316</v>
      </c>
      <c r="K1220" s="4" t="s">
        <v>296</v>
      </c>
      <c r="L1220" s="6">
        <v>46319</v>
      </c>
      <c r="M1220" s="4" t="s">
        <v>5864</v>
      </c>
      <c r="N1220" s="4" t="s">
        <v>5870</v>
      </c>
    </row>
    <row r="1221" spans="1:14" ht="40" customHeight="1">
      <c r="A1221" s="8" t="s">
        <v>7317</v>
      </c>
      <c r="B1221" s="8" t="s">
        <v>291</v>
      </c>
      <c r="C1221" s="8" t="s">
        <v>292</v>
      </c>
      <c r="D1221" s="8" t="s">
        <v>5867</v>
      </c>
      <c r="E1221" s="8" t="s">
        <v>41</v>
      </c>
      <c r="F1221" s="8" t="s">
        <v>6677</v>
      </c>
      <c r="G1221" s="8" t="s">
        <v>1556</v>
      </c>
      <c r="H1221" s="8">
        <v>1</v>
      </c>
      <c r="I1221" s="8">
        <v>1</v>
      </c>
      <c r="J1221" s="8" t="s">
        <v>7318</v>
      </c>
      <c r="K1221" s="8" t="s">
        <v>296</v>
      </c>
      <c r="L1221" s="9">
        <v>46319</v>
      </c>
      <c r="M1221" s="8" t="s">
        <v>5864</v>
      </c>
      <c r="N1221" s="8" t="s">
        <v>5870</v>
      </c>
    </row>
    <row r="1222" spans="1:14" ht="40" customHeight="1">
      <c r="A1222" s="4" t="s">
        <v>7319</v>
      </c>
      <c r="B1222" s="4" t="s">
        <v>291</v>
      </c>
      <c r="C1222" s="4" t="s">
        <v>292</v>
      </c>
      <c r="D1222" s="4" t="s">
        <v>5867</v>
      </c>
      <c r="E1222" s="4" t="s">
        <v>41</v>
      </c>
      <c r="F1222" s="4" t="s">
        <v>7320</v>
      </c>
      <c r="G1222" s="4" t="s">
        <v>1556</v>
      </c>
      <c r="H1222" s="4">
        <v>1</v>
      </c>
      <c r="I1222" s="4">
        <v>1</v>
      </c>
      <c r="J1222" s="4" t="s">
        <v>7321</v>
      </c>
      <c r="K1222" s="4" t="s">
        <v>296</v>
      </c>
      <c r="L1222" s="6">
        <v>46319</v>
      </c>
      <c r="M1222" s="4" t="s">
        <v>5864</v>
      </c>
      <c r="N1222" s="4" t="s">
        <v>5870</v>
      </c>
    </row>
    <row r="1223" spans="1:14" ht="40" customHeight="1">
      <c r="A1223" s="8" t="s">
        <v>7322</v>
      </c>
      <c r="B1223" s="8" t="s">
        <v>291</v>
      </c>
      <c r="C1223" s="8" t="s">
        <v>292</v>
      </c>
      <c r="D1223" s="8" t="s">
        <v>5867</v>
      </c>
      <c r="E1223" s="8" t="s">
        <v>41</v>
      </c>
      <c r="F1223" s="8" t="s">
        <v>7323</v>
      </c>
      <c r="G1223" s="8" t="s">
        <v>1556</v>
      </c>
      <c r="H1223" s="8">
        <v>1</v>
      </c>
      <c r="I1223" s="8">
        <v>1</v>
      </c>
      <c r="J1223" s="8" t="s">
        <v>7324</v>
      </c>
      <c r="K1223" s="8" t="s">
        <v>296</v>
      </c>
      <c r="L1223" s="9">
        <v>46319</v>
      </c>
      <c r="M1223" s="8" t="s">
        <v>5864</v>
      </c>
      <c r="N1223" s="8" t="s">
        <v>5870</v>
      </c>
    </row>
    <row r="1224" spans="1:14" ht="40" customHeight="1">
      <c r="A1224" s="4" t="s">
        <v>7325</v>
      </c>
      <c r="B1224" s="4" t="s">
        <v>291</v>
      </c>
      <c r="C1224" s="4" t="s">
        <v>292</v>
      </c>
      <c r="D1224" s="4" t="s">
        <v>637</v>
      </c>
      <c r="E1224" s="4" t="s">
        <v>41</v>
      </c>
      <c r="F1224" s="4" t="s">
        <v>904</v>
      </c>
      <c r="G1224" s="4" t="s">
        <v>1556</v>
      </c>
      <c r="H1224" s="4">
        <v>1</v>
      </c>
      <c r="I1224" s="4">
        <v>1</v>
      </c>
      <c r="J1224" s="4" t="s">
        <v>1554</v>
      </c>
      <c r="K1224" s="4" t="s">
        <v>296</v>
      </c>
      <c r="L1224" s="6">
        <v>46319</v>
      </c>
      <c r="M1224" s="4" t="s">
        <v>5864</v>
      </c>
      <c r="N1224" s="4" t="s">
        <v>5870</v>
      </c>
    </row>
    <row r="1225" spans="1:14" ht="40" customHeight="1">
      <c r="A1225" s="8" t="s">
        <v>7326</v>
      </c>
      <c r="B1225" s="8" t="s">
        <v>291</v>
      </c>
      <c r="C1225" s="8" t="s">
        <v>292</v>
      </c>
      <c r="D1225" s="8" t="s">
        <v>637</v>
      </c>
      <c r="E1225" s="8" t="s">
        <v>41</v>
      </c>
      <c r="F1225" s="8" t="s">
        <v>912</v>
      </c>
      <c r="G1225" s="8" t="s">
        <v>1556</v>
      </c>
      <c r="H1225" s="8">
        <v>1</v>
      </c>
      <c r="I1225" s="8">
        <v>1</v>
      </c>
      <c r="J1225" s="8" t="s">
        <v>1558</v>
      </c>
      <c r="K1225" s="8" t="s">
        <v>296</v>
      </c>
      <c r="L1225" s="9">
        <v>46319</v>
      </c>
      <c r="M1225" s="8" t="s">
        <v>5864</v>
      </c>
      <c r="N1225" s="8" t="s">
        <v>5870</v>
      </c>
    </row>
    <row r="1226" spans="1:14" ht="40" customHeight="1">
      <c r="A1226" s="4" t="s">
        <v>7327</v>
      </c>
      <c r="B1226" s="4" t="s">
        <v>291</v>
      </c>
      <c r="C1226" s="4" t="s">
        <v>292</v>
      </c>
      <c r="D1226" s="4" t="s">
        <v>637</v>
      </c>
      <c r="E1226" s="4" t="s">
        <v>41</v>
      </c>
      <c r="F1226" s="4" t="s">
        <v>1015</v>
      </c>
      <c r="G1226" s="4" t="s">
        <v>1556</v>
      </c>
      <c r="H1226" s="4">
        <v>1</v>
      </c>
      <c r="I1226" s="4">
        <v>1</v>
      </c>
      <c r="J1226" s="4" t="s">
        <v>1561</v>
      </c>
      <c r="K1226" s="4" t="s">
        <v>296</v>
      </c>
      <c r="L1226" s="6">
        <v>46319</v>
      </c>
      <c r="M1226" s="4" t="s">
        <v>5864</v>
      </c>
      <c r="N1226" s="4" t="s">
        <v>5870</v>
      </c>
    </row>
    <row r="1227" spans="1:14" ht="40" customHeight="1">
      <c r="A1227" s="8" t="s">
        <v>7328</v>
      </c>
      <c r="B1227" s="8" t="s">
        <v>291</v>
      </c>
      <c r="C1227" s="8" t="s">
        <v>292</v>
      </c>
      <c r="D1227" s="8" t="s">
        <v>637</v>
      </c>
      <c r="E1227" s="8" t="s">
        <v>41</v>
      </c>
      <c r="F1227" s="8" t="s">
        <v>988</v>
      </c>
      <c r="G1227" s="8" t="s">
        <v>1556</v>
      </c>
      <c r="H1227" s="8">
        <v>1</v>
      </c>
      <c r="I1227" s="8">
        <v>1</v>
      </c>
      <c r="J1227" s="8" t="s">
        <v>1564</v>
      </c>
      <c r="K1227" s="8" t="s">
        <v>296</v>
      </c>
      <c r="L1227" s="9">
        <v>46319</v>
      </c>
      <c r="M1227" s="8" t="s">
        <v>5864</v>
      </c>
      <c r="N1227" s="8" t="s">
        <v>6087</v>
      </c>
    </row>
    <row r="1228" spans="1:14" ht="40" customHeight="1">
      <c r="A1228" s="4" t="s">
        <v>7329</v>
      </c>
      <c r="B1228" s="4" t="s">
        <v>291</v>
      </c>
      <c r="C1228" s="4" t="s">
        <v>292</v>
      </c>
      <c r="D1228" s="4" t="s">
        <v>637</v>
      </c>
      <c r="E1228" s="4" t="s">
        <v>41</v>
      </c>
      <c r="F1228" s="4" t="s">
        <v>1055</v>
      </c>
      <c r="G1228" s="4" t="s">
        <v>1556</v>
      </c>
      <c r="H1228" s="4">
        <v>1</v>
      </c>
      <c r="I1228" s="4">
        <v>1</v>
      </c>
      <c r="J1228" s="4" t="s">
        <v>1567</v>
      </c>
      <c r="K1228" s="4" t="s">
        <v>296</v>
      </c>
      <c r="L1228" s="6">
        <v>46319</v>
      </c>
      <c r="M1228" s="4" t="s">
        <v>5864</v>
      </c>
      <c r="N1228" s="4" t="s">
        <v>5870</v>
      </c>
    </row>
    <row r="1229" spans="1:14" ht="40" customHeight="1">
      <c r="A1229" s="8" t="s">
        <v>7330</v>
      </c>
      <c r="B1229" s="8" t="s">
        <v>291</v>
      </c>
      <c r="C1229" s="8" t="s">
        <v>292</v>
      </c>
      <c r="D1229" s="8" t="s">
        <v>637</v>
      </c>
      <c r="E1229" s="8" t="s">
        <v>41</v>
      </c>
      <c r="F1229" s="8" t="s">
        <v>1059</v>
      </c>
      <c r="G1229" s="8" t="s">
        <v>1556</v>
      </c>
      <c r="H1229" s="8">
        <v>1</v>
      </c>
      <c r="I1229" s="8">
        <v>1</v>
      </c>
      <c r="J1229" s="8" t="s">
        <v>1570</v>
      </c>
      <c r="K1229" s="8" t="s">
        <v>296</v>
      </c>
      <c r="L1229" s="9">
        <v>46319</v>
      </c>
      <c r="M1229" s="8" t="s">
        <v>5864</v>
      </c>
      <c r="N1229" s="8" t="s">
        <v>5870</v>
      </c>
    </row>
    <row r="1230" spans="1:14" ht="40" customHeight="1">
      <c r="A1230" s="4" t="s">
        <v>7331</v>
      </c>
      <c r="B1230" s="4" t="s">
        <v>291</v>
      </c>
      <c r="C1230" s="4" t="s">
        <v>292</v>
      </c>
      <c r="D1230" s="4" t="s">
        <v>637</v>
      </c>
      <c r="E1230" s="4" t="s">
        <v>41</v>
      </c>
      <c r="F1230" s="4" t="s">
        <v>1221</v>
      </c>
      <c r="G1230" s="4" t="s">
        <v>1556</v>
      </c>
      <c r="H1230" s="4">
        <v>1</v>
      </c>
      <c r="I1230" s="4">
        <v>1</v>
      </c>
      <c r="J1230" s="4" t="s">
        <v>1573</v>
      </c>
      <c r="K1230" s="4" t="s">
        <v>296</v>
      </c>
      <c r="L1230" s="6">
        <v>46319</v>
      </c>
      <c r="M1230" s="4" t="s">
        <v>5864</v>
      </c>
      <c r="N1230" s="4" t="s">
        <v>6087</v>
      </c>
    </row>
    <row r="1231" spans="1:14" ht="40" customHeight="1">
      <c r="A1231" s="8" t="s">
        <v>7332</v>
      </c>
      <c r="B1231" s="8" t="s">
        <v>291</v>
      </c>
      <c r="C1231" s="8" t="s">
        <v>292</v>
      </c>
      <c r="D1231" s="8" t="s">
        <v>637</v>
      </c>
      <c r="E1231" s="8" t="s">
        <v>41</v>
      </c>
      <c r="F1231" s="8" t="s">
        <v>1283</v>
      </c>
      <c r="G1231" s="8" t="s">
        <v>1556</v>
      </c>
      <c r="H1231" s="8">
        <v>1</v>
      </c>
      <c r="I1231" s="8">
        <v>1</v>
      </c>
      <c r="J1231" s="8" t="s">
        <v>1576</v>
      </c>
      <c r="K1231" s="8" t="s">
        <v>296</v>
      </c>
      <c r="L1231" s="9">
        <v>46319</v>
      </c>
      <c r="M1231" s="8" t="s">
        <v>5864</v>
      </c>
      <c r="N1231" s="8" t="s">
        <v>5870</v>
      </c>
    </row>
    <row r="1232" spans="1:14" ht="40" customHeight="1">
      <c r="A1232" s="4" t="s">
        <v>7333</v>
      </c>
      <c r="B1232" s="4" t="s">
        <v>291</v>
      </c>
      <c r="C1232" s="4" t="s">
        <v>292</v>
      </c>
      <c r="D1232" s="4" t="s">
        <v>637</v>
      </c>
      <c r="E1232" s="4" t="s">
        <v>41</v>
      </c>
      <c r="F1232" s="4" t="s">
        <v>1287</v>
      </c>
      <c r="G1232" s="4" t="s">
        <v>1556</v>
      </c>
      <c r="H1232" s="4">
        <v>1</v>
      </c>
      <c r="I1232" s="4">
        <v>1</v>
      </c>
      <c r="J1232" s="4" t="s">
        <v>1579</v>
      </c>
      <c r="K1232" s="4" t="s">
        <v>296</v>
      </c>
      <c r="L1232" s="6">
        <v>46319</v>
      </c>
      <c r="M1232" s="4" t="s">
        <v>5864</v>
      </c>
      <c r="N1232" s="4" t="s">
        <v>5870</v>
      </c>
    </row>
    <row r="1233" spans="1:14" ht="40" customHeight="1">
      <c r="A1233" s="8" t="s">
        <v>5275</v>
      </c>
      <c r="B1233" s="8" t="s">
        <v>291</v>
      </c>
      <c r="C1233" s="8" t="s">
        <v>292</v>
      </c>
      <c r="D1233" s="8" t="s">
        <v>7</v>
      </c>
      <c r="E1233" s="8" t="s">
        <v>5276</v>
      </c>
      <c r="F1233" s="8" t="s">
        <v>6150</v>
      </c>
      <c r="G1233" s="8" t="s">
        <v>1556</v>
      </c>
      <c r="H1233" s="8">
        <v>1</v>
      </c>
      <c r="I1233" s="8">
        <v>1</v>
      </c>
      <c r="J1233" s="8" t="s">
        <v>5276</v>
      </c>
      <c r="K1233" s="8" t="s">
        <v>296</v>
      </c>
      <c r="L1233" s="9">
        <v>46319</v>
      </c>
      <c r="M1233" s="8" t="s">
        <v>5864</v>
      </c>
      <c r="N1233" s="8" t="s">
        <v>5865</v>
      </c>
    </row>
    <row r="1234" spans="1:14" ht="40" customHeight="1">
      <c r="A1234" s="4" t="s">
        <v>5277</v>
      </c>
      <c r="B1234" s="4" t="s">
        <v>291</v>
      </c>
      <c r="C1234" s="4" t="s">
        <v>292</v>
      </c>
      <c r="D1234" s="4" t="s">
        <v>7</v>
      </c>
      <c r="E1234" s="4" t="s">
        <v>5276</v>
      </c>
      <c r="F1234" s="4" t="s">
        <v>6577</v>
      </c>
      <c r="G1234" s="4" t="s">
        <v>1556</v>
      </c>
      <c r="H1234" s="4">
        <v>1</v>
      </c>
      <c r="I1234" s="4">
        <v>1</v>
      </c>
      <c r="J1234" s="4" t="s">
        <v>5278</v>
      </c>
      <c r="K1234" s="4" t="s">
        <v>296</v>
      </c>
      <c r="L1234" s="6">
        <v>46319</v>
      </c>
      <c r="M1234" s="4" t="s">
        <v>5864</v>
      </c>
      <c r="N1234" s="4" t="s">
        <v>5870</v>
      </c>
    </row>
    <row r="1235" spans="1:14" ht="40" customHeight="1">
      <c r="A1235" s="8" t="s">
        <v>5279</v>
      </c>
      <c r="B1235" s="8" t="s">
        <v>291</v>
      </c>
      <c r="C1235" s="8" t="s">
        <v>292</v>
      </c>
      <c r="D1235" s="8" t="s">
        <v>7</v>
      </c>
      <c r="E1235" s="8" t="s">
        <v>5276</v>
      </c>
      <c r="F1235" s="8" t="s">
        <v>6578</v>
      </c>
      <c r="G1235" s="8" t="s">
        <v>1556</v>
      </c>
      <c r="H1235" s="8">
        <v>1</v>
      </c>
      <c r="I1235" s="8">
        <v>1</v>
      </c>
      <c r="J1235" s="8" t="s">
        <v>5280</v>
      </c>
      <c r="K1235" s="8" t="s">
        <v>296</v>
      </c>
      <c r="L1235" s="9">
        <v>46319</v>
      </c>
      <c r="M1235" s="8" t="s">
        <v>5864</v>
      </c>
      <c r="N1235" s="8" t="s">
        <v>5870</v>
      </c>
    </row>
    <row r="1236" spans="1:14" ht="40" customHeight="1">
      <c r="A1236" s="4" t="s">
        <v>5281</v>
      </c>
      <c r="B1236" s="4" t="s">
        <v>291</v>
      </c>
      <c r="C1236" s="4" t="s">
        <v>292</v>
      </c>
      <c r="D1236" s="4" t="s">
        <v>7</v>
      </c>
      <c r="E1236" s="4" t="s">
        <v>5276</v>
      </c>
      <c r="F1236" s="4" t="s">
        <v>6579</v>
      </c>
      <c r="G1236" s="4" t="s">
        <v>1556</v>
      </c>
      <c r="H1236" s="4">
        <v>1</v>
      </c>
      <c r="I1236" s="4">
        <v>1</v>
      </c>
      <c r="J1236" s="4" t="s">
        <v>5282</v>
      </c>
      <c r="K1236" s="4" t="s">
        <v>296</v>
      </c>
      <c r="L1236" s="6">
        <v>46319</v>
      </c>
      <c r="M1236" s="4" t="s">
        <v>5864</v>
      </c>
      <c r="N1236" s="4" t="s">
        <v>5870</v>
      </c>
    </row>
    <row r="1237" spans="1:14" ht="40" customHeight="1">
      <c r="A1237" s="8" t="s">
        <v>5283</v>
      </c>
      <c r="B1237" s="8" t="s">
        <v>291</v>
      </c>
      <c r="C1237" s="8" t="s">
        <v>292</v>
      </c>
      <c r="D1237" s="8" t="s">
        <v>7</v>
      </c>
      <c r="E1237" s="8" t="s">
        <v>5276</v>
      </c>
      <c r="F1237" s="8" t="s">
        <v>6580</v>
      </c>
      <c r="G1237" s="8" t="s">
        <v>1556</v>
      </c>
      <c r="H1237" s="8">
        <v>1</v>
      </c>
      <c r="I1237" s="8">
        <v>1</v>
      </c>
      <c r="J1237" s="8" t="s">
        <v>5284</v>
      </c>
      <c r="K1237" s="8" t="s">
        <v>296</v>
      </c>
      <c r="L1237" s="9">
        <v>46319</v>
      </c>
      <c r="M1237" s="8" t="s">
        <v>5864</v>
      </c>
      <c r="N1237" s="8" t="s">
        <v>5870</v>
      </c>
    </row>
    <row r="1238" spans="1:14" ht="40" customHeight="1">
      <c r="A1238" s="4" t="s">
        <v>5285</v>
      </c>
      <c r="B1238" s="4" t="s">
        <v>291</v>
      </c>
      <c r="C1238" s="4" t="s">
        <v>292</v>
      </c>
      <c r="D1238" s="4" t="s">
        <v>7</v>
      </c>
      <c r="E1238" s="4" t="s">
        <v>5276</v>
      </c>
      <c r="F1238" s="4" t="s">
        <v>6581</v>
      </c>
      <c r="G1238" s="4" t="s">
        <v>1556</v>
      </c>
      <c r="H1238" s="4">
        <v>1</v>
      </c>
      <c r="I1238" s="4">
        <v>1</v>
      </c>
      <c r="J1238" s="4" t="s">
        <v>5286</v>
      </c>
      <c r="K1238" s="4" t="s">
        <v>296</v>
      </c>
      <c r="L1238" s="6">
        <v>46319</v>
      </c>
      <c r="M1238" s="4" t="s">
        <v>5864</v>
      </c>
      <c r="N1238" s="4" t="s">
        <v>5870</v>
      </c>
    </row>
    <row r="1239" spans="1:14" ht="40" customHeight="1">
      <c r="A1239" s="8" t="s">
        <v>5287</v>
      </c>
      <c r="B1239" s="8" t="s">
        <v>291</v>
      </c>
      <c r="C1239" s="8" t="s">
        <v>292</v>
      </c>
      <c r="D1239" s="8" t="s">
        <v>7</v>
      </c>
      <c r="E1239" s="8" t="s">
        <v>5288</v>
      </c>
      <c r="F1239" s="8" t="s">
        <v>7172</v>
      </c>
      <c r="G1239" s="8" t="s">
        <v>1556</v>
      </c>
      <c r="H1239" s="8">
        <v>1</v>
      </c>
      <c r="I1239" s="8">
        <v>1</v>
      </c>
      <c r="J1239" s="8" t="s">
        <v>5288</v>
      </c>
      <c r="K1239" s="8" t="s">
        <v>296</v>
      </c>
      <c r="L1239" s="9">
        <v>46319</v>
      </c>
      <c r="M1239" s="8" t="s">
        <v>5864</v>
      </c>
      <c r="N1239" s="8" t="s">
        <v>5865</v>
      </c>
    </row>
    <row r="1240" spans="1:14" ht="40" customHeight="1">
      <c r="A1240" s="4" t="s">
        <v>5289</v>
      </c>
      <c r="B1240" s="4" t="s">
        <v>291</v>
      </c>
      <c r="C1240" s="4" t="s">
        <v>292</v>
      </c>
      <c r="D1240" s="4" t="s">
        <v>7</v>
      </c>
      <c r="E1240" s="4" t="s">
        <v>5288</v>
      </c>
      <c r="F1240" s="4" t="s">
        <v>6586</v>
      </c>
      <c r="G1240" s="4" t="s">
        <v>1556</v>
      </c>
      <c r="H1240" s="4">
        <v>1</v>
      </c>
      <c r="I1240" s="4">
        <v>1</v>
      </c>
      <c r="J1240" s="4" t="s">
        <v>5290</v>
      </c>
      <c r="K1240" s="4" t="s">
        <v>296</v>
      </c>
      <c r="L1240" s="6">
        <v>46319</v>
      </c>
      <c r="M1240" s="4" t="s">
        <v>5864</v>
      </c>
      <c r="N1240" s="4" t="s">
        <v>5870</v>
      </c>
    </row>
    <row r="1241" spans="1:14" ht="40" customHeight="1">
      <c r="A1241" s="8" t="s">
        <v>5291</v>
      </c>
      <c r="B1241" s="8" t="s">
        <v>291</v>
      </c>
      <c r="C1241" s="8" t="s">
        <v>292</v>
      </c>
      <c r="D1241" s="8" t="s">
        <v>7</v>
      </c>
      <c r="E1241" s="8" t="s">
        <v>5288</v>
      </c>
      <c r="F1241" s="8" t="s">
        <v>6587</v>
      </c>
      <c r="G1241" s="8" t="s">
        <v>1556</v>
      </c>
      <c r="H1241" s="8">
        <v>1</v>
      </c>
      <c r="I1241" s="8">
        <v>1</v>
      </c>
      <c r="J1241" s="8" t="s">
        <v>5292</v>
      </c>
      <c r="K1241" s="8" t="s">
        <v>296</v>
      </c>
      <c r="L1241" s="9">
        <v>46319</v>
      </c>
      <c r="M1241" s="8" t="s">
        <v>5864</v>
      </c>
      <c r="N1241" s="8" t="s">
        <v>5870</v>
      </c>
    </row>
    <row r="1242" spans="1:14" ht="40" customHeight="1">
      <c r="A1242" s="4" t="s">
        <v>5293</v>
      </c>
      <c r="B1242" s="4" t="s">
        <v>291</v>
      </c>
      <c r="C1242" s="4" t="s">
        <v>292</v>
      </c>
      <c r="D1242" s="4" t="s">
        <v>7</v>
      </c>
      <c r="E1242" s="4" t="s">
        <v>5288</v>
      </c>
      <c r="F1242" s="4" t="s">
        <v>6588</v>
      </c>
      <c r="G1242" s="4" t="s">
        <v>1556</v>
      </c>
      <c r="H1242" s="4">
        <v>1</v>
      </c>
      <c r="I1242" s="4">
        <v>1</v>
      </c>
      <c r="J1242" s="4" t="s">
        <v>5294</v>
      </c>
      <c r="K1242" s="4" t="s">
        <v>296</v>
      </c>
      <c r="L1242" s="6">
        <v>46319</v>
      </c>
      <c r="M1242" s="4" t="s">
        <v>5864</v>
      </c>
      <c r="N1242" s="4" t="s">
        <v>5870</v>
      </c>
    </row>
    <row r="1243" spans="1:14" ht="40" customHeight="1">
      <c r="A1243" s="8" t="s">
        <v>5295</v>
      </c>
      <c r="B1243" s="8" t="s">
        <v>291</v>
      </c>
      <c r="C1243" s="8" t="s">
        <v>292</v>
      </c>
      <c r="D1243" s="8" t="s">
        <v>7</v>
      </c>
      <c r="E1243" s="8" t="s">
        <v>5296</v>
      </c>
      <c r="F1243" s="8" t="s">
        <v>7173</v>
      </c>
      <c r="G1243" s="8" t="s">
        <v>1556</v>
      </c>
      <c r="H1243" s="8">
        <v>1</v>
      </c>
      <c r="I1243" s="8">
        <v>1</v>
      </c>
      <c r="J1243" s="8" t="s">
        <v>5296</v>
      </c>
      <c r="K1243" s="8" t="s">
        <v>296</v>
      </c>
      <c r="L1243" s="9">
        <v>46319</v>
      </c>
      <c r="M1243" s="8" t="s">
        <v>5864</v>
      </c>
      <c r="N1243" s="8" t="s">
        <v>5865</v>
      </c>
    </row>
    <row r="1244" spans="1:14" ht="40" customHeight="1">
      <c r="A1244" s="4" t="s">
        <v>5297</v>
      </c>
      <c r="B1244" s="4" t="s">
        <v>291</v>
      </c>
      <c r="C1244" s="4" t="s">
        <v>292</v>
      </c>
      <c r="D1244" s="4" t="s">
        <v>7</v>
      </c>
      <c r="E1244" s="4" t="s">
        <v>5296</v>
      </c>
      <c r="F1244" s="4" t="s">
        <v>6591</v>
      </c>
      <c r="G1244" s="4" t="s">
        <v>1556</v>
      </c>
      <c r="H1244" s="4">
        <v>1</v>
      </c>
      <c r="I1244" s="4">
        <v>1</v>
      </c>
      <c r="J1244" s="4" t="s">
        <v>5298</v>
      </c>
      <c r="K1244" s="4" t="s">
        <v>296</v>
      </c>
      <c r="L1244" s="6">
        <v>46319</v>
      </c>
      <c r="M1244" s="4" t="s">
        <v>5864</v>
      </c>
      <c r="N1244" s="4" t="s">
        <v>5870</v>
      </c>
    </row>
    <row r="1245" spans="1:14" ht="40" customHeight="1">
      <c r="A1245" s="8" t="s">
        <v>5299</v>
      </c>
      <c r="B1245" s="8" t="s">
        <v>291</v>
      </c>
      <c r="C1245" s="8" t="s">
        <v>292</v>
      </c>
      <c r="D1245" s="8" t="s">
        <v>7</v>
      </c>
      <c r="E1245" s="8" t="s">
        <v>5296</v>
      </c>
      <c r="F1245" s="8" t="s">
        <v>6592</v>
      </c>
      <c r="G1245" s="8" t="s">
        <v>1556</v>
      </c>
      <c r="H1245" s="8">
        <v>1</v>
      </c>
      <c r="I1245" s="8">
        <v>1</v>
      </c>
      <c r="J1245" s="8" t="s">
        <v>5300</v>
      </c>
      <c r="K1245" s="8" t="s">
        <v>296</v>
      </c>
      <c r="L1245" s="9">
        <v>46319</v>
      </c>
      <c r="M1245" s="8" t="s">
        <v>5864</v>
      </c>
      <c r="N1245" s="8" t="s">
        <v>5870</v>
      </c>
    </row>
    <row r="1246" spans="1:14" ht="40" customHeight="1">
      <c r="A1246" s="4" t="s">
        <v>4259</v>
      </c>
      <c r="B1246" s="4" t="s">
        <v>291</v>
      </c>
      <c r="C1246" s="4" t="s">
        <v>292</v>
      </c>
      <c r="D1246" s="4" t="s">
        <v>5879</v>
      </c>
      <c r="E1246" s="4" t="s">
        <v>4260</v>
      </c>
      <c r="F1246" s="4" t="s">
        <v>3449</v>
      </c>
      <c r="G1246" s="4" t="s">
        <v>1556</v>
      </c>
      <c r="H1246" s="4">
        <v>1</v>
      </c>
      <c r="I1246" s="4">
        <v>1</v>
      </c>
      <c r="J1246" s="4" t="s">
        <v>4260</v>
      </c>
      <c r="K1246" s="4" t="s">
        <v>296</v>
      </c>
      <c r="L1246" s="6">
        <v>46319</v>
      </c>
      <c r="M1246" s="4" t="s">
        <v>5864</v>
      </c>
      <c r="N1246" s="4" t="s">
        <v>5865</v>
      </c>
    </row>
    <row r="1247" spans="1:14" ht="40" customHeight="1">
      <c r="A1247" s="8" t="s">
        <v>4261</v>
      </c>
      <c r="B1247" s="8" t="s">
        <v>291</v>
      </c>
      <c r="C1247" s="8" t="s">
        <v>292</v>
      </c>
      <c r="D1247" s="8" t="s">
        <v>5879</v>
      </c>
      <c r="E1247" s="8" t="s">
        <v>4260</v>
      </c>
      <c r="F1247" s="8" t="s">
        <v>3466</v>
      </c>
      <c r="G1247" s="8" t="s">
        <v>1556</v>
      </c>
      <c r="H1247" s="8">
        <v>1</v>
      </c>
      <c r="I1247" s="8">
        <v>1</v>
      </c>
      <c r="J1247" s="8" t="s">
        <v>4262</v>
      </c>
      <c r="K1247" s="8" t="s">
        <v>296</v>
      </c>
      <c r="L1247" s="9">
        <v>46319</v>
      </c>
      <c r="M1247" s="8" t="s">
        <v>5864</v>
      </c>
      <c r="N1247" s="8" t="s">
        <v>5865</v>
      </c>
    </row>
    <row r="1248" spans="1:14" ht="40" customHeight="1">
      <c r="A1248" s="4" t="s">
        <v>4263</v>
      </c>
      <c r="B1248" s="4" t="s">
        <v>291</v>
      </c>
      <c r="C1248" s="4" t="s">
        <v>292</v>
      </c>
      <c r="D1248" s="4" t="s">
        <v>5879</v>
      </c>
      <c r="E1248" s="4" t="s">
        <v>4264</v>
      </c>
      <c r="F1248" s="4" t="s">
        <v>3469</v>
      </c>
      <c r="G1248" s="4" t="s">
        <v>1556</v>
      </c>
      <c r="H1248" s="4">
        <v>1</v>
      </c>
      <c r="I1248" s="4">
        <v>1</v>
      </c>
      <c r="J1248" s="4" t="s">
        <v>4264</v>
      </c>
      <c r="K1248" s="4" t="s">
        <v>296</v>
      </c>
      <c r="L1248" s="6">
        <v>46319</v>
      </c>
      <c r="M1248" s="4" t="s">
        <v>5864</v>
      </c>
      <c r="N1248" s="4" t="s">
        <v>5865</v>
      </c>
    </row>
    <row r="1249" spans="1:14" ht="54" customHeight="1">
      <c r="A1249" s="8" t="s">
        <v>4265</v>
      </c>
      <c r="B1249" s="8" t="s">
        <v>291</v>
      </c>
      <c r="C1249" s="8" t="s">
        <v>292</v>
      </c>
      <c r="D1249" s="8" t="s">
        <v>5879</v>
      </c>
      <c r="E1249" s="8" t="s">
        <v>4264</v>
      </c>
      <c r="F1249" s="8" t="s">
        <v>3472</v>
      </c>
      <c r="G1249" s="8" t="s">
        <v>1556</v>
      </c>
      <c r="H1249" s="8">
        <v>1</v>
      </c>
      <c r="I1249" s="8">
        <v>1</v>
      </c>
      <c r="J1249" s="8" t="s">
        <v>4266</v>
      </c>
      <c r="K1249" s="8" t="s">
        <v>296</v>
      </c>
      <c r="L1249" s="9">
        <v>46319</v>
      </c>
      <c r="M1249" s="8" t="s">
        <v>5864</v>
      </c>
      <c r="N1249" s="8" t="s">
        <v>5865</v>
      </c>
    </row>
    <row r="1250" spans="1:14" ht="40" customHeight="1">
      <c r="A1250" s="4" t="s">
        <v>4267</v>
      </c>
      <c r="B1250" s="4" t="s">
        <v>291</v>
      </c>
      <c r="C1250" s="4" t="s">
        <v>292</v>
      </c>
      <c r="D1250" s="4" t="s">
        <v>5879</v>
      </c>
      <c r="E1250" s="4" t="s">
        <v>4268</v>
      </c>
      <c r="F1250" s="4" t="s">
        <v>3475</v>
      </c>
      <c r="G1250" s="4" t="s">
        <v>1556</v>
      </c>
      <c r="H1250" s="4">
        <v>1</v>
      </c>
      <c r="I1250" s="4">
        <v>1</v>
      </c>
      <c r="J1250" s="4" t="s">
        <v>4268</v>
      </c>
      <c r="K1250" s="4" t="s">
        <v>296</v>
      </c>
      <c r="L1250" s="6">
        <v>46319</v>
      </c>
      <c r="M1250" s="4" t="s">
        <v>5864</v>
      </c>
      <c r="N1250" s="4" t="s">
        <v>5865</v>
      </c>
    </row>
    <row r="1251" spans="1:14" ht="40" customHeight="1">
      <c r="A1251" s="8" t="s">
        <v>4269</v>
      </c>
      <c r="B1251" s="8" t="s">
        <v>291</v>
      </c>
      <c r="C1251" s="8" t="s">
        <v>292</v>
      </c>
      <c r="D1251" s="8" t="s">
        <v>5879</v>
      </c>
      <c r="E1251" s="8" t="s">
        <v>4268</v>
      </c>
      <c r="F1251" s="8" t="s">
        <v>3478</v>
      </c>
      <c r="G1251" s="8" t="s">
        <v>1556</v>
      </c>
      <c r="H1251" s="8">
        <v>1</v>
      </c>
      <c r="I1251" s="8">
        <v>1</v>
      </c>
      <c r="J1251" s="8" t="s">
        <v>4270</v>
      </c>
      <c r="K1251" s="8" t="s">
        <v>296</v>
      </c>
      <c r="L1251" s="9">
        <v>46319</v>
      </c>
      <c r="M1251" s="8" t="s">
        <v>5864</v>
      </c>
      <c r="N1251" s="8" t="s">
        <v>5865</v>
      </c>
    </row>
    <row r="1252" spans="1:14" ht="40" customHeight="1">
      <c r="A1252" s="4" t="s">
        <v>4271</v>
      </c>
      <c r="B1252" s="4" t="s">
        <v>291</v>
      </c>
      <c r="C1252" s="4" t="s">
        <v>292</v>
      </c>
      <c r="D1252" s="4" t="s">
        <v>5879</v>
      </c>
      <c r="E1252" s="4" t="s">
        <v>4272</v>
      </c>
      <c r="F1252" s="4" t="s">
        <v>3603</v>
      </c>
      <c r="G1252" s="4" t="s">
        <v>1556</v>
      </c>
      <c r="H1252" s="4">
        <v>1</v>
      </c>
      <c r="I1252" s="4">
        <v>1</v>
      </c>
      <c r="J1252" s="4" t="s">
        <v>4272</v>
      </c>
      <c r="K1252" s="4" t="s">
        <v>296</v>
      </c>
      <c r="L1252" s="6">
        <v>46319</v>
      </c>
      <c r="M1252" s="4" t="s">
        <v>5864</v>
      </c>
      <c r="N1252" s="4" t="s">
        <v>5865</v>
      </c>
    </row>
    <row r="1253" spans="1:14" ht="54" customHeight="1">
      <c r="A1253" s="8" t="s">
        <v>4273</v>
      </c>
      <c r="B1253" s="8" t="s">
        <v>291</v>
      </c>
      <c r="C1253" s="8" t="s">
        <v>292</v>
      </c>
      <c r="D1253" s="8" t="s">
        <v>5879</v>
      </c>
      <c r="E1253" s="8" t="s">
        <v>4272</v>
      </c>
      <c r="F1253" s="8" t="s">
        <v>3838</v>
      </c>
      <c r="G1253" s="8" t="s">
        <v>1556</v>
      </c>
      <c r="H1253" s="8">
        <v>1</v>
      </c>
      <c r="I1253" s="8">
        <v>1</v>
      </c>
      <c r="J1253" s="8" t="s">
        <v>4274</v>
      </c>
      <c r="K1253" s="8" t="s">
        <v>296</v>
      </c>
      <c r="L1253" s="9">
        <v>46319</v>
      </c>
      <c r="M1253" s="8" t="s">
        <v>5864</v>
      </c>
      <c r="N1253" s="8" t="s">
        <v>5865</v>
      </c>
    </row>
    <row r="1254" spans="1:14" ht="40" customHeight="1">
      <c r="A1254" s="4" t="s">
        <v>4275</v>
      </c>
      <c r="B1254" s="4" t="s">
        <v>291</v>
      </c>
      <c r="C1254" s="4" t="s">
        <v>292</v>
      </c>
      <c r="D1254" s="4" t="s">
        <v>5879</v>
      </c>
      <c r="E1254" s="4" t="s">
        <v>4276</v>
      </c>
      <c r="F1254" s="4" t="s">
        <v>3608</v>
      </c>
      <c r="G1254" s="4" t="s">
        <v>1556</v>
      </c>
      <c r="H1254" s="4">
        <v>1</v>
      </c>
      <c r="I1254" s="4">
        <v>1</v>
      </c>
      <c r="J1254" s="4" t="s">
        <v>4276</v>
      </c>
      <c r="K1254" s="4" t="s">
        <v>296</v>
      </c>
      <c r="L1254" s="6">
        <v>46319</v>
      </c>
      <c r="M1254" s="4" t="s">
        <v>5864</v>
      </c>
      <c r="N1254" s="4" t="s">
        <v>5865</v>
      </c>
    </row>
    <row r="1255" spans="1:14" ht="40" customHeight="1">
      <c r="A1255" s="8" t="s">
        <v>4277</v>
      </c>
      <c r="B1255" s="8" t="s">
        <v>291</v>
      </c>
      <c r="C1255" s="8" t="s">
        <v>292</v>
      </c>
      <c r="D1255" s="8" t="s">
        <v>5879</v>
      </c>
      <c r="E1255" s="8" t="s">
        <v>4276</v>
      </c>
      <c r="F1255" s="8" t="s">
        <v>3611</v>
      </c>
      <c r="G1255" s="8" t="s">
        <v>1556</v>
      </c>
      <c r="H1255" s="8">
        <v>1</v>
      </c>
      <c r="I1255" s="8">
        <v>1</v>
      </c>
      <c r="J1255" s="8" t="s">
        <v>4278</v>
      </c>
      <c r="K1255" s="8" t="s">
        <v>296</v>
      </c>
      <c r="L1255" s="9">
        <v>46319</v>
      </c>
      <c r="M1255" s="8" t="s">
        <v>5864</v>
      </c>
      <c r="N1255" s="8" t="s">
        <v>5865</v>
      </c>
    </row>
    <row r="1256" spans="1:14" ht="40" customHeight="1">
      <c r="A1256" s="4" t="s">
        <v>4279</v>
      </c>
      <c r="B1256" s="4" t="s">
        <v>291</v>
      </c>
      <c r="C1256" s="4" t="s">
        <v>292</v>
      </c>
      <c r="D1256" s="4" t="s">
        <v>5879</v>
      </c>
      <c r="E1256" s="4" t="s">
        <v>4280</v>
      </c>
      <c r="F1256" s="4" t="s">
        <v>3775</v>
      </c>
      <c r="G1256" s="4" t="s">
        <v>1556</v>
      </c>
      <c r="H1256" s="4">
        <v>1</v>
      </c>
      <c r="I1256" s="4">
        <v>1</v>
      </c>
      <c r="J1256" s="4" t="s">
        <v>4280</v>
      </c>
      <c r="K1256" s="4" t="s">
        <v>296</v>
      </c>
      <c r="L1256" s="6">
        <v>46319</v>
      </c>
      <c r="M1256" s="4" t="s">
        <v>5864</v>
      </c>
      <c r="N1256" s="4" t="s">
        <v>5865</v>
      </c>
    </row>
    <row r="1257" spans="1:14" ht="40" customHeight="1">
      <c r="A1257" s="8" t="s">
        <v>4281</v>
      </c>
      <c r="B1257" s="8" t="s">
        <v>291</v>
      </c>
      <c r="C1257" s="8" t="s">
        <v>292</v>
      </c>
      <c r="D1257" s="8" t="s">
        <v>5879</v>
      </c>
      <c r="E1257" s="8" t="s">
        <v>4280</v>
      </c>
      <c r="F1257" s="8" t="s">
        <v>3847</v>
      </c>
      <c r="G1257" s="8" t="s">
        <v>1556</v>
      </c>
      <c r="H1257" s="8">
        <v>1</v>
      </c>
      <c r="I1257" s="8">
        <v>1</v>
      </c>
      <c r="J1257" s="8" t="s">
        <v>4282</v>
      </c>
      <c r="K1257" s="8" t="s">
        <v>296</v>
      </c>
      <c r="L1257" s="9">
        <v>46319</v>
      </c>
      <c r="M1257" s="8" t="s">
        <v>5864</v>
      </c>
      <c r="N1257" s="8" t="s">
        <v>5865</v>
      </c>
    </row>
    <row r="1258" spans="1:14" ht="40" customHeight="1">
      <c r="A1258" s="4" t="s">
        <v>4283</v>
      </c>
      <c r="B1258" s="4" t="s">
        <v>291</v>
      </c>
      <c r="C1258" s="4" t="s">
        <v>292</v>
      </c>
      <c r="D1258" s="4" t="s">
        <v>5879</v>
      </c>
      <c r="E1258" s="4" t="s">
        <v>4284</v>
      </c>
      <c r="F1258" s="4" t="s">
        <v>3777</v>
      </c>
      <c r="G1258" s="4" t="s">
        <v>1556</v>
      </c>
      <c r="H1258" s="4">
        <v>1</v>
      </c>
      <c r="I1258" s="4">
        <v>1</v>
      </c>
      <c r="J1258" s="4" t="s">
        <v>4284</v>
      </c>
      <c r="K1258" s="4" t="s">
        <v>296</v>
      </c>
      <c r="L1258" s="6">
        <v>46319</v>
      </c>
      <c r="M1258" s="4" t="s">
        <v>5864</v>
      </c>
      <c r="N1258" s="4" t="s">
        <v>5865</v>
      </c>
    </row>
    <row r="1259" spans="1:14" ht="54" customHeight="1">
      <c r="A1259" s="8" t="s">
        <v>4285</v>
      </c>
      <c r="B1259" s="8" t="s">
        <v>291</v>
      </c>
      <c r="C1259" s="8" t="s">
        <v>292</v>
      </c>
      <c r="D1259" s="8" t="s">
        <v>5879</v>
      </c>
      <c r="E1259" s="8" t="s">
        <v>4284</v>
      </c>
      <c r="F1259" s="8" t="s">
        <v>3779</v>
      </c>
      <c r="G1259" s="8" t="s">
        <v>1556</v>
      </c>
      <c r="H1259" s="8">
        <v>1</v>
      </c>
      <c r="I1259" s="8">
        <v>1</v>
      </c>
      <c r="J1259" s="8" t="s">
        <v>4286</v>
      </c>
      <c r="K1259" s="8" t="s">
        <v>296</v>
      </c>
      <c r="L1259" s="9">
        <v>46319</v>
      </c>
      <c r="M1259" s="8" t="s">
        <v>5864</v>
      </c>
      <c r="N1259" s="8" t="s">
        <v>5865</v>
      </c>
    </row>
    <row r="1260" spans="1:14" ht="40" customHeight="1">
      <c r="A1260" s="4" t="s">
        <v>4287</v>
      </c>
      <c r="B1260" s="4" t="s">
        <v>291</v>
      </c>
      <c r="C1260" s="4" t="s">
        <v>292</v>
      </c>
      <c r="D1260" s="4" t="s">
        <v>5879</v>
      </c>
      <c r="E1260" s="4" t="s">
        <v>4288</v>
      </c>
      <c r="F1260" s="4" t="s">
        <v>3781</v>
      </c>
      <c r="G1260" s="4" t="s">
        <v>1556</v>
      </c>
      <c r="H1260" s="4">
        <v>1</v>
      </c>
      <c r="I1260" s="4">
        <v>1</v>
      </c>
      <c r="J1260" s="4" t="s">
        <v>4288</v>
      </c>
      <c r="K1260" s="4" t="s">
        <v>296</v>
      </c>
      <c r="L1260" s="6">
        <v>46319</v>
      </c>
      <c r="M1260" s="4" t="s">
        <v>5864</v>
      </c>
      <c r="N1260" s="4" t="s">
        <v>5865</v>
      </c>
    </row>
    <row r="1261" spans="1:14" ht="40" customHeight="1">
      <c r="A1261" s="8" t="s">
        <v>4289</v>
      </c>
      <c r="B1261" s="8" t="s">
        <v>291</v>
      </c>
      <c r="C1261" s="8" t="s">
        <v>292</v>
      </c>
      <c r="D1261" s="8" t="s">
        <v>5879</v>
      </c>
      <c r="E1261" s="8" t="s">
        <v>4288</v>
      </c>
      <c r="F1261" s="8" t="s">
        <v>3783</v>
      </c>
      <c r="G1261" s="8" t="s">
        <v>1556</v>
      </c>
      <c r="H1261" s="8">
        <v>1</v>
      </c>
      <c r="I1261" s="8">
        <v>1</v>
      </c>
      <c r="J1261" s="8" t="s">
        <v>4290</v>
      </c>
      <c r="K1261" s="8" t="s">
        <v>296</v>
      </c>
      <c r="L1261" s="9">
        <v>46319</v>
      </c>
      <c r="M1261" s="8" t="s">
        <v>5864</v>
      </c>
      <c r="N1261" s="8" t="s">
        <v>5865</v>
      </c>
    </row>
    <row r="1262" spans="1:14" ht="40" customHeight="1">
      <c r="A1262" s="4" t="s">
        <v>4291</v>
      </c>
      <c r="B1262" s="4" t="s">
        <v>291</v>
      </c>
      <c r="C1262" s="4" t="s">
        <v>292</v>
      </c>
      <c r="D1262" s="4" t="s">
        <v>5879</v>
      </c>
      <c r="E1262" s="4" t="s">
        <v>4288</v>
      </c>
      <c r="F1262" s="4" t="s">
        <v>3785</v>
      </c>
      <c r="G1262" s="4" t="s">
        <v>1556</v>
      </c>
      <c r="H1262" s="4">
        <v>1</v>
      </c>
      <c r="I1262" s="4">
        <v>1</v>
      </c>
      <c r="J1262" s="4" t="s">
        <v>4292</v>
      </c>
      <c r="K1262" s="4" t="s">
        <v>296</v>
      </c>
      <c r="L1262" s="6">
        <v>46319</v>
      </c>
      <c r="M1262" s="4" t="s">
        <v>5864</v>
      </c>
      <c r="N1262" s="4" t="s">
        <v>5865</v>
      </c>
    </row>
    <row r="1263" spans="1:14" ht="40" customHeight="1">
      <c r="A1263" s="8" t="s">
        <v>4293</v>
      </c>
      <c r="B1263" s="8" t="s">
        <v>291</v>
      </c>
      <c r="C1263" s="8" t="s">
        <v>292</v>
      </c>
      <c r="D1263" s="8" t="s">
        <v>5879</v>
      </c>
      <c r="E1263" s="8" t="s">
        <v>4288</v>
      </c>
      <c r="F1263" s="8" t="s">
        <v>4146</v>
      </c>
      <c r="G1263" s="8" t="s">
        <v>1556</v>
      </c>
      <c r="H1263" s="8">
        <v>1</v>
      </c>
      <c r="I1263" s="8">
        <v>1</v>
      </c>
      <c r="J1263" s="8" t="s">
        <v>4294</v>
      </c>
      <c r="K1263" s="8" t="s">
        <v>296</v>
      </c>
      <c r="L1263" s="9">
        <v>46319</v>
      </c>
      <c r="M1263" s="8" t="s">
        <v>5864</v>
      </c>
      <c r="N1263" s="8" t="s">
        <v>6087</v>
      </c>
    </row>
    <row r="1264" spans="1:14" ht="40" customHeight="1">
      <c r="A1264" s="4" t="s">
        <v>4295</v>
      </c>
      <c r="B1264" s="4" t="s">
        <v>291</v>
      </c>
      <c r="C1264" s="4" t="s">
        <v>292</v>
      </c>
      <c r="D1264" s="4" t="s">
        <v>5879</v>
      </c>
      <c r="E1264" s="4" t="s">
        <v>4288</v>
      </c>
      <c r="F1264" s="4" t="s">
        <v>3789</v>
      </c>
      <c r="G1264" s="4" t="s">
        <v>1556</v>
      </c>
      <c r="H1264" s="4">
        <v>1</v>
      </c>
      <c r="I1264" s="4">
        <v>1</v>
      </c>
      <c r="J1264" s="4" t="s">
        <v>4296</v>
      </c>
      <c r="K1264" s="4" t="s">
        <v>296</v>
      </c>
      <c r="L1264" s="6">
        <v>46319</v>
      </c>
      <c r="M1264" s="4" t="s">
        <v>5864</v>
      </c>
      <c r="N1264" s="4" t="s">
        <v>5865</v>
      </c>
    </row>
    <row r="1265" spans="1:14" ht="40" customHeight="1">
      <c r="A1265" s="8" t="s">
        <v>4297</v>
      </c>
      <c r="B1265" s="8" t="s">
        <v>291</v>
      </c>
      <c r="C1265" s="8" t="s">
        <v>292</v>
      </c>
      <c r="D1265" s="8" t="s">
        <v>5879</v>
      </c>
      <c r="E1265" s="8" t="s">
        <v>4288</v>
      </c>
      <c r="F1265" s="8" t="s">
        <v>3892</v>
      </c>
      <c r="G1265" s="8" t="s">
        <v>1556</v>
      </c>
      <c r="H1265" s="8">
        <v>1</v>
      </c>
      <c r="I1265" s="8">
        <v>1</v>
      </c>
      <c r="J1265" s="8" t="s">
        <v>4298</v>
      </c>
      <c r="K1265" s="8" t="s">
        <v>296</v>
      </c>
      <c r="L1265" s="9">
        <v>46319</v>
      </c>
      <c r="M1265" s="8" t="s">
        <v>5864</v>
      </c>
      <c r="N1265" s="8" t="s">
        <v>5865</v>
      </c>
    </row>
    <row r="1266" spans="1:14" ht="40" customHeight="1">
      <c r="A1266" s="4" t="s">
        <v>4299</v>
      </c>
      <c r="B1266" s="4" t="s">
        <v>291</v>
      </c>
      <c r="C1266" s="4" t="s">
        <v>292</v>
      </c>
      <c r="D1266" s="4" t="s">
        <v>5879</v>
      </c>
      <c r="E1266" s="4" t="s">
        <v>4288</v>
      </c>
      <c r="F1266" s="4" t="s">
        <v>3791</v>
      </c>
      <c r="G1266" s="4" t="s">
        <v>1556</v>
      </c>
      <c r="H1266" s="4">
        <v>1</v>
      </c>
      <c r="I1266" s="4">
        <v>1</v>
      </c>
      <c r="J1266" s="4" t="s">
        <v>4300</v>
      </c>
      <c r="K1266" s="4" t="s">
        <v>296</v>
      </c>
      <c r="L1266" s="6">
        <v>46319</v>
      </c>
      <c r="M1266" s="4" t="s">
        <v>5864</v>
      </c>
      <c r="N1266" s="4" t="s">
        <v>5865</v>
      </c>
    </row>
    <row r="1267" spans="1:14" ht="40" customHeight="1">
      <c r="A1267" s="8" t="s">
        <v>4301</v>
      </c>
      <c r="B1267" s="8" t="s">
        <v>291</v>
      </c>
      <c r="C1267" s="8" t="s">
        <v>292</v>
      </c>
      <c r="D1267" s="8" t="s">
        <v>5879</v>
      </c>
      <c r="E1267" s="8" t="s">
        <v>4288</v>
      </c>
      <c r="F1267" s="8" t="s">
        <v>4303</v>
      </c>
      <c r="G1267" s="8" t="s">
        <v>1556</v>
      </c>
      <c r="H1267" s="8">
        <v>1</v>
      </c>
      <c r="I1267" s="8">
        <v>1</v>
      </c>
      <c r="J1267" s="8" t="s">
        <v>4302</v>
      </c>
      <c r="K1267" s="8" t="s">
        <v>296</v>
      </c>
      <c r="L1267" s="9">
        <v>46319</v>
      </c>
      <c r="M1267" s="8" t="s">
        <v>5864</v>
      </c>
      <c r="N1267" s="8" t="s">
        <v>5865</v>
      </c>
    </row>
    <row r="1268" spans="1:14" ht="40" customHeight="1">
      <c r="A1268" s="4" t="s">
        <v>4304</v>
      </c>
      <c r="B1268" s="4" t="s">
        <v>291</v>
      </c>
      <c r="C1268" s="4" t="s">
        <v>292</v>
      </c>
      <c r="D1268" s="4" t="s">
        <v>5879</v>
      </c>
      <c r="E1268" s="4" t="s">
        <v>4288</v>
      </c>
      <c r="F1268" s="4" t="s">
        <v>3793</v>
      </c>
      <c r="G1268" s="4" t="s">
        <v>1556</v>
      </c>
      <c r="H1268" s="4">
        <v>1</v>
      </c>
      <c r="I1268" s="4">
        <v>1</v>
      </c>
      <c r="J1268" s="4" t="s">
        <v>4305</v>
      </c>
      <c r="K1268" s="4" t="s">
        <v>296</v>
      </c>
      <c r="L1268" s="6">
        <v>46319</v>
      </c>
      <c r="M1268" s="4" t="s">
        <v>5864</v>
      </c>
      <c r="N1268" s="4" t="s">
        <v>5865</v>
      </c>
    </row>
    <row r="1269" spans="1:14" ht="68" customHeight="1">
      <c r="A1269" s="8" t="s">
        <v>7334</v>
      </c>
      <c r="B1269" s="8" t="s">
        <v>291</v>
      </c>
      <c r="C1269" s="8" t="s">
        <v>292</v>
      </c>
      <c r="D1269" s="8" t="s">
        <v>2969</v>
      </c>
      <c r="E1269" s="8" t="s">
        <v>41</v>
      </c>
      <c r="F1269" s="8" t="s">
        <v>5881</v>
      </c>
      <c r="G1269" s="8" t="s">
        <v>1556</v>
      </c>
      <c r="H1269" s="8">
        <v>1</v>
      </c>
      <c r="I1269" s="8">
        <v>1</v>
      </c>
      <c r="J1269" s="8" t="s">
        <v>7335</v>
      </c>
      <c r="K1269" s="8" t="s">
        <v>296</v>
      </c>
      <c r="L1269" s="9">
        <v>46319</v>
      </c>
      <c r="M1269" s="8" t="s">
        <v>5864</v>
      </c>
      <c r="N1269" s="8" t="s">
        <v>5883</v>
      </c>
    </row>
    <row r="1270" spans="1:14" ht="68" customHeight="1">
      <c r="A1270" s="4" t="s">
        <v>7336</v>
      </c>
      <c r="B1270" s="4" t="s">
        <v>291</v>
      </c>
      <c r="C1270" s="4" t="s">
        <v>292</v>
      </c>
      <c r="D1270" s="4" t="s">
        <v>2969</v>
      </c>
      <c r="E1270" s="4" t="s">
        <v>41</v>
      </c>
      <c r="F1270" s="4" t="s">
        <v>5885</v>
      </c>
      <c r="G1270" s="4" t="s">
        <v>1556</v>
      </c>
      <c r="H1270" s="4">
        <v>1</v>
      </c>
      <c r="I1270" s="4">
        <v>1</v>
      </c>
      <c r="J1270" s="4" t="s">
        <v>7337</v>
      </c>
      <c r="K1270" s="4" t="s">
        <v>296</v>
      </c>
      <c r="L1270" s="6">
        <v>46319</v>
      </c>
      <c r="M1270" s="4" t="s">
        <v>5864</v>
      </c>
      <c r="N1270" s="4" t="s">
        <v>5883</v>
      </c>
    </row>
    <row r="1271" spans="1:14" ht="68" customHeight="1">
      <c r="A1271" s="8" t="s">
        <v>7338</v>
      </c>
      <c r="B1271" s="8" t="s">
        <v>291</v>
      </c>
      <c r="C1271" s="8" t="s">
        <v>292</v>
      </c>
      <c r="D1271" s="8" t="s">
        <v>2969</v>
      </c>
      <c r="E1271" s="8" t="s">
        <v>41</v>
      </c>
      <c r="F1271" s="8" t="s">
        <v>5888</v>
      </c>
      <c r="G1271" s="8" t="s">
        <v>1556</v>
      </c>
      <c r="H1271" s="8">
        <v>1</v>
      </c>
      <c r="I1271" s="8">
        <v>1</v>
      </c>
      <c r="J1271" s="8" t="s">
        <v>7339</v>
      </c>
      <c r="K1271" s="8" t="s">
        <v>296</v>
      </c>
      <c r="L1271" s="9">
        <v>46319</v>
      </c>
      <c r="M1271" s="8" t="s">
        <v>5864</v>
      </c>
      <c r="N1271" s="8" t="s">
        <v>5883</v>
      </c>
    </row>
    <row r="1272" spans="1:14" ht="82" customHeight="1">
      <c r="A1272" s="4" t="s">
        <v>7340</v>
      </c>
      <c r="B1272" s="4" t="s">
        <v>291</v>
      </c>
      <c r="C1272" s="4" t="s">
        <v>292</v>
      </c>
      <c r="D1272" s="4" t="s">
        <v>2969</v>
      </c>
      <c r="E1272" s="4" t="s">
        <v>41</v>
      </c>
      <c r="F1272" s="4" t="s">
        <v>5891</v>
      </c>
      <c r="G1272" s="4" t="s">
        <v>1556</v>
      </c>
      <c r="H1272" s="4">
        <v>1</v>
      </c>
      <c r="I1272" s="4">
        <v>1</v>
      </c>
      <c r="J1272" s="4" t="s">
        <v>7341</v>
      </c>
      <c r="K1272" s="4" t="s">
        <v>296</v>
      </c>
      <c r="L1272" s="6">
        <v>46319</v>
      </c>
      <c r="M1272" s="4" t="s">
        <v>5864</v>
      </c>
      <c r="N1272" s="4" t="s">
        <v>5883</v>
      </c>
    </row>
    <row r="1273" spans="1:14" ht="68" customHeight="1">
      <c r="A1273" s="8" t="s">
        <v>7342</v>
      </c>
      <c r="B1273" s="8" t="s">
        <v>291</v>
      </c>
      <c r="C1273" s="8" t="s">
        <v>292</v>
      </c>
      <c r="D1273" s="8" t="s">
        <v>2969</v>
      </c>
      <c r="E1273" s="8" t="s">
        <v>41</v>
      </c>
      <c r="F1273" s="8" t="s">
        <v>5894</v>
      </c>
      <c r="G1273" s="8" t="s">
        <v>1556</v>
      </c>
      <c r="H1273" s="8">
        <v>1</v>
      </c>
      <c r="I1273" s="8">
        <v>1</v>
      </c>
      <c r="J1273" s="8" t="s">
        <v>7343</v>
      </c>
      <c r="K1273" s="8" t="s">
        <v>296</v>
      </c>
      <c r="L1273" s="9">
        <v>46319</v>
      </c>
      <c r="M1273" s="8" t="s">
        <v>5864</v>
      </c>
      <c r="N1273" s="8" t="s">
        <v>5883</v>
      </c>
    </row>
    <row r="1274" spans="1:14" ht="68" customHeight="1">
      <c r="A1274" s="4" t="s">
        <v>7344</v>
      </c>
      <c r="B1274" s="4" t="s">
        <v>291</v>
      </c>
      <c r="C1274" s="4" t="s">
        <v>292</v>
      </c>
      <c r="D1274" s="4" t="s">
        <v>2969</v>
      </c>
      <c r="E1274" s="4" t="s">
        <v>41</v>
      </c>
      <c r="F1274" s="4" t="s">
        <v>5897</v>
      </c>
      <c r="G1274" s="4" t="s">
        <v>1556</v>
      </c>
      <c r="H1274" s="4">
        <v>1</v>
      </c>
      <c r="I1274" s="4">
        <v>1</v>
      </c>
      <c r="J1274" s="4" t="s">
        <v>7345</v>
      </c>
      <c r="K1274" s="4" t="s">
        <v>296</v>
      </c>
      <c r="L1274" s="6">
        <v>46319</v>
      </c>
      <c r="M1274" s="4" t="s">
        <v>5864</v>
      </c>
      <c r="N1274" s="4" t="s">
        <v>5883</v>
      </c>
    </row>
    <row r="1275" spans="1:14" ht="68" customHeight="1">
      <c r="A1275" s="8" t="s">
        <v>7346</v>
      </c>
      <c r="B1275" s="8" t="s">
        <v>291</v>
      </c>
      <c r="C1275" s="8" t="s">
        <v>292</v>
      </c>
      <c r="D1275" s="8" t="s">
        <v>2969</v>
      </c>
      <c r="E1275" s="8" t="s">
        <v>41</v>
      </c>
      <c r="F1275" s="8" t="s">
        <v>5900</v>
      </c>
      <c r="G1275" s="8" t="s">
        <v>1556</v>
      </c>
      <c r="H1275" s="8">
        <v>1</v>
      </c>
      <c r="I1275" s="8">
        <v>1</v>
      </c>
      <c r="J1275" s="8" t="s">
        <v>7347</v>
      </c>
      <c r="K1275" s="8" t="s">
        <v>296</v>
      </c>
      <c r="L1275" s="9">
        <v>46319</v>
      </c>
      <c r="M1275" s="8" t="s">
        <v>5864</v>
      </c>
      <c r="N1275" s="8" t="s">
        <v>5883</v>
      </c>
    </row>
    <row r="1276" spans="1:14" ht="82" customHeight="1">
      <c r="A1276" s="4" t="s">
        <v>7348</v>
      </c>
      <c r="B1276" s="4" t="s">
        <v>291</v>
      </c>
      <c r="C1276" s="4" t="s">
        <v>292</v>
      </c>
      <c r="D1276" s="4" t="s">
        <v>2969</v>
      </c>
      <c r="E1276" s="4" t="s">
        <v>41</v>
      </c>
      <c r="F1276" s="4" t="s">
        <v>5903</v>
      </c>
      <c r="G1276" s="4" t="s">
        <v>1556</v>
      </c>
      <c r="H1276" s="4">
        <v>1</v>
      </c>
      <c r="I1276" s="4">
        <v>1</v>
      </c>
      <c r="J1276" s="4" t="s">
        <v>7349</v>
      </c>
      <c r="K1276" s="4" t="s">
        <v>296</v>
      </c>
      <c r="L1276" s="6">
        <v>46319</v>
      </c>
      <c r="M1276" s="4" t="s">
        <v>5864</v>
      </c>
      <c r="N1276" s="4" t="s">
        <v>5883</v>
      </c>
    </row>
    <row r="1277" spans="1:14" ht="68" customHeight="1">
      <c r="A1277" s="8" t="s">
        <v>7350</v>
      </c>
      <c r="B1277" s="8" t="s">
        <v>291</v>
      </c>
      <c r="C1277" s="8" t="s">
        <v>292</v>
      </c>
      <c r="D1277" s="8" t="s">
        <v>2969</v>
      </c>
      <c r="E1277" s="8" t="s">
        <v>41</v>
      </c>
      <c r="F1277" s="8" t="s">
        <v>5906</v>
      </c>
      <c r="G1277" s="8" t="s">
        <v>1556</v>
      </c>
      <c r="H1277" s="8">
        <v>1</v>
      </c>
      <c r="I1277" s="8">
        <v>1</v>
      </c>
      <c r="J1277" s="8" t="s">
        <v>7351</v>
      </c>
      <c r="K1277" s="8" t="s">
        <v>296</v>
      </c>
      <c r="L1277" s="9">
        <v>46319</v>
      </c>
      <c r="M1277" s="8" t="s">
        <v>5864</v>
      </c>
      <c r="N1277" s="8" t="s">
        <v>5883</v>
      </c>
    </row>
    <row r="1278" spans="1:14" ht="68" customHeight="1">
      <c r="A1278" s="4" t="s">
        <v>7352</v>
      </c>
      <c r="B1278" s="4" t="s">
        <v>291</v>
      </c>
      <c r="C1278" s="4" t="s">
        <v>292</v>
      </c>
      <c r="D1278" s="4" t="s">
        <v>2969</v>
      </c>
      <c r="E1278" s="4" t="s">
        <v>41</v>
      </c>
      <c r="F1278" s="4" t="s">
        <v>5909</v>
      </c>
      <c r="G1278" s="4" t="s">
        <v>1556</v>
      </c>
      <c r="H1278" s="4">
        <v>1</v>
      </c>
      <c r="I1278" s="4">
        <v>1</v>
      </c>
      <c r="J1278" s="4" t="s">
        <v>7353</v>
      </c>
      <c r="K1278" s="4" t="s">
        <v>296</v>
      </c>
      <c r="L1278" s="6">
        <v>46319</v>
      </c>
      <c r="M1278" s="4" t="s">
        <v>5864</v>
      </c>
      <c r="N1278" s="4" t="s">
        <v>5883</v>
      </c>
    </row>
    <row r="1279" spans="1:14" ht="68" customHeight="1">
      <c r="A1279" s="8" t="s">
        <v>7354</v>
      </c>
      <c r="B1279" s="8" t="s">
        <v>291</v>
      </c>
      <c r="C1279" s="8" t="s">
        <v>292</v>
      </c>
      <c r="D1279" s="8" t="s">
        <v>2969</v>
      </c>
      <c r="E1279" s="8" t="s">
        <v>41</v>
      </c>
      <c r="F1279" s="8" t="s">
        <v>5912</v>
      </c>
      <c r="G1279" s="8" t="s">
        <v>1556</v>
      </c>
      <c r="H1279" s="8">
        <v>1</v>
      </c>
      <c r="I1279" s="8">
        <v>1</v>
      </c>
      <c r="J1279" s="8" t="s">
        <v>7355</v>
      </c>
      <c r="K1279" s="8" t="s">
        <v>296</v>
      </c>
      <c r="L1279" s="9">
        <v>46319</v>
      </c>
      <c r="M1279" s="8" t="s">
        <v>5864</v>
      </c>
      <c r="N1279" s="8" t="s">
        <v>5883</v>
      </c>
    </row>
    <row r="1280" spans="1:14" ht="68" customHeight="1">
      <c r="A1280" s="4" t="s">
        <v>7356</v>
      </c>
      <c r="B1280" s="4" t="s">
        <v>291</v>
      </c>
      <c r="C1280" s="4" t="s">
        <v>292</v>
      </c>
      <c r="D1280" s="4" t="s">
        <v>2969</v>
      </c>
      <c r="E1280" s="4" t="s">
        <v>41</v>
      </c>
      <c r="F1280" s="4" t="s">
        <v>5973</v>
      </c>
      <c r="G1280" s="4" t="s">
        <v>1556</v>
      </c>
      <c r="H1280" s="4">
        <v>1</v>
      </c>
      <c r="I1280" s="4">
        <v>1</v>
      </c>
      <c r="J1280" s="4" t="s">
        <v>7357</v>
      </c>
      <c r="K1280" s="4" t="s">
        <v>296</v>
      </c>
      <c r="L1280" s="6">
        <v>46319</v>
      </c>
      <c r="M1280" s="4" t="s">
        <v>5864</v>
      </c>
      <c r="N1280" s="4" t="s">
        <v>5883</v>
      </c>
    </row>
    <row r="1281" spans="1:14" ht="82" customHeight="1">
      <c r="A1281" s="8" t="s">
        <v>7358</v>
      </c>
      <c r="B1281" s="8" t="s">
        <v>291</v>
      </c>
      <c r="C1281" s="8" t="s">
        <v>292</v>
      </c>
      <c r="D1281" s="8" t="s">
        <v>2969</v>
      </c>
      <c r="E1281" s="8" t="s">
        <v>41</v>
      </c>
      <c r="F1281" s="8" t="s">
        <v>5976</v>
      </c>
      <c r="G1281" s="8" t="s">
        <v>1556</v>
      </c>
      <c r="H1281" s="8">
        <v>1</v>
      </c>
      <c r="I1281" s="8">
        <v>1</v>
      </c>
      <c r="J1281" s="8" t="s">
        <v>7359</v>
      </c>
      <c r="K1281" s="8" t="s">
        <v>296</v>
      </c>
      <c r="L1281" s="9">
        <v>46319</v>
      </c>
      <c r="M1281" s="8" t="s">
        <v>5864</v>
      </c>
      <c r="N1281" s="8" t="s">
        <v>5883</v>
      </c>
    </row>
    <row r="1282" spans="1:14" ht="68" customHeight="1">
      <c r="A1282" s="4" t="s">
        <v>7360</v>
      </c>
      <c r="B1282" s="4" t="s">
        <v>291</v>
      </c>
      <c r="C1282" s="4" t="s">
        <v>292</v>
      </c>
      <c r="D1282" s="4" t="s">
        <v>2969</v>
      </c>
      <c r="E1282" s="4" t="s">
        <v>41</v>
      </c>
      <c r="F1282" s="4" t="s">
        <v>5979</v>
      </c>
      <c r="G1282" s="4" t="s">
        <v>1556</v>
      </c>
      <c r="H1282" s="4">
        <v>1</v>
      </c>
      <c r="I1282" s="4">
        <v>1</v>
      </c>
      <c r="J1282" s="4" t="s">
        <v>7361</v>
      </c>
      <c r="K1282" s="4" t="s">
        <v>296</v>
      </c>
      <c r="L1282" s="6">
        <v>46319</v>
      </c>
      <c r="M1282" s="4" t="s">
        <v>5864</v>
      </c>
      <c r="N1282" s="4" t="s">
        <v>5883</v>
      </c>
    </row>
    <row r="1283" spans="1:14" ht="68" customHeight="1">
      <c r="A1283" s="8" t="s">
        <v>7362</v>
      </c>
      <c r="B1283" s="8" t="s">
        <v>299</v>
      </c>
      <c r="C1283" s="8" t="s">
        <v>300</v>
      </c>
      <c r="D1283" s="8" t="s">
        <v>5861</v>
      </c>
      <c r="E1283" s="8" t="s">
        <v>41</v>
      </c>
      <c r="F1283" s="8" t="s">
        <v>5862</v>
      </c>
      <c r="G1283" s="8" t="s">
        <v>1585</v>
      </c>
      <c r="H1283" s="8">
        <v>1</v>
      </c>
      <c r="I1283" s="8">
        <v>1</v>
      </c>
      <c r="J1283" s="8" t="s">
        <v>7363</v>
      </c>
      <c r="K1283" s="8" t="s">
        <v>305</v>
      </c>
      <c r="L1283" s="9">
        <v>46319</v>
      </c>
      <c r="M1283" s="8" t="s">
        <v>5864</v>
      </c>
      <c r="N1283" s="8" t="s">
        <v>5865</v>
      </c>
    </row>
    <row r="1284" spans="1:14" ht="82" customHeight="1">
      <c r="A1284" s="4" t="s">
        <v>7364</v>
      </c>
      <c r="B1284" s="4" t="s">
        <v>299</v>
      </c>
      <c r="C1284" s="4" t="s">
        <v>300</v>
      </c>
      <c r="D1284" s="4" t="s">
        <v>5861</v>
      </c>
      <c r="E1284" s="4" t="s">
        <v>41</v>
      </c>
      <c r="F1284" s="4" t="s">
        <v>5920</v>
      </c>
      <c r="G1284" s="4" t="s">
        <v>1585</v>
      </c>
      <c r="H1284" s="4">
        <v>1</v>
      </c>
      <c r="I1284" s="4">
        <v>1</v>
      </c>
      <c r="J1284" s="4" t="s">
        <v>7365</v>
      </c>
      <c r="K1284" s="4" t="s">
        <v>305</v>
      </c>
      <c r="L1284" s="6">
        <v>46319</v>
      </c>
      <c r="M1284" s="4" t="s">
        <v>5864</v>
      </c>
      <c r="N1284" s="4" t="s">
        <v>5865</v>
      </c>
    </row>
    <row r="1285" spans="1:14" ht="54" customHeight="1">
      <c r="A1285" s="8" t="s">
        <v>7366</v>
      </c>
      <c r="B1285" s="8" t="s">
        <v>299</v>
      </c>
      <c r="C1285" s="8" t="s">
        <v>300</v>
      </c>
      <c r="D1285" s="8" t="s">
        <v>5861</v>
      </c>
      <c r="E1285" s="8" t="s">
        <v>41</v>
      </c>
      <c r="F1285" s="8" t="s">
        <v>5926</v>
      </c>
      <c r="G1285" s="8" t="s">
        <v>1585</v>
      </c>
      <c r="H1285" s="8">
        <v>1</v>
      </c>
      <c r="I1285" s="8">
        <v>1</v>
      </c>
      <c r="J1285" s="8" t="s">
        <v>7367</v>
      </c>
      <c r="K1285" s="8" t="s">
        <v>305</v>
      </c>
      <c r="L1285" s="9">
        <v>46319</v>
      </c>
      <c r="M1285" s="8" t="s">
        <v>5864</v>
      </c>
      <c r="N1285" s="8" t="s">
        <v>5865</v>
      </c>
    </row>
    <row r="1286" spans="1:14" ht="40" customHeight="1">
      <c r="A1286" s="4" t="s">
        <v>7368</v>
      </c>
      <c r="B1286" s="4" t="s">
        <v>299</v>
      </c>
      <c r="C1286" s="4" t="s">
        <v>300</v>
      </c>
      <c r="D1286" s="4" t="s">
        <v>5867</v>
      </c>
      <c r="E1286" s="4" t="s">
        <v>7369</v>
      </c>
      <c r="F1286" s="4" t="s">
        <v>6248</v>
      </c>
      <c r="G1286" s="4" t="s">
        <v>1585</v>
      </c>
      <c r="H1286" s="4">
        <v>1</v>
      </c>
      <c r="I1286" s="4">
        <v>1</v>
      </c>
      <c r="J1286" s="4" t="s">
        <v>7369</v>
      </c>
      <c r="K1286" s="4" t="s">
        <v>305</v>
      </c>
      <c r="L1286" s="6">
        <v>46319</v>
      </c>
      <c r="M1286" s="4" t="s">
        <v>5864</v>
      </c>
      <c r="N1286" s="4" t="s">
        <v>5865</v>
      </c>
    </row>
    <row r="1287" spans="1:14" ht="40" customHeight="1">
      <c r="A1287" s="8" t="s">
        <v>7370</v>
      </c>
      <c r="B1287" s="8" t="s">
        <v>299</v>
      </c>
      <c r="C1287" s="8" t="s">
        <v>300</v>
      </c>
      <c r="D1287" s="8" t="s">
        <v>5867</v>
      </c>
      <c r="E1287" s="8" t="s">
        <v>7369</v>
      </c>
      <c r="F1287" s="8" t="s">
        <v>6176</v>
      </c>
      <c r="G1287" s="8" t="s">
        <v>1585</v>
      </c>
      <c r="H1287" s="8">
        <v>1</v>
      </c>
      <c r="I1287" s="8">
        <v>1</v>
      </c>
      <c r="J1287" s="8" t="s">
        <v>7371</v>
      </c>
      <c r="K1287" s="8" t="s">
        <v>305</v>
      </c>
      <c r="L1287" s="9">
        <v>46319</v>
      </c>
      <c r="M1287" s="8" t="s">
        <v>5864</v>
      </c>
      <c r="N1287" s="8" t="s">
        <v>5870</v>
      </c>
    </row>
    <row r="1288" spans="1:14" ht="40" customHeight="1">
      <c r="A1288" s="4" t="s">
        <v>7372</v>
      </c>
      <c r="B1288" s="4" t="s">
        <v>299</v>
      </c>
      <c r="C1288" s="4" t="s">
        <v>300</v>
      </c>
      <c r="D1288" s="4" t="s">
        <v>5867</v>
      </c>
      <c r="E1288" s="4" t="s">
        <v>7369</v>
      </c>
      <c r="F1288" s="4" t="s">
        <v>6179</v>
      </c>
      <c r="G1288" s="4" t="s">
        <v>1585</v>
      </c>
      <c r="H1288" s="4">
        <v>1</v>
      </c>
      <c r="I1288" s="4">
        <v>1</v>
      </c>
      <c r="J1288" s="4" t="s">
        <v>7373</v>
      </c>
      <c r="K1288" s="4" t="s">
        <v>305</v>
      </c>
      <c r="L1288" s="6">
        <v>46319</v>
      </c>
      <c r="M1288" s="4" t="s">
        <v>5864</v>
      </c>
      <c r="N1288" s="4" t="s">
        <v>5870</v>
      </c>
    </row>
    <row r="1289" spans="1:14" ht="40" customHeight="1">
      <c r="A1289" s="8" t="s">
        <v>7374</v>
      </c>
      <c r="B1289" s="8" t="s">
        <v>299</v>
      </c>
      <c r="C1289" s="8" t="s">
        <v>300</v>
      </c>
      <c r="D1289" s="8" t="s">
        <v>5867</v>
      </c>
      <c r="E1289" s="8" t="s">
        <v>7375</v>
      </c>
      <c r="F1289" s="8" t="s">
        <v>6765</v>
      </c>
      <c r="G1289" s="8" t="s">
        <v>1585</v>
      </c>
      <c r="H1289" s="8">
        <v>1</v>
      </c>
      <c r="I1289" s="8">
        <v>1</v>
      </c>
      <c r="J1289" s="8" t="s">
        <v>7375</v>
      </c>
      <c r="K1289" s="8" t="s">
        <v>305</v>
      </c>
      <c r="L1289" s="9">
        <v>46319</v>
      </c>
      <c r="M1289" s="8" t="s">
        <v>5864</v>
      </c>
      <c r="N1289" s="8" t="s">
        <v>5865</v>
      </c>
    </row>
    <row r="1290" spans="1:14" ht="40" customHeight="1">
      <c r="A1290" s="4" t="s">
        <v>7376</v>
      </c>
      <c r="B1290" s="4" t="s">
        <v>299</v>
      </c>
      <c r="C1290" s="4" t="s">
        <v>300</v>
      </c>
      <c r="D1290" s="4" t="s">
        <v>5867</v>
      </c>
      <c r="E1290" s="4" t="s">
        <v>7375</v>
      </c>
      <c r="F1290" s="4" t="s">
        <v>6015</v>
      </c>
      <c r="G1290" s="4" t="s">
        <v>1585</v>
      </c>
      <c r="H1290" s="4">
        <v>1</v>
      </c>
      <c r="I1290" s="4">
        <v>1</v>
      </c>
      <c r="J1290" s="4" t="s">
        <v>7377</v>
      </c>
      <c r="K1290" s="4" t="s">
        <v>305</v>
      </c>
      <c r="L1290" s="6">
        <v>46319</v>
      </c>
      <c r="M1290" s="4" t="s">
        <v>5864</v>
      </c>
      <c r="N1290" s="4" t="s">
        <v>5870</v>
      </c>
    </row>
    <row r="1291" spans="1:14" ht="40" customHeight="1">
      <c r="A1291" s="8" t="s">
        <v>7378</v>
      </c>
      <c r="B1291" s="8" t="s">
        <v>299</v>
      </c>
      <c r="C1291" s="8" t="s">
        <v>300</v>
      </c>
      <c r="D1291" s="8" t="s">
        <v>5867</v>
      </c>
      <c r="E1291" s="8" t="s">
        <v>7375</v>
      </c>
      <c r="F1291" s="8" t="s">
        <v>6554</v>
      </c>
      <c r="G1291" s="8" t="s">
        <v>1585</v>
      </c>
      <c r="H1291" s="8">
        <v>1</v>
      </c>
      <c r="I1291" s="8">
        <v>1</v>
      </c>
      <c r="J1291" s="8" t="s">
        <v>7379</v>
      </c>
      <c r="K1291" s="8" t="s">
        <v>305</v>
      </c>
      <c r="L1291" s="9">
        <v>46319</v>
      </c>
      <c r="M1291" s="8" t="s">
        <v>5864</v>
      </c>
      <c r="N1291" s="8" t="s">
        <v>5870</v>
      </c>
    </row>
    <row r="1292" spans="1:14" ht="54" customHeight="1">
      <c r="A1292" s="4" t="s">
        <v>7380</v>
      </c>
      <c r="B1292" s="4" t="s">
        <v>299</v>
      </c>
      <c r="C1292" s="4" t="s">
        <v>300</v>
      </c>
      <c r="D1292" s="4" t="s">
        <v>5867</v>
      </c>
      <c r="E1292" s="4" t="s">
        <v>7375</v>
      </c>
      <c r="F1292" s="4" t="s">
        <v>7381</v>
      </c>
      <c r="G1292" s="4" t="s">
        <v>1585</v>
      </c>
      <c r="H1292" s="4">
        <v>1</v>
      </c>
      <c r="I1292" s="4">
        <v>1</v>
      </c>
      <c r="J1292" s="4" t="s">
        <v>7382</v>
      </c>
      <c r="K1292" s="4" t="s">
        <v>305</v>
      </c>
      <c r="L1292" s="6">
        <v>46319</v>
      </c>
      <c r="M1292" s="4" t="s">
        <v>5864</v>
      </c>
      <c r="N1292" s="4" t="s">
        <v>5865</v>
      </c>
    </row>
    <row r="1293" spans="1:14" ht="40" customHeight="1">
      <c r="A1293" s="8" t="s">
        <v>7383</v>
      </c>
      <c r="B1293" s="8" t="s">
        <v>299</v>
      </c>
      <c r="C1293" s="8" t="s">
        <v>300</v>
      </c>
      <c r="D1293" s="8" t="s">
        <v>637</v>
      </c>
      <c r="E1293" s="8" t="s">
        <v>41</v>
      </c>
      <c r="F1293" s="8" t="s">
        <v>904</v>
      </c>
      <c r="G1293" s="8" t="s">
        <v>1585</v>
      </c>
      <c r="H1293" s="8">
        <v>1</v>
      </c>
      <c r="I1293" s="8">
        <v>1</v>
      </c>
      <c r="J1293" s="8" t="s">
        <v>1583</v>
      </c>
      <c r="K1293" s="8" t="s">
        <v>305</v>
      </c>
      <c r="L1293" s="9">
        <v>46319</v>
      </c>
      <c r="M1293" s="8" t="s">
        <v>5864</v>
      </c>
      <c r="N1293" s="8" t="s">
        <v>5870</v>
      </c>
    </row>
    <row r="1294" spans="1:14" ht="40" customHeight="1">
      <c r="A1294" s="4" t="s">
        <v>7384</v>
      </c>
      <c r="B1294" s="4" t="s">
        <v>299</v>
      </c>
      <c r="C1294" s="4" t="s">
        <v>300</v>
      </c>
      <c r="D1294" s="4" t="s">
        <v>637</v>
      </c>
      <c r="E1294" s="4" t="s">
        <v>41</v>
      </c>
      <c r="F1294" s="4" t="s">
        <v>912</v>
      </c>
      <c r="G1294" s="4" t="s">
        <v>1585</v>
      </c>
      <c r="H1294" s="4">
        <v>1</v>
      </c>
      <c r="I1294" s="4">
        <v>1</v>
      </c>
      <c r="J1294" s="4" t="s">
        <v>1587</v>
      </c>
      <c r="K1294" s="4" t="s">
        <v>305</v>
      </c>
      <c r="L1294" s="6">
        <v>46319</v>
      </c>
      <c r="M1294" s="4" t="s">
        <v>5864</v>
      </c>
      <c r="N1294" s="4" t="s">
        <v>5870</v>
      </c>
    </row>
    <row r="1295" spans="1:14" ht="40" customHeight="1">
      <c r="A1295" s="8" t="s">
        <v>5301</v>
      </c>
      <c r="B1295" s="8" t="s">
        <v>299</v>
      </c>
      <c r="C1295" s="8" t="s">
        <v>300</v>
      </c>
      <c r="D1295" s="8" t="s">
        <v>7</v>
      </c>
      <c r="E1295" s="8" t="s">
        <v>41</v>
      </c>
      <c r="F1295" s="8" t="s">
        <v>6150</v>
      </c>
      <c r="G1295" s="8" t="s">
        <v>1585</v>
      </c>
      <c r="H1295" s="8">
        <v>1</v>
      </c>
      <c r="I1295" s="8">
        <v>1</v>
      </c>
      <c r="J1295" s="8" t="s">
        <v>5302</v>
      </c>
      <c r="K1295" s="8" t="s">
        <v>305</v>
      </c>
      <c r="L1295" s="9">
        <v>46319</v>
      </c>
      <c r="M1295" s="8" t="s">
        <v>5864</v>
      </c>
      <c r="N1295" s="8" t="s">
        <v>5865</v>
      </c>
    </row>
    <row r="1296" spans="1:14" ht="40" customHeight="1">
      <c r="A1296" s="4" t="s">
        <v>4306</v>
      </c>
      <c r="B1296" s="4" t="s">
        <v>299</v>
      </c>
      <c r="C1296" s="4" t="s">
        <v>300</v>
      </c>
      <c r="D1296" s="4" t="s">
        <v>5879</v>
      </c>
      <c r="E1296" s="4" t="s">
        <v>41</v>
      </c>
      <c r="F1296" s="4" t="s">
        <v>3449</v>
      </c>
      <c r="G1296" s="4" t="s">
        <v>1585</v>
      </c>
      <c r="H1296" s="4">
        <v>1</v>
      </c>
      <c r="I1296" s="4">
        <v>1</v>
      </c>
      <c r="J1296" s="4" t="s">
        <v>4307</v>
      </c>
      <c r="K1296" s="4" t="s">
        <v>305</v>
      </c>
      <c r="L1296" s="6">
        <v>46319</v>
      </c>
      <c r="M1296" s="4" t="s">
        <v>5864</v>
      </c>
      <c r="N1296" s="4" t="s">
        <v>5865</v>
      </c>
    </row>
    <row r="1297" spans="1:14" ht="68" customHeight="1">
      <c r="A1297" s="8" t="s">
        <v>7385</v>
      </c>
      <c r="B1297" s="8" t="s">
        <v>299</v>
      </c>
      <c r="C1297" s="8" t="s">
        <v>300</v>
      </c>
      <c r="D1297" s="8" t="s">
        <v>2969</v>
      </c>
      <c r="E1297" s="8" t="s">
        <v>41</v>
      </c>
      <c r="F1297" s="8" t="s">
        <v>5881</v>
      </c>
      <c r="G1297" s="8" t="s">
        <v>1585</v>
      </c>
      <c r="H1297" s="8">
        <v>1</v>
      </c>
      <c r="I1297" s="8">
        <v>1</v>
      </c>
      <c r="J1297" s="8" t="s">
        <v>7386</v>
      </c>
      <c r="K1297" s="8" t="s">
        <v>305</v>
      </c>
      <c r="L1297" s="9">
        <v>46319</v>
      </c>
      <c r="M1297" s="8" t="s">
        <v>5864</v>
      </c>
      <c r="N1297" s="8" t="s">
        <v>5883</v>
      </c>
    </row>
    <row r="1298" spans="1:14" ht="96" customHeight="1">
      <c r="A1298" s="4" t="s">
        <v>7387</v>
      </c>
      <c r="B1298" s="4" t="s">
        <v>299</v>
      </c>
      <c r="C1298" s="4" t="s">
        <v>300</v>
      </c>
      <c r="D1298" s="4" t="s">
        <v>2969</v>
      </c>
      <c r="E1298" s="4" t="s">
        <v>41</v>
      </c>
      <c r="F1298" s="4" t="s">
        <v>5885</v>
      </c>
      <c r="G1298" s="4" t="s">
        <v>1585</v>
      </c>
      <c r="H1298" s="4">
        <v>1</v>
      </c>
      <c r="I1298" s="4">
        <v>1</v>
      </c>
      <c r="J1298" s="4" t="s">
        <v>7388</v>
      </c>
      <c r="K1298" s="4" t="s">
        <v>305</v>
      </c>
      <c r="L1298" s="6">
        <v>46319</v>
      </c>
      <c r="M1298" s="4" t="s">
        <v>5864</v>
      </c>
      <c r="N1298" s="4" t="s">
        <v>5883</v>
      </c>
    </row>
    <row r="1299" spans="1:14" ht="54" customHeight="1">
      <c r="A1299" s="8" t="s">
        <v>7389</v>
      </c>
      <c r="B1299" s="8" t="s">
        <v>299</v>
      </c>
      <c r="C1299" s="8" t="s">
        <v>300</v>
      </c>
      <c r="D1299" s="8" t="s">
        <v>2969</v>
      </c>
      <c r="E1299" s="8" t="s">
        <v>41</v>
      </c>
      <c r="F1299" s="8" t="s">
        <v>5888</v>
      </c>
      <c r="G1299" s="8" t="s">
        <v>1585</v>
      </c>
      <c r="H1299" s="8">
        <v>1</v>
      </c>
      <c r="I1299" s="8">
        <v>1</v>
      </c>
      <c r="J1299" s="8" t="s">
        <v>7390</v>
      </c>
      <c r="K1299" s="8" t="s">
        <v>305</v>
      </c>
      <c r="L1299" s="9">
        <v>46319</v>
      </c>
      <c r="M1299" s="8" t="s">
        <v>5864</v>
      </c>
      <c r="N1299" s="8" t="s">
        <v>5883</v>
      </c>
    </row>
    <row r="1300" spans="1:14" ht="110" customHeight="1">
      <c r="A1300" s="4" t="s">
        <v>7391</v>
      </c>
      <c r="B1300" s="4" t="s">
        <v>299</v>
      </c>
      <c r="C1300" s="4" t="s">
        <v>300</v>
      </c>
      <c r="D1300" s="4" t="s">
        <v>2969</v>
      </c>
      <c r="E1300" s="4" t="s">
        <v>41</v>
      </c>
      <c r="F1300" s="4" t="s">
        <v>5891</v>
      </c>
      <c r="G1300" s="4" t="s">
        <v>1585</v>
      </c>
      <c r="H1300" s="4">
        <v>1</v>
      </c>
      <c r="I1300" s="4">
        <v>1</v>
      </c>
      <c r="J1300" s="4" t="s">
        <v>7392</v>
      </c>
      <c r="K1300" s="4" t="s">
        <v>305</v>
      </c>
      <c r="L1300" s="6">
        <v>46319</v>
      </c>
      <c r="M1300" s="4" t="s">
        <v>5864</v>
      </c>
      <c r="N1300" s="4" t="s">
        <v>5883</v>
      </c>
    </row>
    <row r="1301" spans="1:14" ht="180" customHeight="1">
      <c r="A1301" s="8" t="s">
        <v>7393</v>
      </c>
      <c r="B1301" s="8" t="s">
        <v>299</v>
      </c>
      <c r="C1301" s="8" t="s">
        <v>300</v>
      </c>
      <c r="D1301" s="8" t="s">
        <v>2969</v>
      </c>
      <c r="E1301" s="8" t="s">
        <v>41</v>
      </c>
      <c r="F1301" s="8" t="s">
        <v>5894</v>
      </c>
      <c r="G1301" s="8" t="s">
        <v>1585</v>
      </c>
      <c r="H1301" s="8">
        <v>1</v>
      </c>
      <c r="I1301" s="8">
        <v>1</v>
      </c>
      <c r="J1301" s="8" t="s">
        <v>7394</v>
      </c>
      <c r="K1301" s="8" t="s">
        <v>305</v>
      </c>
      <c r="L1301" s="9">
        <v>46319</v>
      </c>
      <c r="M1301" s="8" t="s">
        <v>5864</v>
      </c>
      <c r="N1301" s="8" t="s">
        <v>5883</v>
      </c>
    </row>
    <row r="1302" spans="1:14" ht="54" customHeight="1">
      <c r="A1302" s="4" t="s">
        <v>7395</v>
      </c>
      <c r="B1302" s="4" t="s">
        <v>299</v>
      </c>
      <c r="C1302" s="4" t="s">
        <v>300</v>
      </c>
      <c r="D1302" s="4" t="s">
        <v>2969</v>
      </c>
      <c r="E1302" s="4" t="s">
        <v>41</v>
      </c>
      <c r="F1302" s="4" t="s">
        <v>5897</v>
      </c>
      <c r="G1302" s="4" t="s">
        <v>1585</v>
      </c>
      <c r="H1302" s="4">
        <v>1</v>
      </c>
      <c r="I1302" s="4">
        <v>1</v>
      </c>
      <c r="J1302" s="4" t="s">
        <v>7396</v>
      </c>
      <c r="K1302" s="4" t="s">
        <v>305</v>
      </c>
      <c r="L1302" s="6">
        <v>46319</v>
      </c>
      <c r="M1302" s="4" t="s">
        <v>5864</v>
      </c>
      <c r="N1302" s="4" t="s">
        <v>5883</v>
      </c>
    </row>
    <row r="1303" spans="1:14" ht="54" customHeight="1">
      <c r="A1303" s="8" t="s">
        <v>7397</v>
      </c>
      <c r="B1303" s="8" t="s">
        <v>299</v>
      </c>
      <c r="C1303" s="8" t="s">
        <v>300</v>
      </c>
      <c r="D1303" s="8" t="s">
        <v>2969</v>
      </c>
      <c r="E1303" s="8" t="s">
        <v>41</v>
      </c>
      <c r="F1303" s="8" t="s">
        <v>5900</v>
      </c>
      <c r="G1303" s="8" t="s">
        <v>1585</v>
      </c>
      <c r="H1303" s="8">
        <v>1</v>
      </c>
      <c r="I1303" s="8">
        <v>1</v>
      </c>
      <c r="J1303" s="8" t="s">
        <v>7398</v>
      </c>
      <c r="K1303" s="8" t="s">
        <v>305</v>
      </c>
      <c r="L1303" s="9">
        <v>46319</v>
      </c>
      <c r="M1303" s="8" t="s">
        <v>5864</v>
      </c>
      <c r="N1303" s="8" t="s">
        <v>5883</v>
      </c>
    </row>
    <row r="1304" spans="1:14" ht="96" customHeight="1">
      <c r="A1304" s="4" t="s">
        <v>7399</v>
      </c>
      <c r="B1304" s="4" t="s">
        <v>299</v>
      </c>
      <c r="C1304" s="4" t="s">
        <v>300</v>
      </c>
      <c r="D1304" s="4" t="s">
        <v>2969</v>
      </c>
      <c r="E1304" s="4" t="s">
        <v>41</v>
      </c>
      <c r="F1304" s="4" t="s">
        <v>5903</v>
      </c>
      <c r="G1304" s="4" t="s">
        <v>1585</v>
      </c>
      <c r="H1304" s="4">
        <v>1</v>
      </c>
      <c r="I1304" s="4">
        <v>1</v>
      </c>
      <c r="J1304" s="4" t="s">
        <v>7400</v>
      </c>
      <c r="K1304" s="4" t="s">
        <v>305</v>
      </c>
      <c r="L1304" s="6">
        <v>46319</v>
      </c>
      <c r="M1304" s="4" t="s">
        <v>5864</v>
      </c>
      <c r="N1304" s="4" t="s">
        <v>5883</v>
      </c>
    </row>
    <row r="1305" spans="1:14" ht="96" customHeight="1">
      <c r="A1305" s="8" t="s">
        <v>7401</v>
      </c>
      <c r="B1305" s="8" t="s">
        <v>299</v>
      </c>
      <c r="C1305" s="8" t="s">
        <v>300</v>
      </c>
      <c r="D1305" s="8" t="s">
        <v>2969</v>
      </c>
      <c r="E1305" s="8" t="s">
        <v>41</v>
      </c>
      <c r="F1305" s="8" t="s">
        <v>5906</v>
      </c>
      <c r="G1305" s="8" t="s">
        <v>1585</v>
      </c>
      <c r="H1305" s="8">
        <v>1</v>
      </c>
      <c r="I1305" s="8">
        <v>1</v>
      </c>
      <c r="J1305" s="8" t="s">
        <v>7402</v>
      </c>
      <c r="K1305" s="8" t="s">
        <v>305</v>
      </c>
      <c r="L1305" s="9">
        <v>46319</v>
      </c>
      <c r="M1305" s="8" t="s">
        <v>5864</v>
      </c>
      <c r="N1305" s="8" t="s">
        <v>5883</v>
      </c>
    </row>
    <row r="1306" spans="1:14" ht="54" customHeight="1">
      <c r="A1306" s="4" t="s">
        <v>7403</v>
      </c>
      <c r="B1306" s="4" t="s">
        <v>299</v>
      </c>
      <c r="C1306" s="4" t="s">
        <v>300</v>
      </c>
      <c r="D1306" s="4" t="s">
        <v>2969</v>
      </c>
      <c r="E1306" s="4" t="s">
        <v>41</v>
      </c>
      <c r="F1306" s="4" t="s">
        <v>5909</v>
      </c>
      <c r="G1306" s="4" t="s">
        <v>1585</v>
      </c>
      <c r="H1306" s="4">
        <v>1</v>
      </c>
      <c r="I1306" s="4">
        <v>1</v>
      </c>
      <c r="J1306" s="4" t="s">
        <v>7404</v>
      </c>
      <c r="K1306" s="4" t="s">
        <v>305</v>
      </c>
      <c r="L1306" s="6">
        <v>46319</v>
      </c>
      <c r="M1306" s="4" t="s">
        <v>5864</v>
      </c>
      <c r="N1306" s="4" t="s">
        <v>5883</v>
      </c>
    </row>
    <row r="1307" spans="1:14" ht="68" customHeight="1">
      <c r="A1307" s="8" t="s">
        <v>7405</v>
      </c>
      <c r="B1307" s="8" t="s">
        <v>308</v>
      </c>
      <c r="C1307" s="8" t="s">
        <v>309</v>
      </c>
      <c r="D1307" s="8" t="s">
        <v>5861</v>
      </c>
      <c r="E1307" s="8" t="s">
        <v>41</v>
      </c>
      <c r="F1307" s="8" t="s">
        <v>5862</v>
      </c>
      <c r="G1307" s="8" t="s">
        <v>1593</v>
      </c>
      <c r="H1307" s="8">
        <v>1</v>
      </c>
      <c r="I1307" s="8">
        <v>1</v>
      </c>
      <c r="J1307" s="8" t="s">
        <v>7406</v>
      </c>
      <c r="K1307" s="8" t="s">
        <v>315</v>
      </c>
      <c r="L1307" s="9">
        <v>46319</v>
      </c>
      <c r="M1307" s="8" t="s">
        <v>5864</v>
      </c>
      <c r="N1307" s="8" t="s">
        <v>5865</v>
      </c>
    </row>
    <row r="1308" spans="1:14" ht="40" customHeight="1">
      <c r="A1308" s="4" t="s">
        <v>7407</v>
      </c>
      <c r="B1308" s="4" t="s">
        <v>308</v>
      </c>
      <c r="C1308" s="4" t="s">
        <v>309</v>
      </c>
      <c r="D1308" s="4" t="s">
        <v>5867</v>
      </c>
      <c r="E1308" s="4" t="s">
        <v>41</v>
      </c>
      <c r="F1308" s="4" t="s">
        <v>5868</v>
      </c>
      <c r="G1308" s="4" t="s">
        <v>1593</v>
      </c>
      <c r="H1308" s="4">
        <v>1</v>
      </c>
      <c r="I1308" s="4">
        <v>1</v>
      </c>
      <c r="J1308" s="4" t="s">
        <v>7408</v>
      </c>
      <c r="K1308" s="4" t="s">
        <v>315</v>
      </c>
      <c r="L1308" s="6">
        <v>46319</v>
      </c>
      <c r="M1308" s="4" t="s">
        <v>5864</v>
      </c>
      <c r="N1308" s="4" t="s">
        <v>5870</v>
      </c>
    </row>
    <row r="1309" spans="1:14" ht="40" customHeight="1">
      <c r="A1309" s="8" t="s">
        <v>7409</v>
      </c>
      <c r="B1309" s="8" t="s">
        <v>308</v>
      </c>
      <c r="C1309" s="8" t="s">
        <v>309</v>
      </c>
      <c r="D1309" s="8" t="s">
        <v>5867</v>
      </c>
      <c r="E1309" s="8" t="s">
        <v>41</v>
      </c>
      <c r="F1309" s="8" t="s">
        <v>5872</v>
      </c>
      <c r="G1309" s="8" t="s">
        <v>1593</v>
      </c>
      <c r="H1309" s="8">
        <v>1</v>
      </c>
      <c r="I1309" s="8">
        <v>1</v>
      </c>
      <c r="J1309" s="8" t="s">
        <v>7410</v>
      </c>
      <c r="K1309" s="8" t="s">
        <v>315</v>
      </c>
      <c r="L1309" s="9">
        <v>46319</v>
      </c>
      <c r="M1309" s="8" t="s">
        <v>5864</v>
      </c>
      <c r="N1309" s="8" t="s">
        <v>5870</v>
      </c>
    </row>
    <row r="1310" spans="1:14" ht="40" customHeight="1">
      <c r="A1310" s="4" t="s">
        <v>7411</v>
      </c>
      <c r="B1310" s="4" t="s">
        <v>308</v>
      </c>
      <c r="C1310" s="4" t="s">
        <v>309</v>
      </c>
      <c r="D1310" s="4" t="s">
        <v>5867</v>
      </c>
      <c r="E1310" s="4" t="s">
        <v>41</v>
      </c>
      <c r="F1310" s="4" t="s">
        <v>5875</v>
      </c>
      <c r="G1310" s="4" t="s">
        <v>1593</v>
      </c>
      <c r="H1310" s="4">
        <v>1</v>
      </c>
      <c r="I1310" s="4">
        <v>1</v>
      </c>
      <c r="J1310" s="4" t="s">
        <v>7412</v>
      </c>
      <c r="K1310" s="4" t="s">
        <v>315</v>
      </c>
      <c r="L1310" s="6">
        <v>46319</v>
      </c>
      <c r="M1310" s="4" t="s">
        <v>5864</v>
      </c>
      <c r="N1310" s="4" t="s">
        <v>5870</v>
      </c>
    </row>
    <row r="1311" spans="1:14" ht="54" customHeight="1">
      <c r="A1311" s="8" t="s">
        <v>7413</v>
      </c>
      <c r="B1311" s="8" t="s">
        <v>308</v>
      </c>
      <c r="C1311" s="8" t="s">
        <v>309</v>
      </c>
      <c r="D1311" s="8" t="s">
        <v>5867</v>
      </c>
      <c r="E1311" s="8" t="s">
        <v>41</v>
      </c>
      <c r="F1311" s="8" t="s">
        <v>6118</v>
      </c>
      <c r="G1311" s="8" t="s">
        <v>1593</v>
      </c>
      <c r="H1311" s="8">
        <v>1</v>
      </c>
      <c r="I1311" s="8">
        <v>1</v>
      </c>
      <c r="J1311" s="8" t="s">
        <v>7414</v>
      </c>
      <c r="K1311" s="8" t="s">
        <v>315</v>
      </c>
      <c r="L1311" s="9">
        <v>46319</v>
      </c>
      <c r="M1311" s="8" t="s">
        <v>5864</v>
      </c>
      <c r="N1311" s="8" t="s">
        <v>5870</v>
      </c>
    </row>
    <row r="1312" spans="1:14" ht="40" customHeight="1">
      <c r="A1312" s="4" t="s">
        <v>7415</v>
      </c>
      <c r="B1312" s="4" t="s">
        <v>308</v>
      </c>
      <c r="C1312" s="4" t="s">
        <v>309</v>
      </c>
      <c r="D1312" s="4" t="s">
        <v>637</v>
      </c>
      <c r="E1312" s="4" t="s">
        <v>41</v>
      </c>
      <c r="F1312" s="4" t="s">
        <v>904</v>
      </c>
      <c r="G1312" s="4" t="s">
        <v>1593</v>
      </c>
      <c r="H1312" s="4">
        <v>1</v>
      </c>
      <c r="I1312" s="4">
        <v>1</v>
      </c>
      <c r="J1312" s="4" t="s">
        <v>1591</v>
      </c>
      <c r="K1312" s="4" t="s">
        <v>315</v>
      </c>
      <c r="L1312" s="6">
        <v>46319</v>
      </c>
      <c r="M1312" s="4" t="s">
        <v>5864</v>
      </c>
      <c r="N1312" s="4" t="s">
        <v>5870</v>
      </c>
    </row>
    <row r="1313" spans="1:14" ht="40" customHeight="1">
      <c r="A1313" s="8" t="s">
        <v>5303</v>
      </c>
      <c r="B1313" s="8" t="s">
        <v>308</v>
      </c>
      <c r="C1313" s="8" t="s">
        <v>309</v>
      </c>
      <c r="D1313" s="8" t="s">
        <v>7</v>
      </c>
      <c r="E1313" s="8" t="s">
        <v>41</v>
      </c>
      <c r="F1313" s="8" t="s">
        <v>6212</v>
      </c>
      <c r="G1313" s="8" t="s">
        <v>1593</v>
      </c>
      <c r="H1313" s="8">
        <v>1</v>
      </c>
      <c r="I1313" s="8">
        <v>1</v>
      </c>
      <c r="J1313" s="8" t="s">
        <v>5304</v>
      </c>
      <c r="K1313" s="8" t="s">
        <v>315</v>
      </c>
      <c r="L1313" s="9">
        <v>46319</v>
      </c>
      <c r="M1313" s="8" t="s">
        <v>5864</v>
      </c>
      <c r="N1313" s="8" t="s">
        <v>5870</v>
      </c>
    </row>
    <row r="1314" spans="1:14" ht="40" customHeight="1">
      <c r="A1314" s="4" t="s">
        <v>5305</v>
      </c>
      <c r="B1314" s="4" t="s">
        <v>308</v>
      </c>
      <c r="C1314" s="4" t="s">
        <v>309</v>
      </c>
      <c r="D1314" s="4" t="s">
        <v>7</v>
      </c>
      <c r="E1314" s="4" t="s">
        <v>41</v>
      </c>
      <c r="F1314" s="4" t="s">
        <v>6213</v>
      </c>
      <c r="G1314" s="4" t="s">
        <v>1593</v>
      </c>
      <c r="H1314" s="4">
        <v>1</v>
      </c>
      <c r="I1314" s="4">
        <v>1</v>
      </c>
      <c r="J1314" s="4" t="s">
        <v>5306</v>
      </c>
      <c r="K1314" s="4" t="s">
        <v>315</v>
      </c>
      <c r="L1314" s="6">
        <v>46319</v>
      </c>
      <c r="M1314" s="4" t="s">
        <v>5864</v>
      </c>
      <c r="N1314" s="4" t="s">
        <v>5870</v>
      </c>
    </row>
    <row r="1315" spans="1:14" ht="40" customHeight="1">
      <c r="A1315" s="8" t="s">
        <v>5307</v>
      </c>
      <c r="B1315" s="8" t="s">
        <v>308</v>
      </c>
      <c r="C1315" s="8" t="s">
        <v>309</v>
      </c>
      <c r="D1315" s="8" t="s">
        <v>7</v>
      </c>
      <c r="E1315" s="8" t="s">
        <v>41</v>
      </c>
      <c r="F1315" s="8" t="s">
        <v>6214</v>
      </c>
      <c r="G1315" s="8" t="s">
        <v>1593</v>
      </c>
      <c r="H1315" s="8">
        <v>1</v>
      </c>
      <c r="I1315" s="8">
        <v>1</v>
      </c>
      <c r="J1315" s="8" t="s">
        <v>5308</v>
      </c>
      <c r="K1315" s="8" t="s">
        <v>315</v>
      </c>
      <c r="L1315" s="9">
        <v>46319</v>
      </c>
      <c r="M1315" s="8" t="s">
        <v>5864</v>
      </c>
      <c r="N1315" s="8" t="s">
        <v>5870</v>
      </c>
    </row>
    <row r="1316" spans="1:14" ht="40" customHeight="1">
      <c r="A1316" s="4" t="s">
        <v>4308</v>
      </c>
      <c r="B1316" s="4" t="s">
        <v>308</v>
      </c>
      <c r="C1316" s="4" t="s">
        <v>309</v>
      </c>
      <c r="D1316" s="4" t="s">
        <v>5879</v>
      </c>
      <c r="E1316" s="4" t="s">
        <v>41</v>
      </c>
      <c r="F1316" s="4" t="s">
        <v>3463</v>
      </c>
      <c r="G1316" s="4" t="s">
        <v>1593</v>
      </c>
      <c r="H1316" s="4">
        <v>1</v>
      </c>
      <c r="I1316" s="4">
        <v>1</v>
      </c>
      <c r="J1316" s="4" t="s">
        <v>4309</v>
      </c>
      <c r="K1316" s="4" t="s">
        <v>315</v>
      </c>
      <c r="L1316" s="6">
        <v>46319</v>
      </c>
      <c r="M1316" s="4" t="s">
        <v>5864</v>
      </c>
      <c r="N1316" s="4" t="s">
        <v>5870</v>
      </c>
    </row>
    <row r="1317" spans="1:14" ht="40" customHeight="1">
      <c r="A1317" s="8" t="s">
        <v>4310</v>
      </c>
      <c r="B1317" s="8" t="s">
        <v>308</v>
      </c>
      <c r="C1317" s="8" t="s">
        <v>309</v>
      </c>
      <c r="D1317" s="8" t="s">
        <v>5879</v>
      </c>
      <c r="E1317" s="8" t="s">
        <v>41</v>
      </c>
      <c r="F1317" s="8" t="s">
        <v>3485</v>
      </c>
      <c r="G1317" s="8" t="s">
        <v>1593</v>
      </c>
      <c r="H1317" s="8">
        <v>1</v>
      </c>
      <c r="I1317" s="8">
        <v>1</v>
      </c>
      <c r="J1317" s="8" t="s">
        <v>4311</v>
      </c>
      <c r="K1317" s="8" t="s">
        <v>315</v>
      </c>
      <c r="L1317" s="9">
        <v>46319</v>
      </c>
      <c r="M1317" s="8" t="s">
        <v>5864</v>
      </c>
      <c r="N1317" s="8" t="s">
        <v>5870</v>
      </c>
    </row>
    <row r="1318" spans="1:14" ht="40" customHeight="1">
      <c r="A1318" s="4" t="s">
        <v>4312</v>
      </c>
      <c r="B1318" s="4" t="s">
        <v>308</v>
      </c>
      <c r="C1318" s="4" t="s">
        <v>309</v>
      </c>
      <c r="D1318" s="4" t="s">
        <v>5879</v>
      </c>
      <c r="E1318" s="4" t="s">
        <v>41</v>
      </c>
      <c r="F1318" s="4" t="s">
        <v>3655</v>
      </c>
      <c r="G1318" s="4" t="s">
        <v>1593</v>
      </c>
      <c r="H1318" s="4">
        <v>1</v>
      </c>
      <c r="I1318" s="4">
        <v>1</v>
      </c>
      <c r="J1318" s="4" t="s">
        <v>4313</v>
      </c>
      <c r="K1318" s="4" t="s">
        <v>315</v>
      </c>
      <c r="L1318" s="6">
        <v>46319</v>
      </c>
      <c r="M1318" s="4" t="s">
        <v>5864</v>
      </c>
      <c r="N1318" s="4" t="s">
        <v>5870</v>
      </c>
    </row>
    <row r="1319" spans="1:14" ht="40" customHeight="1">
      <c r="A1319" s="8" t="s">
        <v>4314</v>
      </c>
      <c r="B1319" s="8" t="s">
        <v>308</v>
      </c>
      <c r="C1319" s="8" t="s">
        <v>309</v>
      </c>
      <c r="D1319" s="8" t="s">
        <v>5879</v>
      </c>
      <c r="E1319" s="8" t="s">
        <v>41</v>
      </c>
      <c r="F1319" s="8" t="s">
        <v>3494</v>
      </c>
      <c r="G1319" s="8" t="s">
        <v>1593</v>
      </c>
      <c r="H1319" s="8">
        <v>1</v>
      </c>
      <c r="I1319" s="8">
        <v>1</v>
      </c>
      <c r="J1319" s="8" t="s">
        <v>4315</v>
      </c>
      <c r="K1319" s="8" t="s">
        <v>315</v>
      </c>
      <c r="L1319" s="9">
        <v>46319</v>
      </c>
      <c r="M1319" s="8" t="s">
        <v>5864</v>
      </c>
      <c r="N1319" s="8" t="s">
        <v>5870</v>
      </c>
    </row>
    <row r="1320" spans="1:14" ht="40" customHeight="1">
      <c r="A1320" s="4" t="s">
        <v>4316</v>
      </c>
      <c r="B1320" s="4" t="s">
        <v>308</v>
      </c>
      <c r="C1320" s="4" t="s">
        <v>309</v>
      </c>
      <c r="D1320" s="4" t="s">
        <v>5879</v>
      </c>
      <c r="E1320" s="4" t="s">
        <v>41</v>
      </c>
      <c r="F1320" s="4" t="s">
        <v>3497</v>
      </c>
      <c r="G1320" s="4" t="s">
        <v>1593</v>
      </c>
      <c r="H1320" s="4">
        <v>1</v>
      </c>
      <c r="I1320" s="4">
        <v>1</v>
      </c>
      <c r="J1320" s="4" t="s">
        <v>4317</v>
      </c>
      <c r="K1320" s="4" t="s">
        <v>315</v>
      </c>
      <c r="L1320" s="6">
        <v>46319</v>
      </c>
      <c r="M1320" s="4" t="s">
        <v>5864</v>
      </c>
      <c r="N1320" s="4" t="s">
        <v>5870</v>
      </c>
    </row>
    <row r="1321" spans="1:14" ht="40" customHeight="1">
      <c r="A1321" s="8" t="s">
        <v>4318</v>
      </c>
      <c r="B1321" s="8" t="s">
        <v>308</v>
      </c>
      <c r="C1321" s="8" t="s">
        <v>309</v>
      </c>
      <c r="D1321" s="8" t="s">
        <v>5879</v>
      </c>
      <c r="E1321" s="8" t="s">
        <v>41</v>
      </c>
      <c r="F1321" s="8" t="s">
        <v>3500</v>
      </c>
      <c r="G1321" s="8" t="s">
        <v>1593</v>
      </c>
      <c r="H1321" s="8">
        <v>1</v>
      </c>
      <c r="I1321" s="8">
        <v>1</v>
      </c>
      <c r="J1321" s="8" t="s">
        <v>4319</v>
      </c>
      <c r="K1321" s="8" t="s">
        <v>315</v>
      </c>
      <c r="L1321" s="9">
        <v>46319</v>
      </c>
      <c r="M1321" s="8" t="s">
        <v>5864</v>
      </c>
      <c r="N1321" s="8" t="s">
        <v>5870</v>
      </c>
    </row>
    <row r="1322" spans="1:14" ht="68" customHeight="1">
      <c r="A1322" s="4" t="s">
        <v>7416</v>
      </c>
      <c r="B1322" s="4" t="s">
        <v>308</v>
      </c>
      <c r="C1322" s="4" t="s">
        <v>309</v>
      </c>
      <c r="D1322" s="4" t="s">
        <v>2969</v>
      </c>
      <c r="E1322" s="4" t="s">
        <v>41</v>
      </c>
      <c r="F1322" s="4" t="s">
        <v>5881</v>
      </c>
      <c r="G1322" s="4" t="s">
        <v>1593</v>
      </c>
      <c r="H1322" s="4">
        <v>1</v>
      </c>
      <c r="I1322" s="4">
        <v>1</v>
      </c>
      <c r="J1322" s="4" t="s">
        <v>7417</v>
      </c>
      <c r="K1322" s="4" t="s">
        <v>315</v>
      </c>
      <c r="L1322" s="6">
        <v>46319</v>
      </c>
      <c r="M1322" s="4" t="s">
        <v>5864</v>
      </c>
      <c r="N1322" s="4" t="s">
        <v>5883</v>
      </c>
    </row>
    <row r="1323" spans="1:14" ht="82" customHeight="1">
      <c r="A1323" s="8" t="s">
        <v>7418</v>
      </c>
      <c r="B1323" s="8" t="s">
        <v>308</v>
      </c>
      <c r="C1323" s="8" t="s">
        <v>309</v>
      </c>
      <c r="D1323" s="8" t="s">
        <v>2969</v>
      </c>
      <c r="E1323" s="8" t="s">
        <v>41</v>
      </c>
      <c r="F1323" s="8" t="s">
        <v>5885</v>
      </c>
      <c r="G1323" s="8" t="s">
        <v>1593</v>
      </c>
      <c r="H1323" s="8">
        <v>1</v>
      </c>
      <c r="I1323" s="8">
        <v>1</v>
      </c>
      <c r="J1323" s="8" t="s">
        <v>7419</v>
      </c>
      <c r="K1323" s="8" t="s">
        <v>315</v>
      </c>
      <c r="L1323" s="9">
        <v>46319</v>
      </c>
      <c r="M1323" s="8" t="s">
        <v>5864</v>
      </c>
      <c r="N1323" s="8" t="s">
        <v>5883</v>
      </c>
    </row>
    <row r="1324" spans="1:14" ht="54" customHeight="1">
      <c r="A1324" s="4" t="s">
        <v>7420</v>
      </c>
      <c r="B1324" s="4" t="s">
        <v>308</v>
      </c>
      <c r="C1324" s="4" t="s">
        <v>309</v>
      </c>
      <c r="D1324" s="4" t="s">
        <v>2969</v>
      </c>
      <c r="E1324" s="4" t="s">
        <v>41</v>
      </c>
      <c r="F1324" s="4" t="s">
        <v>5888</v>
      </c>
      <c r="G1324" s="4" t="s">
        <v>1593</v>
      </c>
      <c r="H1324" s="4">
        <v>1</v>
      </c>
      <c r="I1324" s="4">
        <v>1</v>
      </c>
      <c r="J1324" s="4" t="s">
        <v>7421</v>
      </c>
      <c r="K1324" s="4" t="s">
        <v>315</v>
      </c>
      <c r="L1324" s="6">
        <v>46319</v>
      </c>
      <c r="M1324" s="4" t="s">
        <v>5864</v>
      </c>
      <c r="N1324" s="4" t="s">
        <v>5883</v>
      </c>
    </row>
    <row r="1325" spans="1:14" ht="68" customHeight="1">
      <c r="A1325" s="8" t="s">
        <v>7422</v>
      </c>
      <c r="B1325" s="8" t="s">
        <v>308</v>
      </c>
      <c r="C1325" s="8" t="s">
        <v>309</v>
      </c>
      <c r="D1325" s="8" t="s">
        <v>2969</v>
      </c>
      <c r="E1325" s="8" t="s">
        <v>41</v>
      </c>
      <c r="F1325" s="8" t="s">
        <v>5891</v>
      </c>
      <c r="G1325" s="8" t="s">
        <v>1593</v>
      </c>
      <c r="H1325" s="8">
        <v>1</v>
      </c>
      <c r="I1325" s="8">
        <v>1</v>
      </c>
      <c r="J1325" s="8" t="s">
        <v>7423</v>
      </c>
      <c r="K1325" s="8" t="s">
        <v>315</v>
      </c>
      <c r="L1325" s="9">
        <v>46319</v>
      </c>
      <c r="M1325" s="8" t="s">
        <v>5864</v>
      </c>
      <c r="N1325" s="8" t="s">
        <v>5883</v>
      </c>
    </row>
    <row r="1326" spans="1:14" ht="110" customHeight="1">
      <c r="A1326" s="4" t="s">
        <v>7424</v>
      </c>
      <c r="B1326" s="4" t="s">
        <v>308</v>
      </c>
      <c r="C1326" s="4" t="s">
        <v>309</v>
      </c>
      <c r="D1326" s="4" t="s">
        <v>2969</v>
      </c>
      <c r="E1326" s="4" t="s">
        <v>41</v>
      </c>
      <c r="F1326" s="4" t="s">
        <v>5894</v>
      </c>
      <c r="G1326" s="4" t="s">
        <v>1593</v>
      </c>
      <c r="H1326" s="4">
        <v>1</v>
      </c>
      <c r="I1326" s="4">
        <v>1</v>
      </c>
      <c r="J1326" s="4" t="s">
        <v>7425</v>
      </c>
      <c r="K1326" s="4" t="s">
        <v>315</v>
      </c>
      <c r="L1326" s="6">
        <v>46319</v>
      </c>
      <c r="M1326" s="4" t="s">
        <v>5864</v>
      </c>
      <c r="N1326" s="4" t="s">
        <v>5883</v>
      </c>
    </row>
    <row r="1327" spans="1:14" ht="68" customHeight="1">
      <c r="A1327" s="8" t="s">
        <v>7426</v>
      </c>
      <c r="B1327" s="8" t="s">
        <v>308</v>
      </c>
      <c r="C1327" s="8" t="s">
        <v>309</v>
      </c>
      <c r="D1327" s="8" t="s">
        <v>2969</v>
      </c>
      <c r="E1327" s="8" t="s">
        <v>41</v>
      </c>
      <c r="F1327" s="8" t="s">
        <v>5897</v>
      </c>
      <c r="G1327" s="8" t="s">
        <v>1593</v>
      </c>
      <c r="H1327" s="8">
        <v>1</v>
      </c>
      <c r="I1327" s="8">
        <v>1</v>
      </c>
      <c r="J1327" s="8" t="s">
        <v>7427</v>
      </c>
      <c r="K1327" s="8" t="s">
        <v>315</v>
      </c>
      <c r="L1327" s="9">
        <v>46319</v>
      </c>
      <c r="M1327" s="8" t="s">
        <v>5864</v>
      </c>
      <c r="N1327" s="8" t="s">
        <v>5883</v>
      </c>
    </row>
    <row r="1328" spans="1:14" ht="54" customHeight="1">
      <c r="A1328" s="4" t="s">
        <v>7428</v>
      </c>
      <c r="B1328" s="4" t="s">
        <v>308</v>
      </c>
      <c r="C1328" s="4" t="s">
        <v>309</v>
      </c>
      <c r="D1328" s="4" t="s">
        <v>2969</v>
      </c>
      <c r="E1328" s="4" t="s">
        <v>41</v>
      </c>
      <c r="F1328" s="4" t="s">
        <v>5900</v>
      </c>
      <c r="G1328" s="4" t="s">
        <v>1593</v>
      </c>
      <c r="H1328" s="4">
        <v>1</v>
      </c>
      <c r="I1328" s="4">
        <v>1</v>
      </c>
      <c r="J1328" s="4" t="s">
        <v>7429</v>
      </c>
      <c r="K1328" s="4" t="s">
        <v>315</v>
      </c>
      <c r="L1328" s="6">
        <v>46319</v>
      </c>
      <c r="M1328" s="4" t="s">
        <v>5864</v>
      </c>
      <c r="N1328" s="4" t="s">
        <v>5883</v>
      </c>
    </row>
    <row r="1329" spans="1:14" ht="82" customHeight="1">
      <c r="A1329" s="8" t="s">
        <v>7430</v>
      </c>
      <c r="B1329" s="8" t="s">
        <v>308</v>
      </c>
      <c r="C1329" s="8" t="s">
        <v>309</v>
      </c>
      <c r="D1329" s="8" t="s">
        <v>2969</v>
      </c>
      <c r="E1329" s="8" t="s">
        <v>41</v>
      </c>
      <c r="F1329" s="8" t="s">
        <v>5903</v>
      </c>
      <c r="G1329" s="8" t="s">
        <v>1593</v>
      </c>
      <c r="H1329" s="8">
        <v>1</v>
      </c>
      <c r="I1329" s="8">
        <v>1</v>
      </c>
      <c r="J1329" s="8" t="s">
        <v>7431</v>
      </c>
      <c r="K1329" s="8" t="s">
        <v>315</v>
      </c>
      <c r="L1329" s="9">
        <v>46319</v>
      </c>
      <c r="M1329" s="8" t="s">
        <v>5864</v>
      </c>
      <c r="N1329" s="8" t="s">
        <v>5883</v>
      </c>
    </row>
    <row r="1330" spans="1:14" ht="152" customHeight="1">
      <c r="A1330" s="4" t="s">
        <v>7432</v>
      </c>
      <c r="B1330" s="4" t="s">
        <v>318</v>
      </c>
      <c r="C1330" s="4" t="s">
        <v>319</v>
      </c>
      <c r="D1330" s="4" t="s">
        <v>5861</v>
      </c>
      <c r="E1330" s="4" t="s">
        <v>41</v>
      </c>
      <c r="F1330" s="4" t="s">
        <v>5862</v>
      </c>
      <c r="G1330" s="4" t="s">
        <v>1598</v>
      </c>
      <c r="H1330" s="4">
        <v>1</v>
      </c>
      <c r="I1330" s="4">
        <v>1</v>
      </c>
      <c r="J1330" s="4" t="s">
        <v>7433</v>
      </c>
      <c r="K1330" s="4" t="s">
        <v>323</v>
      </c>
      <c r="L1330" s="6">
        <v>46319</v>
      </c>
      <c r="M1330" s="4" t="s">
        <v>5864</v>
      </c>
      <c r="N1330" s="4" t="s">
        <v>5865</v>
      </c>
    </row>
    <row r="1331" spans="1:14" ht="54" customHeight="1">
      <c r="A1331" s="8" t="s">
        <v>7434</v>
      </c>
      <c r="B1331" s="8" t="s">
        <v>318</v>
      </c>
      <c r="C1331" s="8" t="s">
        <v>319</v>
      </c>
      <c r="D1331" s="8" t="s">
        <v>5867</v>
      </c>
      <c r="E1331" s="8" t="s">
        <v>7435</v>
      </c>
      <c r="F1331" s="8" t="s">
        <v>6248</v>
      </c>
      <c r="G1331" s="8" t="s">
        <v>1598</v>
      </c>
      <c r="H1331" s="8">
        <v>1</v>
      </c>
      <c r="I1331" s="8">
        <v>1</v>
      </c>
      <c r="J1331" s="8" t="s">
        <v>7435</v>
      </c>
      <c r="K1331" s="8" t="s">
        <v>323</v>
      </c>
      <c r="L1331" s="9">
        <v>46319</v>
      </c>
      <c r="M1331" s="8" t="s">
        <v>5864</v>
      </c>
      <c r="N1331" s="8" t="s">
        <v>5865</v>
      </c>
    </row>
    <row r="1332" spans="1:14" ht="54" customHeight="1">
      <c r="A1332" s="4" t="s">
        <v>7436</v>
      </c>
      <c r="B1332" s="4" t="s">
        <v>318</v>
      </c>
      <c r="C1332" s="4" t="s">
        <v>319</v>
      </c>
      <c r="D1332" s="4" t="s">
        <v>5867</v>
      </c>
      <c r="E1332" s="4" t="s">
        <v>7435</v>
      </c>
      <c r="F1332" s="4" t="s">
        <v>6142</v>
      </c>
      <c r="G1332" s="4" t="s">
        <v>1598</v>
      </c>
      <c r="H1332" s="4">
        <v>1</v>
      </c>
      <c r="I1332" s="4">
        <v>1</v>
      </c>
      <c r="J1332" s="4" t="s">
        <v>7437</v>
      </c>
      <c r="K1332" s="4" t="s">
        <v>323</v>
      </c>
      <c r="L1332" s="6">
        <v>46319</v>
      </c>
      <c r="M1332" s="4" t="s">
        <v>5864</v>
      </c>
      <c r="N1332" s="4" t="s">
        <v>5865</v>
      </c>
    </row>
    <row r="1333" spans="1:14" ht="54" customHeight="1">
      <c r="A1333" s="8" t="s">
        <v>7438</v>
      </c>
      <c r="B1333" s="8" t="s">
        <v>318</v>
      </c>
      <c r="C1333" s="8" t="s">
        <v>319</v>
      </c>
      <c r="D1333" s="8" t="s">
        <v>5867</v>
      </c>
      <c r="E1333" s="8" t="s">
        <v>7439</v>
      </c>
      <c r="F1333" s="8" t="s">
        <v>6391</v>
      </c>
      <c r="G1333" s="8" t="s">
        <v>1598</v>
      </c>
      <c r="H1333" s="8">
        <v>1</v>
      </c>
      <c r="I1333" s="8">
        <v>1</v>
      </c>
      <c r="J1333" s="8" t="s">
        <v>7439</v>
      </c>
      <c r="K1333" s="8" t="s">
        <v>323</v>
      </c>
      <c r="L1333" s="9">
        <v>46319</v>
      </c>
      <c r="M1333" s="8" t="s">
        <v>5864</v>
      </c>
      <c r="N1333" s="8" t="s">
        <v>5865</v>
      </c>
    </row>
    <row r="1334" spans="1:14" ht="54" customHeight="1">
      <c r="A1334" s="4" t="s">
        <v>7440</v>
      </c>
      <c r="B1334" s="4" t="s">
        <v>318</v>
      </c>
      <c r="C1334" s="4" t="s">
        <v>319</v>
      </c>
      <c r="D1334" s="4" t="s">
        <v>5867</v>
      </c>
      <c r="E1334" s="4" t="s">
        <v>7439</v>
      </c>
      <c r="F1334" s="4" t="s">
        <v>6765</v>
      </c>
      <c r="G1334" s="4" t="s">
        <v>1598</v>
      </c>
      <c r="H1334" s="4">
        <v>1</v>
      </c>
      <c r="I1334" s="4">
        <v>1</v>
      </c>
      <c r="J1334" s="4" t="s">
        <v>7441</v>
      </c>
      <c r="K1334" s="4" t="s">
        <v>323</v>
      </c>
      <c r="L1334" s="6">
        <v>46319</v>
      </c>
      <c r="M1334" s="4" t="s">
        <v>5864</v>
      </c>
      <c r="N1334" s="4" t="s">
        <v>5865</v>
      </c>
    </row>
    <row r="1335" spans="1:14" ht="54" customHeight="1">
      <c r="A1335" s="8" t="s">
        <v>7442</v>
      </c>
      <c r="B1335" s="8" t="s">
        <v>318</v>
      </c>
      <c r="C1335" s="8" t="s">
        <v>319</v>
      </c>
      <c r="D1335" s="8" t="s">
        <v>5867</v>
      </c>
      <c r="E1335" s="8" t="s">
        <v>7443</v>
      </c>
      <c r="F1335" s="8" t="s">
        <v>6394</v>
      </c>
      <c r="G1335" s="8" t="s">
        <v>1598</v>
      </c>
      <c r="H1335" s="8">
        <v>1</v>
      </c>
      <c r="I1335" s="8">
        <v>1</v>
      </c>
      <c r="J1335" s="8" t="s">
        <v>7443</v>
      </c>
      <c r="K1335" s="8" t="s">
        <v>323</v>
      </c>
      <c r="L1335" s="9">
        <v>46319</v>
      </c>
      <c r="M1335" s="8" t="s">
        <v>5864</v>
      </c>
      <c r="N1335" s="8" t="s">
        <v>5865</v>
      </c>
    </row>
    <row r="1336" spans="1:14" ht="54" customHeight="1">
      <c r="A1336" s="4" t="s">
        <v>7444</v>
      </c>
      <c r="B1336" s="4" t="s">
        <v>318</v>
      </c>
      <c r="C1336" s="4" t="s">
        <v>319</v>
      </c>
      <c r="D1336" s="4" t="s">
        <v>5867</v>
      </c>
      <c r="E1336" s="4" t="s">
        <v>7443</v>
      </c>
      <c r="F1336" s="4" t="s">
        <v>6774</v>
      </c>
      <c r="G1336" s="4" t="s">
        <v>1598</v>
      </c>
      <c r="H1336" s="4">
        <v>1</v>
      </c>
      <c r="I1336" s="4">
        <v>1</v>
      </c>
      <c r="J1336" s="4" t="s">
        <v>7445</v>
      </c>
      <c r="K1336" s="4" t="s">
        <v>323</v>
      </c>
      <c r="L1336" s="6">
        <v>46319</v>
      </c>
      <c r="M1336" s="4" t="s">
        <v>5864</v>
      </c>
      <c r="N1336" s="4" t="s">
        <v>5865</v>
      </c>
    </row>
    <row r="1337" spans="1:14" ht="54" customHeight="1">
      <c r="A1337" s="8" t="s">
        <v>7446</v>
      </c>
      <c r="B1337" s="8" t="s">
        <v>318</v>
      </c>
      <c r="C1337" s="8" t="s">
        <v>319</v>
      </c>
      <c r="D1337" s="8" t="s">
        <v>5867</v>
      </c>
      <c r="E1337" s="8" t="s">
        <v>7447</v>
      </c>
      <c r="F1337" s="8" t="s">
        <v>7381</v>
      </c>
      <c r="G1337" s="8" t="s">
        <v>1598</v>
      </c>
      <c r="H1337" s="8">
        <v>1</v>
      </c>
      <c r="I1337" s="8">
        <v>1</v>
      </c>
      <c r="J1337" s="8" t="s">
        <v>7447</v>
      </c>
      <c r="K1337" s="8" t="s">
        <v>323</v>
      </c>
      <c r="L1337" s="9">
        <v>46319</v>
      </c>
      <c r="M1337" s="8" t="s">
        <v>5864</v>
      </c>
      <c r="N1337" s="8" t="s">
        <v>5865</v>
      </c>
    </row>
    <row r="1338" spans="1:14" ht="54" customHeight="1">
      <c r="A1338" s="4" t="s">
        <v>7448</v>
      </c>
      <c r="B1338" s="4" t="s">
        <v>318</v>
      </c>
      <c r="C1338" s="4" t="s">
        <v>319</v>
      </c>
      <c r="D1338" s="4" t="s">
        <v>5867</v>
      </c>
      <c r="E1338" s="4" t="s">
        <v>7447</v>
      </c>
      <c r="F1338" s="4" t="s">
        <v>7449</v>
      </c>
      <c r="G1338" s="4" t="s">
        <v>1598</v>
      </c>
      <c r="H1338" s="4">
        <v>1</v>
      </c>
      <c r="I1338" s="4">
        <v>1</v>
      </c>
      <c r="J1338" s="4" t="s">
        <v>7450</v>
      </c>
      <c r="K1338" s="4" t="s">
        <v>323</v>
      </c>
      <c r="L1338" s="6">
        <v>46319</v>
      </c>
      <c r="M1338" s="4" t="s">
        <v>5864</v>
      </c>
      <c r="N1338" s="4" t="s">
        <v>5865</v>
      </c>
    </row>
    <row r="1339" spans="1:14" ht="54" customHeight="1">
      <c r="A1339" s="8" t="s">
        <v>7451</v>
      </c>
      <c r="B1339" s="8" t="s">
        <v>318</v>
      </c>
      <c r="C1339" s="8" t="s">
        <v>319</v>
      </c>
      <c r="D1339" s="8" t="s">
        <v>5867</v>
      </c>
      <c r="E1339" s="8" t="s">
        <v>7452</v>
      </c>
      <c r="F1339" s="8" t="s">
        <v>7453</v>
      </c>
      <c r="G1339" s="8" t="s">
        <v>1598</v>
      </c>
      <c r="H1339" s="8">
        <v>1</v>
      </c>
      <c r="I1339" s="8">
        <v>1</v>
      </c>
      <c r="J1339" s="8" t="s">
        <v>7452</v>
      </c>
      <c r="K1339" s="8" t="s">
        <v>323</v>
      </c>
      <c r="L1339" s="9">
        <v>46319</v>
      </c>
      <c r="M1339" s="8" t="s">
        <v>5864</v>
      </c>
      <c r="N1339" s="8" t="s">
        <v>5865</v>
      </c>
    </row>
    <row r="1340" spans="1:14" ht="54" customHeight="1">
      <c r="A1340" s="4" t="s">
        <v>7454</v>
      </c>
      <c r="B1340" s="4" t="s">
        <v>318</v>
      </c>
      <c r="C1340" s="4" t="s">
        <v>319</v>
      </c>
      <c r="D1340" s="4" t="s">
        <v>5867</v>
      </c>
      <c r="E1340" s="4" t="s">
        <v>7452</v>
      </c>
      <c r="F1340" s="4" t="s">
        <v>7455</v>
      </c>
      <c r="G1340" s="4" t="s">
        <v>1598</v>
      </c>
      <c r="H1340" s="4">
        <v>1</v>
      </c>
      <c r="I1340" s="4">
        <v>1</v>
      </c>
      <c r="J1340" s="4" t="s">
        <v>7456</v>
      </c>
      <c r="K1340" s="4" t="s">
        <v>323</v>
      </c>
      <c r="L1340" s="6">
        <v>46319</v>
      </c>
      <c r="M1340" s="4" t="s">
        <v>5864</v>
      </c>
      <c r="N1340" s="4" t="s">
        <v>5865</v>
      </c>
    </row>
    <row r="1341" spans="1:14" ht="54" customHeight="1">
      <c r="A1341" s="8" t="s">
        <v>7457</v>
      </c>
      <c r="B1341" s="8" t="s">
        <v>318</v>
      </c>
      <c r="C1341" s="8" t="s">
        <v>319</v>
      </c>
      <c r="D1341" s="8" t="s">
        <v>5867</v>
      </c>
      <c r="E1341" s="8" t="s">
        <v>7458</v>
      </c>
      <c r="F1341" s="8" t="s">
        <v>7459</v>
      </c>
      <c r="G1341" s="8" t="s">
        <v>1598</v>
      </c>
      <c r="H1341" s="8">
        <v>1</v>
      </c>
      <c r="I1341" s="8">
        <v>1</v>
      </c>
      <c r="J1341" s="8" t="s">
        <v>7458</v>
      </c>
      <c r="K1341" s="8" t="s">
        <v>323</v>
      </c>
      <c r="L1341" s="9">
        <v>46319</v>
      </c>
      <c r="M1341" s="8" t="s">
        <v>5864</v>
      </c>
      <c r="N1341" s="8" t="s">
        <v>5865</v>
      </c>
    </row>
    <row r="1342" spans="1:14" ht="54" customHeight="1">
      <c r="A1342" s="4" t="s">
        <v>7460</v>
      </c>
      <c r="B1342" s="4" t="s">
        <v>318</v>
      </c>
      <c r="C1342" s="4" t="s">
        <v>319</v>
      </c>
      <c r="D1342" s="4" t="s">
        <v>5867</v>
      </c>
      <c r="E1342" s="4" t="s">
        <v>7458</v>
      </c>
      <c r="F1342" s="4" t="s">
        <v>7461</v>
      </c>
      <c r="G1342" s="4" t="s">
        <v>1598</v>
      </c>
      <c r="H1342" s="4">
        <v>1</v>
      </c>
      <c r="I1342" s="4">
        <v>1</v>
      </c>
      <c r="J1342" s="4" t="s">
        <v>7462</v>
      </c>
      <c r="K1342" s="4" t="s">
        <v>323</v>
      </c>
      <c r="L1342" s="6">
        <v>46319</v>
      </c>
      <c r="M1342" s="4" t="s">
        <v>5864</v>
      </c>
      <c r="N1342" s="4" t="s">
        <v>5865</v>
      </c>
    </row>
    <row r="1343" spans="1:14" ht="54" customHeight="1">
      <c r="A1343" s="8" t="s">
        <v>7463</v>
      </c>
      <c r="B1343" s="8" t="s">
        <v>318</v>
      </c>
      <c r="C1343" s="8" t="s">
        <v>319</v>
      </c>
      <c r="D1343" s="8" t="s">
        <v>5867</v>
      </c>
      <c r="E1343" s="8" t="s">
        <v>7464</v>
      </c>
      <c r="F1343" s="8" t="s">
        <v>7465</v>
      </c>
      <c r="G1343" s="8" t="s">
        <v>1598</v>
      </c>
      <c r="H1343" s="8">
        <v>1</v>
      </c>
      <c r="I1343" s="8">
        <v>1</v>
      </c>
      <c r="J1343" s="8" t="s">
        <v>7464</v>
      </c>
      <c r="K1343" s="8" t="s">
        <v>323</v>
      </c>
      <c r="L1343" s="9">
        <v>46319</v>
      </c>
      <c r="M1343" s="8" t="s">
        <v>5864</v>
      </c>
      <c r="N1343" s="8" t="s">
        <v>5865</v>
      </c>
    </row>
    <row r="1344" spans="1:14" ht="54" customHeight="1">
      <c r="A1344" s="4" t="s">
        <v>7466</v>
      </c>
      <c r="B1344" s="4" t="s">
        <v>318</v>
      </c>
      <c r="C1344" s="4" t="s">
        <v>319</v>
      </c>
      <c r="D1344" s="4" t="s">
        <v>5867</v>
      </c>
      <c r="E1344" s="4" t="s">
        <v>7464</v>
      </c>
      <c r="F1344" s="4" t="s">
        <v>7467</v>
      </c>
      <c r="G1344" s="4" t="s">
        <v>1598</v>
      </c>
      <c r="H1344" s="4">
        <v>1</v>
      </c>
      <c r="I1344" s="4">
        <v>1</v>
      </c>
      <c r="J1344" s="4" t="s">
        <v>7468</v>
      </c>
      <c r="K1344" s="4" t="s">
        <v>323</v>
      </c>
      <c r="L1344" s="6">
        <v>46319</v>
      </c>
      <c r="M1344" s="4" t="s">
        <v>5864</v>
      </c>
      <c r="N1344" s="4" t="s">
        <v>5865</v>
      </c>
    </row>
    <row r="1345" spans="1:14" ht="54" customHeight="1">
      <c r="A1345" s="8" t="s">
        <v>7469</v>
      </c>
      <c r="B1345" s="8" t="s">
        <v>318</v>
      </c>
      <c r="C1345" s="8" t="s">
        <v>319</v>
      </c>
      <c r="D1345" s="8" t="s">
        <v>5867</v>
      </c>
      <c r="E1345" s="8" t="s">
        <v>7470</v>
      </c>
      <c r="F1345" s="8" t="s">
        <v>7471</v>
      </c>
      <c r="G1345" s="8" t="s">
        <v>1598</v>
      </c>
      <c r="H1345" s="8">
        <v>1</v>
      </c>
      <c r="I1345" s="8">
        <v>1</v>
      </c>
      <c r="J1345" s="8" t="s">
        <v>7470</v>
      </c>
      <c r="K1345" s="8" t="s">
        <v>323</v>
      </c>
      <c r="L1345" s="9">
        <v>46319</v>
      </c>
      <c r="M1345" s="8" t="s">
        <v>5864</v>
      </c>
      <c r="N1345" s="8" t="s">
        <v>5865</v>
      </c>
    </row>
    <row r="1346" spans="1:14" ht="54" customHeight="1">
      <c r="A1346" s="4" t="s">
        <v>7472</v>
      </c>
      <c r="B1346" s="4" t="s">
        <v>318</v>
      </c>
      <c r="C1346" s="4" t="s">
        <v>319</v>
      </c>
      <c r="D1346" s="4" t="s">
        <v>5867</v>
      </c>
      <c r="E1346" s="4" t="s">
        <v>7470</v>
      </c>
      <c r="F1346" s="4" t="s">
        <v>7473</v>
      </c>
      <c r="G1346" s="4" t="s">
        <v>1598</v>
      </c>
      <c r="H1346" s="4">
        <v>1</v>
      </c>
      <c r="I1346" s="4">
        <v>1</v>
      </c>
      <c r="J1346" s="4" t="s">
        <v>7474</v>
      </c>
      <c r="K1346" s="4" t="s">
        <v>323</v>
      </c>
      <c r="L1346" s="6">
        <v>46319</v>
      </c>
      <c r="M1346" s="4" t="s">
        <v>5864</v>
      </c>
      <c r="N1346" s="4" t="s">
        <v>5865</v>
      </c>
    </row>
    <row r="1347" spans="1:14" ht="54" customHeight="1">
      <c r="A1347" s="8" t="s">
        <v>7475</v>
      </c>
      <c r="B1347" s="8" t="s">
        <v>318</v>
      </c>
      <c r="C1347" s="8" t="s">
        <v>319</v>
      </c>
      <c r="D1347" s="8" t="s">
        <v>5867</v>
      </c>
      <c r="E1347" s="8" t="s">
        <v>7470</v>
      </c>
      <c r="F1347" s="8" t="s">
        <v>7476</v>
      </c>
      <c r="G1347" s="8" t="s">
        <v>1598</v>
      </c>
      <c r="H1347" s="8">
        <v>1</v>
      </c>
      <c r="I1347" s="8">
        <v>1</v>
      </c>
      <c r="J1347" s="8" t="s">
        <v>7477</v>
      </c>
      <c r="K1347" s="8" t="s">
        <v>323</v>
      </c>
      <c r="L1347" s="9">
        <v>46319</v>
      </c>
      <c r="M1347" s="8" t="s">
        <v>5864</v>
      </c>
      <c r="N1347" s="8" t="s">
        <v>6087</v>
      </c>
    </row>
    <row r="1348" spans="1:14" ht="54" customHeight="1">
      <c r="A1348" s="4" t="s">
        <v>7478</v>
      </c>
      <c r="B1348" s="4" t="s">
        <v>318</v>
      </c>
      <c r="C1348" s="4" t="s">
        <v>319</v>
      </c>
      <c r="D1348" s="4" t="s">
        <v>5867</v>
      </c>
      <c r="E1348" s="4" t="s">
        <v>7470</v>
      </c>
      <c r="F1348" s="4" t="s">
        <v>7479</v>
      </c>
      <c r="G1348" s="4" t="s">
        <v>1598</v>
      </c>
      <c r="H1348" s="4">
        <v>1</v>
      </c>
      <c r="I1348" s="4">
        <v>1</v>
      </c>
      <c r="J1348" s="4" t="s">
        <v>7480</v>
      </c>
      <c r="K1348" s="4" t="s">
        <v>323</v>
      </c>
      <c r="L1348" s="6">
        <v>46319</v>
      </c>
      <c r="M1348" s="4" t="s">
        <v>5864</v>
      </c>
      <c r="N1348" s="4" t="s">
        <v>5870</v>
      </c>
    </row>
    <row r="1349" spans="1:14" ht="54" customHeight="1">
      <c r="A1349" s="8" t="s">
        <v>7481</v>
      </c>
      <c r="B1349" s="8" t="s">
        <v>318</v>
      </c>
      <c r="C1349" s="8" t="s">
        <v>319</v>
      </c>
      <c r="D1349" s="8" t="s">
        <v>5867</v>
      </c>
      <c r="E1349" s="8" t="s">
        <v>7470</v>
      </c>
      <c r="F1349" s="8" t="s">
        <v>7482</v>
      </c>
      <c r="G1349" s="8" t="s">
        <v>1598</v>
      </c>
      <c r="H1349" s="8">
        <v>1</v>
      </c>
      <c r="I1349" s="8">
        <v>1</v>
      </c>
      <c r="J1349" s="8" t="s">
        <v>7483</v>
      </c>
      <c r="K1349" s="8" t="s">
        <v>323</v>
      </c>
      <c r="L1349" s="9">
        <v>46319</v>
      </c>
      <c r="M1349" s="8" t="s">
        <v>5864</v>
      </c>
      <c r="N1349" s="8" t="s">
        <v>5870</v>
      </c>
    </row>
    <row r="1350" spans="1:14" ht="54" customHeight="1">
      <c r="A1350" s="4" t="s">
        <v>7484</v>
      </c>
      <c r="B1350" s="4" t="s">
        <v>318</v>
      </c>
      <c r="C1350" s="4" t="s">
        <v>319</v>
      </c>
      <c r="D1350" s="4" t="s">
        <v>5867</v>
      </c>
      <c r="E1350" s="4" t="s">
        <v>7485</v>
      </c>
      <c r="F1350" s="4" t="s">
        <v>7486</v>
      </c>
      <c r="G1350" s="4" t="s">
        <v>1598</v>
      </c>
      <c r="H1350" s="4">
        <v>1</v>
      </c>
      <c r="I1350" s="4">
        <v>1</v>
      </c>
      <c r="J1350" s="4" t="s">
        <v>7485</v>
      </c>
      <c r="K1350" s="4" t="s">
        <v>323</v>
      </c>
      <c r="L1350" s="6">
        <v>46319</v>
      </c>
      <c r="M1350" s="4" t="s">
        <v>5864</v>
      </c>
      <c r="N1350" s="4" t="s">
        <v>5865</v>
      </c>
    </row>
    <row r="1351" spans="1:14" ht="54" customHeight="1">
      <c r="A1351" s="8" t="s">
        <v>7487</v>
      </c>
      <c r="B1351" s="8" t="s">
        <v>318</v>
      </c>
      <c r="C1351" s="8" t="s">
        <v>319</v>
      </c>
      <c r="D1351" s="8" t="s">
        <v>5867</v>
      </c>
      <c r="E1351" s="8" t="s">
        <v>7485</v>
      </c>
      <c r="F1351" s="8" t="s">
        <v>7488</v>
      </c>
      <c r="G1351" s="8" t="s">
        <v>1598</v>
      </c>
      <c r="H1351" s="8">
        <v>1</v>
      </c>
      <c r="I1351" s="8">
        <v>1</v>
      </c>
      <c r="J1351" s="8" t="s">
        <v>7489</v>
      </c>
      <c r="K1351" s="8" t="s">
        <v>323</v>
      </c>
      <c r="L1351" s="9">
        <v>46319</v>
      </c>
      <c r="M1351" s="8" t="s">
        <v>5864</v>
      </c>
      <c r="N1351" s="8" t="s">
        <v>5870</v>
      </c>
    </row>
    <row r="1352" spans="1:14" ht="54" customHeight="1">
      <c r="A1352" s="4" t="s">
        <v>7490</v>
      </c>
      <c r="B1352" s="4" t="s">
        <v>318</v>
      </c>
      <c r="C1352" s="4" t="s">
        <v>319</v>
      </c>
      <c r="D1352" s="4" t="s">
        <v>5867</v>
      </c>
      <c r="E1352" s="4" t="s">
        <v>7485</v>
      </c>
      <c r="F1352" s="4" t="s">
        <v>7491</v>
      </c>
      <c r="G1352" s="4" t="s">
        <v>1598</v>
      </c>
      <c r="H1352" s="4">
        <v>1</v>
      </c>
      <c r="I1352" s="4">
        <v>1</v>
      </c>
      <c r="J1352" s="4" t="s">
        <v>7492</v>
      </c>
      <c r="K1352" s="4" t="s">
        <v>323</v>
      </c>
      <c r="L1352" s="6">
        <v>46319</v>
      </c>
      <c r="M1352" s="4" t="s">
        <v>5864</v>
      </c>
      <c r="N1352" s="4" t="s">
        <v>5870</v>
      </c>
    </row>
    <row r="1353" spans="1:14" ht="54" customHeight="1">
      <c r="A1353" s="8" t="s">
        <v>7493</v>
      </c>
      <c r="B1353" s="8" t="s">
        <v>318</v>
      </c>
      <c r="C1353" s="8" t="s">
        <v>319</v>
      </c>
      <c r="D1353" s="8" t="s">
        <v>5867</v>
      </c>
      <c r="E1353" s="8" t="s">
        <v>7494</v>
      </c>
      <c r="F1353" s="8" t="s">
        <v>7495</v>
      </c>
      <c r="G1353" s="8" t="s">
        <v>1598</v>
      </c>
      <c r="H1353" s="8">
        <v>1</v>
      </c>
      <c r="I1353" s="8">
        <v>1</v>
      </c>
      <c r="J1353" s="8" t="s">
        <v>7494</v>
      </c>
      <c r="K1353" s="8" t="s">
        <v>323</v>
      </c>
      <c r="L1353" s="9">
        <v>46319</v>
      </c>
      <c r="M1353" s="8" t="s">
        <v>5864</v>
      </c>
      <c r="N1353" s="8" t="s">
        <v>5865</v>
      </c>
    </row>
    <row r="1354" spans="1:14" ht="54" customHeight="1">
      <c r="A1354" s="4" t="s">
        <v>7496</v>
      </c>
      <c r="B1354" s="4" t="s">
        <v>318</v>
      </c>
      <c r="C1354" s="4" t="s">
        <v>319</v>
      </c>
      <c r="D1354" s="4" t="s">
        <v>5867</v>
      </c>
      <c r="E1354" s="4" t="s">
        <v>7494</v>
      </c>
      <c r="F1354" s="4" t="s">
        <v>7497</v>
      </c>
      <c r="G1354" s="4" t="s">
        <v>1598</v>
      </c>
      <c r="H1354" s="4">
        <v>1</v>
      </c>
      <c r="I1354" s="4">
        <v>1</v>
      </c>
      <c r="J1354" s="4" t="s">
        <v>7498</v>
      </c>
      <c r="K1354" s="4" t="s">
        <v>323</v>
      </c>
      <c r="L1354" s="6">
        <v>46319</v>
      </c>
      <c r="M1354" s="4" t="s">
        <v>5864</v>
      </c>
      <c r="N1354" s="4" t="s">
        <v>5870</v>
      </c>
    </row>
    <row r="1355" spans="1:14" ht="54" customHeight="1">
      <c r="A1355" s="8" t="s">
        <v>7499</v>
      </c>
      <c r="B1355" s="8" t="s">
        <v>318</v>
      </c>
      <c r="C1355" s="8" t="s">
        <v>319</v>
      </c>
      <c r="D1355" s="8" t="s">
        <v>5867</v>
      </c>
      <c r="E1355" s="8" t="s">
        <v>7494</v>
      </c>
      <c r="F1355" s="8" t="s">
        <v>7500</v>
      </c>
      <c r="G1355" s="8" t="s">
        <v>1598</v>
      </c>
      <c r="H1355" s="8">
        <v>1</v>
      </c>
      <c r="I1355" s="8">
        <v>1</v>
      </c>
      <c r="J1355" s="8" t="s">
        <v>7501</v>
      </c>
      <c r="K1355" s="8" t="s">
        <v>323</v>
      </c>
      <c r="L1355" s="9">
        <v>46319</v>
      </c>
      <c r="M1355" s="8" t="s">
        <v>5864</v>
      </c>
      <c r="N1355" s="8" t="s">
        <v>5870</v>
      </c>
    </row>
    <row r="1356" spans="1:14" ht="54" customHeight="1">
      <c r="A1356" s="4" t="s">
        <v>7502</v>
      </c>
      <c r="B1356" s="4" t="s">
        <v>318</v>
      </c>
      <c r="C1356" s="4" t="s">
        <v>319</v>
      </c>
      <c r="D1356" s="4" t="s">
        <v>5867</v>
      </c>
      <c r="E1356" s="4" t="s">
        <v>7494</v>
      </c>
      <c r="F1356" s="4" t="s">
        <v>7503</v>
      </c>
      <c r="G1356" s="4" t="s">
        <v>1598</v>
      </c>
      <c r="H1356" s="4">
        <v>1</v>
      </c>
      <c r="I1356" s="4">
        <v>1</v>
      </c>
      <c r="J1356" s="4" t="s">
        <v>7504</v>
      </c>
      <c r="K1356" s="4" t="s">
        <v>323</v>
      </c>
      <c r="L1356" s="6">
        <v>46319</v>
      </c>
      <c r="M1356" s="4" t="s">
        <v>5864</v>
      </c>
      <c r="N1356" s="4" t="s">
        <v>5870</v>
      </c>
    </row>
    <row r="1357" spans="1:14" ht="54" customHeight="1">
      <c r="A1357" s="8" t="s">
        <v>7505</v>
      </c>
      <c r="B1357" s="8" t="s">
        <v>318</v>
      </c>
      <c r="C1357" s="8" t="s">
        <v>319</v>
      </c>
      <c r="D1357" s="8" t="s">
        <v>5867</v>
      </c>
      <c r="E1357" s="8" t="s">
        <v>7494</v>
      </c>
      <c r="F1357" s="8" t="s">
        <v>7506</v>
      </c>
      <c r="G1357" s="8" t="s">
        <v>1598</v>
      </c>
      <c r="H1357" s="8">
        <v>1</v>
      </c>
      <c r="I1357" s="8">
        <v>1</v>
      </c>
      <c r="J1357" s="8" t="s">
        <v>7507</v>
      </c>
      <c r="K1357" s="8" t="s">
        <v>323</v>
      </c>
      <c r="L1357" s="9">
        <v>46319</v>
      </c>
      <c r="M1357" s="8" t="s">
        <v>5864</v>
      </c>
      <c r="N1357" s="8" t="s">
        <v>5870</v>
      </c>
    </row>
    <row r="1358" spans="1:14" ht="54" customHeight="1">
      <c r="A1358" s="4" t="s">
        <v>7508</v>
      </c>
      <c r="B1358" s="4" t="s">
        <v>318</v>
      </c>
      <c r="C1358" s="4" t="s">
        <v>319</v>
      </c>
      <c r="D1358" s="4" t="s">
        <v>637</v>
      </c>
      <c r="E1358" s="4" t="s">
        <v>41</v>
      </c>
      <c r="F1358" s="4" t="s">
        <v>904</v>
      </c>
      <c r="G1358" s="4" t="s">
        <v>1598</v>
      </c>
      <c r="H1358" s="4">
        <v>1</v>
      </c>
      <c r="I1358" s="4">
        <v>1</v>
      </c>
      <c r="J1358" s="4" t="s">
        <v>1596</v>
      </c>
      <c r="K1358" s="4" t="s">
        <v>323</v>
      </c>
      <c r="L1358" s="6">
        <v>46319</v>
      </c>
      <c r="M1358" s="4" t="s">
        <v>5864</v>
      </c>
      <c r="N1358" s="4" t="s">
        <v>6087</v>
      </c>
    </row>
    <row r="1359" spans="1:14" ht="54" customHeight="1">
      <c r="A1359" s="8" t="s">
        <v>7509</v>
      </c>
      <c r="B1359" s="8" t="s">
        <v>318</v>
      </c>
      <c r="C1359" s="8" t="s">
        <v>319</v>
      </c>
      <c r="D1359" s="8" t="s">
        <v>637</v>
      </c>
      <c r="E1359" s="8" t="s">
        <v>41</v>
      </c>
      <c r="F1359" s="8" t="s">
        <v>1087</v>
      </c>
      <c r="G1359" s="8" t="s">
        <v>1598</v>
      </c>
      <c r="H1359" s="8">
        <v>1</v>
      </c>
      <c r="I1359" s="8">
        <v>1</v>
      </c>
      <c r="J1359" s="8" t="s">
        <v>1600</v>
      </c>
      <c r="K1359" s="8" t="s">
        <v>323</v>
      </c>
      <c r="L1359" s="9">
        <v>46319</v>
      </c>
      <c r="M1359" s="8" t="s">
        <v>5864</v>
      </c>
      <c r="N1359" s="8" t="s">
        <v>5865</v>
      </c>
    </row>
    <row r="1360" spans="1:14" ht="54" customHeight="1">
      <c r="A1360" s="4" t="s">
        <v>7510</v>
      </c>
      <c r="B1360" s="4" t="s">
        <v>318</v>
      </c>
      <c r="C1360" s="4" t="s">
        <v>319</v>
      </c>
      <c r="D1360" s="4" t="s">
        <v>637</v>
      </c>
      <c r="E1360" s="4" t="s">
        <v>41</v>
      </c>
      <c r="F1360" s="4" t="s">
        <v>1091</v>
      </c>
      <c r="G1360" s="4" t="s">
        <v>1598</v>
      </c>
      <c r="H1360" s="4">
        <v>1</v>
      </c>
      <c r="I1360" s="4">
        <v>1</v>
      </c>
      <c r="J1360" s="4" t="s">
        <v>1603</v>
      </c>
      <c r="K1360" s="4" t="s">
        <v>323</v>
      </c>
      <c r="L1360" s="6">
        <v>46319</v>
      </c>
      <c r="M1360" s="4" t="s">
        <v>5864</v>
      </c>
      <c r="N1360" s="4" t="s">
        <v>5865</v>
      </c>
    </row>
    <row r="1361" spans="1:14" ht="54" customHeight="1">
      <c r="A1361" s="8" t="s">
        <v>7511</v>
      </c>
      <c r="B1361" s="8" t="s">
        <v>318</v>
      </c>
      <c r="C1361" s="8" t="s">
        <v>319</v>
      </c>
      <c r="D1361" s="8" t="s">
        <v>637</v>
      </c>
      <c r="E1361" s="8" t="s">
        <v>41</v>
      </c>
      <c r="F1361" s="8" t="s">
        <v>1221</v>
      </c>
      <c r="G1361" s="8" t="s">
        <v>1598</v>
      </c>
      <c r="H1361" s="8">
        <v>1</v>
      </c>
      <c r="I1361" s="8">
        <v>1</v>
      </c>
      <c r="J1361" s="8" t="s">
        <v>1606</v>
      </c>
      <c r="K1361" s="8" t="s">
        <v>323</v>
      </c>
      <c r="L1361" s="9">
        <v>46319</v>
      </c>
      <c r="M1361" s="8" t="s">
        <v>5864</v>
      </c>
      <c r="N1361" s="8" t="s">
        <v>5870</v>
      </c>
    </row>
    <row r="1362" spans="1:14" ht="54" customHeight="1">
      <c r="A1362" s="4" t="s">
        <v>7512</v>
      </c>
      <c r="B1362" s="4" t="s">
        <v>318</v>
      </c>
      <c r="C1362" s="4" t="s">
        <v>319</v>
      </c>
      <c r="D1362" s="4" t="s">
        <v>637</v>
      </c>
      <c r="E1362" s="4" t="s">
        <v>41</v>
      </c>
      <c r="F1362" s="4" t="s">
        <v>1225</v>
      </c>
      <c r="G1362" s="4" t="s">
        <v>1598</v>
      </c>
      <c r="H1362" s="4">
        <v>1</v>
      </c>
      <c r="I1362" s="4">
        <v>1</v>
      </c>
      <c r="J1362" s="4" t="s">
        <v>1609</v>
      </c>
      <c r="K1362" s="4" t="s">
        <v>323</v>
      </c>
      <c r="L1362" s="6">
        <v>46319</v>
      </c>
      <c r="M1362" s="4" t="s">
        <v>5864</v>
      </c>
      <c r="N1362" s="4" t="s">
        <v>5870</v>
      </c>
    </row>
    <row r="1363" spans="1:14" ht="54" customHeight="1">
      <c r="A1363" s="8" t="s">
        <v>7513</v>
      </c>
      <c r="B1363" s="8" t="s">
        <v>318</v>
      </c>
      <c r="C1363" s="8" t="s">
        <v>319</v>
      </c>
      <c r="D1363" s="8" t="s">
        <v>637</v>
      </c>
      <c r="E1363" s="8" t="s">
        <v>41</v>
      </c>
      <c r="F1363" s="8" t="s">
        <v>1283</v>
      </c>
      <c r="G1363" s="8" t="s">
        <v>1598</v>
      </c>
      <c r="H1363" s="8">
        <v>1</v>
      </c>
      <c r="I1363" s="8">
        <v>1</v>
      </c>
      <c r="J1363" s="8" t="s">
        <v>1612</v>
      </c>
      <c r="K1363" s="8" t="s">
        <v>323</v>
      </c>
      <c r="L1363" s="9">
        <v>46319</v>
      </c>
      <c r="M1363" s="8" t="s">
        <v>5864</v>
      </c>
      <c r="N1363" s="8" t="s">
        <v>6087</v>
      </c>
    </row>
    <row r="1364" spans="1:14" ht="54" customHeight="1">
      <c r="A1364" s="4" t="s">
        <v>7514</v>
      </c>
      <c r="B1364" s="4" t="s">
        <v>318</v>
      </c>
      <c r="C1364" s="4" t="s">
        <v>319</v>
      </c>
      <c r="D1364" s="4" t="s">
        <v>637</v>
      </c>
      <c r="E1364" s="4" t="s">
        <v>41</v>
      </c>
      <c r="F1364" s="4" t="s">
        <v>1103</v>
      </c>
      <c r="G1364" s="4" t="s">
        <v>1598</v>
      </c>
      <c r="H1364" s="4">
        <v>1</v>
      </c>
      <c r="I1364" s="4">
        <v>1</v>
      </c>
      <c r="J1364" s="4" t="s">
        <v>1615</v>
      </c>
      <c r="K1364" s="4" t="s">
        <v>323</v>
      </c>
      <c r="L1364" s="6">
        <v>46319</v>
      </c>
      <c r="M1364" s="4" t="s">
        <v>5864</v>
      </c>
      <c r="N1364" s="4" t="s">
        <v>5865</v>
      </c>
    </row>
    <row r="1365" spans="1:14" ht="54" customHeight="1">
      <c r="A1365" s="8" t="s">
        <v>7515</v>
      </c>
      <c r="B1365" s="8" t="s">
        <v>318</v>
      </c>
      <c r="C1365" s="8" t="s">
        <v>319</v>
      </c>
      <c r="D1365" s="8" t="s">
        <v>637</v>
      </c>
      <c r="E1365" s="8" t="s">
        <v>41</v>
      </c>
      <c r="F1365" s="8" t="s">
        <v>1620</v>
      </c>
      <c r="G1365" s="8" t="s">
        <v>1598</v>
      </c>
      <c r="H1365" s="8">
        <v>1</v>
      </c>
      <c r="I1365" s="8">
        <v>1</v>
      </c>
      <c r="J1365" s="8" t="s">
        <v>1618</v>
      </c>
      <c r="K1365" s="8" t="s">
        <v>323</v>
      </c>
      <c r="L1365" s="9">
        <v>46319</v>
      </c>
      <c r="M1365" s="8" t="s">
        <v>5864</v>
      </c>
      <c r="N1365" s="8" t="s">
        <v>5870</v>
      </c>
    </row>
    <row r="1366" spans="1:14" ht="54" customHeight="1">
      <c r="A1366" s="4" t="s">
        <v>7516</v>
      </c>
      <c r="B1366" s="4" t="s">
        <v>318</v>
      </c>
      <c r="C1366" s="4" t="s">
        <v>319</v>
      </c>
      <c r="D1366" s="4" t="s">
        <v>637</v>
      </c>
      <c r="E1366" s="4" t="s">
        <v>41</v>
      </c>
      <c r="F1366" s="4" t="s">
        <v>1624</v>
      </c>
      <c r="G1366" s="4" t="s">
        <v>1598</v>
      </c>
      <c r="H1366" s="4">
        <v>1</v>
      </c>
      <c r="I1366" s="4">
        <v>1</v>
      </c>
      <c r="J1366" s="4" t="s">
        <v>1622</v>
      </c>
      <c r="K1366" s="4" t="s">
        <v>323</v>
      </c>
      <c r="L1366" s="6">
        <v>46319</v>
      </c>
      <c r="M1366" s="4" t="s">
        <v>5864</v>
      </c>
      <c r="N1366" s="4" t="s">
        <v>5870</v>
      </c>
    </row>
    <row r="1367" spans="1:14" ht="54" customHeight="1">
      <c r="A1367" s="8" t="s">
        <v>7517</v>
      </c>
      <c r="B1367" s="8" t="s">
        <v>318</v>
      </c>
      <c r="C1367" s="8" t="s">
        <v>319</v>
      </c>
      <c r="D1367" s="8" t="s">
        <v>637</v>
      </c>
      <c r="E1367" s="8" t="s">
        <v>41</v>
      </c>
      <c r="F1367" s="8" t="s">
        <v>1628</v>
      </c>
      <c r="G1367" s="8" t="s">
        <v>1598</v>
      </c>
      <c r="H1367" s="8">
        <v>1</v>
      </c>
      <c r="I1367" s="8">
        <v>1</v>
      </c>
      <c r="J1367" s="8" t="s">
        <v>1626</v>
      </c>
      <c r="K1367" s="8" t="s">
        <v>323</v>
      </c>
      <c r="L1367" s="9">
        <v>46319</v>
      </c>
      <c r="M1367" s="8" t="s">
        <v>5864</v>
      </c>
      <c r="N1367" s="8" t="s">
        <v>5870</v>
      </c>
    </row>
    <row r="1368" spans="1:14" ht="54" customHeight="1">
      <c r="A1368" s="4" t="s">
        <v>7518</v>
      </c>
      <c r="B1368" s="4" t="s">
        <v>318</v>
      </c>
      <c r="C1368" s="4" t="s">
        <v>319</v>
      </c>
      <c r="D1368" s="4" t="s">
        <v>637</v>
      </c>
      <c r="E1368" s="4" t="s">
        <v>41</v>
      </c>
      <c r="F1368" s="4" t="s">
        <v>1632</v>
      </c>
      <c r="G1368" s="4" t="s">
        <v>1598</v>
      </c>
      <c r="H1368" s="4">
        <v>1</v>
      </c>
      <c r="I1368" s="4">
        <v>1</v>
      </c>
      <c r="J1368" s="4" t="s">
        <v>1630</v>
      </c>
      <c r="K1368" s="4" t="s">
        <v>323</v>
      </c>
      <c r="L1368" s="6">
        <v>46319</v>
      </c>
      <c r="M1368" s="4" t="s">
        <v>5864</v>
      </c>
      <c r="N1368" s="4" t="s">
        <v>5870</v>
      </c>
    </row>
    <row r="1369" spans="1:14" ht="54" customHeight="1">
      <c r="A1369" s="8" t="s">
        <v>7519</v>
      </c>
      <c r="B1369" s="8" t="s">
        <v>318</v>
      </c>
      <c r="C1369" s="8" t="s">
        <v>319</v>
      </c>
      <c r="D1369" s="8" t="s">
        <v>637</v>
      </c>
      <c r="E1369" s="8" t="s">
        <v>41</v>
      </c>
      <c r="F1369" s="8" t="s">
        <v>1636</v>
      </c>
      <c r="G1369" s="8" t="s">
        <v>1598</v>
      </c>
      <c r="H1369" s="8">
        <v>1</v>
      </c>
      <c r="I1369" s="8">
        <v>1</v>
      </c>
      <c r="J1369" s="8" t="s">
        <v>1634</v>
      </c>
      <c r="K1369" s="8" t="s">
        <v>323</v>
      </c>
      <c r="L1369" s="9">
        <v>46319</v>
      </c>
      <c r="M1369" s="8" t="s">
        <v>5864</v>
      </c>
      <c r="N1369" s="8" t="s">
        <v>5870</v>
      </c>
    </row>
    <row r="1370" spans="1:14" ht="54" customHeight="1">
      <c r="A1370" s="4" t="s">
        <v>7520</v>
      </c>
      <c r="B1370" s="4" t="s">
        <v>318</v>
      </c>
      <c r="C1370" s="4" t="s">
        <v>319</v>
      </c>
      <c r="D1370" s="4" t="s">
        <v>637</v>
      </c>
      <c r="E1370" s="4" t="s">
        <v>41</v>
      </c>
      <c r="F1370" s="4" t="s">
        <v>1640</v>
      </c>
      <c r="G1370" s="4" t="s">
        <v>1598</v>
      </c>
      <c r="H1370" s="4">
        <v>1</v>
      </c>
      <c r="I1370" s="4">
        <v>1</v>
      </c>
      <c r="J1370" s="4" t="s">
        <v>1638</v>
      </c>
      <c r="K1370" s="4" t="s">
        <v>323</v>
      </c>
      <c r="L1370" s="6">
        <v>46319</v>
      </c>
      <c r="M1370" s="4" t="s">
        <v>5864</v>
      </c>
      <c r="N1370" s="4" t="s">
        <v>5870</v>
      </c>
    </row>
    <row r="1371" spans="1:14" ht="54" customHeight="1">
      <c r="A1371" s="8" t="s">
        <v>7521</v>
      </c>
      <c r="B1371" s="8" t="s">
        <v>318</v>
      </c>
      <c r="C1371" s="8" t="s">
        <v>319</v>
      </c>
      <c r="D1371" s="8" t="s">
        <v>637</v>
      </c>
      <c r="E1371" s="8" t="s">
        <v>41</v>
      </c>
      <c r="F1371" s="8" t="s">
        <v>1644</v>
      </c>
      <c r="G1371" s="8" t="s">
        <v>1598</v>
      </c>
      <c r="H1371" s="8">
        <v>1</v>
      </c>
      <c r="I1371" s="8">
        <v>1</v>
      </c>
      <c r="J1371" s="8" t="s">
        <v>1642</v>
      </c>
      <c r="K1371" s="8" t="s">
        <v>323</v>
      </c>
      <c r="L1371" s="9">
        <v>46319</v>
      </c>
      <c r="M1371" s="8" t="s">
        <v>5864</v>
      </c>
      <c r="N1371" s="8" t="s">
        <v>6087</v>
      </c>
    </row>
    <row r="1372" spans="1:14" ht="54" customHeight="1">
      <c r="A1372" s="4" t="s">
        <v>7522</v>
      </c>
      <c r="B1372" s="4" t="s">
        <v>318</v>
      </c>
      <c r="C1372" s="4" t="s">
        <v>319</v>
      </c>
      <c r="D1372" s="4" t="s">
        <v>637</v>
      </c>
      <c r="E1372" s="4" t="s">
        <v>41</v>
      </c>
      <c r="F1372" s="4" t="s">
        <v>1115</v>
      </c>
      <c r="G1372" s="4" t="s">
        <v>1598</v>
      </c>
      <c r="H1372" s="4">
        <v>1</v>
      </c>
      <c r="I1372" s="4">
        <v>1</v>
      </c>
      <c r="J1372" s="4" t="s">
        <v>1646</v>
      </c>
      <c r="K1372" s="4" t="s">
        <v>323</v>
      </c>
      <c r="L1372" s="6">
        <v>46319</v>
      </c>
      <c r="M1372" s="4" t="s">
        <v>5864</v>
      </c>
      <c r="N1372" s="4" t="s">
        <v>5865</v>
      </c>
    </row>
    <row r="1373" spans="1:14" ht="54" customHeight="1">
      <c r="A1373" s="8" t="s">
        <v>7523</v>
      </c>
      <c r="B1373" s="8" t="s">
        <v>318</v>
      </c>
      <c r="C1373" s="8" t="s">
        <v>319</v>
      </c>
      <c r="D1373" s="8" t="s">
        <v>637</v>
      </c>
      <c r="E1373" s="8" t="s">
        <v>41</v>
      </c>
      <c r="F1373" s="8" t="s">
        <v>1119</v>
      </c>
      <c r="G1373" s="8" t="s">
        <v>1598</v>
      </c>
      <c r="H1373" s="8">
        <v>1</v>
      </c>
      <c r="I1373" s="8">
        <v>1</v>
      </c>
      <c r="J1373" s="8" t="s">
        <v>1603</v>
      </c>
      <c r="K1373" s="8" t="s">
        <v>323</v>
      </c>
      <c r="L1373" s="9">
        <v>46319</v>
      </c>
      <c r="M1373" s="8" t="s">
        <v>5864</v>
      </c>
      <c r="N1373" s="8" t="s">
        <v>5865</v>
      </c>
    </row>
    <row r="1374" spans="1:14" ht="54" customHeight="1">
      <c r="A1374" s="4" t="s">
        <v>7524</v>
      </c>
      <c r="B1374" s="4" t="s">
        <v>318</v>
      </c>
      <c r="C1374" s="4" t="s">
        <v>319</v>
      </c>
      <c r="D1374" s="4" t="s">
        <v>637</v>
      </c>
      <c r="E1374" s="4" t="s">
        <v>41</v>
      </c>
      <c r="F1374" s="4" t="s">
        <v>1653</v>
      </c>
      <c r="G1374" s="4" t="s">
        <v>1598</v>
      </c>
      <c r="H1374" s="4">
        <v>1</v>
      </c>
      <c r="I1374" s="4">
        <v>1</v>
      </c>
      <c r="J1374" s="4" t="s">
        <v>1651</v>
      </c>
      <c r="K1374" s="4" t="s">
        <v>323</v>
      </c>
      <c r="L1374" s="6">
        <v>46319</v>
      </c>
      <c r="M1374" s="4" t="s">
        <v>5864</v>
      </c>
      <c r="N1374" s="4" t="s">
        <v>5870</v>
      </c>
    </row>
    <row r="1375" spans="1:14" ht="54" customHeight="1">
      <c r="A1375" s="8" t="s">
        <v>7525</v>
      </c>
      <c r="B1375" s="8" t="s">
        <v>318</v>
      </c>
      <c r="C1375" s="8" t="s">
        <v>319</v>
      </c>
      <c r="D1375" s="8" t="s">
        <v>637</v>
      </c>
      <c r="E1375" s="8" t="s">
        <v>41</v>
      </c>
      <c r="F1375" s="8" t="s">
        <v>1657</v>
      </c>
      <c r="G1375" s="8" t="s">
        <v>1598</v>
      </c>
      <c r="H1375" s="8">
        <v>1</v>
      </c>
      <c r="I1375" s="8">
        <v>1</v>
      </c>
      <c r="J1375" s="8" t="s">
        <v>1655</v>
      </c>
      <c r="K1375" s="8" t="s">
        <v>323</v>
      </c>
      <c r="L1375" s="9">
        <v>46319</v>
      </c>
      <c r="M1375" s="8" t="s">
        <v>5864</v>
      </c>
      <c r="N1375" s="8" t="s">
        <v>5870</v>
      </c>
    </row>
    <row r="1376" spans="1:14" ht="54" customHeight="1">
      <c r="A1376" s="4" t="s">
        <v>7526</v>
      </c>
      <c r="B1376" s="4" t="s">
        <v>318</v>
      </c>
      <c r="C1376" s="4" t="s">
        <v>319</v>
      </c>
      <c r="D1376" s="4" t="s">
        <v>637</v>
      </c>
      <c r="E1376" s="4" t="s">
        <v>41</v>
      </c>
      <c r="F1376" s="4" t="s">
        <v>1661</v>
      </c>
      <c r="G1376" s="4" t="s">
        <v>1598</v>
      </c>
      <c r="H1376" s="4">
        <v>1</v>
      </c>
      <c r="I1376" s="4">
        <v>1</v>
      </c>
      <c r="J1376" s="4" t="s">
        <v>1659</v>
      </c>
      <c r="K1376" s="4" t="s">
        <v>323</v>
      </c>
      <c r="L1376" s="6">
        <v>46319</v>
      </c>
      <c r="M1376" s="4" t="s">
        <v>5864</v>
      </c>
      <c r="N1376" s="4" t="s">
        <v>5870</v>
      </c>
    </row>
    <row r="1377" spans="1:14" ht="54" customHeight="1">
      <c r="A1377" s="8" t="s">
        <v>7527</v>
      </c>
      <c r="B1377" s="8" t="s">
        <v>318</v>
      </c>
      <c r="C1377" s="8" t="s">
        <v>319</v>
      </c>
      <c r="D1377" s="8" t="s">
        <v>637</v>
      </c>
      <c r="E1377" s="8" t="s">
        <v>41</v>
      </c>
      <c r="F1377" s="8" t="s">
        <v>1665</v>
      </c>
      <c r="G1377" s="8" t="s">
        <v>1598</v>
      </c>
      <c r="H1377" s="8">
        <v>1</v>
      </c>
      <c r="I1377" s="8">
        <v>1</v>
      </c>
      <c r="J1377" s="8" t="s">
        <v>1663</v>
      </c>
      <c r="K1377" s="8" t="s">
        <v>323</v>
      </c>
      <c r="L1377" s="9">
        <v>46319</v>
      </c>
      <c r="M1377" s="8" t="s">
        <v>5864</v>
      </c>
      <c r="N1377" s="8" t="s">
        <v>5870</v>
      </c>
    </row>
    <row r="1378" spans="1:14" ht="54" customHeight="1">
      <c r="A1378" s="4" t="s">
        <v>7528</v>
      </c>
      <c r="B1378" s="4" t="s">
        <v>318</v>
      </c>
      <c r="C1378" s="4" t="s">
        <v>319</v>
      </c>
      <c r="D1378" s="4" t="s">
        <v>637</v>
      </c>
      <c r="E1378" s="4" t="s">
        <v>41</v>
      </c>
      <c r="F1378" s="4" t="s">
        <v>1669</v>
      </c>
      <c r="G1378" s="4" t="s">
        <v>1598</v>
      </c>
      <c r="H1378" s="4">
        <v>1</v>
      </c>
      <c r="I1378" s="4">
        <v>1</v>
      </c>
      <c r="J1378" s="4" t="s">
        <v>1667</v>
      </c>
      <c r="K1378" s="4" t="s">
        <v>323</v>
      </c>
      <c r="L1378" s="6">
        <v>46319</v>
      </c>
      <c r="M1378" s="4" t="s">
        <v>5864</v>
      </c>
      <c r="N1378" s="4" t="s">
        <v>5870</v>
      </c>
    </row>
    <row r="1379" spans="1:14" ht="54" customHeight="1">
      <c r="A1379" s="8" t="s">
        <v>7529</v>
      </c>
      <c r="B1379" s="8" t="s">
        <v>318</v>
      </c>
      <c r="C1379" s="8" t="s">
        <v>319</v>
      </c>
      <c r="D1379" s="8" t="s">
        <v>637</v>
      </c>
      <c r="E1379" s="8" t="s">
        <v>41</v>
      </c>
      <c r="F1379" s="8" t="s">
        <v>1127</v>
      </c>
      <c r="G1379" s="8" t="s">
        <v>1598</v>
      </c>
      <c r="H1379" s="8">
        <v>1</v>
      </c>
      <c r="I1379" s="8">
        <v>1</v>
      </c>
      <c r="J1379" s="8" t="s">
        <v>1671</v>
      </c>
      <c r="K1379" s="8" t="s">
        <v>323</v>
      </c>
      <c r="L1379" s="9">
        <v>46319</v>
      </c>
      <c r="M1379" s="8" t="s">
        <v>5864</v>
      </c>
      <c r="N1379" s="8" t="s">
        <v>5865</v>
      </c>
    </row>
    <row r="1380" spans="1:14" ht="54" customHeight="1">
      <c r="A1380" s="4" t="s">
        <v>7530</v>
      </c>
      <c r="B1380" s="4" t="s">
        <v>318</v>
      </c>
      <c r="C1380" s="4" t="s">
        <v>319</v>
      </c>
      <c r="D1380" s="4" t="s">
        <v>637</v>
      </c>
      <c r="E1380" s="4" t="s">
        <v>41</v>
      </c>
      <c r="F1380" s="4" t="s">
        <v>1131</v>
      </c>
      <c r="G1380" s="4" t="s">
        <v>1598</v>
      </c>
      <c r="H1380" s="4">
        <v>1</v>
      </c>
      <c r="I1380" s="4">
        <v>1</v>
      </c>
      <c r="J1380" s="4" t="s">
        <v>1674</v>
      </c>
      <c r="K1380" s="4" t="s">
        <v>323</v>
      </c>
      <c r="L1380" s="6">
        <v>46319</v>
      </c>
      <c r="M1380" s="4" t="s">
        <v>5864</v>
      </c>
      <c r="N1380" s="4" t="s">
        <v>5865</v>
      </c>
    </row>
    <row r="1381" spans="1:14" ht="54" customHeight="1">
      <c r="A1381" s="8" t="s">
        <v>7531</v>
      </c>
      <c r="B1381" s="8" t="s">
        <v>318</v>
      </c>
      <c r="C1381" s="8" t="s">
        <v>319</v>
      </c>
      <c r="D1381" s="8" t="s">
        <v>637</v>
      </c>
      <c r="E1381" s="8" t="s">
        <v>41</v>
      </c>
      <c r="F1381" s="8" t="s">
        <v>1679</v>
      </c>
      <c r="G1381" s="8" t="s">
        <v>1598</v>
      </c>
      <c r="H1381" s="8">
        <v>1</v>
      </c>
      <c r="I1381" s="8">
        <v>1</v>
      </c>
      <c r="J1381" s="8" t="s">
        <v>1677</v>
      </c>
      <c r="K1381" s="8" t="s">
        <v>323</v>
      </c>
      <c r="L1381" s="9">
        <v>46319</v>
      </c>
      <c r="M1381" s="8" t="s">
        <v>5864</v>
      </c>
      <c r="N1381" s="8" t="s">
        <v>5865</v>
      </c>
    </row>
    <row r="1382" spans="1:14" ht="54" customHeight="1">
      <c r="A1382" s="4" t="s">
        <v>7532</v>
      </c>
      <c r="B1382" s="4" t="s">
        <v>318</v>
      </c>
      <c r="C1382" s="4" t="s">
        <v>319</v>
      </c>
      <c r="D1382" s="4" t="s">
        <v>637</v>
      </c>
      <c r="E1382" s="4" t="s">
        <v>41</v>
      </c>
      <c r="F1382" s="4" t="s">
        <v>1683</v>
      </c>
      <c r="G1382" s="4" t="s">
        <v>1598</v>
      </c>
      <c r="H1382" s="4">
        <v>1</v>
      </c>
      <c r="I1382" s="4">
        <v>1</v>
      </c>
      <c r="J1382" s="4" t="s">
        <v>1681</v>
      </c>
      <c r="K1382" s="4" t="s">
        <v>323</v>
      </c>
      <c r="L1382" s="6">
        <v>46319</v>
      </c>
      <c r="M1382" s="4" t="s">
        <v>5864</v>
      </c>
      <c r="N1382" s="4" t="s">
        <v>5865</v>
      </c>
    </row>
    <row r="1383" spans="1:14" ht="54" customHeight="1">
      <c r="A1383" s="8" t="s">
        <v>7533</v>
      </c>
      <c r="B1383" s="8" t="s">
        <v>318</v>
      </c>
      <c r="C1383" s="8" t="s">
        <v>319</v>
      </c>
      <c r="D1383" s="8" t="s">
        <v>637</v>
      </c>
      <c r="E1383" s="8" t="s">
        <v>41</v>
      </c>
      <c r="F1383" s="8" t="s">
        <v>1687</v>
      </c>
      <c r="G1383" s="8" t="s">
        <v>1598</v>
      </c>
      <c r="H1383" s="8">
        <v>1</v>
      </c>
      <c r="I1383" s="8">
        <v>1</v>
      </c>
      <c r="J1383" s="8" t="s">
        <v>1685</v>
      </c>
      <c r="K1383" s="8" t="s">
        <v>323</v>
      </c>
      <c r="L1383" s="9">
        <v>46319</v>
      </c>
      <c r="M1383" s="8" t="s">
        <v>5864</v>
      </c>
      <c r="N1383" s="8" t="s">
        <v>6087</v>
      </c>
    </row>
    <row r="1384" spans="1:14" ht="68" customHeight="1">
      <c r="A1384" s="4" t="s">
        <v>7534</v>
      </c>
      <c r="B1384" s="4" t="s">
        <v>318</v>
      </c>
      <c r="C1384" s="4" t="s">
        <v>319</v>
      </c>
      <c r="D1384" s="4" t="s">
        <v>637</v>
      </c>
      <c r="E1384" s="4" t="s">
        <v>41</v>
      </c>
      <c r="F1384" s="4" t="s">
        <v>1691</v>
      </c>
      <c r="G1384" s="4" t="s">
        <v>1598</v>
      </c>
      <c r="H1384" s="4">
        <v>1</v>
      </c>
      <c r="I1384" s="4">
        <v>1</v>
      </c>
      <c r="J1384" s="4" t="s">
        <v>1689</v>
      </c>
      <c r="K1384" s="4" t="s">
        <v>323</v>
      </c>
      <c r="L1384" s="6">
        <v>46319</v>
      </c>
      <c r="M1384" s="4" t="s">
        <v>5864</v>
      </c>
      <c r="N1384" s="4" t="s">
        <v>5865</v>
      </c>
    </row>
    <row r="1385" spans="1:14" ht="54" customHeight="1">
      <c r="A1385" s="8" t="s">
        <v>7535</v>
      </c>
      <c r="B1385" s="8" t="s">
        <v>318</v>
      </c>
      <c r="C1385" s="8" t="s">
        <v>319</v>
      </c>
      <c r="D1385" s="8" t="s">
        <v>914</v>
      </c>
      <c r="E1385" s="8" t="s">
        <v>41</v>
      </c>
      <c r="F1385" s="8" t="s">
        <v>952</v>
      </c>
      <c r="G1385" s="8" t="s">
        <v>1598</v>
      </c>
      <c r="H1385" s="8">
        <v>1</v>
      </c>
      <c r="I1385" s="8">
        <v>1</v>
      </c>
      <c r="J1385" s="8" t="s">
        <v>1693</v>
      </c>
      <c r="K1385" s="8" t="s">
        <v>323</v>
      </c>
      <c r="L1385" s="9">
        <v>46319</v>
      </c>
      <c r="M1385" s="8" t="s">
        <v>5864</v>
      </c>
      <c r="N1385" s="8" t="s">
        <v>5870</v>
      </c>
    </row>
    <row r="1386" spans="1:14" ht="54" customHeight="1">
      <c r="A1386" s="4" t="s">
        <v>7536</v>
      </c>
      <c r="B1386" s="4" t="s">
        <v>318</v>
      </c>
      <c r="C1386" s="4" t="s">
        <v>319</v>
      </c>
      <c r="D1386" s="4" t="s">
        <v>914</v>
      </c>
      <c r="E1386" s="4" t="s">
        <v>41</v>
      </c>
      <c r="F1386" s="4" t="s">
        <v>956</v>
      </c>
      <c r="G1386" s="4" t="s">
        <v>1598</v>
      </c>
      <c r="H1386" s="4">
        <v>1</v>
      </c>
      <c r="I1386" s="4">
        <v>1</v>
      </c>
      <c r="J1386" s="4" t="s">
        <v>1696</v>
      </c>
      <c r="K1386" s="4" t="s">
        <v>323</v>
      </c>
      <c r="L1386" s="6">
        <v>46319</v>
      </c>
      <c r="M1386" s="4" t="s">
        <v>5864</v>
      </c>
      <c r="N1386" s="4" t="s">
        <v>5870</v>
      </c>
    </row>
    <row r="1387" spans="1:14" ht="54" customHeight="1">
      <c r="A1387" s="8" t="s">
        <v>5309</v>
      </c>
      <c r="B1387" s="8" t="s">
        <v>318</v>
      </c>
      <c r="C1387" s="8" t="s">
        <v>319</v>
      </c>
      <c r="D1387" s="8" t="s">
        <v>7</v>
      </c>
      <c r="E1387" s="8" t="s">
        <v>41</v>
      </c>
      <c r="F1387" s="8" t="s">
        <v>6212</v>
      </c>
      <c r="G1387" s="8" t="s">
        <v>1598</v>
      </c>
      <c r="H1387" s="8">
        <v>1</v>
      </c>
      <c r="I1387" s="8">
        <v>1</v>
      </c>
      <c r="J1387" s="8" t="s">
        <v>5310</v>
      </c>
      <c r="K1387" s="8" t="s">
        <v>323</v>
      </c>
      <c r="L1387" s="9">
        <v>46319</v>
      </c>
      <c r="M1387" s="8" t="s">
        <v>5864</v>
      </c>
      <c r="N1387" s="8" t="s">
        <v>6087</v>
      </c>
    </row>
    <row r="1388" spans="1:14" ht="54" customHeight="1">
      <c r="A1388" s="4" t="s">
        <v>5311</v>
      </c>
      <c r="B1388" s="4" t="s">
        <v>318</v>
      </c>
      <c r="C1388" s="4" t="s">
        <v>319</v>
      </c>
      <c r="D1388" s="4" t="s">
        <v>7</v>
      </c>
      <c r="E1388" s="4" t="s">
        <v>41</v>
      </c>
      <c r="F1388" s="4" t="s">
        <v>6577</v>
      </c>
      <c r="G1388" s="4" t="s">
        <v>1598</v>
      </c>
      <c r="H1388" s="4">
        <v>1</v>
      </c>
      <c r="I1388" s="4">
        <v>1</v>
      </c>
      <c r="J1388" s="4" t="s">
        <v>5312</v>
      </c>
      <c r="K1388" s="4" t="s">
        <v>323</v>
      </c>
      <c r="L1388" s="6">
        <v>46319</v>
      </c>
      <c r="M1388" s="4" t="s">
        <v>5864</v>
      </c>
      <c r="N1388" s="4" t="s">
        <v>5870</v>
      </c>
    </row>
    <row r="1389" spans="1:14" ht="54" customHeight="1">
      <c r="A1389" s="8" t="s">
        <v>5313</v>
      </c>
      <c r="B1389" s="8" t="s">
        <v>318</v>
      </c>
      <c r="C1389" s="8" t="s">
        <v>319</v>
      </c>
      <c r="D1389" s="8" t="s">
        <v>7</v>
      </c>
      <c r="E1389" s="8" t="s">
        <v>41</v>
      </c>
      <c r="F1389" s="8" t="s">
        <v>6578</v>
      </c>
      <c r="G1389" s="8" t="s">
        <v>1598</v>
      </c>
      <c r="H1389" s="8">
        <v>1</v>
      </c>
      <c r="I1389" s="8">
        <v>1</v>
      </c>
      <c r="J1389" s="8" t="s">
        <v>5314</v>
      </c>
      <c r="K1389" s="8" t="s">
        <v>323</v>
      </c>
      <c r="L1389" s="9">
        <v>46319</v>
      </c>
      <c r="M1389" s="8" t="s">
        <v>5864</v>
      </c>
      <c r="N1389" s="8" t="s">
        <v>5870</v>
      </c>
    </row>
    <row r="1390" spans="1:14" ht="54" customHeight="1">
      <c r="A1390" s="4" t="s">
        <v>5315</v>
      </c>
      <c r="B1390" s="4" t="s">
        <v>318</v>
      </c>
      <c r="C1390" s="4" t="s">
        <v>319</v>
      </c>
      <c r="D1390" s="4" t="s">
        <v>7</v>
      </c>
      <c r="E1390" s="4" t="s">
        <v>41</v>
      </c>
      <c r="F1390" s="4" t="s">
        <v>6579</v>
      </c>
      <c r="G1390" s="4" t="s">
        <v>1598</v>
      </c>
      <c r="H1390" s="4">
        <v>1</v>
      </c>
      <c r="I1390" s="4">
        <v>1</v>
      </c>
      <c r="J1390" s="4" t="s">
        <v>5316</v>
      </c>
      <c r="K1390" s="4" t="s">
        <v>323</v>
      </c>
      <c r="L1390" s="6">
        <v>46319</v>
      </c>
      <c r="M1390" s="4" t="s">
        <v>5864</v>
      </c>
      <c r="N1390" s="4" t="s">
        <v>5870</v>
      </c>
    </row>
    <row r="1391" spans="1:14" ht="54" customHeight="1">
      <c r="A1391" s="8" t="s">
        <v>5317</v>
      </c>
      <c r="B1391" s="8" t="s">
        <v>318</v>
      </c>
      <c r="C1391" s="8" t="s">
        <v>319</v>
      </c>
      <c r="D1391" s="8" t="s">
        <v>7</v>
      </c>
      <c r="E1391" s="8" t="s">
        <v>41</v>
      </c>
      <c r="F1391" s="8" t="s">
        <v>6580</v>
      </c>
      <c r="G1391" s="8" t="s">
        <v>1598</v>
      </c>
      <c r="H1391" s="8">
        <v>1</v>
      </c>
      <c r="I1391" s="8">
        <v>1</v>
      </c>
      <c r="J1391" s="8" t="s">
        <v>5318</v>
      </c>
      <c r="K1391" s="8" t="s">
        <v>323</v>
      </c>
      <c r="L1391" s="9">
        <v>46319</v>
      </c>
      <c r="M1391" s="8" t="s">
        <v>5864</v>
      </c>
      <c r="N1391" s="8" t="s">
        <v>5870</v>
      </c>
    </row>
    <row r="1392" spans="1:14" ht="54" customHeight="1">
      <c r="A1392" s="4" t="s">
        <v>5319</v>
      </c>
      <c r="B1392" s="4" t="s">
        <v>318</v>
      </c>
      <c r="C1392" s="4" t="s">
        <v>319</v>
      </c>
      <c r="D1392" s="4" t="s">
        <v>7</v>
      </c>
      <c r="E1392" s="4" t="s">
        <v>41</v>
      </c>
      <c r="F1392" s="4" t="s">
        <v>6581</v>
      </c>
      <c r="G1392" s="4" t="s">
        <v>1598</v>
      </c>
      <c r="H1392" s="4">
        <v>1</v>
      </c>
      <c r="I1392" s="4">
        <v>1</v>
      </c>
      <c r="J1392" s="4" t="s">
        <v>5320</v>
      </c>
      <c r="K1392" s="4" t="s">
        <v>323</v>
      </c>
      <c r="L1392" s="6">
        <v>46319</v>
      </c>
      <c r="M1392" s="4" t="s">
        <v>5864</v>
      </c>
      <c r="N1392" s="4" t="s">
        <v>5870</v>
      </c>
    </row>
    <row r="1393" spans="1:14" ht="54" customHeight="1">
      <c r="A1393" s="8" t="s">
        <v>5321</v>
      </c>
      <c r="B1393" s="8" t="s">
        <v>318</v>
      </c>
      <c r="C1393" s="8" t="s">
        <v>319</v>
      </c>
      <c r="D1393" s="8" t="s">
        <v>7</v>
      </c>
      <c r="E1393" s="8" t="s">
        <v>41</v>
      </c>
      <c r="F1393" s="8" t="s">
        <v>6582</v>
      </c>
      <c r="G1393" s="8" t="s">
        <v>1598</v>
      </c>
      <c r="H1393" s="8">
        <v>1</v>
      </c>
      <c r="I1393" s="8">
        <v>1</v>
      </c>
      <c r="J1393" s="8" t="s">
        <v>5322</v>
      </c>
      <c r="K1393" s="8" t="s">
        <v>323</v>
      </c>
      <c r="L1393" s="9">
        <v>46319</v>
      </c>
      <c r="M1393" s="8" t="s">
        <v>5864</v>
      </c>
      <c r="N1393" s="8" t="s">
        <v>5870</v>
      </c>
    </row>
    <row r="1394" spans="1:14" ht="54" customHeight="1">
      <c r="A1394" s="4" t="s">
        <v>5323</v>
      </c>
      <c r="B1394" s="4" t="s">
        <v>318</v>
      </c>
      <c r="C1394" s="4" t="s">
        <v>319</v>
      </c>
      <c r="D1394" s="4" t="s">
        <v>7</v>
      </c>
      <c r="E1394" s="4" t="s">
        <v>41</v>
      </c>
      <c r="F1394" s="4" t="s">
        <v>6583</v>
      </c>
      <c r="G1394" s="4" t="s">
        <v>1598</v>
      </c>
      <c r="H1394" s="4">
        <v>1</v>
      </c>
      <c r="I1394" s="4">
        <v>1</v>
      </c>
      <c r="J1394" s="4" t="s">
        <v>5324</v>
      </c>
      <c r="K1394" s="4" t="s">
        <v>323</v>
      </c>
      <c r="L1394" s="6">
        <v>46319</v>
      </c>
      <c r="M1394" s="4" t="s">
        <v>5864</v>
      </c>
      <c r="N1394" s="4" t="s">
        <v>5870</v>
      </c>
    </row>
    <row r="1395" spans="1:14" ht="54" customHeight="1">
      <c r="A1395" s="8" t="s">
        <v>5325</v>
      </c>
      <c r="B1395" s="8" t="s">
        <v>318</v>
      </c>
      <c r="C1395" s="8" t="s">
        <v>319</v>
      </c>
      <c r="D1395" s="8" t="s">
        <v>7</v>
      </c>
      <c r="E1395" s="8" t="s">
        <v>41</v>
      </c>
      <c r="F1395" s="8" t="s">
        <v>6584</v>
      </c>
      <c r="G1395" s="8" t="s">
        <v>1598</v>
      </c>
      <c r="H1395" s="8">
        <v>1</v>
      </c>
      <c r="I1395" s="8">
        <v>1</v>
      </c>
      <c r="J1395" s="8" t="s">
        <v>5326</v>
      </c>
      <c r="K1395" s="8" t="s">
        <v>323</v>
      </c>
      <c r="L1395" s="9">
        <v>46319</v>
      </c>
      <c r="M1395" s="8" t="s">
        <v>5864</v>
      </c>
      <c r="N1395" s="8" t="s">
        <v>5870</v>
      </c>
    </row>
    <row r="1396" spans="1:14" ht="54" customHeight="1">
      <c r="A1396" s="4" t="s">
        <v>5327</v>
      </c>
      <c r="B1396" s="4" t="s">
        <v>318</v>
      </c>
      <c r="C1396" s="4" t="s">
        <v>319</v>
      </c>
      <c r="D1396" s="4" t="s">
        <v>7</v>
      </c>
      <c r="E1396" s="4" t="s">
        <v>41</v>
      </c>
      <c r="F1396" s="4" t="s">
        <v>6585</v>
      </c>
      <c r="G1396" s="4" t="s">
        <v>1598</v>
      </c>
      <c r="H1396" s="4">
        <v>1</v>
      </c>
      <c r="I1396" s="4">
        <v>1</v>
      </c>
      <c r="J1396" s="4" t="s">
        <v>5328</v>
      </c>
      <c r="K1396" s="4" t="s">
        <v>323</v>
      </c>
      <c r="L1396" s="6">
        <v>46319</v>
      </c>
      <c r="M1396" s="4" t="s">
        <v>5864</v>
      </c>
      <c r="N1396" s="4" t="s">
        <v>6087</v>
      </c>
    </row>
    <row r="1397" spans="1:14" ht="54" customHeight="1">
      <c r="A1397" s="8" t="s">
        <v>5329</v>
      </c>
      <c r="B1397" s="8" t="s">
        <v>318</v>
      </c>
      <c r="C1397" s="8" t="s">
        <v>319</v>
      </c>
      <c r="D1397" s="8" t="s">
        <v>7</v>
      </c>
      <c r="E1397" s="8" t="s">
        <v>41</v>
      </c>
      <c r="F1397" s="8" t="s">
        <v>6586</v>
      </c>
      <c r="G1397" s="8" t="s">
        <v>1598</v>
      </c>
      <c r="H1397" s="8">
        <v>1</v>
      </c>
      <c r="I1397" s="8">
        <v>1</v>
      </c>
      <c r="J1397" s="8" t="s">
        <v>5330</v>
      </c>
      <c r="K1397" s="8" t="s">
        <v>323</v>
      </c>
      <c r="L1397" s="9">
        <v>46319</v>
      </c>
      <c r="M1397" s="8" t="s">
        <v>5864</v>
      </c>
      <c r="N1397" s="8" t="s">
        <v>5870</v>
      </c>
    </row>
    <row r="1398" spans="1:14" ht="54" customHeight="1">
      <c r="A1398" s="4" t="s">
        <v>5331</v>
      </c>
      <c r="B1398" s="4" t="s">
        <v>318</v>
      </c>
      <c r="C1398" s="4" t="s">
        <v>319</v>
      </c>
      <c r="D1398" s="4" t="s">
        <v>7</v>
      </c>
      <c r="E1398" s="4" t="s">
        <v>41</v>
      </c>
      <c r="F1398" s="4" t="s">
        <v>6587</v>
      </c>
      <c r="G1398" s="4" t="s">
        <v>1598</v>
      </c>
      <c r="H1398" s="4">
        <v>1</v>
      </c>
      <c r="I1398" s="4">
        <v>1</v>
      </c>
      <c r="J1398" s="4" t="s">
        <v>5332</v>
      </c>
      <c r="K1398" s="4" t="s">
        <v>323</v>
      </c>
      <c r="L1398" s="6">
        <v>46319</v>
      </c>
      <c r="M1398" s="4" t="s">
        <v>5864</v>
      </c>
      <c r="N1398" s="4" t="s">
        <v>5870</v>
      </c>
    </row>
    <row r="1399" spans="1:14" ht="54" customHeight="1">
      <c r="A1399" s="8" t="s">
        <v>5333</v>
      </c>
      <c r="B1399" s="8" t="s">
        <v>318</v>
      </c>
      <c r="C1399" s="8" t="s">
        <v>319</v>
      </c>
      <c r="D1399" s="8" t="s">
        <v>7</v>
      </c>
      <c r="E1399" s="8" t="s">
        <v>41</v>
      </c>
      <c r="F1399" s="8" t="s">
        <v>6588</v>
      </c>
      <c r="G1399" s="8" t="s">
        <v>1598</v>
      </c>
      <c r="H1399" s="8">
        <v>1</v>
      </c>
      <c r="I1399" s="8">
        <v>1</v>
      </c>
      <c r="J1399" s="8" t="s">
        <v>5334</v>
      </c>
      <c r="K1399" s="8" t="s">
        <v>323</v>
      </c>
      <c r="L1399" s="9">
        <v>46319</v>
      </c>
      <c r="M1399" s="8" t="s">
        <v>5864</v>
      </c>
      <c r="N1399" s="8" t="s">
        <v>5870</v>
      </c>
    </row>
    <row r="1400" spans="1:14" ht="54" customHeight="1">
      <c r="A1400" s="4" t="s">
        <v>5335</v>
      </c>
      <c r="B1400" s="4" t="s">
        <v>318</v>
      </c>
      <c r="C1400" s="4" t="s">
        <v>319</v>
      </c>
      <c r="D1400" s="4" t="s">
        <v>7</v>
      </c>
      <c r="E1400" s="4" t="s">
        <v>41</v>
      </c>
      <c r="F1400" s="4" t="s">
        <v>6589</v>
      </c>
      <c r="G1400" s="4" t="s">
        <v>1598</v>
      </c>
      <c r="H1400" s="4">
        <v>1</v>
      </c>
      <c r="I1400" s="4">
        <v>1</v>
      </c>
      <c r="J1400" s="4" t="s">
        <v>5336</v>
      </c>
      <c r="K1400" s="4" t="s">
        <v>323</v>
      </c>
      <c r="L1400" s="6">
        <v>46319</v>
      </c>
      <c r="M1400" s="4" t="s">
        <v>5864</v>
      </c>
      <c r="N1400" s="4" t="s">
        <v>5870</v>
      </c>
    </row>
    <row r="1401" spans="1:14" ht="54" customHeight="1">
      <c r="A1401" s="8" t="s">
        <v>5337</v>
      </c>
      <c r="B1401" s="8" t="s">
        <v>318</v>
      </c>
      <c r="C1401" s="8" t="s">
        <v>319</v>
      </c>
      <c r="D1401" s="8" t="s">
        <v>7</v>
      </c>
      <c r="E1401" s="8" t="s">
        <v>41</v>
      </c>
      <c r="F1401" s="8" t="s">
        <v>7537</v>
      </c>
      <c r="G1401" s="8" t="s">
        <v>1598</v>
      </c>
      <c r="H1401" s="8">
        <v>1</v>
      </c>
      <c r="I1401" s="8">
        <v>1</v>
      </c>
      <c r="J1401" s="8" t="s">
        <v>5338</v>
      </c>
      <c r="K1401" s="8" t="s">
        <v>323</v>
      </c>
      <c r="L1401" s="9">
        <v>46319</v>
      </c>
      <c r="M1401" s="8" t="s">
        <v>5864</v>
      </c>
      <c r="N1401" s="8" t="s">
        <v>5870</v>
      </c>
    </row>
    <row r="1402" spans="1:14" ht="54" customHeight="1">
      <c r="A1402" s="4" t="s">
        <v>5339</v>
      </c>
      <c r="B1402" s="4" t="s">
        <v>318</v>
      </c>
      <c r="C1402" s="4" t="s">
        <v>319</v>
      </c>
      <c r="D1402" s="4" t="s">
        <v>7</v>
      </c>
      <c r="E1402" s="4" t="s">
        <v>41</v>
      </c>
      <c r="F1402" s="4" t="s">
        <v>7538</v>
      </c>
      <c r="G1402" s="4" t="s">
        <v>1598</v>
      </c>
      <c r="H1402" s="4">
        <v>1</v>
      </c>
      <c r="I1402" s="4">
        <v>1</v>
      </c>
      <c r="J1402" s="4" t="s">
        <v>5340</v>
      </c>
      <c r="K1402" s="4" t="s">
        <v>323</v>
      </c>
      <c r="L1402" s="6">
        <v>46319</v>
      </c>
      <c r="M1402" s="4" t="s">
        <v>5864</v>
      </c>
      <c r="N1402" s="4" t="s">
        <v>5870</v>
      </c>
    </row>
    <row r="1403" spans="1:14" ht="54" customHeight="1">
      <c r="A1403" s="8" t="s">
        <v>5341</v>
      </c>
      <c r="B1403" s="8" t="s">
        <v>318</v>
      </c>
      <c r="C1403" s="8" t="s">
        <v>319</v>
      </c>
      <c r="D1403" s="8" t="s">
        <v>7</v>
      </c>
      <c r="E1403" s="8" t="s">
        <v>41</v>
      </c>
      <c r="F1403" s="8" t="s">
        <v>7539</v>
      </c>
      <c r="G1403" s="8" t="s">
        <v>1598</v>
      </c>
      <c r="H1403" s="8">
        <v>1</v>
      </c>
      <c r="I1403" s="8">
        <v>1</v>
      </c>
      <c r="J1403" s="8" t="s">
        <v>5342</v>
      </c>
      <c r="K1403" s="8" t="s">
        <v>323</v>
      </c>
      <c r="L1403" s="9">
        <v>46319</v>
      </c>
      <c r="M1403" s="8" t="s">
        <v>5864</v>
      </c>
      <c r="N1403" s="8" t="s">
        <v>5870</v>
      </c>
    </row>
    <row r="1404" spans="1:14" ht="54" customHeight="1">
      <c r="A1404" s="4" t="s">
        <v>5343</v>
      </c>
      <c r="B1404" s="4" t="s">
        <v>318</v>
      </c>
      <c r="C1404" s="4" t="s">
        <v>319</v>
      </c>
      <c r="D1404" s="4" t="s">
        <v>7</v>
      </c>
      <c r="E1404" s="4" t="s">
        <v>41</v>
      </c>
      <c r="F1404" s="4" t="s">
        <v>7540</v>
      </c>
      <c r="G1404" s="4" t="s">
        <v>1598</v>
      </c>
      <c r="H1404" s="4">
        <v>1</v>
      </c>
      <c r="I1404" s="4">
        <v>1</v>
      </c>
      <c r="J1404" s="4" t="s">
        <v>5344</v>
      </c>
      <c r="K1404" s="4" t="s">
        <v>323</v>
      </c>
      <c r="L1404" s="6">
        <v>46319</v>
      </c>
      <c r="M1404" s="4" t="s">
        <v>5864</v>
      </c>
      <c r="N1404" s="4" t="s">
        <v>5870</v>
      </c>
    </row>
    <row r="1405" spans="1:14" ht="54" customHeight="1">
      <c r="A1405" s="8" t="s">
        <v>5345</v>
      </c>
      <c r="B1405" s="8" t="s">
        <v>318</v>
      </c>
      <c r="C1405" s="8" t="s">
        <v>319</v>
      </c>
      <c r="D1405" s="8" t="s">
        <v>7</v>
      </c>
      <c r="E1405" s="8" t="s">
        <v>41</v>
      </c>
      <c r="F1405" s="8" t="s">
        <v>6590</v>
      </c>
      <c r="G1405" s="8" t="s">
        <v>1598</v>
      </c>
      <c r="H1405" s="8">
        <v>1</v>
      </c>
      <c r="I1405" s="8">
        <v>1</v>
      </c>
      <c r="J1405" s="8" t="s">
        <v>5346</v>
      </c>
      <c r="K1405" s="8" t="s">
        <v>323</v>
      </c>
      <c r="L1405" s="9">
        <v>46319</v>
      </c>
      <c r="M1405" s="8" t="s">
        <v>5864</v>
      </c>
      <c r="N1405" s="8" t="s">
        <v>6087</v>
      </c>
    </row>
    <row r="1406" spans="1:14" ht="54" customHeight="1">
      <c r="A1406" s="4" t="s">
        <v>5347</v>
      </c>
      <c r="B1406" s="4" t="s">
        <v>318</v>
      </c>
      <c r="C1406" s="4" t="s">
        <v>319</v>
      </c>
      <c r="D1406" s="4" t="s">
        <v>7</v>
      </c>
      <c r="E1406" s="4" t="s">
        <v>41</v>
      </c>
      <c r="F1406" s="4" t="s">
        <v>6591</v>
      </c>
      <c r="G1406" s="4" t="s">
        <v>1598</v>
      </c>
      <c r="H1406" s="4">
        <v>1</v>
      </c>
      <c r="I1406" s="4">
        <v>1</v>
      </c>
      <c r="J1406" s="4" t="s">
        <v>5348</v>
      </c>
      <c r="K1406" s="4" t="s">
        <v>323</v>
      </c>
      <c r="L1406" s="6">
        <v>46319</v>
      </c>
      <c r="M1406" s="4" t="s">
        <v>5864</v>
      </c>
      <c r="N1406" s="4" t="s">
        <v>5870</v>
      </c>
    </row>
    <row r="1407" spans="1:14" ht="54" customHeight="1">
      <c r="A1407" s="8" t="s">
        <v>5349</v>
      </c>
      <c r="B1407" s="8" t="s">
        <v>318</v>
      </c>
      <c r="C1407" s="8" t="s">
        <v>319</v>
      </c>
      <c r="D1407" s="8" t="s">
        <v>7</v>
      </c>
      <c r="E1407" s="8" t="s">
        <v>41</v>
      </c>
      <c r="F1407" s="8" t="s">
        <v>6592</v>
      </c>
      <c r="G1407" s="8" t="s">
        <v>1598</v>
      </c>
      <c r="H1407" s="8">
        <v>1</v>
      </c>
      <c r="I1407" s="8">
        <v>1</v>
      </c>
      <c r="J1407" s="8" t="s">
        <v>5350</v>
      </c>
      <c r="K1407" s="8" t="s">
        <v>323</v>
      </c>
      <c r="L1407" s="9">
        <v>46319</v>
      </c>
      <c r="M1407" s="8" t="s">
        <v>5864</v>
      </c>
      <c r="N1407" s="8" t="s">
        <v>5870</v>
      </c>
    </row>
    <row r="1408" spans="1:14" ht="54" customHeight="1">
      <c r="A1408" s="4" t="s">
        <v>5351</v>
      </c>
      <c r="B1408" s="4" t="s">
        <v>318</v>
      </c>
      <c r="C1408" s="4" t="s">
        <v>319</v>
      </c>
      <c r="D1408" s="4" t="s">
        <v>7</v>
      </c>
      <c r="E1408" s="4" t="s">
        <v>41</v>
      </c>
      <c r="F1408" s="4" t="s">
        <v>6593</v>
      </c>
      <c r="G1408" s="4" t="s">
        <v>1598</v>
      </c>
      <c r="H1408" s="4">
        <v>1</v>
      </c>
      <c r="I1408" s="4">
        <v>1</v>
      </c>
      <c r="J1408" s="4" t="s">
        <v>5352</v>
      </c>
      <c r="K1408" s="4" t="s">
        <v>323</v>
      </c>
      <c r="L1408" s="6">
        <v>46319</v>
      </c>
      <c r="M1408" s="4" t="s">
        <v>5864</v>
      </c>
      <c r="N1408" s="4" t="s">
        <v>5870</v>
      </c>
    </row>
    <row r="1409" spans="1:14" ht="54" customHeight="1">
      <c r="A1409" s="8" t="s">
        <v>5353</v>
      </c>
      <c r="B1409" s="8" t="s">
        <v>318</v>
      </c>
      <c r="C1409" s="8" t="s">
        <v>319</v>
      </c>
      <c r="D1409" s="8" t="s">
        <v>7</v>
      </c>
      <c r="E1409" s="8" t="s">
        <v>41</v>
      </c>
      <c r="F1409" s="8" t="s">
        <v>6594</v>
      </c>
      <c r="G1409" s="8" t="s">
        <v>1598</v>
      </c>
      <c r="H1409" s="8">
        <v>1</v>
      </c>
      <c r="I1409" s="8">
        <v>1</v>
      </c>
      <c r="J1409" s="8" t="s">
        <v>5354</v>
      </c>
      <c r="K1409" s="8" t="s">
        <v>323</v>
      </c>
      <c r="L1409" s="9">
        <v>46319</v>
      </c>
      <c r="M1409" s="8" t="s">
        <v>5864</v>
      </c>
      <c r="N1409" s="8" t="s">
        <v>5870</v>
      </c>
    </row>
    <row r="1410" spans="1:14" ht="54" customHeight="1">
      <c r="A1410" s="4" t="s">
        <v>5355</v>
      </c>
      <c r="B1410" s="4" t="s">
        <v>318</v>
      </c>
      <c r="C1410" s="4" t="s">
        <v>319</v>
      </c>
      <c r="D1410" s="4" t="s">
        <v>7</v>
      </c>
      <c r="E1410" s="4" t="s">
        <v>41</v>
      </c>
      <c r="F1410" s="4" t="s">
        <v>6595</v>
      </c>
      <c r="G1410" s="4" t="s">
        <v>1598</v>
      </c>
      <c r="H1410" s="4">
        <v>1</v>
      </c>
      <c r="I1410" s="4">
        <v>1</v>
      </c>
      <c r="J1410" s="4" t="s">
        <v>5356</v>
      </c>
      <c r="K1410" s="4" t="s">
        <v>323</v>
      </c>
      <c r="L1410" s="6">
        <v>46319</v>
      </c>
      <c r="M1410" s="4" t="s">
        <v>5864</v>
      </c>
      <c r="N1410" s="4" t="s">
        <v>5870</v>
      </c>
    </row>
    <row r="1411" spans="1:14" ht="54" customHeight="1">
      <c r="A1411" s="8" t="s">
        <v>5357</v>
      </c>
      <c r="B1411" s="8" t="s">
        <v>318</v>
      </c>
      <c r="C1411" s="8" t="s">
        <v>319</v>
      </c>
      <c r="D1411" s="8" t="s">
        <v>7</v>
      </c>
      <c r="E1411" s="8" t="s">
        <v>41</v>
      </c>
      <c r="F1411" s="8" t="s">
        <v>6596</v>
      </c>
      <c r="G1411" s="8" t="s">
        <v>1598</v>
      </c>
      <c r="H1411" s="8">
        <v>1</v>
      </c>
      <c r="I1411" s="8">
        <v>1</v>
      </c>
      <c r="J1411" s="8" t="s">
        <v>5358</v>
      </c>
      <c r="K1411" s="8" t="s">
        <v>323</v>
      </c>
      <c r="L1411" s="9">
        <v>46319</v>
      </c>
      <c r="M1411" s="8" t="s">
        <v>5864</v>
      </c>
      <c r="N1411" s="8" t="s">
        <v>5870</v>
      </c>
    </row>
    <row r="1412" spans="1:14" ht="54" customHeight="1">
      <c r="A1412" s="4" t="s">
        <v>5359</v>
      </c>
      <c r="B1412" s="4" t="s">
        <v>318</v>
      </c>
      <c r="C1412" s="4" t="s">
        <v>319</v>
      </c>
      <c r="D1412" s="4" t="s">
        <v>7</v>
      </c>
      <c r="E1412" s="4" t="s">
        <v>41</v>
      </c>
      <c r="F1412" s="4" t="s">
        <v>6597</v>
      </c>
      <c r="G1412" s="4" t="s">
        <v>1598</v>
      </c>
      <c r="H1412" s="4">
        <v>1</v>
      </c>
      <c r="I1412" s="4">
        <v>1</v>
      </c>
      <c r="J1412" s="4" t="s">
        <v>5360</v>
      </c>
      <c r="K1412" s="4" t="s">
        <v>323</v>
      </c>
      <c r="L1412" s="6">
        <v>46319</v>
      </c>
      <c r="M1412" s="4" t="s">
        <v>5864</v>
      </c>
      <c r="N1412" s="4" t="s">
        <v>5870</v>
      </c>
    </row>
    <row r="1413" spans="1:14" ht="54" customHeight="1">
      <c r="A1413" s="8" t="s">
        <v>5361</v>
      </c>
      <c r="B1413" s="8" t="s">
        <v>318</v>
      </c>
      <c r="C1413" s="8" t="s">
        <v>319</v>
      </c>
      <c r="D1413" s="8" t="s">
        <v>7</v>
      </c>
      <c r="E1413" s="8" t="s">
        <v>41</v>
      </c>
      <c r="F1413" s="8" t="s">
        <v>6598</v>
      </c>
      <c r="G1413" s="8" t="s">
        <v>1598</v>
      </c>
      <c r="H1413" s="8">
        <v>1</v>
      </c>
      <c r="I1413" s="8">
        <v>1</v>
      </c>
      <c r="J1413" s="8" t="s">
        <v>5362</v>
      </c>
      <c r="K1413" s="8" t="s">
        <v>323</v>
      </c>
      <c r="L1413" s="9">
        <v>46319</v>
      </c>
      <c r="M1413" s="8" t="s">
        <v>5864</v>
      </c>
      <c r="N1413" s="8" t="s">
        <v>5870</v>
      </c>
    </row>
    <row r="1414" spans="1:14" ht="54" customHeight="1">
      <c r="A1414" s="4" t="s">
        <v>4320</v>
      </c>
      <c r="B1414" s="4" t="s">
        <v>318</v>
      </c>
      <c r="C1414" s="4" t="s">
        <v>319</v>
      </c>
      <c r="D1414" s="4" t="s">
        <v>5879</v>
      </c>
      <c r="E1414" s="4" t="s">
        <v>41</v>
      </c>
      <c r="F1414" s="4" t="s">
        <v>3463</v>
      </c>
      <c r="G1414" s="4" t="s">
        <v>1598</v>
      </c>
      <c r="H1414" s="4">
        <v>1</v>
      </c>
      <c r="I1414" s="4">
        <v>1</v>
      </c>
      <c r="J1414" s="4" t="s">
        <v>4321</v>
      </c>
      <c r="K1414" s="4" t="s">
        <v>323</v>
      </c>
      <c r="L1414" s="6">
        <v>46319</v>
      </c>
      <c r="M1414" s="4" t="s">
        <v>5864</v>
      </c>
      <c r="N1414" s="4" t="s">
        <v>6087</v>
      </c>
    </row>
    <row r="1415" spans="1:14" ht="54" customHeight="1">
      <c r="A1415" s="8" t="s">
        <v>4322</v>
      </c>
      <c r="B1415" s="8" t="s">
        <v>318</v>
      </c>
      <c r="C1415" s="8" t="s">
        <v>319</v>
      </c>
      <c r="D1415" s="8" t="s">
        <v>5879</v>
      </c>
      <c r="E1415" s="8" t="s">
        <v>41</v>
      </c>
      <c r="F1415" s="8" t="s">
        <v>3454</v>
      </c>
      <c r="G1415" s="8" t="s">
        <v>1598</v>
      </c>
      <c r="H1415" s="8">
        <v>1</v>
      </c>
      <c r="I1415" s="8">
        <v>1</v>
      </c>
      <c r="J1415" s="8" t="s">
        <v>4323</v>
      </c>
      <c r="K1415" s="8" t="s">
        <v>323</v>
      </c>
      <c r="L1415" s="9">
        <v>46319</v>
      </c>
      <c r="M1415" s="8" t="s">
        <v>5864</v>
      </c>
      <c r="N1415" s="8" t="s">
        <v>5870</v>
      </c>
    </row>
    <row r="1416" spans="1:14" ht="54" customHeight="1">
      <c r="A1416" s="4" t="s">
        <v>4324</v>
      </c>
      <c r="B1416" s="4" t="s">
        <v>318</v>
      </c>
      <c r="C1416" s="4" t="s">
        <v>319</v>
      </c>
      <c r="D1416" s="4" t="s">
        <v>5879</v>
      </c>
      <c r="E1416" s="4" t="s">
        <v>41</v>
      </c>
      <c r="F1416" s="4" t="s">
        <v>3519</v>
      </c>
      <c r="G1416" s="4" t="s">
        <v>1598</v>
      </c>
      <c r="H1416" s="4">
        <v>1</v>
      </c>
      <c r="I1416" s="4">
        <v>1</v>
      </c>
      <c r="J1416" s="4" t="s">
        <v>4325</v>
      </c>
      <c r="K1416" s="4" t="s">
        <v>323</v>
      </c>
      <c r="L1416" s="6">
        <v>46319</v>
      </c>
      <c r="M1416" s="4" t="s">
        <v>5864</v>
      </c>
      <c r="N1416" s="4" t="s">
        <v>5870</v>
      </c>
    </row>
    <row r="1417" spans="1:14" ht="54" customHeight="1">
      <c r="A1417" s="8" t="s">
        <v>4326</v>
      </c>
      <c r="B1417" s="8" t="s">
        <v>318</v>
      </c>
      <c r="C1417" s="8" t="s">
        <v>319</v>
      </c>
      <c r="D1417" s="8" t="s">
        <v>5879</v>
      </c>
      <c r="E1417" s="8" t="s">
        <v>41</v>
      </c>
      <c r="F1417" s="8" t="s">
        <v>3457</v>
      </c>
      <c r="G1417" s="8" t="s">
        <v>1598</v>
      </c>
      <c r="H1417" s="8">
        <v>1</v>
      </c>
      <c r="I1417" s="8">
        <v>1</v>
      </c>
      <c r="J1417" s="8" t="s">
        <v>4327</v>
      </c>
      <c r="K1417" s="8" t="s">
        <v>323</v>
      </c>
      <c r="L1417" s="9">
        <v>46319</v>
      </c>
      <c r="M1417" s="8" t="s">
        <v>5864</v>
      </c>
      <c r="N1417" s="8" t="s">
        <v>6087</v>
      </c>
    </row>
    <row r="1418" spans="1:14" ht="54" customHeight="1">
      <c r="A1418" s="4" t="s">
        <v>4328</v>
      </c>
      <c r="B1418" s="4" t="s">
        <v>318</v>
      </c>
      <c r="C1418" s="4" t="s">
        <v>319</v>
      </c>
      <c r="D1418" s="4" t="s">
        <v>5879</v>
      </c>
      <c r="E1418" s="4" t="s">
        <v>41</v>
      </c>
      <c r="F1418" s="4" t="s">
        <v>3530</v>
      </c>
      <c r="G1418" s="4" t="s">
        <v>1598</v>
      </c>
      <c r="H1418" s="4">
        <v>1</v>
      </c>
      <c r="I1418" s="4">
        <v>1</v>
      </c>
      <c r="J1418" s="4" t="s">
        <v>4329</v>
      </c>
      <c r="K1418" s="4" t="s">
        <v>323</v>
      </c>
      <c r="L1418" s="6">
        <v>46319</v>
      </c>
      <c r="M1418" s="4" t="s">
        <v>5864</v>
      </c>
      <c r="N1418" s="4" t="s">
        <v>5870</v>
      </c>
    </row>
    <row r="1419" spans="1:14" ht="54" customHeight="1">
      <c r="A1419" s="8" t="s">
        <v>4330</v>
      </c>
      <c r="B1419" s="8" t="s">
        <v>318</v>
      </c>
      <c r="C1419" s="8" t="s">
        <v>319</v>
      </c>
      <c r="D1419" s="8" t="s">
        <v>5879</v>
      </c>
      <c r="E1419" s="8" t="s">
        <v>41</v>
      </c>
      <c r="F1419" s="8" t="s">
        <v>4011</v>
      </c>
      <c r="G1419" s="8" t="s">
        <v>1598</v>
      </c>
      <c r="H1419" s="8">
        <v>1</v>
      </c>
      <c r="I1419" s="8">
        <v>1</v>
      </c>
      <c r="J1419" s="8" t="s">
        <v>4331</v>
      </c>
      <c r="K1419" s="8" t="s">
        <v>323</v>
      </c>
      <c r="L1419" s="9">
        <v>46319</v>
      </c>
      <c r="M1419" s="8" t="s">
        <v>5864</v>
      </c>
      <c r="N1419" s="8" t="s">
        <v>5870</v>
      </c>
    </row>
    <row r="1420" spans="1:14" ht="54" customHeight="1">
      <c r="A1420" s="4" t="s">
        <v>4332</v>
      </c>
      <c r="B1420" s="4" t="s">
        <v>318</v>
      </c>
      <c r="C1420" s="4" t="s">
        <v>319</v>
      </c>
      <c r="D1420" s="4" t="s">
        <v>5879</v>
      </c>
      <c r="E1420" s="4" t="s">
        <v>41</v>
      </c>
      <c r="F1420" s="4" t="s">
        <v>3538</v>
      </c>
      <c r="G1420" s="4" t="s">
        <v>1598</v>
      </c>
      <c r="H1420" s="4">
        <v>1</v>
      </c>
      <c r="I1420" s="4">
        <v>1</v>
      </c>
      <c r="J1420" s="4" t="s">
        <v>4333</v>
      </c>
      <c r="K1420" s="4" t="s">
        <v>323</v>
      </c>
      <c r="L1420" s="6">
        <v>46319</v>
      </c>
      <c r="M1420" s="4" t="s">
        <v>5864</v>
      </c>
      <c r="N1420" s="4" t="s">
        <v>6087</v>
      </c>
    </row>
    <row r="1421" spans="1:14" ht="68" customHeight="1">
      <c r="A1421" s="8" t="s">
        <v>4334</v>
      </c>
      <c r="B1421" s="8" t="s">
        <v>318</v>
      </c>
      <c r="C1421" s="8" t="s">
        <v>319</v>
      </c>
      <c r="D1421" s="8" t="s">
        <v>5879</v>
      </c>
      <c r="E1421" s="8" t="s">
        <v>41</v>
      </c>
      <c r="F1421" s="8" t="s">
        <v>3541</v>
      </c>
      <c r="G1421" s="8" t="s">
        <v>1598</v>
      </c>
      <c r="H1421" s="8">
        <v>1</v>
      </c>
      <c r="I1421" s="8">
        <v>1</v>
      </c>
      <c r="J1421" s="8" t="s">
        <v>4335</v>
      </c>
      <c r="K1421" s="8" t="s">
        <v>323</v>
      </c>
      <c r="L1421" s="9">
        <v>46319</v>
      </c>
      <c r="M1421" s="8" t="s">
        <v>5864</v>
      </c>
      <c r="N1421" s="8" t="s">
        <v>5870</v>
      </c>
    </row>
    <row r="1422" spans="1:14" ht="54" customHeight="1">
      <c r="A1422" s="4" t="s">
        <v>4336</v>
      </c>
      <c r="B1422" s="4" t="s">
        <v>318</v>
      </c>
      <c r="C1422" s="4" t="s">
        <v>319</v>
      </c>
      <c r="D1422" s="4" t="s">
        <v>5879</v>
      </c>
      <c r="E1422" s="4" t="s">
        <v>41</v>
      </c>
      <c r="F1422" s="4" t="s">
        <v>4338</v>
      </c>
      <c r="G1422" s="4" t="s">
        <v>1598</v>
      </c>
      <c r="H1422" s="4">
        <v>1</v>
      </c>
      <c r="I1422" s="4">
        <v>1</v>
      </c>
      <c r="J1422" s="4" t="s">
        <v>4337</v>
      </c>
      <c r="K1422" s="4" t="s">
        <v>323</v>
      </c>
      <c r="L1422" s="6">
        <v>46319</v>
      </c>
      <c r="M1422" s="4" t="s">
        <v>5864</v>
      </c>
      <c r="N1422" s="4" t="s">
        <v>5870</v>
      </c>
    </row>
    <row r="1423" spans="1:14" ht="68" customHeight="1">
      <c r="A1423" s="8" t="s">
        <v>4339</v>
      </c>
      <c r="B1423" s="8" t="s">
        <v>318</v>
      </c>
      <c r="C1423" s="8" t="s">
        <v>319</v>
      </c>
      <c r="D1423" s="8" t="s">
        <v>5879</v>
      </c>
      <c r="E1423" s="8" t="s">
        <v>41</v>
      </c>
      <c r="F1423" s="8" t="s">
        <v>3912</v>
      </c>
      <c r="G1423" s="8" t="s">
        <v>1598</v>
      </c>
      <c r="H1423" s="8">
        <v>1</v>
      </c>
      <c r="I1423" s="8">
        <v>1</v>
      </c>
      <c r="J1423" s="8" t="s">
        <v>4340</v>
      </c>
      <c r="K1423" s="8" t="s">
        <v>323</v>
      </c>
      <c r="L1423" s="9">
        <v>46319</v>
      </c>
      <c r="M1423" s="8" t="s">
        <v>5864</v>
      </c>
      <c r="N1423" s="8" t="s">
        <v>5870</v>
      </c>
    </row>
    <row r="1424" spans="1:14" ht="54" customHeight="1">
      <c r="A1424" s="4" t="s">
        <v>4341</v>
      </c>
      <c r="B1424" s="4" t="s">
        <v>318</v>
      </c>
      <c r="C1424" s="4" t="s">
        <v>319</v>
      </c>
      <c r="D1424" s="4" t="s">
        <v>5879</v>
      </c>
      <c r="E1424" s="4" t="s">
        <v>41</v>
      </c>
      <c r="F1424" s="4" t="s">
        <v>3915</v>
      </c>
      <c r="G1424" s="4" t="s">
        <v>1598</v>
      </c>
      <c r="H1424" s="4">
        <v>1</v>
      </c>
      <c r="I1424" s="4">
        <v>1</v>
      </c>
      <c r="J1424" s="4" t="s">
        <v>4342</v>
      </c>
      <c r="K1424" s="4" t="s">
        <v>323</v>
      </c>
      <c r="L1424" s="6">
        <v>46319</v>
      </c>
      <c r="M1424" s="4" t="s">
        <v>5864</v>
      </c>
      <c r="N1424" s="4" t="s">
        <v>6087</v>
      </c>
    </row>
    <row r="1425" spans="1:14" ht="54" customHeight="1">
      <c r="A1425" s="8" t="s">
        <v>4343</v>
      </c>
      <c r="B1425" s="8" t="s">
        <v>318</v>
      </c>
      <c r="C1425" s="8" t="s">
        <v>319</v>
      </c>
      <c r="D1425" s="8" t="s">
        <v>5879</v>
      </c>
      <c r="E1425" s="8" t="s">
        <v>41</v>
      </c>
      <c r="F1425" s="8" t="s">
        <v>3576</v>
      </c>
      <c r="G1425" s="8" t="s">
        <v>1598</v>
      </c>
      <c r="H1425" s="8">
        <v>1</v>
      </c>
      <c r="I1425" s="8">
        <v>1</v>
      </c>
      <c r="J1425" s="8" t="s">
        <v>4344</v>
      </c>
      <c r="K1425" s="8" t="s">
        <v>323</v>
      </c>
      <c r="L1425" s="9">
        <v>46319</v>
      </c>
      <c r="M1425" s="8" t="s">
        <v>5864</v>
      </c>
      <c r="N1425" s="8" t="s">
        <v>5870</v>
      </c>
    </row>
    <row r="1426" spans="1:14" ht="54" customHeight="1">
      <c r="A1426" s="4" t="s">
        <v>4345</v>
      </c>
      <c r="B1426" s="4" t="s">
        <v>318</v>
      </c>
      <c r="C1426" s="4" t="s">
        <v>319</v>
      </c>
      <c r="D1426" s="4" t="s">
        <v>5879</v>
      </c>
      <c r="E1426" s="4" t="s">
        <v>41</v>
      </c>
      <c r="F1426" s="4" t="s">
        <v>4347</v>
      </c>
      <c r="G1426" s="4" t="s">
        <v>1598</v>
      </c>
      <c r="H1426" s="4">
        <v>1</v>
      </c>
      <c r="I1426" s="4">
        <v>1</v>
      </c>
      <c r="J1426" s="4" t="s">
        <v>4346</v>
      </c>
      <c r="K1426" s="4" t="s">
        <v>323</v>
      </c>
      <c r="L1426" s="6">
        <v>46319</v>
      </c>
      <c r="M1426" s="4" t="s">
        <v>5864</v>
      </c>
      <c r="N1426" s="4" t="s">
        <v>5870</v>
      </c>
    </row>
    <row r="1427" spans="1:14" ht="54" customHeight="1">
      <c r="A1427" s="8" t="s">
        <v>4348</v>
      </c>
      <c r="B1427" s="8" t="s">
        <v>318</v>
      </c>
      <c r="C1427" s="8" t="s">
        <v>319</v>
      </c>
      <c r="D1427" s="8" t="s">
        <v>5879</v>
      </c>
      <c r="E1427" s="8" t="s">
        <v>41</v>
      </c>
      <c r="F1427" s="8" t="s">
        <v>3582</v>
      </c>
      <c r="G1427" s="8" t="s">
        <v>1598</v>
      </c>
      <c r="H1427" s="8">
        <v>1</v>
      </c>
      <c r="I1427" s="8">
        <v>1</v>
      </c>
      <c r="J1427" s="8" t="s">
        <v>4349</v>
      </c>
      <c r="K1427" s="8" t="s">
        <v>323</v>
      </c>
      <c r="L1427" s="9">
        <v>46319</v>
      </c>
      <c r="M1427" s="8" t="s">
        <v>5864</v>
      </c>
      <c r="N1427" s="8" t="s">
        <v>5870</v>
      </c>
    </row>
    <row r="1428" spans="1:14" ht="82" customHeight="1">
      <c r="A1428" s="4" t="s">
        <v>7541</v>
      </c>
      <c r="B1428" s="4" t="s">
        <v>318</v>
      </c>
      <c r="C1428" s="4" t="s">
        <v>319</v>
      </c>
      <c r="D1428" s="4" t="s">
        <v>2969</v>
      </c>
      <c r="E1428" s="4" t="s">
        <v>41</v>
      </c>
      <c r="F1428" s="4" t="s">
        <v>5881</v>
      </c>
      <c r="G1428" s="4" t="s">
        <v>1598</v>
      </c>
      <c r="H1428" s="4">
        <v>1</v>
      </c>
      <c r="I1428" s="4">
        <v>1</v>
      </c>
      <c r="J1428" s="4" t="s">
        <v>7542</v>
      </c>
      <c r="K1428" s="4" t="s">
        <v>323</v>
      </c>
      <c r="L1428" s="6">
        <v>46319</v>
      </c>
      <c r="M1428" s="4" t="s">
        <v>5864</v>
      </c>
      <c r="N1428" s="4" t="s">
        <v>5883</v>
      </c>
    </row>
    <row r="1429" spans="1:14" ht="82" customHeight="1">
      <c r="A1429" s="8" t="s">
        <v>7543</v>
      </c>
      <c r="B1429" s="8" t="s">
        <v>318</v>
      </c>
      <c r="C1429" s="8" t="s">
        <v>319</v>
      </c>
      <c r="D1429" s="8" t="s">
        <v>2969</v>
      </c>
      <c r="E1429" s="8" t="s">
        <v>41</v>
      </c>
      <c r="F1429" s="8" t="s">
        <v>5885</v>
      </c>
      <c r="G1429" s="8" t="s">
        <v>1598</v>
      </c>
      <c r="H1429" s="8">
        <v>1</v>
      </c>
      <c r="I1429" s="8">
        <v>1</v>
      </c>
      <c r="J1429" s="8" t="s">
        <v>7544</v>
      </c>
      <c r="K1429" s="8" t="s">
        <v>323</v>
      </c>
      <c r="L1429" s="9">
        <v>46319</v>
      </c>
      <c r="M1429" s="8" t="s">
        <v>5864</v>
      </c>
      <c r="N1429" s="8" t="s">
        <v>5883</v>
      </c>
    </row>
    <row r="1430" spans="1:14" ht="68" customHeight="1">
      <c r="A1430" s="4" t="s">
        <v>7545</v>
      </c>
      <c r="B1430" s="4" t="s">
        <v>318</v>
      </c>
      <c r="C1430" s="4" t="s">
        <v>319</v>
      </c>
      <c r="D1430" s="4" t="s">
        <v>2969</v>
      </c>
      <c r="E1430" s="4" t="s">
        <v>41</v>
      </c>
      <c r="F1430" s="4" t="s">
        <v>5888</v>
      </c>
      <c r="G1430" s="4" t="s">
        <v>1598</v>
      </c>
      <c r="H1430" s="4">
        <v>1</v>
      </c>
      <c r="I1430" s="4">
        <v>1</v>
      </c>
      <c r="J1430" s="4" t="s">
        <v>7546</v>
      </c>
      <c r="K1430" s="4" t="s">
        <v>323</v>
      </c>
      <c r="L1430" s="6">
        <v>46319</v>
      </c>
      <c r="M1430" s="4" t="s">
        <v>5864</v>
      </c>
      <c r="N1430" s="4" t="s">
        <v>5883</v>
      </c>
    </row>
    <row r="1431" spans="1:14" ht="68" customHeight="1">
      <c r="A1431" s="8" t="s">
        <v>7547</v>
      </c>
      <c r="B1431" s="8" t="s">
        <v>318</v>
      </c>
      <c r="C1431" s="8" t="s">
        <v>319</v>
      </c>
      <c r="D1431" s="8" t="s">
        <v>2969</v>
      </c>
      <c r="E1431" s="8" t="s">
        <v>41</v>
      </c>
      <c r="F1431" s="8" t="s">
        <v>5891</v>
      </c>
      <c r="G1431" s="8" t="s">
        <v>1598</v>
      </c>
      <c r="H1431" s="8">
        <v>1</v>
      </c>
      <c r="I1431" s="8">
        <v>1</v>
      </c>
      <c r="J1431" s="8" t="s">
        <v>7548</v>
      </c>
      <c r="K1431" s="8" t="s">
        <v>323</v>
      </c>
      <c r="L1431" s="9">
        <v>46319</v>
      </c>
      <c r="M1431" s="8" t="s">
        <v>5864</v>
      </c>
      <c r="N1431" s="8" t="s">
        <v>5883</v>
      </c>
    </row>
    <row r="1432" spans="1:14" ht="68" customHeight="1">
      <c r="A1432" s="4" t="s">
        <v>7549</v>
      </c>
      <c r="B1432" s="4" t="s">
        <v>318</v>
      </c>
      <c r="C1432" s="4" t="s">
        <v>319</v>
      </c>
      <c r="D1432" s="4" t="s">
        <v>2969</v>
      </c>
      <c r="E1432" s="4" t="s">
        <v>41</v>
      </c>
      <c r="F1432" s="4" t="s">
        <v>5894</v>
      </c>
      <c r="G1432" s="4" t="s">
        <v>1598</v>
      </c>
      <c r="H1432" s="4">
        <v>1</v>
      </c>
      <c r="I1432" s="4">
        <v>1</v>
      </c>
      <c r="J1432" s="4" t="s">
        <v>7550</v>
      </c>
      <c r="K1432" s="4" t="s">
        <v>323</v>
      </c>
      <c r="L1432" s="6">
        <v>46319</v>
      </c>
      <c r="M1432" s="4" t="s">
        <v>5864</v>
      </c>
      <c r="N1432" s="4" t="s">
        <v>5883</v>
      </c>
    </row>
    <row r="1433" spans="1:14" ht="82" customHeight="1">
      <c r="A1433" s="8" t="s">
        <v>7551</v>
      </c>
      <c r="B1433" s="8" t="s">
        <v>318</v>
      </c>
      <c r="C1433" s="8" t="s">
        <v>319</v>
      </c>
      <c r="D1433" s="8" t="s">
        <v>2969</v>
      </c>
      <c r="E1433" s="8" t="s">
        <v>41</v>
      </c>
      <c r="F1433" s="8" t="s">
        <v>5897</v>
      </c>
      <c r="G1433" s="8" t="s">
        <v>1598</v>
      </c>
      <c r="H1433" s="8">
        <v>1</v>
      </c>
      <c r="I1433" s="8">
        <v>1</v>
      </c>
      <c r="J1433" s="8" t="s">
        <v>7552</v>
      </c>
      <c r="K1433" s="8" t="s">
        <v>323</v>
      </c>
      <c r="L1433" s="9">
        <v>46319</v>
      </c>
      <c r="M1433" s="8" t="s">
        <v>5864</v>
      </c>
      <c r="N1433" s="8" t="s">
        <v>5883</v>
      </c>
    </row>
    <row r="1434" spans="1:14" ht="68" customHeight="1">
      <c r="A1434" s="4" t="s">
        <v>7553</v>
      </c>
      <c r="B1434" s="4" t="s">
        <v>318</v>
      </c>
      <c r="C1434" s="4" t="s">
        <v>319</v>
      </c>
      <c r="D1434" s="4" t="s">
        <v>2969</v>
      </c>
      <c r="E1434" s="4" t="s">
        <v>41</v>
      </c>
      <c r="F1434" s="4" t="s">
        <v>5900</v>
      </c>
      <c r="G1434" s="4" t="s">
        <v>1598</v>
      </c>
      <c r="H1434" s="4">
        <v>1</v>
      </c>
      <c r="I1434" s="4">
        <v>1</v>
      </c>
      <c r="J1434" s="4" t="s">
        <v>7554</v>
      </c>
      <c r="K1434" s="4" t="s">
        <v>323</v>
      </c>
      <c r="L1434" s="6">
        <v>46319</v>
      </c>
      <c r="M1434" s="4" t="s">
        <v>5864</v>
      </c>
      <c r="N1434" s="4" t="s">
        <v>5883</v>
      </c>
    </row>
    <row r="1435" spans="1:14" ht="96" customHeight="1">
      <c r="A1435" s="8" t="s">
        <v>7555</v>
      </c>
      <c r="B1435" s="8" t="s">
        <v>318</v>
      </c>
      <c r="C1435" s="8" t="s">
        <v>319</v>
      </c>
      <c r="D1435" s="8" t="s">
        <v>2969</v>
      </c>
      <c r="E1435" s="8" t="s">
        <v>41</v>
      </c>
      <c r="F1435" s="8" t="s">
        <v>5903</v>
      </c>
      <c r="G1435" s="8" t="s">
        <v>1598</v>
      </c>
      <c r="H1435" s="8">
        <v>1</v>
      </c>
      <c r="I1435" s="8">
        <v>1</v>
      </c>
      <c r="J1435" s="8" t="s">
        <v>7556</v>
      </c>
      <c r="K1435" s="8" t="s">
        <v>323</v>
      </c>
      <c r="L1435" s="9">
        <v>46319</v>
      </c>
      <c r="M1435" s="8" t="s">
        <v>5864</v>
      </c>
      <c r="N1435" s="8" t="s">
        <v>5883</v>
      </c>
    </row>
    <row r="1436" spans="1:14" ht="82" customHeight="1">
      <c r="A1436" s="4" t="s">
        <v>7557</v>
      </c>
      <c r="B1436" s="4" t="s">
        <v>318</v>
      </c>
      <c r="C1436" s="4" t="s">
        <v>319</v>
      </c>
      <c r="D1436" s="4" t="s">
        <v>2969</v>
      </c>
      <c r="E1436" s="4" t="s">
        <v>41</v>
      </c>
      <c r="F1436" s="4" t="s">
        <v>5906</v>
      </c>
      <c r="G1436" s="4" t="s">
        <v>1598</v>
      </c>
      <c r="H1436" s="4">
        <v>1</v>
      </c>
      <c r="I1436" s="4">
        <v>1</v>
      </c>
      <c r="J1436" s="4" t="s">
        <v>7558</v>
      </c>
      <c r="K1436" s="4" t="s">
        <v>323</v>
      </c>
      <c r="L1436" s="6">
        <v>46319</v>
      </c>
      <c r="M1436" s="4" t="s">
        <v>5864</v>
      </c>
      <c r="N1436" s="4" t="s">
        <v>5883</v>
      </c>
    </row>
    <row r="1437" spans="1:14" ht="68" customHeight="1">
      <c r="A1437" s="8" t="s">
        <v>7559</v>
      </c>
      <c r="B1437" s="8" t="s">
        <v>318</v>
      </c>
      <c r="C1437" s="8" t="s">
        <v>319</v>
      </c>
      <c r="D1437" s="8" t="s">
        <v>2969</v>
      </c>
      <c r="E1437" s="8" t="s">
        <v>41</v>
      </c>
      <c r="F1437" s="8" t="s">
        <v>5909</v>
      </c>
      <c r="G1437" s="8" t="s">
        <v>1598</v>
      </c>
      <c r="H1437" s="8">
        <v>1</v>
      </c>
      <c r="I1437" s="8">
        <v>1</v>
      </c>
      <c r="J1437" s="8" t="s">
        <v>7560</v>
      </c>
      <c r="K1437" s="8" t="s">
        <v>323</v>
      </c>
      <c r="L1437" s="9">
        <v>46319</v>
      </c>
      <c r="M1437" s="8" t="s">
        <v>5864</v>
      </c>
      <c r="N1437" s="8" t="s">
        <v>5883</v>
      </c>
    </row>
    <row r="1438" spans="1:14" ht="82" customHeight="1">
      <c r="A1438" s="4" t="s">
        <v>7561</v>
      </c>
      <c r="B1438" s="4" t="s">
        <v>318</v>
      </c>
      <c r="C1438" s="4" t="s">
        <v>319</v>
      </c>
      <c r="D1438" s="4" t="s">
        <v>2969</v>
      </c>
      <c r="E1438" s="4" t="s">
        <v>41</v>
      </c>
      <c r="F1438" s="4" t="s">
        <v>5912</v>
      </c>
      <c r="G1438" s="4" t="s">
        <v>1598</v>
      </c>
      <c r="H1438" s="4">
        <v>1</v>
      </c>
      <c r="I1438" s="4">
        <v>1</v>
      </c>
      <c r="J1438" s="4" t="s">
        <v>7562</v>
      </c>
      <c r="K1438" s="4" t="s">
        <v>323</v>
      </c>
      <c r="L1438" s="6">
        <v>46319</v>
      </c>
      <c r="M1438" s="4" t="s">
        <v>5864</v>
      </c>
      <c r="N1438" s="4" t="s">
        <v>5883</v>
      </c>
    </row>
    <row r="1439" spans="1:14" ht="82" customHeight="1">
      <c r="A1439" s="8" t="s">
        <v>7563</v>
      </c>
      <c r="B1439" s="8" t="s">
        <v>318</v>
      </c>
      <c r="C1439" s="8" t="s">
        <v>319</v>
      </c>
      <c r="D1439" s="8" t="s">
        <v>2969</v>
      </c>
      <c r="E1439" s="8" t="s">
        <v>41</v>
      </c>
      <c r="F1439" s="8" t="s">
        <v>5973</v>
      </c>
      <c r="G1439" s="8" t="s">
        <v>1598</v>
      </c>
      <c r="H1439" s="8">
        <v>1</v>
      </c>
      <c r="I1439" s="8">
        <v>1</v>
      </c>
      <c r="J1439" s="8" t="s">
        <v>7564</v>
      </c>
      <c r="K1439" s="8" t="s">
        <v>323</v>
      </c>
      <c r="L1439" s="9">
        <v>46319</v>
      </c>
      <c r="M1439" s="8" t="s">
        <v>5864</v>
      </c>
      <c r="N1439" s="8" t="s">
        <v>5883</v>
      </c>
    </row>
    <row r="1440" spans="1:14" ht="138" customHeight="1">
      <c r="A1440" s="4" t="s">
        <v>7565</v>
      </c>
      <c r="B1440" s="4" t="s">
        <v>326</v>
      </c>
      <c r="C1440" s="4" t="s">
        <v>327</v>
      </c>
      <c r="D1440" s="4" t="s">
        <v>5861</v>
      </c>
      <c r="E1440" s="4" t="s">
        <v>41</v>
      </c>
      <c r="F1440" s="4" t="s">
        <v>5862</v>
      </c>
      <c r="G1440" s="4" t="s">
        <v>1701</v>
      </c>
      <c r="H1440" s="4">
        <v>1</v>
      </c>
      <c r="I1440" s="4">
        <v>1</v>
      </c>
      <c r="J1440" s="4" t="s">
        <v>7566</v>
      </c>
      <c r="K1440" s="4" t="s">
        <v>332</v>
      </c>
      <c r="L1440" s="6">
        <v>46319</v>
      </c>
      <c r="M1440" s="4" t="s">
        <v>5864</v>
      </c>
      <c r="N1440" s="4" t="s">
        <v>5865</v>
      </c>
    </row>
    <row r="1441" spans="1:14" ht="40" customHeight="1">
      <c r="A1441" s="8" t="s">
        <v>7567</v>
      </c>
      <c r="B1441" s="8" t="s">
        <v>326</v>
      </c>
      <c r="C1441" s="8" t="s">
        <v>327</v>
      </c>
      <c r="D1441" s="8" t="s">
        <v>5867</v>
      </c>
      <c r="E1441" s="8" t="s">
        <v>41</v>
      </c>
      <c r="F1441" s="8" t="s">
        <v>5868</v>
      </c>
      <c r="G1441" s="8" t="s">
        <v>1701</v>
      </c>
      <c r="H1441" s="8">
        <v>1</v>
      </c>
      <c r="I1441" s="8">
        <v>1</v>
      </c>
      <c r="J1441" s="8" t="s">
        <v>7568</v>
      </c>
      <c r="K1441" s="8" t="s">
        <v>332</v>
      </c>
      <c r="L1441" s="9">
        <v>46319</v>
      </c>
      <c r="M1441" s="8" t="s">
        <v>5864</v>
      </c>
      <c r="N1441" s="8" t="s">
        <v>5870</v>
      </c>
    </row>
    <row r="1442" spans="1:14" ht="40" customHeight="1">
      <c r="A1442" s="4" t="s">
        <v>7569</v>
      </c>
      <c r="B1442" s="4" t="s">
        <v>326</v>
      </c>
      <c r="C1442" s="4" t="s">
        <v>327</v>
      </c>
      <c r="D1442" s="4" t="s">
        <v>5867</v>
      </c>
      <c r="E1442" s="4" t="s">
        <v>41</v>
      </c>
      <c r="F1442" s="4" t="s">
        <v>5872</v>
      </c>
      <c r="G1442" s="4" t="s">
        <v>1701</v>
      </c>
      <c r="H1442" s="4">
        <v>1</v>
      </c>
      <c r="I1442" s="4">
        <v>1</v>
      </c>
      <c r="J1442" s="4" t="s">
        <v>7570</v>
      </c>
      <c r="K1442" s="4" t="s">
        <v>332</v>
      </c>
      <c r="L1442" s="6">
        <v>46319</v>
      </c>
      <c r="M1442" s="4" t="s">
        <v>5864</v>
      </c>
      <c r="N1442" s="4" t="s">
        <v>5870</v>
      </c>
    </row>
    <row r="1443" spans="1:14" ht="40" customHeight="1">
      <c r="A1443" s="8" t="s">
        <v>7571</v>
      </c>
      <c r="B1443" s="8" t="s">
        <v>326</v>
      </c>
      <c r="C1443" s="8" t="s">
        <v>327</v>
      </c>
      <c r="D1443" s="8" t="s">
        <v>5867</v>
      </c>
      <c r="E1443" s="8" t="s">
        <v>41</v>
      </c>
      <c r="F1443" s="8" t="s">
        <v>5875</v>
      </c>
      <c r="G1443" s="8" t="s">
        <v>1701</v>
      </c>
      <c r="H1443" s="8">
        <v>1</v>
      </c>
      <c r="I1443" s="8">
        <v>1</v>
      </c>
      <c r="J1443" s="8" t="s">
        <v>7572</v>
      </c>
      <c r="K1443" s="8" t="s">
        <v>332</v>
      </c>
      <c r="L1443" s="9">
        <v>46319</v>
      </c>
      <c r="M1443" s="8" t="s">
        <v>5864</v>
      </c>
      <c r="N1443" s="8" t="s">
        <v>5870</v>
      </c>
    </row>
    <row r="1444" spans="1:14" ht="40" customHeight="1">
      <c r="A1444" s="4" t="s">
        <v>7573</v>
      </c>
      <c r="B1444" s="4" t="s">
        <v>326</v>
      </c>
      <c r="C1444" s="4" t="s">
        <v>327</v>
      </c>
      <c r="D1444" s="4" t="s">
        <v>5867</v>
      </c>
      <c r="E1444" s="4" t="s">
        <v>41</v>
      </c>
      <c r="F1444" s="4" t="s">
        <v>6118</v>
      </c>
      <c r="G1444" s="4" t="s">
        <v>1701</v>
      </c>
      <c r="H1444" s="4">
        <v>1</v>
      </c>
      <c r="I1444" s="4">
        <v>1</v>
      </c>
      <c r="J1444" s="4" t="s">
        <v>7574</v>
      </c>
      <c r="K1444" s="4" t="s">
        <v>332</v>
      </c>
      <c r="L1444" s="6">
        <v>46319</v>
      </c>
      <c r="M1444" s="4" t="s">
        <v>5864</v>
      </c>
      <c r="N1444" s="4" t="s">
        <v>5870</v>
      </c>
    </row>
    <row r="1445" spans="1:14" ht="40" customHeight="1">
      <c r="A1445" s="8" t="s">
        <v>7575</v>
      </c>
      <c r="B1445" s="8" t="s">
        <v>326</v>
      </c>
      <c r="C1445" s="8" t="s">
        <v>327</v>
      </c>
      <c r="D1445" s="8" t="s">
        <v>5867</v>
      </c>
      <c r="E1445" s="8" t="s">
        <v>41</v>
      </c>
      <c r="F1445" s="8" t="s">
        <v>6121</v>
      </c>
      <c r="G1445" s="8" t="s">
        <v>1701</v>
      </c>
      <c r="H1445" s="8">
        <v>1</v>
      </c>
      <c r="I1445" s="8">
        <v>1</v>
      </c>
      <c r="J1445" s="8" t="s">
        <v>7576</v>
      </c>
      <c r="K1445" s="8" t="s">
        <v>332</v>
      </c>
      <c r="L1445" s="9">
        <v>46319</v>
      </c>
      <c r="M1445" s="8" t="s">
        <v>5864</v>
      </c>
      <c r="N1445" s="8" t="s">
        <v>5870</v>
      </c>
    </row>
    <row r="1446" spans="1:14" ht="40" customHeight="1">
      <c r="A1446" s="4" t="s">
        <v>7577</v>
      </c>
      <c r="B1446" s="4" t="s">
        <v>326</v>
      </c>
      <c r="C1446" s="4" t="s">
        <v>327</v>
      </c>
      <c r="D1446" s="4" t="s">
        <v>5867</v>
      </c>
      <c r="E1446" s="4" t="s">
        <v>41</v>
      </c>
      <c r="F1446" s="4" t="s">
        <v>6124</v>
      </c>
      <c r="G1446" s="4" t="s">
        <v>1701</v>
      </c>
      <c r="H1446" s="4">
        <v>1</v>
      </c>
      <c r="I1446" s="4">
        <v>1</v>
      </c>
      <c r="J1446" s="4" t="s">
        <v>7578</v>
      </c>
      <c r="K1446" s="4" t="s">
        <v>332</v>
      </c>
      <c r="L1446" s="6">
        <v>46319</v>
      </c>
      <c r="M1446" s="4" t="s">
        <v>5864</v>
      </c>
      <c r="N1446" s="4" t="s">
        <v>5870</v>
      </c>
    </row>
    <row r="1447" spans="1:14" ht="40" customHeight="1">
      <c r="A1447" s="8" t="s">
        <v>7579</v>
      </c>
      <c r="B1447" s="8" t="s">
        <v>326</v>
      </c>
      <c r="C1447" s="8" t="s">
        <v>327</v>
      </c>
      <c r="D1447" s="8" t="s">
        <v>5867</v>
      </c>
      <c r="E1447" s="8" t="s">
        <v>41</v>
      </c>
      <c r="F1447" s="8" t="s">
        <v>7580</v>
      </c>
      <c r="G1447" s="8" t="s">
        <v>1701</v>
      </c>
      <c r="H1447" s="8">
        <v>1</v>
      </c>
      <c r="I1447" s="8">
        <v>1</v>
      </c>
      <c r="J1447" s="8" t="s">
        <v>7581</v>
      </c>
      <c r="K1447" s="8" t="s">
        <v>332</v>
      </c>
      <c r="L1447" s="9">
        <v>46319</v>
      </c>
      <c r="M1447" s="8" t="s">
        <v>5864</v>
      </c>
      <c r="N1447" s="8" t="s">
        <v>5870</v>
      </c>
    </row>
    <row r="1448" spans="1:14" ht="40" customHeight="1">
      <c r="A1448" s="4" t="s">
        <v>7582</v>
      </c>
      <c r="B1448" s="4" t="s">
        <v>326</v>
      </c>
      <c r="C1448" s="4" t="s">
        <v>327</v>
      </c>
      <c r="D1448" s="4" t="s">
        <v>5867</v>
      </c>
      <c r="E1448" s="4" t="s">
        <v>41</v>
      </c>
      <c r="F1448" s="4" t="s">
        <v>6130</v>
      </c>
      <c r="G1448" s="4" t="s">
        <v>1701</v>
      </c>
      <c r="H1448" s="4">
        <v>1</v>
      </c>
      <c r="I1448" s="4">
        <v>1</v>
      </c>
      <c r="J1448" s="4" t="s">
        <v>7583</v>
      </c>
      <c r="K1448" s="4" t="s">
        <v>332</v>
      </c>
      <c r="L1448" s="6">
        <v>46319</v>
      </c>
      <c r="M1448" s="4" t="s">
        <v>5864</v>
      </c>
      <c r="N1448" s="4" t="s">
        <v>5870</v>
      </c>
    </row>
    <row r="1449" spans="1:14" ht="40" customHeight="1">
      <c r="A1449" s="8" t="s">
        <v>7584</v>
      </c>
      <c r="B1449" s="8" t="s">
        <v>326</v>
      </c>
      <c r="C1449" s="8" t="s">
        <v>327</v>
      </c>
      <c r="D1449" s="8" t="s">
        <v>637</v>
      </c>
      <c r="E1449" s="8" t="s">
        <v>41</v>
      </c>
      <c r="F1449" s="8" t="s">
        <v>904</v>
      </c>
      <c r="G1449" s="8" t="s">
        <v>1701</v>
      </c>
      <c r="H1449" s="8">
        <v>1</v>
      </c>
      <c r="I1449" s="8">
        <v>1</v>
      </c>
      <c r="J1449" s="8" t="s">
        <v>1699</v>
      </c>
      <c r="K1449" s="8" t="s">
        <v>332</v>
      </c>
      <c r="L1449" s="9">
        <v>46319</v>
      </c>
      <c r="M1449" s="8" t="s">
        <v>5864</v>
      </c>
      <c r="N1449" s="8" t="s">
        <v>6087</v>
      </c>
    </row>
    <row r="1450" spans="1:14" ht="40" customHeight="1">
      <c r="A1450" s="4" t="s">
        <v>7585</v>
      </c>
      <c r="B1450" s="4" t="s">
        <v>326</v>
      </c>
      <c r="C1450" s="4" t="s">
        <v>327</v>
      </c>
      <c r="D1450" s="4" t="s">
        <v>637</v>
      </c>
      <c r="E1450" s="4" t="s">
        <v>41</v>
      </c>
      <c r="F1450" s="4" t="s">
        <v>988</v>
      </c>
      <c r="G1450" s="4" t="s">
        <v>1701</v>
      </c>
      <c r="H1450" s="4">
        <v>1</v>
      </c>
      <c r="I1450" s="4">
        <v>1</v>
      </c>
      <c r="J1450" s="4" t="s">
        <v>1703</v>
      </c>
      <c r="K1450" s="4" t="s">
        <v>332</v>
      </c>
      <c r="L1450" s="6">
        <v>46319</v>
      </c>
      <c r="M1450" s="4" t="s">
        <v>5864</v>
      </c>
      <c r="N1450" s="4" t="s">
        <v>5870</v>
      </c>
    </row>
    <row r="1451" spans="1:14" ht="40" customHeight="1">
      <c r="A1451" s="8" t="s">
        <v>7586</v>
      </c>
      <c r="B1451" s="8" t="s">
        <v>326</v>
      </c>
      <c r="C1451" s="8" t="s">
        <v>327</v>
      </c>
      <c r="D1451" s="8" t="s">
        <v>637</v>
      </c>
      <c r="E1451" s="8" t="s">
        <v>41</v>
      </c>
      <c r="F1451" s="8" t="s">
        <v>992</v>
      </c>
      <c r="G1451" s="8" t="s">
        <v>1701</v>
      </c>
      <c r="H1451" s="8">
        <v>1</v>
      </c>
      <c r="I1451" s="8">
        <v>1</v>
      </c>
      <c r="J1451" s="8" t="s">
        <v>1706</v>
      </c>
      <c r="K1451" s="8" t="s">
        <v>332</v>
      </c>
      <c r="L1451" s="9">
        <v>46319</v>
      </c>
      <c r="M1451" s="8" t="s">
        <v>5864</v>
      </c>
      <c r="N1451" s="8" t="s">
        <v>5870</v>
      </c>
    </row>
    <row r="1452" spans="1:14" ht="40" customHeight="1">
      <c r="A1452" s="4" t="s">
        <v>7587</v>
      </c>
      <c r="B1452" s="4" t="s">
        <v>326</v>
      </c>
      <c r="C1452" s="4" t="s">
        <v>327</v>
      </c>
      <c r="D1452" s="4" t="s">
        <v>637</v>
      </c>
      <c r="E1452" s="4" t="s">
        <v>41</v>
      </c>
      <c r="F1452" s="4" t="s">
        <v>1055</v>
      </c>
      <c r="G1452" s="4" t="s">
        <v>1701</v>
      </c>
      <c r="H1452" s="4">
        <v>1</v>
      </c>
      <c r="I1452" s="4">
        <v>1</v>
      </c>
      <c r="J1452" s="4" t="s">
        <v>1709</v>
      </c>
      <c r="K1452" s="4" t="s">
        <v>332</v>
      </c>
      <c r="L1452" s="6">
        <v>46319</v>
      </c>
      <c r="M1452" s="4" t="s">
        <v>5864</v>
      </c>
      <c r="N1452" s="4" t="s">
        <v>6087</v>
      </c>
    </row>
    <row r="1453" spans="1:14" ht="40" customHeight="1">
      <c r="A1453" s="8" t="s">
        <v>7588</v>
      </c>
      <c r="B1453" s="8" t="s">
        <v>326</v>
      </c>
      <c r="C1453" s="8" t="s">
        <v>327</v>
      </c>
      <c r="D1453" s="8" t="s">
        <v>637</v>
      </c>
      <c r="E1453" s="8" t="s">
        <v>41</v>
      </c>
      <c r="F1453" s="8" t="s">
        <v>1221</v>
      </c>
      <c r="G1453" s="8" t="s">
        <v>1701</v>
      </c>
      <c r="H1453" s="8">
        <v>1</v>
      </c>
      <c r="I1453" s="8">
        <v>1</v>
      </c>
      <c r="J1453" s="8" t="s">
        <v>1712</v>
      </c>
      <c r="K1453" s="8" t="s">
        <v>332</v>
      </c>
      <c r="L1453" s="9">
        <v>46319</v>
      </c>
      <c r="M1453" s="8" t="s">
        <v>5864</v>
      </c>
      <c r="N1453" s="8" t="s">
        <v>5870</v>
      </c>
    </row>
    <row r="1454" spans="1:14" ht="40" customHeight="1">
      <c r="A1454" s="4" t="s">
        <v>7589</v>
      </c>
      <c r="B1454" s="4" t="s">
        <v>326</v>
      </c>
      <c r="C1454" s="4" t="s">
        <v>327</v>
      </c>
      <c r="D1454" s="4" t="s">
        <v>637</v>
      </c>
      <c r="E1454" s="4" t="s">
        <v>41</v>
      </c>
      <c r="F1454" s="4" t="s">
        <v>1225</v>
      </c>
      <c r="G1454" s="4" t="s">
        <v>1701</v>
      </c>
      <c r="H1454" s="4">
        <v>1</v>
      </c>
      <c r="I1454" s="4">
        <v>1</v>
      </c>
      <c r="J1454" s="4" t="s">
        <v>1715</v>
      </c>
      <c r="K1454" s="4" t="s">
        <v>332</v>
      </c>
      <c r="L1454" s="6">
        <v>46319</v>
      </c>
      <c r="M1454" s="4" t="s">
        <v>5864</v>
      </c>
      <c r="N1454" s="4" t="s">
        <v>5870</v>
      </c>
    </row>
    <row r="1455" spans="1:14" ht="40" customHeight="1">
      <c r="A1455" s="8" t="s">
        <v>7590</v>
      </c>
      <c r="B1455" s="8" t="s">
        <v>326</v>
      </c>
      <c r="C1455" s="8" t="s">
        <v>327</v>
      </c>
      <c r="D1455" s="8" t="s">
        <v>637</v>
      </c>
      <c r="E1455" s="8" t="s">
        <v>41</v>
      </c>
      <c r="F1455" s="8" t="s">
        <v>1229</v>
      </c>
      <c r="G1455" s="8" t="s">
        <v>1701</v>
      </c>
      <c r="H1455" s="8">
        <v>1</v>
      </c>
      <c r="I1455" s="8">
        <v>1</v>
      </c>
      <c r="J1455" s="8" t="s">
        <v>1718</v>
      </c>
      <c r="K1455" s="8" t="s">
        <v>332</v>
      </c>
      <c r="L1455" s="9">
        <v>46319</v>
      </c>
      <c r="M1455" s="8" t="s">
        <v>5864</v>
      </c>
      <c r="N1455" s="8" t="s">
        <v>5870</v>
      </c>
    </row>
    <row r="1456" spans="1:14" ht="40" customHeight="1">
      <c r="A1456" s="4" t="s">
        <v>5363</v>
      </c>
      <c r="B1456" s="4" t="s">
        <v>326</v>
      </c>
      <c r="C1456" s="4" t="s">
        <v>327</v>
      </c>
      <c r="D1456" s="4" t="s">
        <v>7</v>
      </c>
      <c r="E1456" s="4" t="s">
        <v>5364</v>
      </c>
      <c r="F1456" s="4" t="s">
        <v>6150</v>
      </c>
      <c r="G1456" s="4" t="s">
        <v>1701</v>
      </c>
      <c r="H1456" s="4">
        <v>1</v>
      </c>
      <c r="I1456" s="4">
        <v>1</v>
      </c>
      <c r="J1456" s="4" t="s">
        <v>5364</v>
      </c>
      <c r="K1456" s="4" t="s">
        <v>332</v>
      </c>
      <c r="L1456" s="6">
        <v>46319</v>
      </c>
      <c r="M1456" s="4" t="s">
        <v>5864</v>
      </c>
      <c r="N1456" s="4" t="s">
        <v>5865</v>
      </c>
    </row>
    <row r="1457" spans="1:14" ht="40" customHeight="1">
      <c r="A1457" s="8" t="s">
        <v>5365</v>
      </c>
      <c r="B1457" s="8" t="s">
        <v>326</v>
      </c>
      <c r="C1457" s="8" t="s">
        <v>327</v>
      </c>
      <c r="D1457" s="8" t="s">
        <v>7</v>
      </c>
      <c r="E1457" s="8" t="s">
        <v>5364</v>
      </c>
      <c r="F1457" s="8" t="s">
        <v>6577</v>
      </c>
      <c r="G1457" s="8" t="s">
        <v>1701</v>
      </c>
      <c r="H1457" s="8">
        <v>1</v>
      </c>
      <c r="I1457" s="8">
        <v>1</v>
      </c>
      <c r="J1457" s="8" t="s">
        <v>5366</v>
      </c>
      <c r="K1457" s="8" t="s">
        <v>332</v>
      </c>
      <c r="L1457" s="9">
        <v>46319</v>
      </c>
      <c r="M1457" s="8" t="s">
        <v>5864</v>
      </c>
      <c r="N1457" s="8" t="s">
        <v>5870</v>
      </c>
    </row>
    <row r="1458" spans="1:14" ht="40" customHeight="1">
      <c r="A1458" s="4" t="s">
        <v>5367</v>
      </c>
      <c r="B1458" s="4" t="s">
        <v>326</v>
      </c>
      <c r="C1458" s="4" t="s">
        <v>327</v>
      </c>
      <c r="D1458" s="4" t="s">
        <v>7</v>
      </c>
      <c r="E1458" s="4" t="s">
        <v>5364</v>
      </c>
      <c r="F1458" s="4" t="s">
        <v>6578</v>
      </c>
      <c r="G1458" s="4" t="s">
        <v>1701</v>
      </c>
      <c r="H1458" s="4">
        <v>1</v>
      </c>
      <c r="I1458" s="4">
        <v>1</v>
      </c>
      <c r="J1458" s="4" t="s">
        <v>5368</v>
      </c>
      <c r="K1458" s="4" t="s">
        <v>332</v>
      </c>
      <c r="L1458" s="6">
        <v>46319</v>
      </c>
      <c r="M1458" s="4" t="s">
        <v>5864</v>
      </c>
      <c r="N1458" s="4" t="s">
        <v>5870</v>
      </c>
    </row>
    <row r="1459" spans="1:14" ht="40" customHeight="1">
      <c r="A1459" s="8" t="s">
        <v>5369</v>
      </c>
      <c r="B1459" s="8" t="s">
        <v>326</v>
      </c>
      <c r="C1459" s="8" t="s">
        <v>327</v>
      </c>
      <c r="D1459" s="8" t="s">
        <v>7</v>
      </c>
      <c r="E1459" s="8" t="s">
        <v>5364</v>
      </c>
      <c r="F1459" s="8" t="s">
        <v>6579</v>
      </c>
      <c r="G1459" s="8" t="s">
        <v>1701</v>
      </c>
      <c r="H1459" s="8">
        <v>1</v>
      </c>
      <c r="I1459" s="8">
        <v>1</v>
      </c>
      <c r="J1459" s="8" t="s">
        <v>5370</v>
      </c>
      <c r="K1459" s="8" t="s">
        <v>332</v>
      </c>
      <c r="L1459" s="9">
        <v>46319</v>
      </c>
      <c r="M1459" s="8" t="s">
        <v>5864</v>
      </c>
      <c r="N1459" s="8" t="s">
        <v>5870</v>
      </c>
    </row>
    <row r="1460" spans="1:14" ht="40" customHeight="1">
      <c r="A1460" s="4" t="s">
        <v>5371</v>
      </c>
      <c r="B1460" s="4" t="s">
        <v>326</v>
      </c>
      <c r="C1460" s="4" t="s">
        <v>327</v>
      </c>
      <c r="D1460" s="4" t="s">
        <v>7</v>
      </c>
      <c r="E1460" s="4" t="s">
        <v>5364</v>
      </c>
      <c r="F1460" s="4" t="s">
        <v>6580</v>
      </c>
      <c r="G1460" s="4" t="s">
        <v>1701</v>
      </c>
      <c r="H1460" s="4">
        <v>1</v>
      </c>
      <c r="I1460" s="4">
        <v>1</v>
      </c>
      <c r="J1460" s="4" t="s">
        <v>5372</v>
      </c>
      <c r="K1460" s="4" t="s">
        <v>332</v>
      </c>
      <c r="L1460" s="6">
        <v>46319</v>
      </c>
      <c r="M1460" s="4" t="s">
        <v>5864</v>
      </c>
      <c r="N1460" s="4" t="s">
        <v>5870</v>
      </c>
    </row>
    <row r="1461" spans="1:14" ht="40" customHeight="1">
      <c r="A1461" s="8" t="s">
        <v>5373</v>
      </c>
      <c r="B1461" s="8" t="s">
        <v>326</v>
      </c>
      <c r="C1461" s="8" t="s">
        <v>327</v>
      </c>
      <c r="D1461" s="8" t="s">
        <v>7</v>
      </c>
      <c r="E1461" s="8" t="s">
        <v>5364</v>
      </c>
      <c r="F1461" s="8" t="s">
        <v>6581</v>
      </c>
      <c r="G1461" s="8" t="s">
        <v>1701</v>
      </c>
      <c r="H1461" s="8">
        <v>1</v>
      </c>
      <c r="I1461" s="8">
        <v>1</v>
      </c>
      <c r="J1461" s="8" t="s">
        <v>5374</v>
      </c>
      <c r="K1461" s="8" t="s">
        <v>332</v>
      </c>
      <c r="L1461" s="9">
        <v>46319</v>
      </c>
      <c r="M1461" s="8" t="s">
        <v>5864</v>
      </c>
      <c r="N1461" s="8" t="s">
        <v>5870</v>
      </c>
    </row>
    <row r="1462" spans="1:14" ht="68" customHeight="1">
      <c r="A1462" s="4" t="s">
        <v>4350</v>
      </c>
      <c r="B1462" s="4" t="s">
        <v>326</v>
      </c>
      <c r="C1462" s="4" t="s">
        <v>327</v>
      </c>
      <c r="D1462" s="4" t="s">
        <v>5879</v>
      </c>
      <c r="E1462" s="4" t="s">
        <v>41</v>
      </c>
      <c r="F1462" s="4" t="s">
        <v>3449</v>
      </c>
      <c r="G1462" s="4" t="s">
        <v>1701</v>
      </c>
      <c r="H1462" s="4">
        <v>1</v>
      </c>
      <c r="I1462" s="4">
        <v>1</v>
      </c>
      <c r="J1462" s="4" t="s">
        <v>4351</v>
      </c>
      <c r="K1462" s="4" t="s">
        <v>332</v>
      </c>
      <c r="L1462" s="6">
        <v>46319</v>
      </c>
      <c r="M1462" s="4" t="s">
        <v>5864</v>
      </c>
      <c r="N1462" s="4" t="s">
        <v>5865</v>
      </c>
    </row>
    <row r="1463" spans="1:14" ht="68" customHeight="1">
      <c r="A1463" s="8" t="s">
        <v>4352</v>
      </c>
      <c r="B1463" s="8" t="s">
        <v>326</v>
      </c>
      <c r="C1463" s="8" t="s">
        <v>327</v>
      </c>
      <c r="D1463" s="8" t="s">
        <v>5879</v>
      </c>
      <c r="E1463" s="8" t="s">
        <v>41</v>
      </c>
      <c r="F1463" s="8" t="s">
        <v>3466</v>
      </c>
      <c r="G1463" s="8" t="s">
        <v>1701</v>
      </c>
      <c r="H1463" s="8">
        <v>1</v>
      </c>
      <c r="I1463" s="8">
        <v>1</v>
      </c>
      <c r="J1463" s="8" t="s">
        <v>4353</v>
      </c>
      <c r="K1463" s="8" t="s">
        <v>332</v>
      </c>
      <c r="L1463" s="9">
        <v>46319</v>
      </c>
      <c r="M1463" s="8" t="s">
        <v>5864</v>
      </c>
      <c r="N1463" s="8" t="s">
        <v>5865</v>
      </c>
    </row>
    <row r="1464" spans="1:14" ht="68" customHeight="1">
      <c r="A1464" s="4" t="s">
        <v>4354</v>
      </c>
      <c r="B1464" s="4" t="s">
        <v>326</v>
      </c>
      <c r="C1464" s="4" t="s">
        <v>327</v>
      </c>
      <c r="D1464" s="4" t="s">
        <v>5879</v>
      </c>
      <c r="E1464" s="4" t="s">
        <v>41</v>
      </c>
      <c r="F1464" s="4" t="s">
        <v>3469</v>
      </c>
      <c r="G1464" s="4" t="s">
        <v>1701</v>
      </c>
      <c r="H1464" s="4">
        <v>1</v>
      </c>
      <c r="I1464" s="4">
        <v>1</v>
      </c>
      <c r="J1464" s="4" t="s">
        <v>4355</v>
      </c>
      <c r="K1464" s="4" t="s">
        <v>332</v>
      </c>
      <c r="L1464" s="6">
        <v>46319</v>
      </c>
      <c r="M1464" s="4" t="s">
        <v>5864</v>
      </c>
      <c r="N1464" s="4" t="s">
        <v>5865</v>
      </c>
    </row>
    <row r="1465" spans="1:14" ht="40" customHeight="1">
      <c r="A1465" s="8" t="s">
        <v>4356</v>
      </c>
      <c r="B1465" s="8" t="s">
        <v>326</v>
      </c>
      <c r="C1465" s="8" t="s">
        <v>327</v>
      </c>
      <c r="D1465" s="8" t="s">
        <v>5879</v>
      </c>
      <c r="E1465" s="8" t="s">
        <v>41</v>
      </c>
      <c r="F1465" s="8" t="s">
        <v>3538</v>
      </c>
      <c r="G1465" s="8" t="s">
        <v>1701</v>
      </c>
      <c r="H1465" s="8">
        <v>1</v>
      </c>
      <c r="I1465" s="8">
        <v>1</v>
      </c>
      <c r="J1465" s="8" t="s">
        <v>4357</v>
      </c>
      <c r="K1465" s="8" t="s">
        <v>332</v>
      </c>
      <c r="L1465" s="9">
        <v>46319</v>
      </c>
      <c r="M1465" s="8" t="s">
        <v>5864</v>
      </c>
      <c r="N1465" s="8" t="s">
        <v>6087</v>
      </c>
    </row>
    <row r="1466" spans="1:14" ht="40" customHeight="1">
      <c r="A1466" s="4" t="s">
        <v>4358</v>
      </c>
      <c r="B1466" s="4" t="s">
        <v>326</v>
      </c>
      <c r="C1466" s="4" t="s">
        <v>327</v>
      </c>
      <c r="D1466" s="4" t="s">
        <v>5879</v>
      </c>
      <c r="E1466" s="4" t="s">
        <v>41</v>
      </c>
      <c r="F1466" s="4" t="s">
        <v>3541</v>
      </c>
      <c r="G1466" s="4" t="s">
        <v>1701</v>
      </c>
      <c r="H1466" s="4">
        <v>1</v>
      </c>
      <c r="I1466" s="4">
        <v>1</v>
      </c>
      <c r="J1466" s="4" t="s">
        <v>4359</v>
      </c>
      <c r="K1466" s="4" t="s">
        <v>332</v>
      </c>
      <c r="L1466" s="6">
        <v>46319</v>
      </c>
      <c r="M1466" s="4" t="s">
        <v>5864</v>
      </c>
      <c r="N1466" s="4" t="s">
        <v>5870</v>
      </c>
    </row>
    <row r="1467" spans="1:14" ht="40" customHeight="1">
      <c r="A1467" s="8" t="s">
        <v>4360</v>
      </c>
      <c r="B1467" s="8" t="s">
        <v>326</v>
      </c>
      <c r="C1467" s="8" t="s">
        <v>327</v>
      </c>
      <c r="D1467" s="8" t="s">
        <v>5879</v>
      </c>
      <c r="E1467" s="8" t="s">
        <v>41</v>
      </c>
      <c r="F1467" s="8" t="s">
        <v>4338</v>
      </c>
      <c r="G1467" s="8" t="s">
        <v>1701</v>
      </c>
      <c r="H1467" s="8">
        <v>1</v>
      </c>
      <c r="I1467" s="8">
        <v>1</v>
      </c>
      <c r="J1467" s="8" t="s">
        <v>4361</v>
      </c>
      <c r="K1467" s="8" t="s">
        <v>332</v>
      </c>
      <c r="L1467" s="9">
        <v>46319</v>
      </c>
      <c r="M1467" s="8" t="s">
        <v>5864</v>
      </c>
      <c r="N1467" s="8" t="s">
        <v>5870</v>
      </c>
    </row>
    <row r="1468" spans="1:14" ht="68" customHeight="1">
      <c r="A1468" s="4" t="s">
        <v>7591</v>
      </c>
      <c r="B1468" s="4" t="s">
        <v>326</v>
      </c>
      <c r="C1468" s="4" t="s">
        <v>327</v>
      </c>
      <c r="D1468" s="4" t="s">
        <v>2969</v>
      </c>
      <c r="E1468" s="4" t="s">
        <v>41</v>
      </c>
      <c r="F1468" s="4" t="s">
        <v>5881</v>
      </c>
      <c r="G1468" s="4" t="s">
        <v>1701</v>
      </c>
      <c r="H1468" s="4">
        <v>1</v>
      </c>
      <c r="I1468" s="4">
        <v>1</v>
      </c>
      <c r="J1468" s="4" t="s">
        <v>7592</v>
      </c>
      <c r="K1468" s="4" t="s">
        <v>332</v>
      </c>
      <c r="L1468" s="6">
        <v>46319</v>
      </c>
      <c r="M1468" s="4" t="s">
        <v>5864</v>
      </c>
      <c r="N1468" s="4" t="s">
        <v>5883</v>
      </c>
    </row>
    <row r="1469" spans="1:14" ht="68" customHeight="1">
      <c r="A1469" s="8" t="s">
        <v>7593</v>
      </c>
      <c r="B1469" s="8" t="s">
        <v>326</v>
      </c>
      <c r="C1469" s="8" t="s">
        <v>327</v>
      </c>
      <c r="D1469" s="8" t="s">
        <v>2969</v>
      </c>
      <c r="E1469" s="8" t="s">
        <v>41</v>
      </c>
      <c r="F1469" s="8" t="s">
        <v>5885</v>
      </c>
      <c r="G1469" s="8" t="s">
        <v>1701</v>
      </c>
      <c r="H1469" s="8">
        <v>1</v>
      </c>
      <c r="I1469" s="8">
        <v>1</v>
      </c>
      <c r="J1469" s="8" t="s">
        <v>7594</v>
      </c>
      <c r="K1469" s="8" t="s">
        <v>332</v>
      </c>
      <c r="L1469" s="9">
        <v>46319</v>
      </c>
      <c r="M1469" s="8" t="s">
        <v>5864</v>
      </c>
      <c r="N1469" s="8" t="s">
        <v>5883</v>
      </c>
    </row>
    <row r="1470" spans="1:14" ht="68" customHeight="1">
      <c r="A1470" s="4" t="s">
        <v>7595</v>
      </c>
      <c r="B1470" s="4" t="s">
        <v>326</v>
      </c>
      <c r="C1470" s="4" t="s">
        <v>327</v>
      </c>
      <c r="D1470" s="4" t="s">
        <v>2969</v>
      </c>
      <c r="E1470" s="4" t="s">
        <v>41</v>
      </c>
      <c r="F1470" s="4" t="s">
        <v>5888</v>
      </c>
      <c r="G1470" s="4" t="s">
        <v>1701</v>
      </c>
      <c r="H1470" s="4">
        <v>1</v>
      </c>
      <c r="I1470" s="4">
        <v>1</v>
      </c>
      <c r="J1470" s="4" t="s">
        <v>7596</v>
      </c>
      <c r="K1470" s="4" t="s">
        <v>332</v>
      </c>
      <c r="L1470" s="6">
        <v>46319</v>
      </c>
      <c r="M1470" s="4" t="s">
        <v>5864</v>
      </c>
      <c r="N1470" s="4" t="s">
        <v>5883</v>
      </c>
    </row>
    <row r="1471" spans="1:14" ht="68" customHeight="1">
      <c r="A1471" s="8" t="s">
        <v>7597</v>
      </c>
      <c r="B1471" s="8" t="s">
        <v>326</v>
      </c>
      <c r="C1471" s="8" t="s">
        <v>327</v>
      </c>
      <c r="D1471" s="8" t="s">
        <v>2969</v>
      </c>
      <c r="E1471" s="8" t="s">
        <v>41</v>
      </c>
      <c r="F1471" s="8" t="s">
        <v>5891</v>
      </c>
      <c r="G1471" s="8" t="s">
        <v>1701</v>
      </c>
      <c r="H1471" s="8">
        <v>1</v>
      </c>
      <c r="I1471" s="8">
        <v>1</v>
      </c>
      <c r="J1471" s="8" t="s">
        <v>7598</v>
      </c>
      <c r="K1471" s="8" t="s">
        <v>332</v>
      </c>
      <c r="L1471" s="9">
        <v>46319</v>
      </c>
      <c r="M1471" s="8" t="s">
        <v>5864</v>
      </c>
      <c r="N1471" s="8" t="s">
        <v>5883</v>
      </c>
    </row>
    <row r="1472" spans="1:14" ht="68" customHeight="1">
      <c r="A1472" s="4" t="s">
        <v>7599</v>
      </c>
      <c r="B1472" s="4" t="s">
        <v>326</v>
      </c>
      <c r="C1472" s="4" t="s">
        <v>327</v>
      </c>
      <c r="D1472" s="4" t="s">
        <v>2969</v>
      </c>
      <c r="E1472" s="4" t="s">
        <v>41</v>
      </c>
      <c r="F1472" s="4" t="s">
        <v>5894</v>
      </c>
      <c r="G1472" s="4" t="s">
        <v>1701</v>
      </c>
      <c r="H1472" s="4">
        <v>1</v>
      </c>
      <c r="I1472" s="4">
        <v>1</v>
      </c>
      <c r="J1472" s="4" t="s">
        <v>7600</v>
      </c>
      <c r="K1472" s="4" t="s">
        <v>332</v>
      </c>
      <c r="L1472" s="6">
        <v>46319</v>
      </c>
      <c r="M1472" s="4" t="s">
        <v>5864</v>
      </c>
      <c r="N1472" s="4" t="s">
        <v>5883</v>
      </c>
    </row>
    <row r="1473" spans="1:14" ht="68" customHeight="1">
      <c r="A1473" s="8" t="s">
        <v>7601</v>
      </c>
      <c r="B1473" s="8" t="s">
        <v>326</v>
      </c>
      <c r="C1473" s="8" t="s">
        <v>327</v>
      </c>
      <c r="D1473" s="8" t="s">
        <v>2969</v>
      </c>
      <c r="E1473" s="8" t="s">
        <v>41</v>
      </c>
      <c r="F1473" s="8" t="s">
        <v>5897</v>
      </c>
      <c r="G1473" s="8" t="s">
        <v>1701</v>
      </c>
      <c r="H1473" s="8">
        <v>1</v>
      </c>
      <c r="I1473" s="8">
        <v>1</v>
      </c>
      <c r="J1473" s="8" t="s">
        <v>7602</v>
      </c>
      <c r="K1473" s="8" t="s">
        <v>332</v>
      </c>
      <c r="L1473" s="9">
        <v>46319</v>
      </c>
      <c r="M1473" s="8" t="s">
        <v>5864</v>
      </c>
      <c r="N1473" s="8" t="s">
        <v>5883</v>
      </c>
    </row>
    <row r="1474" spans="1:14" ht="68" customHeight="1">
      <c r="A1474" s="4" t="s">
        <v>7603</v>
      </c>
      <c r="B1474" s="4" t="s">
        <v>326</v>
      </c>
      <c r="C1474" s="4" t="s">
        <v>327</v>
      </c>
      <c r="D1474" s="4" t="s">
        <v>2969</v>
      </c>
      <c r="E1474" s="4" t="s">
        <v>41</v>
      </c>
      <c r="F1474" s="4" t="s">
        <v>5900</v>
      </c>
      <c r="G1474" s="4" t="s">
        <v>1701</v>
      </c>
      <c r="H1474" s="4">
        <v>1</v>
      </c>
      <c r="I1474" s="4">
        <v>1</v>
      </c>
      <c r="J1474" s="4" t="s">
        <v>7604</v>
      </c>
      <c r="K1474" s="4" t="s">
        <v>332</v>
      </c>
      <c r="L1474" s="6">
        <v>46319</v>
      </c>
      <c r="M1474" s="4" t="s">
        <v>5864</v>
      </c>
      <c r="N1474" s="4" t="s">
        <v>5883</v>
      </c>
    </row>
    <row r="1475" spans="1:14" ht="82" customHeight="1">
      <c r="A1475" s="8" t="s">
        <v>7605</v>
      </c>
      <c r="B1475" s="8" t="s">
        <v>326</v>
      </c>
      <c r="C1475" s="8" t="s">
        <v>327</v>
      </c>
      <c r="D1475" s="8" t="s">
        <v>2969</v>
      </c>
      <c r="E1475" s="8" t="s">
        <v>41</v>
      </c>
      <c r="F1475" s="8" t="s">
        <v>5903</v>
      </c>
      <c r="G1475" s="8" t="s">
        <v>1701</v>
      </c>
      <c r="H1475" s="8">
        <v>1</v>
      </c>
      <c r="I1475" s="8">
        <v>1</v>
      </c>
      <c r="J1475" s="8" t="s">
        <v>7606</v>
      </c>
      <c r="K1475" s="8" t="s">
        <v>332</v>
      </c>
      <c r="L1475" s="9">
        <v>46319</v>
      </c>
      <c r="M1475" s="8" t="s">
        <v>5864</v>
      </c>
      <c r="N1475" s="8" t="s">
        <v>5883</v>
      </c>
    </row>
    <row r="1476" spans="1:14" ht="68" customHeight="1">
      <c r="A1476" s="4" t="s">
        <v>7607</v>
      </c>
      <c r="B1476" s="4" t="s">
        <v>326</v>
      </c>
      <c r="C1476" s="4" t="s">
        <v>327</v>
      </c>
      <c r="D1476" s="4" t="s">
        <v>2969</v>
      </c>
      <c r="E1476" s="4" t="s">
        <v>41</v>
      </c>
      <c r="F1476" s="4" t="s">
        <v>5906</v>
      </c>
      <c r="G1476" s="4" t="s">
        <v>1701</v>
      </c>
      <c r="H1476" s="4">
        <v>1</v>
      </c>
      <c r="I1476" s="4">
        <v>1</v>
      </c>
      <c r="J1476" s="4" t="s">
        <v>7608</v>
      </c>
      <c r="K1476" s="4" t="s">
        <v>332</v>
      </c>
      <c r="L1476" s="6">
        <v>46319</v>
      </c>
      <c r="M1476" s="4" t="s">
        <v>5864</v>
      </c>
      <c r="N1476" s="4" t="s">
        <v>5883</v>
      </c>
    </row>
    <row r="1477" spans="1:14" ht="68" customHeight="1">
      <c r="A1477" s="8" t="s">
        <v>7609</v>
      </c>
      <c r="B1477" s="8" t="s">
        <v>326</v>
      </c>
      <c r="C1477" s="8" t="s">
        <v>327</v>
      </c>
      <c r="D1477" s="8" t="s">
        <v>2969</v>
      </c>
      <c r="E1477" s="8" t="s">
        <v>41</v>
      </c>
      <c r="F1477" s="8" t="s">
        <v>5909</v>
      </c>
      <c r="G1477" s="8" t="s">
        <v>1701</v>
      </c>
      <c r="H1477" s="8">
        <v>1</v>
      </c>
      <c r="I1477" s="8">
        <v>1</v>
      </c>
      <c r="J1477" s="8" t="s">
        <v>7610</v>
      </c>
      <c r="K1477" s="8" t="s">
        <v>332</v>
      </c>
      <c r="L1477" s="9">
        <v>46319</v>
      </c>
      <c r="M1477" s="8" t="s">
        <v>5864</v>
      </c>
      <c r="N1477" s="8" t="s">
        <v>5883</v>
      </c>
    </row>
    <row r="1478" spans="1:14" ht="68" customHeight="1">
      <c r="A1478" s="4" t="s">
        <v>7611</v>
      </c>
      <c r="B1478" s="4" t="s">
        <v>326</v>
      </c>
      <c r="C1478" s="4" t="s">
        <v>327</v>
      </c>
      <c r="D1478" s="4" t="s">
        <v>2969</v>
      </c>
      <c r="E1478" s="4" t="s">
        <v>41</v>
      </c>
      <c r="F1478" s="4" t="s">
        <v>5912</v>
      </c>
      <c r="G1478" s="4" t="s">
        <v>1701</v>
      </c>
      <c r="H1478" s="4">
        <v>1</v>
      </c>
      <c r="I1478" s="4">
        <v>1</v>
      </c>
      <c r="J1478" s="4" t="s">
        <v>7612</v>
      </c>
      <c r="K1478" s="4" t="s">
        <v>332</v>
      </c>
      <c r="L1478" s="6">
        <v>46319</v>
      </c>
      <c r="M1478" s="4" t="s">
        <v>5864</v>
      </c>
      <c r="N1478" s="4" t="s">
        <v>5883</v>
      </c>
    </row>
    <row r="1479" spans="1:14" ht="68" customHeight="1">
      <c r="A1479" s="8" t="s">
        <v>7613</v>
      </c>
      <c r="B1479" s="8" t="s">
        <v>326</v>
      </c>
      <c r="C1479" s="8" t="s">
        <v>327</v>
      </c>
      <c r="D1479" s="8" t="s">
        <v>2969</v>
      </c>
      <c r="E1479" s="8" t="s">
        <v>41</v>
      </c>
      <c r="F1479" s="8" t="s">
        <v>5973</v>
      </c>
      <c r="G1479" s="8" t="s">
        <v>1701</v>
      </c>
      <c r="H1479" s="8">
        <v>1</v>
      </c>
      <c r="I1479" s="8">
        <v>1</v>
      </c>
      <c r="J1479" s="8" t="s">
        <v>7614</v>
      </c>
      <c r="K1479" s="8" t="s">
        <v>332</v>
      </c>
      <c r="L1479" s="9">
        <v>46319</v>
      </c>
      <c r="M1479" s="8" t="s">
        <v>5864</v>
      </c>
      <c r="N1479" s="8" t="s">
        <v>5883</v>
      </c>
    </row>
    <row r="1480" spans="1:14" ht="68" customHeight="1">
      <c r="A1480" s="4" t="s">
        <v>7615</v>
      </c>
      <c r="B1480" s="4" t="s">
        <v>326</v>
      </c>
      <c r="C1480" s="4" t="s">
        <v>327</v>
      </c>
      <c r="D1480" s="4" t="s">
        <v>2969</v>
      </c>
      <c r="E1480" s="4" t="s">
        <v>41</v>
      </c>
      <c r="F1480" s="4" t="s">
        <v>5976</v>
      </c>
      <c r="G1480" s="4" t="s">
        <v>1701</v>
      </c>
      <c r="H1480" s="4">
        <v>1</v>
      </c>
      <c r="I1480" s="4">
        <v>1</v>
      </c>
      <c r="J1480" s="4" t="s">
        <v>7616</v>
      </c>
      <c r="K1480" s="4" t="s">
        <v>332</v>
      </c>
      <c r="L1480" s="6">
        <v>46319</v>
      </c>
      <c r="M1480" s="4" t="s">
        <v>5864</v>
      </c>
      <c r="N1480" s="4" t="s">
        <v>5883</v>
      </c>
    </row>
    <row r="1481" spans="1:14" ht="82" customHeight="1">
      <c r="A1481" s="8" t="s">
        <v>7617</v>
      </c>
      <c r="B1481" s="8" t="s">
        <v>326</v>
      </c>
      <c r="C1481" s="8" t="s">
        <v>327</v>
      </c>
      <c r="D1481" s="8" t="s">
        <v>2969</v>
      </c>
      <c r="E1481" s="8" t="s">
        <v>41</v>
      </c>
      <c r="F1481" s="8" t="s">
        <v>5979</v>
      </c>
      <c r="G1481" s="8" t="s">
        <v>1701</v>
      </c>
      <c r="H1481" s="8">
        <v>1</v>
      </c>
      <c r="I1481" s="8">
        <v>1</v>
      </c>
      <c r="J1481" s="8" t="s">
        <v>7618</v>
      </c>
      <c r="K1481" s="8" t="s">
        <v>332</v>
      </c>
      <c r="L1481" s="9">
        <v>46319</v>
      </c>
      <c r="M1481" s="8" t="s">
        <v>5864</v>
      </c>
      <c r="N1481" s="8" t="s">
        <v>5883</v>
      </c>
    </row>
    <row r="1482" spans="1:14" ht="152" customHeight="1">
      <c r="A1482" s="4" t="s">
        <v>7619</v>
      </c>
      <c r="B1482" s="4" t="s">
        <v>335</v>
      </c>
      <c r="C1482" s="4" t="s">
        <v>336</v>
      </c>
      <c r="D1482" s="4" t="s">
        <v>5861</v>
      </c>
      <c r="E1482" s="4" t="s">
        <v>41</v>
      </c>
      <c r="F1482" s="4" t="s">
        <v>5994</v>
      </c>
      <c r="G1482" s="4" t="s">
        <v>1724</v>
      </c>
      <c r="H1482" s="4">
        <v>1</v>
      </c>
      <c r="I1482" s="4">
        <v>1</v>
      </c>
      <c r="J1482" s="4" t="s">
        <v>7620</v>
      </c>
      <c r="K1482" s="4" t="s">
        <v>341</v>
      </c>
      <c r="L1482" s="6">
        <v>46319</v>
      </c>
      <c r="M1482" s="4" t="s">
        <v>5864</v>
      </c>
      <c r="N1482" s="4" t="s">
        <v>5865</v>
      </c>
    </row>
    <row r="1483" spans="1:14" ht="96" customHeight="1">
      <c r="A1483" s="8" t="s">
        <v>7621</v>
      </c>
      <c r="B1483" s="8" t="s">
        <v>335</v>
      </c>
      <c r="C1483" s="8" t="s">
        <v>336</v>
      </c>
      <c r="D1483" s="8" t="s">
        <v>5861</v>
      </c>
      <c r="E1483" s="8" t="s">
        <v>41</v>
      </c>
      <c r="F1483" s="8" t="s">
        <v>6085</v>
      </c>
      <c r="G1483" s="8" t="s">
        <v>1724</v>
      </c>
      <c r="H1483" s="8">
        <v>1</v>
      </c>
      <c r="I1483" s="8">
        <v>1</v>
      </c>
      <c r="J1483" s="8" t="s">
        <v>7622</v>
      </c>
      <c r="K1483" s="8" t="s">
        <v>341</v>
      </c>
      <c r="L1483" s="9">
        <v>46319</v>
      </c>
      <c r="M1483" s="8" t="s">
        <v>5864</v>
      </c>
      <c r="N1483" s="8" t="s">
        <v>5865</v>
      </c>
    </row>
    <row r="1484" spans="1:14" ht="124" customHeight="1">
      <c r="A1484" s="4" t="s">
        <v>7623</v>
      </c>
      <c r="B1484" s="4" t="s">
        <v>335</v>
      </c>
      <c r="C1484" s="4" t="s">
        <v>336</v>
      </c>
      <c r="D1484" s="4" t="s">
        <v>5861</v>
      </c>
      <c r="E1484" s="4" t="s">
        <v>41</v>
      </c>
      <c r="F1484" s="4" t="s">
        <v>6089</v>
      </c>
      <c r="G1484" s="4" t="s">
        <v>1724</v>
      </c>
      <c r="H1484" s="4">
        <v>1</v>
      </c>
      <c r="I1484" s="4">
        <v>1</v>
      </c>
      <c r="J1484" s="4" t="s">
        <v>7624</v>
      </c>
      <c r="K1484" s="4" t="s">
        <v>341</v>
      </c>
      <c r="L1484" s="6">
        <v>46319</v>
      </c>
      <c r="M1484" s="4" t="s">
        <v>5864</v>
      </c>
      <c r="N1484" s="4" t="s">
        <v>5865</v>
      </c>
    </row>
    <row r="1485" spans="1:14" ht="82" customHeight="1">
      <c r="A1485" s="8" t="s">
        <v>7625</v>
      </c>
      <c r="B1485" s="8" t="s">
        <v>335</v>
      </c>
      <c r="C1485" s="8" t="s">
        <v>336</v>
      </c>
      <c r="D1485" s="8" t="s">
        <v>5861</v>
      </c>
      <c r="E1485" s="8" t="s">
        <v>41</v>
      </c>
      <c r="F1485" s="8" t="s">
        <v>7626</v>
      </c>
      <c r="G1485" s="8" t="s">
        <v>1724</v>
      </c>
      <c r="H1485" s="8">
        <v>1</v>
      </c>
      <c r="I1485" s="8">
        <v>1</v>
      </c>
      <c r="J1485" s="8" t="s">
        <v>7627</v>
      </c>
      <c r="K1485" s="8" t="s">
        <v>341</v>
      </c>
      <c r="L1485" s="9">
        <v>46319</v>
      </c>
      <c r="M1485" s="8" t="s">
        <v>5864</v>
      </c>
      <c r="N1485" s="8" t="s">
        <v>5865</v>
      </c>
    </row>
    <row r="1486" spans="1:14" ht="40" customHeight="1">
      <c r="A1486" s="4" t="s">
        <v>7628</v>
      </c>
      <c r="B1486" s="4" t="s">
        <v>335</v>
      </c>
      <c r="C1486" s="4" t="s">
        <v>336</v>
      </c>
      <c r="D1486" s="4" t="s">
        <v>5867</v>
      </c>
      <c r="E1486" s="4" t="s">
        <v>41</v>
      </c>
      <c r="F1486" s="4" t="s">
        <v>6248</v>
      </c>
      <c r="G1486" s="4" t="s">
        <v>1724</v>
      </c>
      <c r="H1486" s="4">
        <v>1</v>
      </c>
      <c r="I1486" s="4">
        <v>1</v>
      </c>
      <c r="J1486" s="4" t="s">
        <v>7629</v>
      </c>
      <c r="K1486" s="4" t="s">
        <v>341</v>
      </c>
      <c r="L1486" s="6">
        <v>46319</v>
      </c>
      <c r="M1486" s="4" t="s">
        <v>5864</v>
      </c>
      <c r="N1486" s="4" t="s">
        <v>5865</v>
      </c>
    </row>
    <row r="1487" spans="1:14" ht="40" customHeight="1">
      <c r="A1487" s="8" t="s">
        <v>7630</v>
      </c>
      <c r="B1487" s="8" t="s">
        <v>335</v>
      </c>
      <c r="C1487" s="8" t="s">
        <v>336</v>
      </c>
      <c r="D1487" s="8" t="s">
        <v>5867</v>
      </c>
      <c r="E1487" s="8" t="s">
        <v>41</v>
      </c>
      <c r="F1487" s="8" t="s">
        <v>6142</v>
      </c>
      <c r="G1487" s="8" t="s">
        <v>1724</v>
      </c>
      <c r="H1487" s="8">
        <v>1</v>
      </c>
      <c r="I1487" s="8">
        <v>1</v>
      </c>
      <c r="J1487" s="8" t="s">
        <v>7631</v>
      </c>
      <c r="K1487" s="8" t="s">
        <v>341</v>
      </c>
      <c r="L1487" s="9">
        <v>46319</v>
      </c>
      <c r="M1487" s="8" t="s">
        <v>5864</v>
      </c>
      <c r="N1487" s="8" t="s">
        <v>5865</v>
      </c>
    </row>
    <row r="1488" spans="1:14" ht="40" customHeight="1">
      <c r="A1488" s="4" t="s">
        <v>7632</v>
      </c>
      <c r="B1488" s="4" t="s">
        <v>335</v>
      </c>
      <c r="C1488" s="4" t="s">
        <v>336</v>
      </c>
      <c r="D1488" s="4" t="s">
        <v>5867</v>
      </c>
      <c r="E1488" s="4" t="s">
        <v>41</v>
      </c>
      <c r="F1488" s="4" t="s">
        <v>6391</v>
      </c>
      <c r="G1488" s="4" t="s">
        <v>1724</v>
      </c>
      <c r="H1488" s="4">
        <v>1</v>
      </c>
      <c r="I1488" s="4">
        <v>1</v>
      </c>
      <c r="J1488" s="4" t="s">
        <v>7633</v>
      </c>
      <c r="K1488" s="4" t="s">
        <v>341</v>
      </c>
      <c r="L1488" s="6">
        <v>46319</v>
      </c>
      <c r="M1488" s="4" t="s">
        <v>5864</v>
      </c>
      <c r="N1488" s="4" t="s">
        <v>5865</v>
      </c>
    </row>
    <row r="1489" spans="1:14" ht="40" customHeight="1">
      <c r="A1489" s="8" t="s">
        <v>7634</v>
      </c>
      <c r="B1489" s="8" t="s">
        <v>335</v>
      </c>
      <c r="C1489" s="8" t="s">
        <v>336</v>
      </c>
      <c r="D1489" s="8" t="s">
        <v>5867</v>
      </c>
      <c r="E1489" s="8" t="s">
        <v>41</v>
      </c>
      <c r="F1489" s="8" t="s">
        <v>6765</v>
      </c>
      <c r="G1489" s="8" t="s">
        <v>1724</v>
      </c>
      <c r="H1489" s="8">
        <v>1</v>
      </c>
      <c r="I1489" s="8">
        <v>1</v>
      </c>
      <c r="J1489" s="8" t="s">
        <v>7635</v>
      </c>
      <c r="K1489" s="8" t="s">
        <v>341</v>
      </c>
      <c r="L1489" s="9">
        <v>46319</v>
      </c>
      <c r="M1489" s="8" t="s">
        <v>5864</v>
      </c>
      <c r="N1489" s="8" t="s">
        <v>5865</v>
      </c>
    </row>
    <row r="1490" spans="1:14" ht="40" customHeight="1">
      <c r="A1490" s="4" t="s">
        <v>7636</v>
      </c>
      <c r="B1490" s="4" t="s">
        <v>335</v>
      </c>
      <c r="C1490" s="4" t="s">
        <v>336</v>
      </c>
      <c r="D1490" s="4" t="s">
        <v>637</v>
      </c>
      <c r="E1490" s="4" t="s">
        <v>41</v>
      </c>
      <c r="F1490" s="4" t="s">
        <v>920</v>
      </c>
      <c r="G1490" s="4" t="s">
        <v>1724</v>
      </c>
      <c r="H1490" s="4">
        <v>1</v>
      </c>
      <c r="I1490" s="4">
        <v>1</v>
      </c>
      <c r="J1490" s="4" t="s">
        <v>1722</v>
      </c>
      <c r="K1490" s="4" t="s">
        <v>341</v>
      </c>
      <c r="L1490" s="6">
        <v>46319</v>
      </c>
      <c r="M1490" s="4" t="s">
        <v>5864</v>
      </c>
      <c r="N1490" s="4" t="s">
        <v>5865</v>
      </c>
    </row>
    <row r="1491" spans="1:14" ht="40" customHeight="1">
      <c r="A1491" s="8" t="s">
        <v>5375</v>
      </c>
      <c r="B1491" s="8" t="s">
        <v>335</v>
      </c>
      <c r="C1491" s="8" t="s">
        <v>336</v>
      </c>
      <c r="D1491" s="8" t="s">
        <v>7</v>
      </c>
      <c r="E1491" s="8" t="s">
        <v>41</v>
      </c>
      <c r="F1491" s="8" t="s">
        <v>6212</v>
      </c>
      <c r="G1491" s="8" t="s">
        <v>1724</v>
      </c>
      <c r="H1491" s="8">
        <v>1</v>
      </c>
      <c r="I1491" s="8">
        <v>1</v>
      </c>
      <c r="J1491" s="8" t="s">
        <v>5376</v>
      </c>
      <c r="K1491" s="8" t="s">
        <v>341</v>
      </c>
      <c r="L1491" s="9">
        <v>46319</v>
      </c>
      <c r="M1491" s="8" t="s">
        <v>5864</v>
      </c>
      <c r="N1491" s="8" t="s">
        <v>5870</v>
      </c>
    </row>
    <row r="1492" spans="1:14" ht="40" customHeight="1">
      <c r="A1492" s="4" t="s">
        <v>4362</v>
      </c>
      <c r="B1492" s="4" t="s">
        <v>335</v>
      </c>
      <c r="C1492" s="4" t="s">
        <v>336</v>
      </c>
      <c r="D1492" s="4" t="s">
        <v>5879</v>
      </c>
      <c r="E1492" s="4" t="s">
        <v>41</v>
      </c>
      <c r="F1492" s="4" t="s">
        <v>3449</v>
      </c>
      <c r="G1492" s="4" t="s">
        <v>1724</v>
      </c>
      <c r="H1492" s="4">
        <v>1</v>
      </c>
      <c r="I1492" s="4">
        <v>1</v>
      </c>
      <c r="J1492" s="4" t="s">
        <v>4363</v>
      </c>
      <c r="K1492" s="4" t="s">
        <v>341</v>
      </c>
      <c r="L1492" s="6">
        <v>46319</v>
      </c>
      <c r="M1492" s="4" t="s">
        <v>5864</v>
      </c>
      <c r="N1492" s="4" t="s">
        <v>5865</v>
      </c>
    </row>
    <row r="1493" spans="1:14" ht="54" customHeight="1">
      <c r="A1493" s="8" t="s">
        <v>4364</v>
      </c>
      <c r="B1493" s="8" t="s">
        <v>335</v>
      </c>
      <c r="C1493" s="8" t="s">
        <v>336</v>
      </c>
      <c r="D1493" s="8" t="s">
        <v>5879</v>
      </c>
      <c r="E1493" s="8" t="s">
        <v>41</v>
      </c>
      <c r="F1493" s="8" t="s">
        <v>3466</v>
      </c>
      <c r="G1493" s="8" t="s">
        <v>1724</v>
      </c>
      <c r="H1493" s="8">
        <v>1</v>
      </c>
      <c r="I1493" s="8">
        <v>1</v>
      </c>
      <c r="J1493" s="8" t="s">
        <v>4365</v>
      </c>
      <c r="K1493" s="8" t="s">
        <v>341</v>
      </c>
      <c r="L1493" s="9">
        <v>46319</v>
      </c>
      <c r="M1493" s="8" t="s">
        <v>5864</v>
      </c>
      <c r="N1493" s="8" t="s">
        <v>5865</v>
      </c>
    </row>
    <row r="1494" spans="1:14" ht="54" customHeight="1">
      <c r="A1494" s="4" t="s">
        <v>7637</v>
      </c>
      <c r="B1494" s="4" t="s">
        <v>335</v>
      </c>
      <c r="C1494" s="4" t="s">
        <v>336</v>
      </c>
      <c r="D1494" s="4" t="s">
        <v>2969</v>
      </c>
      <c r="E1494" s="4" t="s">
        <v>41</v>
      </c>
      <c r="F1494" s="4" t="s">
        <v>5881</v>
      </c>
      <c r="G1494" s="4" t="s">
        <v>1724</v>
      </c>
      <c r="H1494" s="4">
        <v>1</v>
      </c>
      <c r="I1494" s="4">
        <v>1</v>
      </c>
      <c r="J1494" s="4" t="s">
        <v>7638</v>
      </c>
      <c r="K1494" s="4" t="s">
        <v>341</v>
      </c>
      <c r="L1494" s="6">
        <v>46319</v>
      </c>
      <c r="M1494" s="4" t="s">
        <v>5864</v>
      </c>
      <c r="N1494" s="4" t="s">
        <v>5883</v>
      </c>
    </row>
    <row r="1495" spans="1:14" ht="54" customHeight="1">
      <c r="A1495" s="8" t="s">
        <v>7639</v>
      </c>
      <c r="B1495" s="8" t="s">
        <v>335</v>
      </c>
      <c r="C1495" s="8" t="s">
        <v>336</v>
      </c>
      <c r="D1495" s="8" t="s">
        <v>2969</v>
      </c>
      <c r="E1495" s="8" t="s">
        <v>41</v>
      </c>
      <c r="F1495" s="8" t="s">
        <v>5885</v>
      </c>
      <c r="G1495" s="8" t="s">
        <v>1724</v>
      </c>
      <c r="H1495" s="8">
        <v>1</v>
      </c>
      <c r="I1495" s="8">
        <v>1</v>
      </c>
      <c r="J1495" s="8" t="s">
        <v>7640</v>
      </c>
      <c r="K1495" s="8" t="s">
        <v>341</v>
      </c>
      <c r="L1495" s="9">
        <v>46319</v>
      </c>
      <c r="M1495" s="8" t="s">
        <v>5864</v>
      </c>
      <c r="N1495" s="8" t="s">
        <v>5883</v>
      </c>
    </row>
    <row r="1496" spans="1:14" ht="40" customHeight="1">
      <c r="A1496" s="4" t="s">
        <v>7641</v>
      </c>
      <c r="B1496" s="4" t="s">
        <v>335</v>
      </c>
      <c r="C1496" s="4" t="s">
        <v>336</v>
      </c>
      <c r="D1496" s="4" t="s">
        <v>2969</v>
      </c>
      <c r="E1496" s="4" t="s">
        <v>41</v>
      </c>
      <c r="F1496" s="4" t="s">
        <v>5888</v>
      </c>
      <c r="G1496" s="4" t="s">
        <v>1724</v>
      </c>
      <c r="H1496" s="4">
        <v>1</v>
      </c>
      <c r="I1496" s="4">
        <v>1</v>
      </c>
      <c r="J1496" s="4" t="s">
        <v>7642</v>
      </c>
      <c r="K1496" s="4" t="s">
        <v>341</v>
      </c>
      <c r="L1496" s="6">
        <v>46319</v>
      </c>
      <c r="M1496" s="4" t="s">
        <v>5864</v>
      </c>
      <c r="N1496" s="4" t="s">
        <v>5883</v>
      </c>
    </row>
    <row r="1497" spans="1:14" ht="40" customHeight="1">
      <c r="A1497" s="8" t="s">
        <v>7643</v>
      </c>
      <c r="B1497" s="8" t="s">
        <v>335</v>
      </c>
      <c r="C1497" s="8" t="s">
        <v>336</v>
      </c>
      <c r="D1497" s="8" t="s">
        <v>2969</v>
      </c>
      <c r="E1497" s="8" t="s">
        <v>41</v>
      </c>
      <c r="F1497" s="8" t="s">
        <v>5891</v>
      </c>
      <c r="G1497" s="8" t="s">
        <v>1724</v>
      </c>
      <c r="H1497" s="8">
        <v>1</v>
      </c>
      <c r="I1497" s="8">
        <v>1</v>
      </c>
      <c r="J1497" s="8" t="s">
        <v>7644</v>
      </c>
      <c r="K1497" s="8" t="s">
        <v>341</v>
      </c>
      <c r="L1497" s="9">
        <v>46319</v>
      </c>
      <c r="M1497" s="8" t="s">
        <v>5864</v>
      </c>
      <c r="N1497" s="8" t="s">
        <v>5883</v>
      </c>
    </row>
    <row r="1498" spans="1:14" ht="40" customHeight="1">
      <c r="A1498" s="4" t="s">
        <v>7645</v>
      </c>
      <c r="B1498" s="4" t="s">
        <v>335</v>
      </c>
      <c r="C1498" s="4" t="s">
        <v>336</v>
      </c>
      <c r="D1498" s="4" t="s">
        <v>2969</v>
      </c>
      <c r="E1498" s="4" t="s">
        <v>41</v>
      </c>
      <c r="F1498" s="4" t="s">
        <v>5894</v>
      </c>
      <c r="G1498" s="4" t="s">
        <v>1724</v>
      </c>
      <c r="H1498" s="4">
        <v>1</v>
      </c>
      <c r="I1498" s="4">
        <v>1</v>
      </c>
      <c r="J1498" s="4" t="s">
        <v>7646</v>
      </c>
      <c r="K1498" s="4" t="s">
        <v>341</v>
      </c>
      <c r="L1498" s="6">
        <v>46319</v>
      </c>
      <c r="M1498" s="4" t="s">
        <v>5864</v>
      </c>
      <c r="N1498" s="4" t="s">
        <v>5883</v>
      </c>
    </row>
    <row r="1499" spans="1:14" ht="40" customHeight="1">
      <c r="A1499" s="8" t="s">
        <v>7647</v>
      </c>
      <c r="B1499" s="8" t="s">
        <v>335</v>
      </c>
      <c r="C1499" s="8" t="s">
        <v>336</v>
      </c>
      <c r="D1499" s="8" t="s">
        <v>2969</v>
      </c>
      <c r="E1499" s="8" t="s">
        <v>41</v>
      </c>
      <c r="F1499" s="8" t="s">
        <v>5897</v>
      </c>
      <c r="G1499" s="8" t="s">
        <v>1724</v>
      </c>
      <c r="H1499" s="8">
        <v>1</v>
      </c>
      <c r="I1499" s="8">
        <v>1</v>
      </c>
      <c r="J1499" s="8" t="s">
        <v>7648</v>
      </c>
      <c r="K1499" s="8" t="s">
        <v>341</v>
      </c>
      <c r="L1499" s="9">
        <v>46319</v>
      </c>
      <c r="M1499" s="8" t="s">
        <v>5864</v>
      </c>
      <c r="N1499" s="8" t="s">
        <v>5883</v>
      </c>
    </row>
    <row r="1500" spans="1:14" ht="40" customHeight="1">
      <c r="A1500" s="4" t="s">
        <v>7649</v>
      </c>
      <c r="B1500" s="4" t="s">
        <v>335</v>
      </c>
      <c r="C1500" s="4" t="s">
        <v>336</v>
      </c>
      <c r="D1500" s="4" t="s">
        <v>2969</v>
      </c>
      <c r="E1500" s="4" t="s">
        <v>41</v>
      </c>
      <c r="F1500" s="4" t="s">
        <v>5900</v>
      </c>
      <c r="G1500" s="4" t="s">
        <v>1724</v>
      </c>
      <c r="H1500" s="4">
        <v>1</v>
      </c>
      <c r="I1500" s="4">
        <v>1</v>
      </c>
      <c r="J1500" s="4" t="s">
        <v>7650</v>
      </c>
      <c r="K1500" s="4" t="s">
        <v>341</v>
      </c>
      <c r="L1500" s="6">
        <v>46319</v>
      </c>
      <c r="M1500" s="4" t="s">
        <v>5864</v>
      </c>
      <c r="N1500" s="4" t="s">
        <v>5883</v>
      </c>
    </row>
    <row r="1501" spans="1:14" ht="40" customHeight="1">
      <c r="A1501" s="8" t="s">
        <v>7651</v>
      </c>
      <c r="B1501" s="8" t="s">
        <v>335</v>
      </c>
      <c r="C1501" s="8" t="s">
        <v>336</v>
      </c>
      <c r="D1501" s="8" t="s">
        <v>2969</v>
      </c>
      <c r="E1501" s="8" t="s">
        <v>41</v>
      </c>
      <c r="F1501" s="8" t="s">
        <v>5903</v>
      </c>
      <c r="G1501" s="8" t="s">
        <v>1724</v>
      </c>
      <c r="H1501" s="8">
        <v>1</v>
      </c>
      <c r="I1501" s="8">
        <v>1</v>
      </c>
      <c r="J1501" s="8" t="s">
        <v>7652</v>
      </c>
      <c r="K1501" s="8" t="s">
        <v>341</v>
      </c>
      <c r="L1501" s="9">
        <v>46319</v>
      </c>
      <c r="M1501" s="8" t="s">
        <v>5864</v>
      </c>
      <c r="N1501" s="8" t="s">
        <v>5883</v>
      </c>
    </row>
    <row r="1502" spans="1:14" ht="40" customHeight="1">
      <c r="A1502" s="4" t="s">
        <v>7653</v>
      </c>
      <c r="B1502" s="4" t="s">
        <v>335</v>
      </c>
      <c r="C1502" s="4" t="s">
        <v>336</v>
      </c>
      <c r="D1502" s="4" t="s">
        <v>2969</v>
      </c>
      <c r="E1502" s="4" t="s">
        <v>41</v>
      </c>
      <c r="F1502" s="4" t="s">
        <v>5906</v>
      </c>
      <c r="G1502" s="4" t="s">
        <v>1724</v>
      </c>
      <c r="H1502" s="4">
        <v>1</v>
      </c>
      <c r="I1502" s="4">
        <v>1</v>
      </c>
      <c r="J1502" s="4" t="s">
        <v>7654</v>
      </c>
      <c r="K1502" s="4" t="s">
        <v>341</v>
      </c>
      <c r="L1502" s="6">
        <v>46319</v>
      </c>
      <c r="M1502" s="4" t="s">
        <v>5864</v>
      </c>
      <c r="N1502" s="4" t="s">
        <v>5883</v>
      </c>
    </row>
    <row r="1503" spans="1:14" ht="40" customHeight="1">
      <c r="A1503" s="8" t="s">
        <v>7655</v>
      </c>
      <c r="B1503" s="8" t="s">
        <v>335</v>
      </c>
      <c r="C1503" s="8" t="s">
        <v>336</v>
      </c>
      <c r="D1503" s="8" t="s">
        <v>2969</v>
      </c>
      <c r="E1503" s="8" t="s">
        <v>41</v>
      </c>
      <c r="F1503" s="8" t="s">
        <v>5909</v>
      </c>
      <c r="G1503" s="8" t="s">
        <v>1724</v>
      </c>
      <c r="H1503" s="8">
        <v>1</v>
      </c>
      <c r="I1503" s="8">
        <v>1</v>
      </c>
      <c r="J1503" s="8" t="s">
        <v>7656</v>
      </c>
      <c r="K1503" s="8" t="s">
        <v>341</v>
      </c>
      <c r="L1503" s="9">
        <v>46319</v>
      </c>
      <c r="M1503" s="8" t="s">
        <v>5864</v>
      </c>
      <c r="N1503" s="8" t="s">
        <v>5883</v>
      </c>
    </row>
    <row r="1504" spans="1:14" ht="40" customHeight="1">
      <c r="A1504" s="4" t="s">
        <v>7657</v>
      </c>
      <c r="B1504" s="4" t="s">
        <v>335</v>
      </c>
      <c r="C1504" s="4" t="s">
        <v>336</v>
      </c>
      <c r="D1504" s="4" t="s">
        <v>2969</v>
      </c>
      <c r="E1504" s="4" t="s">
        <v>41</v>
      </c>
      <c r="F1504" s="4" t="s">
        <v>5912</v>
      </c>
      <c r="G1504" s="4" t="s">
        <v>1724</v>
      </c>
      <c r="H1504" s="4">
        <v>1</v>
      </c>
      <c r="I1504" s="4">
        <v>1</v>
      </c>
      <c r="J1504" s="4" t="s">
        <v>7658</v>
      </c>
      <c r="K1504" s="4" t="s">
        <v>341</v>
      </c>
      <c r="L1504" s="6">
        <v>46319</v>
      </c>
      <c r="M1504" s="4" t="s">
        <v>5864</v>
      </c>
      <c r="N1504" s="4" t="s">
        <v>5883</v>
      </c>
    </row>
    <row r="1505" spans="1:14" ht="40" customHeight="1">
      <c r="A1505" s="8" t="s">
        <v>7659</v>
      </c>
      <c r="B1505" s="8" t="s">
        <v>335</v>
      </c>
      <c r="C1505" s="8" t="s">
        <v>336</v>
      </c>
      <c r="D1505" s="8" t="s">
        <v>2969</v>
      </c>
      <c r="E1505" s="8" t="s">
        <v>41</v>
      </c>
      <c r="F1505" s="8" t="s">
        <v>5973</v>
      </c>
      <c r="G1505" s="8" t="s">
        <v>1724</v>
      </c>
      <c r="H1505" s="8">
        <v>1</v>
      </c>
      <c r="I1505" s="8">
        <v>1</v>
      </c>
      <c r="J1505" s="8" t="s">
        <v>7660</v>
      </c>
      <c r="K1505" s="8" t="s">
        <v>341</v>
      </c>
      <c r="L1505" s="9">
        <v>46319</v>
      </c>
      <c r="M1505" s="8" t="s">
        <v>5864</v>
      </c>
      <c r="N1505" s="8" t="s">
        <v>5883</v>
      </c>
    </row>
    <row r="1506" spans="1:14" ht="82" customHeight="1">
      <c r="A1506" s="4" t="s">
        <v>7661</v>
      </c>
      <c r="B1506" s="4" t="s">
        <v>344</v>
      </c>
      <c r="C1506" s="4" t="s">
        <v>345</v>
      </c>
      <c r="D1506" s="4" t="s">
        <v>5861</v>
      </c>
      <c r="E1506" s="4" t="s">
        <v>41</v>
      </c>
      <c r="F1506" s="4" t="s">
        <v>5994</v>
      </c>
      <c r="G1506" s="4" t="s">
        <v>1729</v>
      </c>
      <c r="H1506" s="4">
        <v>1</v>
      </c>
      <c r="I1506" s="4">
        <v>1</v>
      </c>
      <c r="J1506" s="4" t="s">
        <v>7662</v>
      </c>
      <c r="K1506" s="4" t="s">
        <v>350</v>
      </c>
      <c r="L1506" s="6">
        <v>46319</v>
      </c>
      <c r="M1506" s="4" t="s">
        <v>5864</v>
      </c>
      <c r="N1506" s="4" t="s">
        <v>5865</v>
      </c>
    </row>
    <row r="1507" spans="1:14" ht="40" customHeight="1">
      <c r="A1507" s="8" t="s">
        <v>7663</v>
      </c>
      <c r="B1507" s="8" t="s">
        <v>344</v>
      </c>
      <c r="C1507" s="8" t="s">
        <v>345</v>
      </c>
      <c r="D1507" s="8" t="s">
        <v>5861</v>
      </c>
      <c r="E1507" s="8" t="s">
        <v>41</v>
      </c>
      <c r="F1507" s="8" t="s">
        <v>7664</v>
      </c>
      <c r="G1507" s="8" t="s">
        <v>1729</v>
      </c>
      <c r="H1507" s="8">
        <v>1</v>
      </c>
      <c r="I1507" s="8">
        <v>1</v>
      </c>
      <c r="J1507" s="8" t="s">
        <v>7665</v>
      </c>
      <c r="K1507" s="8" t="s">
        <v>350</v>
      </c>
      <c r="L1507" s="9">
        <v>46319</v>
      </c>
      <c r="M1507" s="8" t="s">
        <v>5864</v>
      </c>
      <c r="N1507" s="8" t="s">
        <v>6087</v>
      </c>
    </row>
    <row r="1508" spans="1:14" ht="40" customHeight="1">
      <c r="A1508" s="4" t="s">
        <v>7666</v>
      </c>
      <c r="B1508" s="4" t="s">
        <v>344</v>
      </c>
      <c r="C1508" s="4" t="s">
        <v>345</v>
      </c>
      <c r="D1508" s="4" t="s">
        <v>5861</v>
      </c>
      <c r="E1508" s="4" t="s">
        <v>41</v>
      </c>
      <c r="F1508" s="4" t="s">
        <v>7066</v>
      </c>
      <c r="G1508" s="4" t="s">
        <v>1729</v>
      </c>
      <c r="H1508" s="4">
        <v>1</v>
      </c>
      <c r="I1508" s="4">
        <v>1</v>
      </c>
      <c r="J1508" s="4" t="s">
        <v>7667</v>
      </c>
      <c r="K1508" s="4" t="s">
        <v>350</v>
      </c>
      <c r="L1508" s="6">
        <v>46319</v>
      </c>
      <c r="M1508" s="4" t="s">
        <v>5864</v>
      </c>
      <c r="N1508" s="4" t="s">
        <v>5870</v>
      </c>
    </row>
    <row r="1509" spans="1:14" ht="40" customHeight="1">
      <c r="A1509" s="8" t="s">
        <v>7668</v>
      </c>
      <c r="B1509" s="8" t="s">
        <v>344</v>
      </c>
      <c r="C1509" s="8" t="s">
        <v>345</v>
      </c>
      <c r="D1509" s="8" t="s">
        <v>5867</v>
      </c>
      <c r="E1509" s="8" t="s">
        <v>7669</v>
      </c>
      <c r="F1509" s="8" t="s">
        <v>6248</v>
      </c>
      <c r="G1509" s="8" t="s">
        <v>1729</v>
      </c>
      <c r="H1509" s="8">
        <v>1</v>
      </c>
      <c r="I1509" s="8">
        <v>1</v>
      </c>
      <c r="J1509" s="8" t="s">
        <v>7669</v>
      </c>
      <c r="K1509" s="8" t="s">
        <v>350</v>
      </c>
      <c r="L1509" s="9">
        <v>46319</v>
      </c>
      <c r="M1509" s="8" t="s">
        <v>5864</v>
      </c>
      <c r="N1509" s="8" t="s">
        <v>5865</v>
      </c>
    </row>
    <row r="1510" spans="1:14" ht="40" customHeight="1">
      <c r="A1510" s="4" t="s">
        <v>7670</v>
      </c>
      <c r="B1510" s="4" t="s">
        <v>344</v>
      </c>
      <c r="C1510" s="4" t="s">
        <v>345</v>
      </c>
      <c r="D1510" s="4" t="s">
        <v>5867</v>
      </c>
      <c r="E1510" s="4" t="s">
        <v>7669</v>
      </c>
      <c r="F1510" s="4" t="s">
        <v>7671</v>
      </c>
      <c r="G1510" s="4" t="s">
        <v>1729</v>
      </c>
      <c r="H1510" s="4">
        <v>1</v>
      </c>
      <c r="I1510" s="4">
        <v>1</v>
      </c>
      <c r="J1510" s="4" t="s">
        <v>7672</v>
      </c>
      <c r="K1510" s="4" t="s">
        <v>350</v>
      </c>
      <c r="L1510" s="6">
        <v>46319</v>
      </c>
      <c r="M1510" s="4" t="s">
        <v>5864</v>
      </c>
      <c r="N1510" s="4" t="s">
        <v>6087</v>
      </c>
    </row>
    <row r="1511" spans="1:14" ht="40" customHeight="1">
      <c r="A1511" s="8" t="s">
        <v>7673</v>
      </c>
      <c r="B1511" s="8" t="s">
        <v>344</v>
      </c>
      <c r="C1511" s="8" t="s">
        <v>345</v>
      </c>
      <c r="D1511" s="8" t="s">
        <v>5867</v>
      </c>
      <c r="E1511" s="8" t="s">
        <v>7669</v>
      </c>
      <c r="F1511" s="8" t="s">
        <v>7674</v>
      </c>
      <c r="G1511" s="8" t="s">
        <v>1729</v>
      </c>
      <c r="H1511" s="8">
        <v>1</v>
      </c>
      <c r="I1511" s="8">
        <v>1</v>
      </c>
      <c r="J1511" s="8" t="s">
        <v>7675</v>
      </c>
      <c r="K1511" s="8" t="s">
        <v>350</v>
      </c>
      <c r="L1511" s="9">
        <v>46319</v>
      </c>
      <c r="M1511" s="8" t="s">
        <v>5864</v>
      </c>
      <c r="N1511" s="8" t="s">
        <v>6087</v>
      </c>
    </row>
    <row r="1512" spans="1:14" ht="40" customHeight="1">
      <c r="A1512" s="4" t="s">
        <v>7676</v>
      </c>
      <c r="B1512" s="4" t="s">
        <v>344</v>
      </c>
      <c r="C1512" s="4" t="s">
        <v>345</v>
      </c>
      <c r="D1512" s="4" t="s">
        <v>5867</v>
      </c>
      <c r="E1512" s="4" t="s">
        <v>7669</v>
      </c>
      <c r="F1512" s="4" t="s">
        <v>7677</v>
      </c>
      <c r="G1512" s="4" t="s">
        <v>1729</v>
      </c>
      <c r="H1512" s="4">
        <v>1</v>
      </c>
      <c r="I1512" s="4">
        <v>1</v>
      </c>
      <c r="J1512" s="4" t="s">
        <v>7678</v>
      </c>
      <c r="K1512" s="4" t="s">
        <v>350</v>
      </c>
      <c r="L1512" s="6">
        <v>46319</v>
      </c>
      <c r="M1512" s="4" t="s">
        <v>5864</v>
      </c>
      <c r="N1512" s="4" t="s">
        <v>6087</v>
      </c>
    </row>
    <row r="1513" spans="1:14" ht="40" customHeight="1">
      <c r="A1513" s="8" t="s">
        <v>7679</v>
      </c>
      <c r="B1513" s="8" t="s">
        <v>344</v>
      </c>
      <c r="C1513" s="8" t="s">
        <v>345</v>
      </c>
      <c r="D1513" s="8" t="s">
        <v>5867</v>
      </c>
      <c r="E1513" s="8" t="s">
        <v>7669</v>
      </c>
      <c r="F1513" s="8" t="s">
        <v>7680</v>
      </c>
      <c r="G1513" s="8" t="s">
        <v>1729</v>
      </c>
      <c r="H1513" s="8">
        <v>1</v>
      </c>
      <c r="I1513" s="8">
        <v>1</v>
      </c>
      <c r="J1513" s="8" t="s">
        <v>7681</v>
      </c>
      <c r="K1513" s="8" t="s">
        <v>350</v>
      </c>
      <c r="L1513" s="9">
        <v>46319</v>
      </c>
      <c r="M1513" s="8" t="s">
        <v>5864</v>
      </c>
      <c r="N1513" s="8" t="s">
        <v>6087</v>
      </c>
    </row>
    <row r="1514" spans="1:14" ht="40" customHeight="1">
      <c r="A1514" s="4" t="s">
        <v>7682</v>
      </c>
      <c r="B1514" s="4" t="s">
        <v>344</v>
      </c>
      <c r="C1514" s="4" t="s">
        <v>345</v>
      </c>
      <c r="D1514" s="4" t="s">
        <v>5867</v>
      </c>
      <c r="E1514" s="4" t="s">
        <v>7669</v>
      </c>
      <c r="F1514" s="4" t="s">
        <v>7683</v>
      </c>
      <c r="G1514" s="4" t="s">
        <v>1729</v>
      </c>
      <c r="H1514" s="4">
        <v>1</v>
      </c>
      <c r="I1514" s="4">
        <v>1</v>
      </c>
      <c r="J1514" s="4" t="s">
        <v>7684</v>
      </c>
      <c r="K1514" s="4" t="s">
        <v>350</v>
      </c>
      <c r="L1514" s="6">
        <v>46319</v>
      </c>
      <c r="M1514" s="4" t="s">
        <v>5864</v>
      </c>
      <c r="N1514" s="4" t="s">
        <v>6087</v>
      </c>
    </row>
    <row r="1515" spans="1:14" ht="40" customHeight="1">
      <c r="A1515" s="8" t="s">
        <v>7685</v>
      </c>
      <c r="B1515" s="8" t="s">
        <v>344</v>
      </c>
      <c r="C1515" s="8" t="s">
        <v>345</v>
      </c>
      <c r="D1515" s="8" t="s">
        <v>5867</v>
      </c>
      <c r="E1515" s="8" t="s">
        <v>7669</v>
      </c>
      <c r="F1515" s="8" t="s">
        <v>7686</v>
      </c>
      <c r="G1515" s="8" t="s">
        <v>1729</v>
      </c>
      <c r="H1515" s="8">
        <v>1</v>
      </c>
      <c r="I1515" s="8">
        <v>1</v>
      </c>
      <c r="J1515" s="8" t="s">
        <v>7687</v>
      </c>
      <c r="K1515" s="8" t="s">
        <v>350</v>
      </c>
      <c r="L1515" s="9">
        <v>46319</v>
      </c>
      <c r="M1515" s="8" t="s">
        <v>5864</v>
      </c>
      <c r="N1515" s="8" t="s">
        <v>6087</v>
      </c>
    </row>
    <row r="1516" spans="1:14" ht="40" customHeight="1">
      <c r="A1516" s="4" t="s">
        <v>7688</v>
      </c>
      <c r="B1516" s="4" t="s">
        <v>344</v>
      </c>
      <c r="C1516" s="4" t="s">
        <v>345</v>
      </c>
      <c r="D1516" s="4" t="s">
        <v>5867</v>
      </c>
      <c r="E1516" s="4" t="s">
        <v>7669</v>
      </c>
      <c r="F1516" s="4" t="s">
        <v>7689</v>
      </c>
      <c r="G1516" s="4" t="s">
        <v>1729</v>
      </c>
      <c r="H1516" s="4">
        <v>1</v>
      </c>
      <c r="I1516" s="4">
        <v>1</v>
      </c>
      <c r="J1516" s="4" t="s">
        <v>7690</v>
      </c>
      <c r="K1516" s="4" t="s">
        <v>350</v>
      </c>
      <c r="L1516" s="6">
        <v>46319</v>
      </c>
      <c r="M1516" s="4" t="s">
        <v>5864</v>
      </c>
      <c r="N1516" s="4" t="s">
        <v>6087</v>
      </c>
    </row>
    <row r="1517" spans="1:14" ht="40" customHeight="1">
      <c r="A1517" s="8" t="s">
        <v>7691</v>
      </c>
      <c r="B1517" s="8" t="s">
        <v>344</v>
      </c>
      <c r="C1517" s="8" t="s">
        <v>345</v>
      </c>
      <c r="D1517" s="8" t="s">
        <v>5867</v>
      </c>
      <c r="E1517" s="8" t="s">
        <v>7669</v>
      </c>
      <c r="F1517" s="8" t="s">
        <v>7692</v>
      </c>
      <c r="G1517" s="8" t="s">
        <v>1729</v>
      </c>
      <c r="H1517" s="8">
        <v>1</v>
      </c>
      <c r="I1517" s="8">
        <v>1</v>
      </c>
      <c r="J1517" s="8" t="s">
        <v>7693</v>
      </c>
      <c r="K1517" s="8" t="s">
        <v>350</v>
      </c>
      <c r="L1517" s="9">
        <v>46319</v>
      </c>
      <c r="M1517" s="8" t="s">
        <v>5864</v>
      </c>
      <c r="N1517" s="8" t="s">
        <v>6087</v>
      </c>
    </row>
    <row r="1518" spans="1:14" ht="40" customHeight="1">
      <c r="A1518" s="4" t="s">
        <v>7694</v>
      </c>
      <c r="B1518" s="4" t="s">
        <v>344</v>
      </c>
      <c r="C1518" s="4" t="s">
        <v>345</v>
      </c>
      <c r="D1518" s="4" t="s">
        <v>5867</v>
      </c>
      <c r="E1518" s="4" t="s">
        <v>7669</v>
      </c>
      <c r="F1518" s="4" t="s">
        <v>7695</v>
      </c>
      <c r="G1518" s="4" t="s">
        <v>1729</v>
      </c>
      <c r="H1518" s="4">
        <v>1</v>
      </c>
      <c r="I1518" s="4">
        <v>1</v>
      </c>
      <c r="J1518" s="4" t="s">
        <v>7696</v>
      </c>
      <c r="K1518" s="4" t="s">
        <v>350</v>
      </c>
      <c r="L1518" s="6">
        <v>46319</v>
      </c>
      <c r="M1518" s="4" t="s">
        <v>5864</v>
      </c>
      <c r="N1518" s="4" t="s">
        <v>6087</v>
      </c>
    </row>
    <row r="1519" spans="1:14" ht="40" customHeight="1">
      <c r="A1519" s="8" t="s">
        <v>7697</v>
      </c>
      <c r="B1519" s="8" t="s">
        <v>344</v>
      </c>
      <c r="C1519" s="8" t="s">
        <v>345</v>
      </c>
      <c r="D1519" s="8" t="s">
        <v>5867</v>
      </c>
      <c r="E1519" s="8" t="s">
        <v>7669</v>
      </c>
      <c r="F1519" s="8" t="s">
        <v>7698</v>
      </c>
      <c r="G1519" s="8" t="s">
        <v>1729</v>
      </c>
      <c r="H1519" s="8">
        <v>1</v>
      </c>
      <c r="I1519" s="8">
        <v>1</v>
      </c>
      <c r="J1519" s="8" t="s">
        <v>7699</v>
      </c>
      <c r="K1519" s="8" t="s">
        <v>350</v>
      </c>
      <c r="L1519" s="9">
        <v>46319</v>
      </c>
      <c r="M1519" s="8" t="s">
        <v>5864</v>
      </c>
      <c r="N1519" s="8" t="s">
        <v>6087</v>
      </c>
    </row>
    <row r="1520" spans="1:14" ht="40" customHeight="1">
      <c r="A1520" s="4" t="s">
        <v>7700</v>
      </c>
      <c r="B1520" s="4" t="s">
        <v>344</v>
      </c>
      <c r="C1520" s="4" t="s">
        <v>345</v>
      </c>
      <c r="D1520" s="4" t="s">
        <v>5867</v>
      </c>
      <c r="E1520" s="4" t="s">
        <v>7669</v>
      </c>
      <c r="F1520" s="4" t="s">
        <v>7701</v>
      </c>
      <c r="G1520" s="4" t="s">
        <v>1729</v>
      </c>
      <c r="H1520" s="4">
        <v>1</v>
      </c>
      <c r="I1520" s="4">
        <v>1</v>
      </c>
      <c r="J1520" s="4" t="s">
        <v>7702</v>
      </c>
      <c r="K1520" s="4" t="s">
        <v>350</v>
      </c>
      <c r="L1520" s="6">
        <v>46319</v>
      </c>
      <c r="M1520" s="4" t="s">
        <v>5864</v>
      </c>
      <c r="N1520" s="4" t="s">
        <v>6087</v>
      </c>
    </row>
    <row r="1521" spans="1:14" ht="40" customHeight="1">
      <c r="A1521" s="8" t="s">
        <v>7703</v>
      </c>
      <c r="B1521" s="8" t="s">
        <v>344</v>
      </c>
      <c r="C1521" s="8" t="s">
        <v>345</v>
      </c>
      <c r="D1521" s="8" t="s">
        <v>5867</v>
      </c>
      <c r="E1521" s="8" t="s">
        <v>7669</v>
      </c>
      <c r="F1521" s="8" t="s">
        <v>7704</v>
      </c>
      <c r="G1521" s="8" t="s">
        <v>1729</v>
      </c>
      <c r="H1521" s="8">
        <v>1</v>
      </c>
      <c r="I1521" s="8">
        <v>1</v>
      </c>
      <c r="J1521" s="8" t="s">
        <v>7705</v>
      </c>
      <c r="K1521" s="8" t="s">
        <v>350</v>
      </c>
      <c r="L1521" s="9">
        <v>46319</v>
      </c>
      <c r="M1521" s="8" t="s">
        <v>5864</v>
      </c>
      <c r="N1521" s="8" t="s">
        <v>6087</v>
      </c>
    </row>
    <row r="1522" spans="1:14" ht="68" customHeight="1">
      <c r="A1522" s="4" t="s">
        <v>7706</v>
      </c>
      <c r="B1522" s="4" t="s">
        <v>344</v>
      </c>
      <c r="C1522" s="4" t="s">
        <v>345</v>
      </c>
      <c r="D1522" s="4" t="s">
        <v>5867</v>
      </c>
      <c r="E1522" s="4" t="s">
        <v>7669</v>
      </c>
      <c r="F1522" s="4" t="s">
        <v>6006</v>
      </c>
      <c r="G1522" s="4" t="s">
        <v>1729</v>
      </c>
      <c r="H1522" s="4">
        <v>1</v>
      </c>
      <c r="I1522" s="4">
        <v>1</v>
      </c>
      <c r="J1522" s="4" t="s">
        <v>7707</v>
      </c>
      <c r="K1522" s="4" t="s">
        <v>350</v>
      </c>
      <c r="L1522" s="6">
        <v>46319</v>
      </c>
      <c r="M1522" s="4" t="s">
        <v>5864</v>
      </c>
      <c r="N1522" s="4" t="s">
        <v>5865</v>
      </c>
    </row>
    <row r="1523" spans="1:14" ht="40" customHeight="1">
      <c r="A1523" s="8" t="s">
        <v>7708</v>
      </c>
      <c r="B1523" s="8" t="s">
        <v>344</v>
      </c>
      <c r="C1523" s="8" t="s">
        <v>345</v>
      </c>
      <c r="D1523" s="8" t="s">
        <v>5867</v>
      </c>
      <c r="E1523" s="8" t="s">
        <v>7669</v>
      </c>
      <c r="F1523" s="8" t="s">
        <v>6544</v>
      </c>
      <c r="G1523" s="8" t="s">
        <v>1729</v>
      </c>
      <c r="H1523" s="8">
        <v>1</v>
      </c>
      <c r="I1523" s="8">
        <v>1</v>
      </c>
      <c r="J1523" s="8" t="s">
        <v>7709</v>
      </c>
      <c r="K1523" s="8" t="s">
        <v>350</v>
      </c>
      <c r="L1523" s="9">
        <v>46319</v>
      </c>
      <c r="M1523" s="8" t="s">
        <v>5864</v>
      </c>
      <c r="N1523" s="8" t="s">
        <v>5865</v>
      </c>
    </row>
    <row r="1524" spans="1:14" ht="54" customHeight="1">
      <c r="A1524" s="4" t="s">
        <v>7710</v>
      </c>
      <c r="B1524" s="4" t="s">
        <v>344</v>
      </c>
      <c r="C1524" s="4" t="s">
        <v>345</v>
      </c>
      <c r="D1524" s="4" t="s">
        <v>5867</v>
      </c>
      <c r="E1524" s="4" t="s">
        <v>7669</v>
      </c>
      <c r="F1524" s="4" t="s">
        <v>6547</v>
      </c>
      <c r="G1524" s="4" t="s">
        <v>1729</v>
      </c>
      <c r="H1524" s="4">
        <v>1</v>
      </c>
      <c r="I1524" s="4">
        <v>1</v>
      </c>
      <c r="J1524" s="4" t="s">
        <v>7711</v>
      </c>
      <c r="K1524" s="4" t="s">
        <v>350</v>
      </c>
      <c r="L1524" s="6">
        <v>46319</v>
      </c>
      <c r="M1524" s="4" t="s">
        <v>5864</v>
      </c>
      <c r="N1524" s="4" t="s">
        <v>5865</v>
      </c>
    </row>
    <row r="1525" spans="1:14" ht="40" customHeight="1">
      <c r="A1525" s="8" t="s">
        <v>7712</v>
      </c>
      <c r="B1525" s="8" t="s">
        <v>344</v>
      </c>
      <c r="C1525" s="8" t="s">
        <v>345</v>
      </c>
      <c r="D1525" s="8" t="s">
        <v>5867</v>
      </c>
      <c r="E1525" s="8" t="s">
        <v>7669</v>
      </c>
      <c r="F1525" s="8" t="s">
        <v>7713</v>
      </c>
      <c r="G1525" s="8" t="s">
        <v>1729</v>
      </c>
      <c r="H1525" s="8">
        <v>1</v>
      </c>
      <c r="I1525" s="8">
        <v>1</v>
      </c>
      <c r="J1525" s="8" t="s">
        <v>7714</v>
      </c>
      <c r="K1525" s="8" t="s">
        <v>350</v>
      </c>
      <c r="L1525" s="9">
        <v>46319</v>
      </c>
      <c r="M1525" s="8" t="s">
        <v>5864</v>
      </c>
      <c r="N1525" s="8" t="s">
        <v>6087</v>
      </c>
    </row>
    <row r="1526" spans="1:14" ht="68" customHeight="1">
      <c r="A1526" s="4" t="s">
        <v>7715</v>
      </c>
      <c r="B1526" s="4" t="s">
        <v>344</v>
      </c>
      <c r="C1526" s="4" t="s">
        <v>345</v>
      </c>
      <c r="D1526" s="4" t="s">
        <v>5867</v>
      </c>
      <c r="E1526" s="4" t="s">
        <v>7669</v>
      </c>
      <c r="F1526" s="4" t="s">
        <v>7716</v>
      </c>
      <c r="G1526" s="4" t="s">
        <v>1729</v>
      </c>
      <c r="H1526" s="4">
        <v>1</v>
      </c>
      <c r="I1526" s="4">
        <v>1</v>
      </c>
      <c r="J1526" s="4" t="s">
        <v>7717</v>
      </c>
      <c r="K1526" s="4" t="s">
        <v>350</v>
      </c>
      <c r="L1526" s="6">
        <v>46319</v>
      </c>
      <c r="M1526" s="4" t="s">
        <v>5864</v>
      </c>
      <c r="N1526" s="4" t="s">
        <v>5865</v>
      </c>
    </row>
    <row r="1527" spans="1:14" ht="40" customHeight="1">
      <c r="A1527" s="8" t="s">
        <v>7718</v>
      </c>
      <c r="B1527" s="8" t="s">
        <v>344</v>
      </c>
      <c r="C1527" s="8" t="s">
        <v>345</v>
      </c>
      <c r="D1527" s="8" t="s">
        <v>637</v>
      </c>
      <c r="E1527" s="8" t="s">
        <v>41</v>
      </c>
      <c r="F1527" s="8" t="s">
        <v>926</v>
      </c>
      <c r="G1527" s="8" t="s">
        <v>1729</v>
      </c>
      <c r="H1527" s="8">
        <v>1</v>
      </c>
      <c r="I1527" s="8">
        <v>1</v>
      </c>
      <c r="J1527" s="8" t="s">
        <v>1727</v>
      </c>
      <c r="K1527" s="8" t="s">
        <v>350</v>
      </c>
      <c r="L1527" s="9">
        <v>46319</v>
      </c>
      <c r="M1527" s="8" t="s">
        <v>5864</v>
      </c>
      <c r="N1527" s="8" t="s">
        <v>5870</v>
      </c>
    </row>
    <row r="1528" spans="1:14" ht="68" customHeight="1">
      <c r="A1528" s="4" t="s">
        <v>7719</v>
      </c>
      <c r="B1528" s="4" t="s">
        <v>344</v>
      </c>
      <c r="C1528" s="4" t="s">
        <v>345</v>
      </c>
      <c r="D1528" s="4" t="s">
        <v>637</v>
      </c>
      <c r="E1528" s="4" t="s">
        <v>41</v>
      </c>
      <c r="F1528" s="4" t="s">
        <v>931</v>
      </c>
      <c r="G1528" s="4" t="s">
        <v>1729</v>
      </c>
      <c r="H1528" s="4">
        <v>1</v>
      </c>
      <c r="I1528" s="4">
        <v>1</v>
      </c>
      <c r="J1528" s="4" t="s">
        <v>1731</v>
      </c>
      <c r="K1528" s="4" t="s">
        <v>350</v>
      </c>
      <c r="L1528" s="6">
        <v>46319</v>
      </c>
      <c r="M1528" s="4" t="s">
        <v>5864</v>
      </c>
      <c r="N1528" s="4" t="s">
        <v>5870</v>
      </c>
    </row>
    <row r="1529" spans="1:14" ht="68" customHeight="1">
      <c r="A1529" s="8" t="s">
        <v>7720</v>
      </c>
      <c r="B1529" s="8" t="s">
        <v>344</v>
      </c>
      <c r="C1529" s="8" t="s">
        <v>345</v>
      </c>
      <c r="D1529" s="8" t="s">
        <v>637</v>
      </c>
      <c r="E1529" s="8" t="s">
        <v>41</v>
      </c>
      <c r="F1529" s="8" t="s">
        <v>935</v>
      </c>
      <c r="G1529" s="8" t="s">
        <v>1729</v>
      </c>
      <c r="H1529" s="8">
        <v>1</v>
      </c>
      <c r="I1529" s="8">
        <v>1</v>
      </c>
      <c r="J1529" s="8" t="s">
        <v>1734</v>
      </c>
      <c r="K1529" s="8" t="s">
        <v>350</v>
      </c>
      <c r="L1529" s="9">
        <v>46319</v>
      </c>
      <c r="M1529" s="8" t="s">
        <v>5864</v>
      </c>
      <c r="N1529" s="8" t="s">
        <v>5870</v>
      </c>
    </row>
    <row r="1530" spans="1:14" ht="40" customHeight="1">
      <c r="A1530" s="4" t="s">
        <v>7721</v>
      </c>
      <c r="B1530" s="4" t="s">
        <v>344</v>
      </c>
      <c r="C1530" s="4" t="s">
        <v>345</v>
      </c>
      <c r="D1530" s="4" t="s">
        <v>637</v>
      </c>
      <c r="E1530" s="4" t="s">
        <v>41</v>
      </c>
      <c r="F1530" s="4" t="s">
        <v>939</v>
      </c>
      <c r="G1530" s="4" t="s">
        <v>1729</v>
      </c>
      <c r="H1530" s="4">
        <v>1</v>
      </c>
      <c r="I1530" s="4">
        <v>1</v>
      </c>
      <c r="J1530" s="4" t="s">
        <v>1737</v>
      </c>
      <c r="K1530" s="4" t="s">
        <v>350</v>
      </c>
      <c r="L1530" s="6">
        <v>46319</v>
      </c>
      <c r="M1530" s="4" t="s">
        <v>5864</v>
      </c>
      <c r="N1530" s="4" t="s">
        <v>5870</v>
      </c>
    </row>
    <row r="1531" spans="1:14" ht="40" customHeight="1">
      <c r="A1531" s="8" t="s">
        <v>7722</v>
      </c>
      <c r="B1531" s="8" t="s">
        <v>344</v>
      </c>
      <c r="C1531" s="8" t="s">
        <v>345</v>
      </c>
      <c r="D1531" s="8" t="s">
        <v>637</v>
      </c>
      <c r="E1531" s="8" t="s">
        <v>41</v>
      </c>
      <c r="F1531" s="8" t="s">
        <v>943</v>
      </c>
      <c r="G1531" s="8" t="s">
        <v>1729</v>
      </c>
      <c r="H1531" s="8">
        <v>1</v>
      </c>
      <c r="I1531" s="8">
        <v>1</v>
      </c>
      <c r="J1531" s="8" t="s">
        <v>1740</v>
      </c>
      <c r="K1531" s="8" t="s">
        <v>350</v>
      </c>
      <c r="L1531" s="9">
        <v>46319</v>
      </c>
      <c r="M1531" s="8" t="s">
        <v>5864</v>
      </c>
      <c r="N1531" s="8" t="s">
        <v>5870</v>
      </c>
    </row>
    <row r="1532" spans="1:14" ht="40" customHeight="1">
      <c r="A1532" s="4" t="s">
        <v>7723</v>
      </c>
      <c r="B1532" s="4" t="s">
        <v>344</v>
      </c>
      <c r="C1532" s="4" t="s">
        <v>345</v>
      </c>
      <c r="D1532" s="4" t="s">
        <v>637</v>
      </c>
      <c r="E1532" s="4" t="s">
        <v>41</v>
      </c>
      <c r="F1532" s="4" t="s">
        <v>947</v>
      </c>
      <c r="G1532" s="4" t="s">
        <v>1729</v>
      </c>
      <c r="H1532" s="4">
        <v>1</v>
      </c>
      <c r="I1532" s="4">
        <v>1</v>
      </c>
      <c r="J1532" s="4" t="s">
        <v>1743</v>
      </c>
      <c r="K1532" s="4" t="s">
        <v>350</v>
      </c>
      <c r="L1532" s="6">
        <v>46319</v>
      </c>
      <c r="M1532" s="4" t="s">
        <v>5864</v>
      </c>
      <c r="N1532" s="4" t="s">
        <v>5870</v>
      </c>
    </row>
    <row r="1533" spans="1:14" ht="54" customHeight="1">
      <c r="A1533" s="8" t="s">
        <v>7724</v>
      </c>
      <c r="B1533" s="8" t="s">
        <v>344</v>
      </c>
      <c r="C1533" s="8" t="s">
        <v>345</v>
      </c>
      <c r="D1533" s="8" t="s">
        <v>637</v>
      </c>
      <c r="E1533" s="8" t="s">
        <v>41</v>
      </c>
      <c r="F1533" s="8" t="s">
        <v>912</v>
      </c>
      <c r="G1533" s="8" t="s">
        <v>1729</v>
      </c>
      <c r="H1533" s="8">
        <v>1</v>
      </c>
      <c r="I1533" s="8">
        <v>1</v>
      </c>
      <c r="J1533" s="8" t="s">
        <v>1746</v>
      </c>
      <c r="K1533" s="8" t="s">
        <v>350</v>
      </c>
      <c r="L1533" s="9">
        <v>46319</v>
      </c>
      <c r="M1533" s="8" t="s">
        <v>5864</v>
      </c>
      <c r="N1533" s="8" t="s">
        <v>5865</v>
      </c>
    </row>
    <row r="1534" spans="1:14" ht="54" customHeight="1">
      <c r="A1534" s="4" t="s">
        <v>7725</v>
      </c>
      <c r="B1534" s="4" t="s">
        <v>344</v>
      </c>
      <c r="C1534" s="4" t="s">
        <v>345</v>
      </c>
      <c r="D1534" s="4" t="s">
        <v>637</v>
      </c>
      <c r="E1534" s="4" t="s">
        <v>41</v>
      </c>
      <c r="F1534" s="4" t="s">
        <v>1015</v>
      </c>
      <c r="G1534" s="4" t="s">
        <v>1729</v>
      </c>
      <c r="H1534" s="4">
        <v>1</v>
      </c>
      <c r="I1534" s="4">
        <v>1</v>
      </c>
      <c r="J1534" s="4" t="s">
        <v>1749</v>
      </c>
      <c r="K1534" s="4" t="s">
        <v>350</v>
      </c>
      <c r="L1534" s="6">
        <v>46319</v>
      </c>
      <c r="M1534" s="4" t="s">
        <v>5864</v>
      </c>
      <c r="N1534" s="4" t="s">
        <v>5865</v>
      </c>
    </row>
    <row r="1535" spans="1:14" ht="40" customHeight="1">
      <c r="A1535" s="8" t="s">
        <v>5377</v>
      </c>
      <c r="B1535" s="8" t="s">
        <v>344</v>
      </c>
      <c r="C1535" s="8" t="s">
        <v>345</v>
      </c>
      <c r="D1535" s="8" t="s">
        <v>7</v>
      </c>
      <c r="E1535" s="8" t="s">
        <v>41</v>
      </c>
      <c r="F1535" s="8" t="s">
        <v>6212</v>
      </c>
      <c r="G1535" s="8" t="s">
        <v>1729</v>
      </c>
      <c r="H1535" s="8">
        <v>1</v>
      </c>
      <c r="I1535" s="8">
        <v>1</v>
      </c>
      <c r="J1535" s="8" t="s">
        <v>5378</v>
      </c>
      <c r="K1535" s="8" t="s">
        <v>350</v>
      </c>
      <c r="L1535" s="9">
        <v>46319</v>
      </c>
      <c r="M1535" s="8" t="s">
        <v>5864</v>
      </c>
      <c r="N1535" s="8" t="s">
        <v>5870</v>
      </c>
    </row>
    <row r="1536" spans="1:14" ht="40" customHeight="1">
      <c r="A1536" s="4" t="s">
        <v>5379</v>
      </c>
      <c r="B1536" s="4" t="s">
        <v>344</v>
      </c>
      <c r="C1536" s="4" t="s">
        <v>345</v>
      </c>
      <c r="D1536" s="4" t="s">
        <v>7</v>
      </c>
      <c r="E1536" s="4" t="s">
        <v>41</v>
      </c>
      <c r="F1536" s="4" t="s">
        <v>6213</v>
      </c>
      <c r="G1536" s="4" t="s">
        <v>1729</v>
      </c>
      <c r="H1536" s="4">
        <v>1</v>
      </c>
      <c r="I1536" s="4">
        <v>1</v>
      </c>
      <c r="J1536" s="4" t="s">
        <v>5380</v>
      </c>
      <c r="K1536" s="4" t="s">
        <v>350</v>
      </c>
      <c r="L1536" s="6">
        <v>46319</v>
      </c>
      <c r="M1536" s="4" t="s">
        <v>5864</v>
      </c>
      <c r="N1536" s="4" t="s">
        <v>5870</v>
      </c>
    </row>
    <row r="1537" spans="1:14" ht="40" customHeight="1">
      <c r="A1537" s="8" t="s">
        <v>5381</v>
      </c>
      <c r="B1537" s="8" t="s">
        <v>344</v>
      </c>
      <c r="C1537" s="8" t="s">
        <v>345</v>
      </c>
      <c r="D1537" s="8" t="s">
        <v>7</v>
      </c>
      <c r="E1537" s="8" t="s">
        <v>41</v>
      </c>
      <c r="F1537" s="8" t="s">
        <v>6214</v>
      </c>
      <c r="G1537" s="8" t="s">
        <v>1729</v>
      </c>
      <c r="H1537" s="8">
        <v>1</v>
      </c>
      <c r="I1537" s="8">
        <v>1</v>
      </c>
      <c r="J1537" s="8" t="s">
        <v>5382</v>
      </c>
      <c r="K1537" s="8" t="s">
        <v>350</v>
      </c>
      <c r="L1537" s="9">
        <v>46319</v>
      </c>
      <c r="M1537" s="8" t="s">
        <v>5864</v>
      </c>
      <c r="N1537" s="8" t="s">
        <v>5870</v>
      </c>
    </row>
    <row r="1538" spans="1:14" ht="40" customHeight="1">
      <c r="A1538" s="4" t="s">
        <v>5383</v>
      </c>
      <c r="B1538" s="4" t="s">
        <v>344</v>
      </c>
      <c r="C1538" s="4" t="s">
        <v>345</v>
      </c>
      <c r="D1538" s="4" t="s">
        <v>7</v>
      </c>
      <c r="E1538" s="4" t="s">
        <v>41</v>
      </c>
      <c r="F1538" s="4" t="s">
        <v>6215</v>
      </c>
      <c r="G1538" s="4" t="s">
        <v>1729</v>
      </c>
      <c r="H1538" s="4">
        <v>1</v>
      </c>
      <c r="I1538" s="4">
        <v>1</v>
      </c>
      <c r="J1538" s="4" t="s">
        <v>5384</v>
      </c>
      <c r="K1538" s="4" t="s">
        <v>350</v>
      </c>
      <c r="L1538" s="6">
        <v>46319</v>
      </c>
      <c r="M1538" s="4" t="s">
        <v>5864</v>
      </c>
      <c r="N1538" s="4" t="s">
        <v>5870</v>
      </c>
    </row>
    <row r="1539" spans="1:14" ht="40" customHeight="1">
      <c r="A1539" s="8" t="s">
        <v>5385</v>
      </c>
      <c r="B1539" s="8" t="s">
        <v>344</v>
      </c>
      <c r="C1539" s="8" t="s">
        <v>345</v>
      </c>
      <c r="D1539" s="8" t="s">
        <v>7</v>
      </c>
      <c r="E1539" s="8" t="s">
        <v>41</v>
      </c>
      <c r="F1539" s="8" t="s">
        <v>6216</v>
      </c>
      <c r="G1539" s="8" t="s">
        <v>1729</v>
      </c>
      <c r="H1539" s="8">
        <v>1</v>
      </c>
      <c r="I1539" s="8">
        <v>1</v>
      </c>
      <c r="J1539" s="8" t="s">
        <v>5386</v>
      </c>
      <c r="K1539" s="8" t="s">
        <v>350</v>
      </c>
      <c r="L1539" s="9">
        <v>46319</v>
      </c>
      <c r="M1539" s="8" t="s">
        <v>5864</v>
      </c>
      <c r="N1539" s="8" t="s">
        <v>5870</v>
      </c>
    </row>
    <row r="1540" spans="1:14" ht="40" customHeight="1">
      <c r="A1540" s="4" t="s">
        <v>5387</v>
      </c>
      <c r="B1540" s="4" t="s">
        <v>344</v>
      </c>
      <c r="C1540" s="4" t="s">
        <v>345</v>
      </c>
      <c r="D1540" s="4" t="s">
        <v>7</v>
      </c>
      <c r="E1540" s="4" t="s">
        <v>41</v>
      </c>
      <c r="F1540" s="4" t="s">
        <v>6284</v>
      </c>
      <c r="G1540" s="4" t="s">
        <v>1729</v>
      </c>
      <c r="H1540" s="4">
        <v>1</v>
      </c>
      <c r="I1540" s="4">
        <v>1</v>
      </c>
      <c r="J1540" s="4" t="s">
        <v>5388</v>
      </c>
      <c r="K1540" s="4" t="s">
        <v>350</v>
      </c>
      <c r="L1540" s="6">
        <v>46319</v>
      </c>
      <c r="M1540" s="4" t="s">
        <v>5864</v>
      </c>
      <c r="N1540" s="4" t="s">
        <v>5870</v>
      </c>
    </row>
    <row r="1541" spans="1:14" ht="40" customHeight="1">
      <c r="A1541" s="8" t="s">
        <v>5389</v>
      </c>
      <c r="B1541" s="8" t="s">
        <v>344</v>
      </c>
      <c r="C1541" s="8" t="s">
        <v>345</v>
      </c>
      <c r="D1541" s="8" t="s">
        <v>7</v>
      </c>
      <c r="E1541" s="8" t="s">
        <v>41</v>
      </c>
      <c r="F1541" s="8" t="s">
        <v>6285</v>
      </c>
      <c r="G1541" s="8" t="s">
        <v>1729</v>
      </c>
      <c r="H1541" s="8">
        <v>1</v>
      </c>
      <c r="I1541" s="8">
        <v>1</v>
      </c>
      <c r="J1541" s="8" t="s">
        <v>5390</v>
      </c>
      <c r="K1541" s="8" t="s">
        <v>350</v>
      </c>
      <c r="L1541" s="9">
        <v>46319</v>
      </c>
      <c r="M1541" s="8" t="s">
        <v>5864</v>
      </c>
      <c r="N1541" s="8" t="s">
        <v>5870</v>
      </c>
    </row>
    <row r="1542" spans="1:14" ht="40" customHeight="1">
      <c r="A1542" s="4" t="s">
        <v>5391</v>
      </c>
      <c r="B1542" s="4" t="s">
        <v>344</v>
      </c>
      <c r="C1542" s="4" t="s">
        <v>345</v>
      </c>
      <c r="D1542" s="4" t="s">
        <v>7</v>
      </c>
      <c r="E1542" s="4" t="s">
        <v>41</v>
      </c>
      <c r="F1542" s="4" t="s">
        <v>6286</v>
      </c>
      <c r="G1542" s="4" t="s">
        <v>1729</v>
      </c>
      <c r="H1542" s="4">
        <v>1</v>
      </c>
      <c r="I1542" s="4">
        <v>1</v>
      </c>
      <c r="J1542" s="4" t="s">
        <v>5392</v>
      </c>
      <c r="K1542" s="4" t="s">
        <v>350</v>
      </c>
      <c r="L1542" s="6">
        <v>46319</v>
      </c>
      <c r="M1542" s="4" t="s">
        <v>5864</v>
      </c>
      <c r="N1542" s="4" t="s">
        <v>5870</v>
      </c>
    </row>
    <row r="1543" spans="1:14" ht="40" customHeight="1">
      <c r="A1543" s="8" t="s">
        <v>5393</v>
      </c>
      <c r="B1543" s="8" t="s">
        <v>344</v>
      </c>
      <c r="C1543" s="8" t="s">
        <v>345</v>
      </c>
      <c r="D1543" s="8" t="s">
        <v>7</v>
      </c>
      <c r="E1543" s="8" t="s">
        <v>41</v>
      </c>
      <c r="F1543" s="8" t="s">
        <v>6287</v>
      </c>
      <c r="G1543" s="8" t="s">
        <v>1729</v>
      </c>
      <c r="H1543" s="8">
        <v>1</v>
      </c>
      <c r="I1543" s="8">
        <v>1</v>
      </c>
      <c r="J1543" s="8" t="s">
        <v>5394</v>
      </c>
      <c r="K1543" s="8" t="s">
        <v>350</v>
      </c>
      <c r="L1543" s="9">
        <v>46319</v>
      </c>
      <c r="M1543" s="8" t="s">
        <v>5864</v>
      </c>
      <c r="N1543" s="8" t="s">
        <v>5870</v>
      </c>
    </row>
    <row r="1544" spans="1:14" ht="40" customHeight="1">
      <c r="A1544" s="4" t="s">
        <v>4366</v>
      </c>
      <c r="B1544" s="4" t="s">
        <v>344</v>
      </c>
      <c r="C1544" s="4" t="s">
        <v>345</v>
      </c>
      <c r="D1544" s="4" t="s">
        <v>5879</v>
      </c>
      <c r="E1544" s="4" t="s">
        <v>41</v>
      </c>
      <c r="F1544" s="4" t="s">
        <v>3463</v>
      </c>
      <c r="G1544" s="4" t="s">
        <v>1729</v>
      </c>
      <c r="H1544" s="4">
        <v>1</v>
      </c>
      <c r="I1544" s="4">
        <v>1</v>
      </c>
      <c r="J1544" s="4" t="s">
        <v>3590</v>
      </c>
      <c r="K1544" s="4" t="s">
        <v>350</v>
      </c>
      <c r="L1544" s="6">
        <v>46319</v>
      </c>
      <c r="M1544" s="4" t="s">
        <v>5864</v>
      </c>
      <c r="N1544" s="4" t="s">
        <v>6087</v>
      </c>
    </row>
    <row r="1545" spans="1:14" ht="40" customHeight="1">
      <c r="A1545" s="8" t="s">
        <v>4367</v>
      </c>
      <c r="B1545" s="8" t="s">
        <v>344</v>
      </c>
      <c r="C1545" s="8" t="s">
        <v>345</v>
      </c>
      <c r="D1545" s="8" t="s">
        <v>5879</v>
      </c>
      <c r="E1545" s="8" t="s">
        <v>41</v>
      </c>
      <c r="F1545" s="8" t="s">
        <v>3454</v>
      </c>
      <c r="G1545" s="8" t="s">
        <v>1729</v>
      </c>
      <c r="H1545" s="8">
        <v>1</v>
      </c>
      <c r="I1545" s="8">
        <v>1</v>
      </c>
      <c r="J1545" s="8" t="s">
        <v>4368</v>
      </c>
      <c r="K1545" s="8" t="s">
        <v>350</v>
      </c>
      <c r="L1545" s="9">
        <v>46319</v>
      </c>
      <c r="M1545" s="8" t="s">
        <v>5864</v>
      </c>
      <c r="N1545" s="8" t="s">
        <v>5865</v>
      </c>
    </row>
    <row r="1546" spans="1:14" ht="54" customHeight="1">
      <c r="A1546" s="4" t="s">
        <v>4369</v>
      </c>
      <c r="B1546" s="4" t="s">
        <v>344</v>
      </c>
      <c r="C1546" s="4" t="s">
        <v>345</v>
      </c>
      <c r="D1546" s="4" t="s">
        <v>5879</v>
      </c>
      <c r="E1546" s="4" t="s">
        <v>41</v>
      </c>
      <c r="F1546" s="4" t="s">
        <v>3519</v>
      </c>
      <c r="G1546" s="4" t="s">
        <v>1729</v>
      </c>
      <c r="H1546" s="4">
        <v>1</v>
      </c>
      <c r="I1546" s="4">
        <v>1</v>
      </c>
      <c r="J1546" s="4" t="s">
        <v>4370</v>
      </c>
      <c r="K1546" s="4" t="s">
        <v>350</v>
      </c>
      <c r="L1546" s="6">
        <v>46319</v>
      </c>
      <c r="M1546" s="4" t="s">
        <v>5864</v>
      </c>
      <c r="N1546" s="4" t="s">
        <v>5865</v>
      </c>
    </row>
    <row r="1547" spans="1:14" ht="40" customHeight="1">
      <c r="A1547" s="8" t="s">
        <v>4371</v>
      </c>
      <c r="B1547" s="8" t="s">
        <v>344</v>
      </c>
      <c r="C1547" s="8" t="s">
        <v>345</v>
      </c>
      <c r="D1547" s="8" t="s">
        <v>5879</v>
      </c>
      <c r="E1547" s="8" t="s">
        <v>41</v>
      </c>
      <c r="F1547" s="8" t="s">
        <v>3522</v>
      </c>
      <c r="G1547" s="8" t="s">
        <v>1729</v>
      </c>
      <c r="H1547" s="8">
        <v>1</v>
      </c>
      <c r="I1547" s="8">
        <v>1</v>
      </c>
      <c r="J1547" s="8" t="s">
        <v>4372</v>
      </c>
      <c r="K1547" s="8" t="s">
        <v>350</v>
      </c>
      <c r="L1547" s="9">
        <v>46319</v>
      </c>
      <c r="M1547" s="8" t="s">
        <v>5864</v>
      </c>
      <c r="N1547" s="8" t="s">
        <v>5865</v>
      </c>
    </row>
    <row r="1548" spans="1:14" ht="40" customHeight="1">
      <c r="A1548" s="4" t="s">
        <v>4373</v>
      </c>
      <c r="B1548" s="4" t="s">
        <v>344</v>
      </c>
      <c r="C1548" s="4" t="s">
        <v>345</v>
      </c>
      <c r="D1548" s="4" t="s">
        <v>5879</v>
      </c>
      <c r="E1548" s="4" t="s">
        <v>41</v>
      </c>
      <c r="F1548" s="4" t="s">
        <v>3525</v>
      </c>
      <c r="G1548" s="4" t="s">
        <v>1729</v>
      </c>
      <c r="H1548" s="4">
        <v>1</v>
      </c>
      <c r="I1548" s="4">
        <v>1</v>
      </c>
      <c r="J1548" s="4" t="s">
        <v>4374</v>
      </c>
      <c r="K1548" s="4" t="s">
        <v>350</v>
      </c>
      <c r="L1548" s="6">
        <v>46319</v>
      </c>
      <c r="M1548" s="4" t="s">
        <v>5864</v>
      </c>
      <c r="N1548" s="4" t="s">
        <v>5865</v>
      </c>
    </row>
    <row r="1549" spans="1:14" ht="68" customHeight="1">
      <c r="A1549" s="8" t="s">
        <v>4375</v>
      </c>
      <c r="B1549" s="8" t="s">
        <v>344</v>
      </c>
      <c r="C1549" s="8" t="s">
        <v>345</v>
      </c>
      <c r="D1549" s="8" t="s">
        <v>5879</v>
      </c>
      <c r="E1549" s="8" t="s">
        <v>41</v>
      </c>
      <c r="F1549" s="8" t="s">
        <v>4377</v>
      </c>
      <c r="G1549" s="8" t="s">
        <v>1729</v>
      </c>
      <c r="H1549" s="8">
        <v>1</v>
      </c>
      <c r="I1549" s="8">
        <v>1</v>
      </c>
      <c r="J1549" s="8" t="s">
        <v>4376</v>
      </c>
      <c r="K1549" s="8" t="s">
        <v>350</v>
      </c>
      <c r="L1549" s="9">
        <v>46319</v>
      </c>
      <c r="M1549" s="8" t="s">
        <v>5864</v>
      </c>
      <c r="N1549" s="8" t="s">
        <v>5865</v>
      </c>
    </row>
    <row r="1550" spans="1:14" ht="68" customHeight="1">
      <c r="A1550" s="4" t="s">
        <v>4378</v>
      </c>
      <c r="B1550" s="4" t="s">
        <v>344</v>
      </c>
      <c r="C1550" s="4" t="s">
        <v>345</v>
      </c>
      <c r="D1550" s="4" t="s">
        <v>5879</v>
      </c>
      <c r="E1550" s="4" t="s">
        <v>41</v>
      </c>
      <c r="F1550" s="4" t="s">
        <v>4380</v>
      </c>
      <c r="G1550" s="4" t="s">
        <v>1729</v>
      </c>
      <c r="H1550" s="4">
        <v>1</v>
      </c>
      <c r="I1550" s="4">
        <v>1</v>
      </c>
      <c r="J1550" s="4" t="s">
        <v>4379</v>
      </c>
      <c r="K1550" s="4" t="s">
        <v>350</v>
      </c>
      <c r="L1550" s="6">
        <v>46319</v>
      </c>
      <c r="M1550" s="4" t="s">
        <v>5864</v>
      </c>
      <c r="N1550" s="4" t="s">
        <v>5865</v>
      </c>
    </row>
    <row r="1551" spans="1:14" ht="40" customHeight="1">
      <c r="A1551" s="8" t="s">
        <v>4381</v>
      </c>
      <c r="B1551" s="8" t="s">
        <v>344</v>
      </c>
      <c r="C1551" s="8" t="s">
        <v>345</v>
      </c>
      <c r="D1551" s="8" t="s">
        <v>5879</v>
      </c>
      <c r="E1551" s="8" t="s">
        <v>41</v>
      </c>
      <c r="F1551" s="8" t="s">
        <v>4383</v>
      </c>
      <c r="G1551" s="8" t="s">
        <v>1729</v>
      </c>
      <c r="H1551" s="8">
        <v>1</v>
      </c>
      <c r="I1551" s="8">
        <v>1</v>
      </c>
      <c r="J1551" s="8" t="s">
        <v>4382</v>
      </c>
      <c r="K1551" s="8" t="s">
        <v>350</v>
      </c>
      <c r="L1551" s="9">
        <v>46319</v>
      </c>
      <c r="M1551" s="8" t="s">
        <v>5864</v>
      </c>
      <c r="N1551" s="8" t="s">
        <v>5865</v>
      </c>
    </row>
    <row r="1552" spans="1:14" ht="68" customHeight="1">
      <c r="A1552" s="4" t="s">
        <v>4384</v>
      </c>
      <c r="B1552" s="4" t="s">
        <v>344</v>
      </c>
      <c r="C1552" s="4" t="s">
        <v>345</v>
      </c>
      <c r="D1552" s="4" t="s">
        <v>5879</v>
      </c>
      <c r="E1552" s="4" t="s">
        <v>41</v>
      </c>
      <c r="F1552" s="4" t="s">
        <v>4386</v>
      </c>
      <c r="G1552" s="4" t="s">
        <v>1729</v>
      </c>
      <c r="H1552" s="4">
        <v>1</v>
      </c>
      <c r="I1552" s="4">
        <v>1</v>
      </c>
      <c r="J1552" s="4" t="s">
        <v>4385</v>
      </c>
      <c r="K1552" s="4" t="s">
        <v>350</v>
      </c>
      <c r="L1552" s="6">
        <v>46319</v>
      </c>
      <c r="M1552" s="4" t="s">
        <v>5864</v>
      </c>
      <c r="N1552" s="4" t="s">
        <v>5865</v>
      </c>
    </row>
    <row r="1553" spans="1:14" ht="40" customHeight="1">
      <c r="A1553" s="8" t="s">
        <v>4387</v>
      </c>
      <c r="B1553" s="8" t="s">
        <v>344</v>
      </c>
      <c r="C1553" s="8" t="s">
        <v>345</v>
      </c>
      <c r="D1553" s="8" t="s">
        <v>5879</v>
      </c>
      <c r="E1553" s="8" t="s">
        <v>41</v>
      </c>
      <c r="F1553" s="8" t="s">
        <v>4389</v>
      </c>
      <c r="G1553" s="8" t="s">
        <v>1729</v>
      </c>
      <c r="H1553" s="8">
        <v>1</v>
      </c>
      <c r="I1553" s="8">
        <v>1</v>
      </c>
      <c r="J1553" s="8" t="s">
        <v>4388</v>
      </c>
      <c r="K1553" s="8" t="s">
        <v>350</v>
      </c>
      <c r="L1553" s="9">
        <v>46319</v>
      </c>
      <c r="M1553" s="8" t="s">
        <v>5864</v>
      </c>
      <c r="N1553" s="8" t="s">
        <v>5865</v>
      </c>
    </row>
    <row r="1554" spans="1:14" ht="40" customHeight="1">
      <c r="A1554" s="4" t="s">
        <v>4390</v>
      </c>
      <c r="B1554" s="4" t="s">
        <v>344</v>
      </c>
      <c r="C1554" s="4" t="s">
        <v>345</v>
      </c>
      <c r="D1554" s="4" t="s">
        <v>5879</v>
      </c>
      <c r="E1554" s="4" t="s">
        <v>41</v>
      </c>
      <c r="F1554" s="4" t="s">
        <v>4392</v>
      </c>
      <c r="G1554" s="4" t="s">
        <v>1729</v>
      </c>
      <c r="H1554" s="4">
        <v>1</v>
      </c>
      <c r="I1554" s="4">
        <v>1</v>
      </c>
      <c r="J1554" s="4" t="s">
        <v>4391</v>
      </c>
      <c r="K1554" s="4" t="s">
        <v>350</v>
      </c>
      <c r="L1554" s="6">
        <v>46319</v>
      </c>
      <c r="M1554" s="4" t="s">
        <v>5864</v>
      </c>
      <c r="N1554" s="4" t="s">
        <v>6087</v>
      </c>
    </row>
    <row r="1555" spans="1:14" ht="40" customHeight="1">
      <c r="A1555" s="8" t="s">
        <v>4393</v>
      </c>
      <c r="B1555" s="8" t="s">
        <v>344</v>
      </c>
      <c r="C1555" s="8" t="s">
        <v>345</v>
      </c>
      <c r="D1555" s="8" t="s">
        <v>5879</v>
      </c>
      <c r="E1555" s="8" t="s">
        <v>41</v>
      </c>
      <c r="F1555" s="8" t="s">
        <v>4395</v>
      </c>
      <c r="G1555" s="8" t="s">
        <v>1729</v>
      </c>
      <c r="H1555" s="8">
        <v>1</v>
      </c>
      <c r="I1555" s="8">
        <v>1</v>
      </c>
      <c r="J1555" s="8" t="s">
        <v>4394</v>
      </c>
      <c r="K1555" s="8" t="s">
        <v>350</v>
      </c>
      <c r="L1555" s="9">
        <v>46319</v>
      </c>
      <c r="M1555" s="8" t="s">
        <v>5864</v>
      </c>
      <c r="N1555" s="8" t="s">
        <v>5865</v>
      </c>
    </row>
    <row r="1556" spans="1:14" ht="40" customHeight="1">
      <c r="A1556" s="4" t="s">
        <v>4396</v>
      </c>
      <c r="B1556" s="4" t="s">
        <v>344</v>
      </c>
      <c r="C1556" s="4" t="s">
        <v>345</v>
      </c>
      <c r="D1556" s="4" t="s">
        <v>5879</v>
      </c>
      <c r="E1556" s="4" t="s">
        <v>41</v>
      </c>
      <c r="F1556" s="4" t="s">
        <v>4398</v>
      </c>
      <c r="G1556" s="4" t="s">
        <v>1729</v>
      </c>
      <c r="H1556" s="4">
        <v>1</v>
      </c>
      <c r="I1556" s="4">
        <v>1</v>
      </c>
      <c r="J1556" s="4" t="s">
        <v>4397</v>
      </c>
      <c r="K1556" s="4" t="s">
        <v>350</v>
      </c>
      <c r="L1556" s="6">
        <v>46319</v>
      </c>
      <c r="M1556" s="4" t="s">
        <v>5864</v>
      </c>
      <c r="N1556" s="4" t="s">
        <v>6087</v>
      </c>
    </row>
    <row r="1557" spans="1:14" ht="68" customHeight="1">
      <c r="A1557" s="8" t="s">
        <v>4399</v>
      </c>
      <c r="B1557" s="8" t="s">
        <v>344</v>
      </c>
      <c r="C1557" s="8" t="s">
        <v>345</v>
      </c>
      <c r="D1557" s="8" t="s">
        <v>5879</v>
      </c>
      <c r="E1557" s="8" t="s">
        <v>41</v>
      </c>
      <c r="F1557" s="8" t="s">
        <v>4401</v>
      </c>
      <c r="G1557" s="8" t="s">
        <v>1729</v>
      </c>
      <c r="H1557" s="8">
        <v>1</v>
      </c>
      <c r="I1557" s="8">
        <v>1</v>
      </c>
      <c r="J1557" s="8" t="s">
        <v>4400</v>
      </c>
      <c r="K1557" s="8" t="s">
        <v>350</v>
      </c>
      <c r="L1557" s="9">
        <v>46319</v>
      </c>
      <c r="M1557" s="8" t="s">
        <v>5864</v>
      </c>
      <c r="N1557" s="8" t="s">
        <v>5870</v>
      </c>
    </row>
    <row r="1558" spans="1:14" ht="40" customHeight="1">
      <c r="A1558" s="4" t="s">
        <v>4402</v>
      </c>
      <c r="B1558" s="4" t="s">
        <v>344</v>
      </c>
      <c r="C1558" s="4" t="s">
        <v>345</v>
      </c>
      <c r="D1558" s="4" t="s">
        <v>5879</v>
      </c>
      <c r="E1558" s="4" t="s">
        <v>41</v>
      </c>
      <c r="F1558" s="4" t="s">
        <v>4404</v>
      </c>
      <c r="G1558" s="4" t="s">
        <v>1729</v>
      </c>
      <c r="H1558" s="4">
        <v>1</v>
      </c>
      <c r="I1558" s="4">
        <v>1</v>
      </c>
      <c r="J1558" s="4" t="s">
        <v>4403</v>
      </c>
      <c r="K1558" s="4" t="s">
        <v>350</v>
      </c>
      <c r="L1558" s="6">
        <v>46319</v>
      </c>
      <c r="M1558" s="4" t="s">
        <v>5864</v>
      </c>
      <c r="N1558" s="4" t="s">
        <v>5870</v>
      </c>
    </row>
    <row r="1559" spans="1:14" ht="40" customHeight="1">
      <c r="A1559" s="8" t="s">
        <v>4405</v>
      </c>
      <c r="B1559" s="8" t="s">
        <v>344</v>
      </c>
      <c r="C1559" s="8" t="s">
        <v>345</v>
      </c>
      <c r="D1559" s="8" t="s">
        <v>5879</v>
      </c>
      <c r="E1559" s="8" t="s">
        <v>41</v>
      </c>
      <c r="F1559" s="8" t="s">
        <v>4406</v>
      </c>
      <c r="G1559" s="8" t="s">
        <v>1729</v>
      </c>
      <c r="H1559" s="8">
        <v>1</v>
      </c>
      <c r="I1559" s="8">
        <v>1</v>
      </c>
      <c r="J1559" s="8" t="s">
        <v>3097</v>
      </c>
      <c r="K1559" s="8" t="s">
        <v>350</v>
      </c>
      <c r="L1559" s="9">
        <v>46319</v>
      </c>
      <c r="M1559" s="8" t="s">
        <v>5864</v>
      </c>
      <c r="N1559" s="8" t="s">
        <v>5865</v>
      </c>
    </row>
    <row r="1560" spans="1:14" ht="110" customHeight="1">
      <c r="A1560" s="4" t="s">
        <v>7726</v>
      </c>
      <c r="B1560" s="4" t="s">
        <v>344</v>
      </c>
      <c r="C1560" s="4" t="s">
        <v>345</v>
      </c>
      <c r="D1560" s="4" t="s">
        <v>2969</v>
      </c>
      <c r="E1560" s="4" t="s">
        <v>41</v>
      </c>
      <c r="F1560" s="4" t="s">
        <v>5881</v>
      </c>
      <c r="G1560" s="4" t="s">
        <v>1729</v>
      </c>
      <c r="H1560" s="4">
        <v>1</v>
      </c>
      <c r="I1560" s="4">
        <v>1</v>
      </c>
      <c r="J1560" s="4" t="s">
        <v>7727</v>
      </c>
      <c r="K1560" s="4" t="s">
        <v>350</v>
      </c>
      <c r="L1560" s="6">
        <v>46319</v>
      </c>
      <c r="M1560" s="4" t="s">
        <v>5864</v>
      </c>
      <c r="N1560" s="4" t="s">
        <v>5883</v>
      </c>
    </row>
    <row r="1561" spans="1:14" ht="68" customHeight="1">
      <c r="A1561" s="8" t="s">
        <v>7728</v>
      </c>
      <c r="B1561" s="8" t="s">
        <v>344</v>
      </c>
      <c r="C1561" s="8" t="s">
        <v>345</v>
      </c>
      <c r="D1561" s="8" t="s">
        <v>2969</v>
      </c>
      <c r="E1561" s="8" t="s">
        <v>41</v>
      </c>
      <c r="F1561" s="8" t="s">
        <v>5885</v>
      </c>
      <c r="G1561" s="8" t="s">
        <v>1729</v>
      </c>
      <c r="H1561" s="8">
        <v>1</v>
      </c>
      <c r="I1561" s="8">
        <v>1</v>
      </c>
      <c r="J1561" s="8" t="s">
        <v>7729</v>
      </c>
      <c r="K1561" s="8" t="s">
        <v>350</v>
      </c>
      <c r="L1561" s="9">
        <v>46319</v>
      </c>
      <c r="M1561" s="8" t="s">
        <v>5864</v>
      </c>
      <c r="N1561" s="8" t="s">
        <v>5883</v>
      </c>
    </row>
    <row r="1562" spans="1:14" ht="124" customHeight="1">
      <c r="A1562" s="4" t="s">
        <v>7730</v>
      </c>
      <c r="B1562" s="4" t="s">
        <v>344</v>
      </c>
      <c r="C1562" s="4" t="s">
        <v>345</v>
      </c>
      <c r="D1562" s="4" t="s">
        <v>2969</v>
      </c>
      <c r="E1562" s="4" t="s">
        <v>41</v>
      </c>
      <c r="F1562" s="4" t="s">
        <v>5888</v>
      </c>
      <c r="G1562" s="4" t="s">
        <v>1729</v>
      </c>
      <c r="H1562" s="4">
        <v>1</v>
      </c>
      <c r="I1562" s="4">
        <v>1</v>
      </c>
      <c r="J1562" s="4" t="s">
        <v>7731</v>
      </c>
      <c r="K1562" s="4" t="s">
        <v>350</v>
      </c>
      <c r="L1562" s="6">
        <v>46319</v>
      </c>
      <c r="M1562" s="4" t="s">
        <v>5864</v>
      </c>
      <c r="N1562" s="4" t="s">
        <v>5883</v>
      </c>
    </row>
    <row r="1563" spans="1:14" ht="82" customHeight="1">
      <c r="A1563" s="8" t="s">
        <v>7732</v>
      </c>
      <c r="B1563" s="8" t="s">
        <v>344</v>
      </c>
      <c r="C1563" s="8" t="s">
        <v>345</v>
      </c>
      <c r="D1563" s="8" t="s">
        <v>2969</v>
      </c>
      <c r="E1563" s="8" t="s">
        <v>41</v>
      </c>
      <c r="F1563" s="8" t="s">
        <v>5891</v>
      </c>
      <c r="G1563" s="8" t="s">
        <v>1729</v>
      </c>
      <c r="H1563" s="8">
        <v>1</v>
      </c>
      <c r="I1563" s="8">
        <v>1</v>
      </c>
      <c r="J1563" s="8" t="s">
        <v>7733</v>
      </c>
      <c r="K1563" s="8" t="s">
        <v>350</v>
      </c>
      <c r="L1563" s="9">
        <v>46319</v>
      </c>
      <c r="M1563" s="8" t="s">
        <v>5864</v>
      </c>
      <c r="N1563" s="8" t="s">
        <v>5883</v>
      </c>
    </row>
    <row r="1564" spans="1:14" ht="124" customHeight="1">
      <c r="A1564" s="4" t="s">
        <v>7734</v>
      </c>
      <c r="B1564" s="4" t="s">
        <v>344</v>
      </c>
      <c r="C1564" s="4" t="s">
        <v>345</v>
      </c>
      <c r="D1564" s="4" t="s">
        <v>2969</v>
      </c>
      <c r="E1564" s="4" t="s">
        <v>41</v>
      </c>
      <c r="F1564" s="4" t="s">
        <v>5894</v>
      </c>
      <c r="G1564" s="4" t="s">
        <v>1729</v>
      </c>
      <c r="H1564" s="4">
        <v>1</v>
      </c>
      <c r="I1564" s="4">
        <v>1</v>
      </c>
      <c r="J1564" s="4" t="s">
        <v>7735</v>
      </c>
      <c r="K1564" s="4" t="s">
        <v>350</v>
      </c>
      <c r="L1564" s="6">
        <v>46319</v>
      </c>
      <c r="M1564" s="4" t="s">
        <v>5864</v>
      </c>
      <c r="N1564" s="4" t="s">
        <v>5883</v>
      </c>
    </row>
    <row r="1565" spans="1:14" ht="152" customHeight="1">
      <c r="A1565" s="8" t="s">
        <v>7736</v>
      </c>
      <c r="B1565" s="8" t="s">
        <v>344</v>
      </c>
      <c r="C1565" s="8" t="s">
        <v>345</v>
      </c>
      <c r="D1565" s="8" t="s">
        <v>2969</v>
      </c>
      <c r="E1565" s="8" t="s">
        <v>41</v>
      </c>
      <c r="F1565" s="8" t="s">
        <v>5897</v>
      </c>
      <c r="G1565" s="8" t="s">
        <v>1729</v>
      </c>
      <c r="H1565" s="8">
        <v>1</v>
      </c>
      <c r="I1565" s="8">
        <v>1</v>
      </c>
      <c r="J1565" s="8" t="s">
        <v>7737</v>
      </c>
      <c r="K1565" s="8" t="s">
        <v>350</v>
      </c>
      <c r="L1565" s="9">
        <v>46319</v>
      </c>
      <c r="M1565" s="8" t="s">
        <v>5864</v>
      </c>
      <c r="N1565" s="8" t="s">
        <v>5883</v>
      </c>
    </row>
    <row r="1566" spans="1:14" ht="110" customHeight="1">
      <c r="A1566" s="4" t="s">
        <v>7738</v>
      </c>
      <c r="B1566" s="4" t="s">
        <v>344</v>
      </c>
      <c r="C1566" s="4" t="s">
        <v>345</v>
      </c>
      <c r="D1566" s="4" t="s">
        <v>2969</v>
      </c>
      <c r="E1566" s="4" t="s">
        <v>41</v>
      </c>
      <c r="F1566" s="4" t="s">
        <v>5900</v>
      </c>
      <c r="G1566" s="4" t="s">
        <v>1729</v>
      </c>
      <c r="H1566" s="4">
        <v>1</v>
      </c>
      <c r="I1566" s="4">
        <v>1</v>
      </c>
      <c r="J1566" s="4" t="s">
        <v>7739</v>
      </c>
      <c r="K1566" s="4" t="s">
        <v>350</v>
      </c>
      <c r="L1566" s="6">
        <v>46319</v>
      </c>
      <c r="M1566" s="4" t="s">
        <v>5864</v>
      </c>
      <c r="N1566" s="4" t="s">
        <v>5883</v>
      </c>
    </row>
    <row r="1567" spans="1:14" ht="54" customHeight="1">
      <c r="A1567" s="8" t="s">
        <v>7740</v>
      </c>
      <c r="B1567" s="8" t="s">
        <v>344</v>
      </c>
      <c r="C1567" s="8" t="s">
        <v>345</v>
      </c>
      <c r="D1567" s="8" t="s">
        <v>2969</v>
      </c>
      <c r="E1567" s="8" t="s">
        <v>41</v>
      </c>
      <c r="F1567" s="8" t="s">
        <v>5903</v>
      </c>
      <c r="G1567" s="8" t="s">
        <v>1729</v>
      </c>
      <c r="H1567" s="8">
        <v>1</v>
      </c>
      <c r="I1567" s="8">
        <v>1</v>
      </c>
      <c r="J1567" s="8" t="s">
        <v>7741</v>
      </c>
      <c r="K1567" s="8" t="s">
        <v>350</v>
      </c>
      <c r="L1567" s="9">
        <v>46319</v>
      </c>
      <c r="M1567" s="8" t="s">
        <v>5864</v>
      </c>
      <c r="N1567" s="8" t="s">
        <v>5883</v>
      </c>
    </row>
    <row r="1568" spans="1:14" ht="222" customHeight="1">
      <c r="A1568" s="4" t="s">
        <v>7742</v>
      </c>
      <c r="B1568" s="4" t="s">
        <v>344</v>
      </c>
      <c r="C1568" s="4" t="s">
        <v>345</v>
      </c>
      <c r="D1568" s="4" t="s">
        <v>2969</v>
      </c>
      <c r="E1568" s="4" t="s">
        <v>41</v>
      </c>
      <c r="F1568" s="4" t="s">
        <v>5906</v>
      </c>
      <c r="G1568" s="4" t="s">
        <v>1729</v>
      </c>
      <c r="H1568" s="4">
        <v>1</v>
      </c>
      <c r="I1568" s="4">
        <v>1</v>
      </c>
      <c r="J1568" s="4" t="s">
        <v>7743</v>
      </c>
      <c r="K1568" s="4" t="s">
        <v>350</v>
      </c>
      <c r="L1568" s="6">
        <v>46319</v>
      </c>
      <c r="M1568" s="4" t="s">
        <v>5864</v>
      </c>
      <c r="N1568" s="4" t="s">
        <v>5883</v>
      </c>
    </row>
    <row r="1569" spans="1:14" ht="68" customHeight="1">
      <c r="A1569" s="8" t="s">
        <v>7744</v>
      </c>
      <c r="B1569" s="8" t="s">
        <v>344</v>
      </c>
      <c r="C1569" s="8" t="s">
        <v>345</v>
      </c>
      <c r="D1569" s="8" t="s">
        <v>2969</v>
      </c>
      <c r="E1569" s="8" t="s">
        <v>41</v>
      </c>
      <c r="F1569" s="8" t="s">
        <v>5909</v>
      </c>
      <c r="G1569" s="8" t="s">
        <v>1729</v>
      </c>
      <c r="H1569" s="8">
        <v>1</v>
      </c>
      <c r="I1569" s="8">
        <v>1</v>
      </c>
      <c r="J1569" s="8" t="s">
        <v>7745</v>
      </c>
      <c r="K1569" s="8" t="s">
        <v>350</v>
      </c>
      <c r="L1569" s="9">
        <v>46319</v>
      </c>
      <c r="M1569" s="8" t="s">
        <v>5864</v>
      </c>
      <c r="N1569" s="8" t="s">
        <v>5883</v>
      </c>
    </row>
    <row r="1570" spans="1:14" ht="96" customHeight="1">
      <c r="A1570" s="4" t="s">
        <v>7746</v>
      </c>
      <c r="B1570" s="4" t="s">
        <v>344</v>
      </c>
      <c r="C1570" s="4" t="s">
        <v>345</v>
      </c>
      <c r="D1570" s="4" t="s">
        <v>2969</v>
      </c>
      <c r="E1570" s="4" t="s">
        <v>41</v>
      </c>
      <c r="F1570" s="4" t="s">
        <v>5912</v>
      </c>
      <c r="G1570" s="4" t="s">
        <v>1729</v>
      </c>
      <c r="H1570" s="4">
        <v>1</v>
      </c>
      <c r="I1570" s="4">
        <v>1</v>
      </c>
      <c r="J1570" s="4" t="s">
        <v>7747</v>
      </c>
      <c r="K1570" s="4" t="s">
        <v>350</v>
      </c>
      <c r="L1570" s="6">
        <v>46319</v>
      </c>
      <c r="M1570" s="4" t="s">
        <v>5864</v>
      </c>
      <c r="N1570" s="4" t="s">
        <v>5883</v>
      </c>
    </row>
    <row r="1571" spans="1:14" ht="54" customHeight="1">
      <c r="A1571" s="8" t="s">
        <v>7748</v>
      </c>
      <c r="B1571" s="8" t="s">
        <v>344</v>
      </c>
      <c r="C1571" s="8" t="s">
        <v>345</v>
      </c>
      <c r="D1571" s="8" t="s">
        <v>2969</v>
      </c>
      <c r="E1571" s="8" t="s">
        <v>41</v>
      </c>
      <c r="F1571" s="8" t="s">
        <v>5973</v>
      </c>
      <c r="G1571" s="8" t="s">
        <v>1729</v>
      </c>
      <c r="H1571" s="8">
        <v>1</v>
      </c>
      <c r="I1571" s="8">
        <v>1</v>
      </c>
      <c r="J1571" s="8" t="s">
        <v>7749</v>
      </c>
      <c r="K1571" s="8" t="s">
        <v>350</v>
      </c>
      <c r="L1571" s="9">
        <v>46319</v>
      </c>
      <c r="M1571" s="8" t="s">
        <v>5864</v>
      </c>
      <c r="N1571" s="8" t="s">
        <v>5883</v>
      </c>
    </row>
    <row r="1572" spans="1:14" ht="96" customHeight="1">
      <c r="A1572" s="4" t="s">
        <v>7750</v>
      </c>
      <c r="B1572" s="4" t="s">
        <v>344</v>
      </c>
      <c r="C1572" s="4" t="s">
        <v>345</v>
      </c>
      <c r="D1572" s="4" t="s">
        <v>2969</v>
      </c>
      <c r="E1572" s="4" t="s">
        <v>41</v>
      </c>
      <c r="F1572" s="4" t="s">
        <v>5976</v>
      </c>
      <c r="G1572" s="4" t="s">
        <v>1729</v>
      </c>
      <c r="H1572" s="4">
        <v>1</v>
      </c>
      <c r="I1572" s="4">
        <v>1</v>
      </c>
      <c r="J1572" s="4" t="s">
        <v>7751</v>
      </c>
      <c r="K1572" s="4" t="s">
        <v>350</v>
      </c>
      <c r="L1572" s="6">
        <v>46319</v>
      </c>
      <c r="M1572" s="4" t="s">
        <v>5864</v>
      </c>
      <c r="N1572" s="4" t="s">
        <v>5883</v>
      </c>
    </row>
    <row r="1573" spans="1:14" ht="138" customHeight="1">
      <c r="A1573" s="8" t="s">
        <v>7752</v>
      </c>
      <c r="B1573" s="8" t="s">
        <v>344</v>
      </c>
      <c r="C1573" s="8" t="s">
        <v>345</v>
      </c>
      <c r="D1573" s="8" t="s">
        <v>2969</v>
      </c>
      <c r="E1573" s="8" t="s">
        <v>41</v>
      </c>
      <c r="F1573" s="8" t="s">
        <v>5979</v>
      </c>
      <c r="G1573" s="8" t="s">
        <v>1729</v>
      </c>
      <c r="H1573" s="8">
        <v>1</v>
      </c>
      <c r="I1573" s="8">
        <v>1</v>
      </c>
      <c r="J1573" s="8" t="s">
        <v>7753</v>
      </c>
      <c r="K1573" s="8" t="s">
        <v>350</v>
      </c>
      <c r="L1573" s="9">
        <v>46319</v>
      </c>
      <c r="M1573" s="8" t="s">
        <v>5864</v>
      </c>
      <c r="N1573" s="8" t="s">
        <v>5883</v>
      </c>
    </row>
    <row r="1574" spans="1:14" ht="68" customHeight="1">
      <c r="A1574" s="4" t="s">
        <v>7754</v>
      </c>
      <c r="B1574" s="4" t="s">
        <v>344</v>
      </c>
      <c r="C1574" s="4" t="s">
        <v>345</v>
      </c>
      <c r="D1574" s="4" t="s">
        <v>2969</v>
      </c>
      <c r="E1574" s="4" t="s">
        <v>41</v>
      </c>
      <c r="F1574" s="4" t="s">
        <v>5982</v>
      </c>
      <c r="G1574" s="4" t="s">
        <v>1729</v>
      </c>
      <c r="H1574" s="4">
        <v>1</v>
      </c>
      <c r="I1574" s="4">
        <v>1</v>
      </c>
      <c r="J1574" s="4" t="s">
        <v>7755</v>
      </c>
      <c r="K1574" s="4" t="s">
        <v>350</v>
      </c>
      <c r="L1574" s="6">
        <v>46319</v>
      </c>
      <c r="M1574" s="4" t="s">
        <v>5864</v>
      </c>
      <c r="N1574" s="4" t="s">
        <v>5883</v>
      </c>
    </row>
    <row r="1575" spans="1:14" ht="82" customHeight="1">
      <c r="A1575" s="8" t="s">
        <v>7756</v>
      </c>
      <c r="B1575" s="8" t="s">
        <v>344</v>
      </c>
      <c r="C1575" s="8" t="s">
        <v>345</v>
      </c>
      <c r="D1575" s="8" t="s">
        <v>2969</v>
      </c>
      <c r="E1575" s="8" t="s">
        <v>41</v>
      </c>
      <c r="F1575" s="8" t="s">
        <v>5985</v>
      </c>
      <c r="G1575" s="8" t="s">
        <v>1729</v>
      </c>
      <c r="H1575" s="8">
        <v>1</v>
      </c>
      <c r="I1575" s="8">
        <v>1</v>
      </c>
      <c r="J1575" s="8" t="s">
        <v>7757</v>
      </c>
      <c r="K1575" s="8" t="s">
        <v>350</v>
      </c>
      <c r="L1575" s="9">
        <v>46319</v>
      </c>
      <c r="M1575" s="8" t="s">
        <v>5864</v>
      </c>
      <c r="N1575" s="8" t="s">
        <v>5883</v>
      </c>
    </row>
    <row r="1576" spans="1:14" ht="54" customHeight="1">
      <c r="A1576" s="4" t="s">
        <v>7758</v>
      </c>
      <c r="B1576" s="4" t="s">
        <v>344</v>
      </c>
      <c r="C1576" s="4" t="s">
        <v>345</v>
      </c>
      <c r="D1576" s="4" t="s">
        <v>2969</v>
      </c>
      <c r="E1576" s="4" t="s">
        <v>41</v>
      </c>
      <c r="F1576" s="4" t="s">
        <v>5988</v>
      </c>
      <c r="G1576" s="4" t="s">
        <v>1729</v>
      </c>
      <c r="H1576" s="4">
        <v>1</v>
      </c>
      <c r="I1576" s="4">
        <v>1</v>
      </c>
      <c r="J1576" s="4" t="s">
        <v>7759</v>
      </c>
      <c r="K1576" s="4" t="s">
        <v>350</v>
      </c>
      <c r="L1576" s="6">
        <v>46319</v>
      </c>
      <c r="M1576" s="4" t="s">
        <v>5864</v>
      </c>
      <c r="N1576" s="4" t="s">
        <v>5883</v>
      </c>
    </row>
    <row r="1577" spans="1:14" ht="82" customHeight="1">
      <c r="A1577" s="8" t="s">
        <v>7760</v>
      </c>
      <c r="B1577" s="8" t="s">
        <v>344</v>
      </c>
      <c r="C1577" s="8" t="s">
        <v>345</v>
      </c>
      <c r="D1577" s="8" t="s">
        <v>2969</v>
      </c>
      <c r="E1577" s="8" t="s">
        <v>41</v>
      </c>
      <c r="F1577" s="8" t="s">
        <v>5991</v>
      </c>
      <c r="G1577" s="8" t="s">
        <v>1729</v>
      </c>
      <c r="H1577" s="8">
        <v>1</v>
      </c>
      <c r="I1577" s="8">
        <v>1</v>
      </c>
      <c r="J1577" s="8" t="s">
        <v>7761</v>
      </c>
      <c r="K1577" s="8" t="s">
        <v>350</v>
      </c>
      <c r="L1577" s="9">
        <v>46319</v>
      </c>
      <c r="M1577" s="8" t="s">
        <v>5864</v>
      </c>
      <c r="N1577" s="8" t="s">
        <v>5883</v>
      </c>
    </row>
    <row r="1578" spans="1:14" ht="194" customHeight="1">
      <c r="A1578" s="4" t="s">
        <v>7762</v>
      </c>
      <c r="B1578" s="4" t="s">
        <v>344</v>
      </c>
      <c r="C1578" s="4" t="s">
        <v>345</v>
      </c>
      <c r="D1578" s="4" t="s">
        <v>2969</v>
      </c>
      <c r="E1578" s="4" t="s">
        <v>41</v>
      </c>
      <c r="F1578" s="4" t="s">
        <v>6327</v>
      </c>
      <c r="G1578" s="4" t="s">
        <v>1729</v>
      </c>
      <c r="H1578" s="4">
        <v>1</v>
      </c>
      <c r="I1578" s="4">
        <v>1</v>
      </c>
      <c r="J1578" s="4" t="s">
        <v>7763</v>
      </c>
      <c r="K1578" s="4" t="s">
        <v>350</v>
      </c>
      <c r="L1578" s="6">
        <v>46319</v>
      </c>
      <c r="M1578" s="4" t="s">
        <v>5864</v>
      </c>
      <c r="N1578" s="4" t="s">
        <v>5883</v>
      </c>
    </row>
    <row r="1579" spans="1:14" ht="96" customHeight="1">
      <c r="A1579" s="8" t="s">
        <v>7764</v>
      </c>
      <c r="B1579" s="8" t="s">
        <v>353</v>
      </c>
      <c r="C1579" s="8" t="s">
        <v>354</v>
      </c>
      <c r="D1579" s="8" t="s">
        <v>5861</v>
      </c>
      <c r="E1579" s="8" t="s">
        <v>41</v>
      </c>
      <c r="F1579" s="8" t="s">
        <v>5994</v>
      </c>
      <c r="G1579" s="8" t="s">
        <v>1755</v>
      </c>
      <c r="H1579" s="8">
        <v>1</v>
      </c>
      <c r="I1579" s="8">
        <v>1</v>
      </c>
      <c r="J1579" s="8" t="s">
        <v>7765</v>
      </c>
      <c r="K1579" s="8" t="s">
        <v>358</v>
      </c>
      <c r="L1579" s="9">
        <v>46319</v>
      </c>
      <c r="M1579" s="8" t="s">
        <v>5864</v>
      </c>
      <c r="N1579" s="8" t="s">
        <v>5865</v>
      </c>
    </row>
    <row r="1580" spans="1:14" ht="40" customHeight="1">
      <c r="A1580" s="4" t="s">
        <v>7766</v>
      </c>
      <c r="B1580" s="4" t="s">
        <v>353</v>
      </c>
      <c r="C1580" s="4" t="s">
        <v>354</v>
      </c>
      <c r="D1580" s="4" t="s">
        <v>5861</v>
      </c>
      <c r="E1580" s="4" t="s">
        <v>7767</v>
      </c>
      <c r="F1580" s="4" t="s">
        <v>5997</v>
      </c>
      <c r="G1580" s="4" t="s">
        <v>1755</v>
      </c>
      <c r="H1580" s="4">
        <v>1</v>
      </c>
      <c r="I1580" s="4">
        <v>1</v>
      </c>
      <c r="J1580" s="4" t="s">
        <v>7767</v>
      </c>
      <c r="K1580" s="4" t="s">
        <v>358</v>
      </c>
      <c r="L1580" s="6">
        <v>46319</v>
      </c>
      <c r="M1580" s="4" t="s">
        <v>5864</v>
      </c>
      <c r="N1580" s="4" t="s">
        <v>5865</v>
      </c>
    </row>
    <row r="1581" spans="1:14" ht="40" customHeight="1">
      <c r="A1581" s="8" t="s">
        <v>7768</v>
      </c>
      <c r="B1581" s="8" t="s">
        <v>353</v>
      </c>
      <c r="C1581" s="8" t="s">
        <v>354</v>
      </c>
      <c r="D1581" s="8" t="s">
        <v>5861</v>
      </c>
      <c r="E1581" s="8" t="s">
        <v>7767</v>
      </c>
      <c r="F1581" s="8" t="s">
        <v>7066</v>
      </c>
      <c r="G1581" s="8" t="s">
        <v>1755</v>
      </c>
      <c r="H1581" s="8">
        <v>1</v>
      </c>
      <c r="I1581" s="8">
        <v>1</v>
      </c>
      <c r="J1581" s="8" t="s">
        <v>7769</v>
      </c>
      <c r="K1581" s="8" t="s">
        <v>358</v>
      </c>
      <c r="L1581" s="9">
        <v>46319</v>
      </c>
      <c r="M1581" s="8" t="s">
        <v>5864</v>
      </c>
      <c r="N1581" s="8" t="s">
        <v>5870</v>
      </c>
    </row>
    <row r="1582" spans="1:14" ht="40" customHeight="1">
      <c r="A1582" s="4" t="s">
        <v>7770</v>
      </c>
      <c r="B1582" s="4" t="s">
        <v>353</v>
      </c>
      <c r="C1582" s="4" t="s">
        <v>354</v>
      </c>
      <c r="D1582" s="4" t="s">
        <v>5861</v>
      </c>
      <c r="E1582" s="4" t="s">
        <v>7767</v>
      </c>
      <c r="F1582" s="4" t="s">
        <v>7069</v>
      </c>
      <c r="G1582" s="4" t="s">
        <v>1755</v>
      </c>
      <c r="H1582" s="4">
        <v>1</v>
      </c>
      <c r="I1582" s="4">
        <v>1</v>
      </c>
      <c r="J1582" s="4" t="s">
        <v>7771</v>
      </c>
      <c r="K1582" s="4" t="s">
        <v>358</v>
      </c>
      <c r="L1582" s="6">
        <v>46319</v>
      </c>
      <c r="M1582" s="4" t="s">
        <v>5864</v>
      </c>
      <c r="N1582" s="4" t="s">
        <v>5870</v>
      </c>
    </row>
    <row r="1583" spans="1:14" ht="40" customHeight="1">
      <c r="A1583" s="8" t="s">
        <v>7772</v>
      </c>
      <c r="B1583" s="8" t="s">
        <v>353</v>
      </c>
      <c r="C1583" s="8" t="s">
        <v>354</v>
      </c>
      <c r="D1583" s="8" t="s">
        <v>5861</v>
      </c>
      <c r="E1583" s="8" t="s">
        <v>7767</v>
      </c>
      <c r="F1583" s="8" t="s">
        <v>7072</v>
      </c>
      <c r="G1583" s="8" t="s">
        <v>1755</v>
      </c>
      <c r="H1583" s="8">
        <v>1</v>
      </c>
      <c r="I1583" s="8">
        <v>1</v>
      </c>
      <c r="J1583" s="8" t="s">
        <v>7773</v>
      </c>
      <c r="K1583" s="8" t="s">
        <v>358</v>
      </c>
      <c r="L1583" s="9">
        <v>46319</v>
      </c>
      <c r="M1583" s="8" t="s">
        <v>5864</v>
      </c>
      <c r="N1583" s="8" t="s">
        <v>5870</v>
      </c>
    </row>
    <row r="1584" spans="1:14" ht="40" customHeight="1">
      <c r="A1584" s="4" t="s">
        <v>7774</v>
      </c>
      <c r="B1584" s="4" t="s">
        <v>353</v>
      </c>
      <c r="C1584" s="4" t="s">
        <v>354</v>
      </c>
      <c r="D1584" s="4" t="s">
        <v>5861</v>
      </c>
      <c r="E1584" s="4" t="s">
        <v>7767</v>
      </c>
      <c r="F1584" s="4" t="s">
        <v>7075</v>
      </c>
      <c r="G1584" s="4" t="s">
        <v>1755</v>
      </c>
      <c r="H1584" s="4">
        <v>1</v>
      </c>
      <c r="I1584" s="4">
        <v>1</v>
      </c>
      <c r="J1584" s="4" t="s">
        <v>7775</v>
      </c>
      <c r="K1584" s="4" t="s">
        <v>358</v>
      </c>
      <c r="L1584" s="6">
        <v>46319</v>
      </c>
      <c r="M1584" s="4" t="s">
        <v>5864</v>
      </c>
      <c r="N1584" s="4" t="s">
        <v>5870</v>
      </c>
    </row>
    <row r="1585" spans="1:14" ht="40" customHeight="1">
      <c r="A1585" s="8" t="s">
        <v>7776</v>
      </c>
      <c r="B1585" s="8" t="s">
        <v>353</v>
      </c>
      <c r="C1585" s="8" t="s">
        <v>354</v>
      </c>
      <c r="D1585" s="8" t="s">
        <v>5861</v>
      </c>
      <c r="E1585" s="8" t="s">
        <v>7767</v>
      </c>
      <c r="F1585" s="8" t="s">
        <v>7777</v>
      </c>
      <c r="G1585" s="8" t="s">
        <v>1755</v>
      </c>
      <c r="H1585" s="8">
        <v>1</v>
      </c>
      <c r="I1585" s="8">
        <v>1</v>
      </c>
      <c r="J1585" s="8" t="s">
        <v>7778</v>
      </c>
      <c r="K1585" s="8" t="s">
        <v>358</v>
      </c>
      <c r="L1585" s="9">
        <v>46319</v>
      </c>
      <c r="M1585" s="8" t="s">
        <v>5864</v>
      </c>
      <c r="N1585" s="8" t="s">
        <v>5870</v>
      </c>
    </row>
    <row r="1586" spans="1:14" ht="40" customHeight="1">
      <c r="A1586" s="4" t="s">
        <v>7779</v>
      </c>
      <c r="B1586" s="4" t="s">
        <v>353</v>
      </c>
      <c r="C1586" s="4" t="s">
        <v>354</v>
      </c>
      <c r="D1586" s="4" t="s">
        <v>5861</v>
      </c>
      <c r="E1586" s="4" t="s">
        <v>7767</v>
      </c>
      <c r="F1586" s="4" t="s">
        <v>7780</v>
      </c>
      <c r="G1586" s="4" t="s">
        <v>1755</v>
      </c>
      <c r="H1586" s="4">
        <v>1</v>
      </c>
      <c r="I1586" s="4">
        <v>1</v>
      </c>
      <c r="J1586" s="4" t="s">
        <v>7781</v>
      </c>
      <c r="K1586" s="4" t="s">
        <v>358</v>
      </c>
      <c r="L1586" s="6">
        <v>46319</v>
      </c>
      <c r="M1586" s="4" t="s">
        <v>5864</v>
      </c>
      <c r="N1586" s="4" t="s">
        <v>5870</v>
      </c>
    </row>
    <row r="1587" spans="1:14" ht="40" customHeight="1">
      <c r="A1587" s="8" t="s">
        <v>7782</v>
      </c>
      <c r="B1587" s="8" t="s">
        <v>353</v>
      </c>
      <c r="C1587" s="8" t="s">
        <v>354</v>
      </c>
      <c r="D1587" s="8" t="s">
        <v>5861</v>
      </c>
      <c r="E1587" s="8" t="s">
        <v>7783</v>
      </c>
      <c r="F1587" s="8" t="s">
        <v>7784</v>
      </c>
      <c r="G1587" s="8" t="s">
        <v>1755</v>
      </c>
      <c r="H1587" s="8">
        <v>1</v>
      </c>
      <c r="I1587" s="8">
        <v>1</v>
      </c>
      <c r="J1587" s="8" t="s">
        <v>7783</v>
      </c>
      <c r="K1587" s="8" t="s">
        <v>358</v>
      </c>
      <c r="L1587" s="9">
        <v>46319</v>
      </c>
      <c r="M1587" s="8" t="s">
        <v>5864</v>
      </c>
      <c r="N1587" s="8" t="s">
        <v>5865</v>
      </c>
    </row>
    <row r="1588" spans="1:14" ht="40" customHeight="1">
      <c r="A1588" s="4" t="s">
        <v>7785</v>
      </c>
      <c r="B1588" s="4" t="s">
        <v>353</v>
      </c>
      <c r="C1588" s="4" t="s">
        <v>354</v>
      </c>
      <c r="D1588" s="4" t="s">
        <v>5861</v>
      </c>
      <c r="E1588" s="4" t="s">
        <v>7783</v>
      </c>
      <c r="F1588" s="4" t="s">
        <v>7786</v>
      </c>
      <c r="G1588" s="4" t="s">
        <v>1755</v>
      </c>
      <c r="H1588" s="4">
        <v>1</v>
      </c>
      <c r="I1588" s="4">
        <v>1</v>
      </c>
      <c r="J1588" s="4" t="s">
        <v>7787</v>
      </c>
      <c r="K1588" s="4" t="s">
        <v>358</v>
      </c>
      <c r="L1588" s="6">
        <v>46319</v>
      </c>
      <c r="M1588" s="4" t="s">
        <v>5864</v>
      </c>
      <c r="N1588" s="4" t="s">
        <v>5865</v>
      </c>
    </row>
    <row r="1589" spans="1:14" ht="40" customHeight="1">
      <c r="A1589" s="8" t="s">
        <v>7788</v>
      </c>
      <c r="B1589" s="8" t="s">
        <v>353</v>
      </c>
      <c r="C1589" s="8" t="s">
        <v>354</v>
      </c>
      <c r="D1589" s="8" t="s">
        <v>5861</v>
      </c>
      <c r="E1589" s="8" t="s">
        <v>7783</v>
      </c>
      <c r="F1589" s="8" t="s">
        <v>7789</v>
      </c>
      <c r="G1589" s="8" t="s">
        <v>1755</v>
      </c>
      <c r="H1589" s="8">
        <v>1</v>
      </c>
      <c r="I1589" s="8">
        <v>1</v>
      </c>
      <c r="J1589" s="8" t="s">
        <v>7790</v>
      </c>
      <c r="K1589" s="8" t="s">
        <v>358</v>
      </c>
      <c r="L1589" s="9">
        <v>46319</v>
      </c>
      <c r="M1589" s="8" t="s">
        <v>5864</v>
      </c>
      <c r="N1589" s="8" t="s">
        <v>5865</v>
      </c>
    </row>
    <row r="1590" spans="1:14" ht="40" customHeight="1">
      <c r="A1590" s="4" t="s">
        <v>7791</v>
      </c>
      <c r="B1590" s="4" t="s">
        <v>353</v>
      </c>
      <c r="C1590" s="4" t="s">
        <v>354</v>
      </c>
      <c r="D1590" s="4" t="s">
        <v>5861</v>
      </c>
      <c r="E1590" s="4" t="s">
        <v>7783</v>
      </c>
      <c r="F1590" s="4" t="s">
        <v>7792</v>
      </c>
      <c r="G1590" s="4" t="s">
        <v>1755</v>
      </c>
      <c r="H1590" s="4">
        <v>1</v>
      </c>
      <c r="I1590" s="4">
        <v>1</v>
      </c>
      <c r="J1590" s="4" t="s">
        <v>7793</v>
      </c>
      <c r="K1590" s="4" t="s">
        <v>358</v>
      </c>
      <c r="L1590" s="6">
        <v>46319</v>
      </c>
      <c r="M1590" s="4" t="s">
        <v>5864</v>
      </c>
      <c r="N1590" s="4" t="s">
        <v>5865</v>
      </c>
    </row>
    <row r="1591" spans="1:14" ht="40" customHeight="1">
      <c r="A1591" s="8" t="s">
        <v>7794</v>
      </c>
      <c r="B1591" s="8" t="s">
        <v>353</v>
      </c>
      <c r="C1591" s="8" t="s">
        <v>354</v>
      </c>
      <c r="D1591" s="8" t="s">
        <v>5861</v>
      </c>
      <c r="E1591" s="8" t="s">
        <v>7783</v>
      </c>
      <c r="F1591" s="8" t="s">
        <v>7795</v>
      </c>
      <c r="G1591" s="8" t="s">
        <v>1755</v>
      </c>
      <c r="H1591" s="8">
        <v>1</v>
      </c>
      <c r="I1591" s="8">
        <v>1</v>
      </c>
      <c r="J1591" s="8" t="s">
        <v>7796</v>
      </c>
      <c r="K1591" s="8" t="s">
        <v>358</v>
      </c>
      <c r="L1591" s="9">
        <v>46319</v>
      </c>
      <c r="M1591" s="8" t="s">
        <v>5864</v>
      </c>
      <c r="N1591" s="8" t="s">
        <v>5865</v>
      </c>
    </row>
    <row r="1592" spans="1:14" ht="40" customHeight="1">
      <c r="A1592" s="4" t="s">
        <v>7797</v>
      </c>
      <c r="B1592" s="4" t="s">
        <v>353</v>
      </c>
      <c r="C1592" s="4" t="s">
        <v>354</v>
      </c>
      <c r="D1592" s="4" t="s">
        <v>5867</v>
      </c>
      <c r="E1592" s="4" t="s">
        <v>41</v>
      </c>
      <c r="F1592" s="4" t="s">
        <v>6111</v>
      </c>
      <c r="G1592" s="4" t="s">
        <v>1755</v>
      </c>
      <c r="H1592" s="4">
        <v>1</v>
      </c>
      <c r="I1592" s="4">
        <v>1</v>
      </c>
      <c r="J1592" s="4" t="s">
        <v>7798</v>
      </c>
      <c r="K1592" s="4" t="s">
        <v>358</v>
      </c>
      <c r="L1592" s="6">
        <v>46319</v>
      </c>
      <c r="M1592" s="4" t="s">
        <v>5864</v>
      </c>
      <c r="N1592" s="4" t="s">
        <v>6087</v>
      </c>
    </row>
    <row r="1593" spans="1:14" ht="54" customHeight="1">
      <c r="A1593" s="8" t="s">
        <v>7799</v>
      </c>
      <c r="B1593" s="8" t="s">
        <v>353</v>
      </c>
      <c r="C1593" s="8" t="s">
        <v>354</v>
      </c>
      <c r="D1593" s="8" t="s">
        <v>5867</v>
      </c>
      <c r="E1593" s="8" t="s">
        <v>41</v>
      </c>
      <c r="F1593" s="8" t="s">
        <v>5872</v>
      </c>
      <c r="G1593" s="8" t="s">
        <v>1755</v>
      </c>
      <c r="H1593" s="8">
        <v>1</v>
      </c>
      <c r="I1593" s="8">
        <v>1</v>
      </c>
      <c r="J1593" s="8" t="s">
        <v>7800</v>
      </c>
      <c r="K1593" s="8" t="s">
        <v>358</v>
      </c>
      <c r="L1593" s="9">
        <v>46319</v>
      </c>
      <c r="M1593" s="8" t="s">
        <v>5864</v>
      </c>
      <c r="N1593" s="8" t="s">
        <v>5865</v>
      </c>
    </row>
    <row r="1594" spans="1:14" ht="40" customHeight="1">
      <c r="A1594" s="4" t="s">
        <v>7801</v>
      </c>
      <c r="B1594" s="4" t="s">
        <v>353</v>
      </c>
      <c r="C1594" s="4" t="s">
        <v>354</v>
      </c>
      <c r="D1594" s="4" t="s">
        <v>5867</v>
      </c>
      <c r="E1594" s="4" t="s">
        <v>41</v>
      </c>
      <c r="F1594" s="4" t="s">
        <v>7802</v>
      </c>
      <c r="G1594" s="4" t="s">
        <v>1755</v>
      </c>
      <c r="H1594" s="4">
        <v>1</v>
      </c>
      <c r="I1594" s="4">
        <v>1</v>
      </c>
      <c r="J1594" s="4" t="s">
        <v>7803</v>
      </c>
      <c r="K1594" s="4" t="s">
        <v>358</v>
      </c>
      <c r="L1594" s="6">
        <v>46319</v>
      </c>
      <c r="M1594" s="4" t="s">
        <v>5864</v>
      </c>
      <c r="N1594" s="4" t="s">
        <v>6087</v>
      </c>
    </row>
    <row r="1595" spans="1:14" ht="54" customHeight="1">
      <c r="A1595" s="8" t="s">
        <v>7804</v>
      </c>
      <c r="B1595" s="8" t="s">
        <v>353</v>
      </c>
      <c r="C1595" s="8" t="s">
        <v>354</v>
      </c>
      <c r="D1595" s="8" t="s">
        <v>5867</v>
      </c>
      <c r="E1595" s="8" t="s">
        <v>41</v>
      </c>
      <c r="F1595" s="8" t="s">
        <v>6118</v>
      </c>
      <c r="G1595" s="8" t="s">
        <v>1755</v>
      </c>
      <c r="H1595" s="8">
        <v>1</v>
      </c>
      <c r="I1595" s="8">
        <v>1</v>
      </c>
      <c r="J1595" s="8" t="s">
        <v>7805</v>
      </c>
      <c r="K1595" s="8" t="s">
        <v>358</v>
      </c>
      <c r="L1595" s="9">
        <v>46319</v>
      </c>
      <c r="M1595" s="8" t="s">
        <v>5864</v>
      </c>
      <c r="N1595" s="8" t="s">
        <v>5865</v>
      </c>
    </row>
    <row r="1596" spans="1:14" ht="40" customHeight="1">
      <c r="A1596" s="4" t="s">
        <v>7806</v>
      </c>
      <c r="B1596" s="4" t="s">
        <v>353</v>
      </c>
      <c r="C1596" s="4" t="s">
        <v>354</v>
      </c>
      <c r="D1596" s="4" t="s">
        <v>5867</v>
      </c>
      <c r="E1596" s="4" t="s">
        <v>41</v>
      </c>
      <c r="F1596" s="4" t="s">
        <v>7807</v>
      </c>
      <c r="G1596" s="4" t="s">
        <v>1755</v>
      </c>
      <c r="H1596" s="4">
        <v>1</v>
      </c>
      <c r="I1596" s="4">
        <v>1</v>
      </c>
      <c r="J1596" s="4" t="s">
        <v>7808</v>
      </c>
      <c r="K1596" s="4" t="s">
        <v>358</v>
      </c>
      <c r="L1596" s="6">
        <v>46319</v>
      </c>
      <c r="M1596" s="4" t="s">
        <v>5864</v>
      </c>
      <c r="N1596" s="4" t="s">
        <v>6087</v>
      </c>
    </row>
    <row r="1597" spans="1:14" ht="68" customHeight="1">
      <c r="A1597" s="8" t="s">
        <v>7809</v>
      </c>
      <c r="B1597" s="8" t="s">
        <v>353</v>
      </c>
      <c r="C1597" s="8" t="s">
        <v>354</v>
      </c>
      <c r="D1597" s="8" t="s">
        <v>5867</v>
      </c>
      <c r="E1597" s="8" t="s">
        <v>41</v>
      </c>
      <c r="F1597" s="8" t="s">
        <v>6124</v>
      </c>
      <c r="G1597" s="8" t="s">
        <v>1755</v>
      </c>
      <c r="H1597" s="8">
        <v>1</v>
      </c>
      <c r="I1597" s="8">
        <v>1</v>
      </c>
      <c r="J1597" s="8" t="s">
        <v>7810</v>
      </c>
      <c r="K1597" s="8" t="s">
        <v>358</v>
      </c>
      <c r="L1597" s="9">
        <v>46319</v>
      </c>
      <c r="M1597" s="8" t="s">
        <v>5864</v>
      </c>
      <c r="N1597" s="8" t="s">
        <v>5865</v>
      </c>
    </row>
    <row r="1598" spans="1:14" ht="40" customHeight="1">
      <c r="A1598" s="4" t="s">
        <v>7811</v>
      </c>
      <c r="B1598" s="4" t="s">
        <v>353</v>
      </c>
      <c r="C1598" s="4" t="s">
        <v>354</v>
      </c>
      <c r="D1598" s="4" t="s">
        <v>637</v>
      </c>
      <c r="E1598" s="4" t="s">
        <v>41</v>
      </c>
      <c r="F1598" s="4" t="s">
        <v>926</v>
      </c>
      <c r="G1598" s="4" t="s">
        <v>1755</v>
      </c>
      <c r="H1598" s="4">
        <v>1</v>
      </c>
      <c r="I1598" s="4">
        <v>1</v>
      </c>
      <c r="J1598" s="4" t="s">
        <v>1753</v>
      </c>
      <c r="K1598" s="4" t="s">
        <v>358</v>
      </c>
      <c r="L1598" s="6">
        <v>46319</v>
      </c>
      <c r="M1598" s="4" t="s">
        <v>5864</v>
      </c>
      <c r="N1598" s="4" t="s">
        <v>6087</v>
      </c>
    </row>
    <row r="1599" spans="1:14" ht="40" customHeight="1">
      <c r="A1599" s="8" t="s">
        <v>7812</v>
      </c>
      <c r="B1599" s="8" t="s">
        <v>353</v>
      </c>
      <c r="C1599" s="8" t="s">
        <v>354</v>
      </c>
      <c r="D1599" s="8" t="s">
        <v>637</v>
      </c>
      <c r="E1599" s="8" t="s">
        <v>41</v>
      </c>
      <c r="F1599" s="8" t="s">
        <v>1377</v>
      </c>
      <c r="G1599" s="8" t="s">
        <v>1755</v>
      </c>
      <c r="H1599" s="8">
        <v>1</v>
      </c>
      <c r="I1599" s="8">
        <v>1</v>
      </c>
      <c r="J1599" s="8" t="s">
        <v>1757</v>
      </c>
      <c r="K1599" s="8" t="s">
        <v>358</v>
      </c>
      <c r="L1599" s="9">
        <v>46319</v>
      </c>
      <c r="M1599" s="8" t="s">
        <v>5864</v>
      </c>
      <c r="N1599" s="8" t="s">
        <v>5870</v>
      </c>
    </row>
    <row r="1600" spans="1:14" ht="40" customHeight="1">
      <c r="A1600" s="4" t="s">
        <v>7813</v>
      </c>
      <c r="B1600" s="4" t="s">
        <v>353</v>
      </c>
      <c r="C1600" s="4" t="s">
        <v>354</v>
      </c>
      <c r="D1600" s="4" t="s">
        <v>637</v>
      </c>
      <c r="E1600" s="4" t="s">
        <v>41</v>
      </c>
      <c r="F1600" s="4" t="s">
        <v>1762</v>
      </c>
      <c r="G1600" s="4" t="s">
        <v>1755</v>
      </c>
      <c r="H1600" s="4">
        <v>1</v>
      </c>
      <c r="I1600" s="4">
        <v>1</v>
      </c>
      <c r="J1600" s="4" t="s">
        <v>1760</v>
      </c>
      <c r="K1600" s="4" t="s">
        <v>358</v>
      </c>
      <c r="L1600" s="6">
        <v>46319</v>
      </c>
      <c r="M1600" s="4" t="s">
        <v>5864</v>
      </c>
      <c r="N1600" s="4" t="s">
        <v>5870</v>
      </c>
    </row>
    <row r="1601" spans="1:14" ht="40" customHeight="1">
      <c r="A1601" s="8" t="s">
        <v>7814</v>
      </c>
      <c r="B1601" s="8" t="s">
        <v>353</v>
      </c>
      <c r="C1601" s="8" t="s">
        <v>354</v>
      </c>
      <c r="D1601" s="8" t="s">
        <v>637</v>
      </c>
      <c r="E1601" s="8" t="s">
        <v>41</v>
      </c>
      <c r="F1601" s="8" t="s">
        <v>1766</v>
      </c>
      <c r="G1601" s="8" t="s">
        <v>1755</v>
      </c>
      <c r="H1601" s="8">
        <v>1</v>
      </c>
      <c r="I1601" s="8">
        <v>1</v>
      </c>
      <c r="J1601" s="8" t="s">
        <v>1764</v>
      </c>
      <c r="K1601" s="8" t="s">
        <v>358</v>
      </c>
      <c r="L1601" s="9">
        <v>46319</v>
      </c>
      <c r="M1601" s="8" t="s">
        <v>5864</v>
      </c>
      <c r="N1601" s="8" t="s">
        <v>5870</v>
      </c>
    </row>
    <row r="1602" spans="1:14" ht="40" customHeight="1">
      <c r="A1602" s="4" t="s">
        <v>7815</v>
      </c>
      <c r="B1602" s="4" t="s">
        <v>353</v>
      </c>
      <c r="C1602" s="4" t="s">
        <v>354</v>
      </c>
      <c r="D1602" s="4" t="s">
        <v>637</v>
      </c>
      <c r="E1602" s="4" t="s">
        <v>41</v>
      </c>
      <c r="F1602" s="4" t="s">
        <v>1770</v>
      </c>
      <c r="G1602" s="4" t="s">
        <v>1755</v>
      </c>
      <c r="H1602" s="4">
        <v>1</v>
      </c>
      <c r="I1602" s="4">
        <v>1</v>
      </c>
      <c r="J1602" s="4" t="s">
        <v>1768</v>
      </c>
      <c r="K1602" s="4" t="s">
        <v>358</v>
      </c>
      <c r="L1602" s="6">
        <v>46319</v>
      </c>
      <c r="M1602" s="4" t="s">
        <v>5864</v>
      </c>
      <c r="N1602" s="4" t="s">
        <v>5870</v>
      </c>
    </row>
    <row r="1603" spans="1:14" ht="40" customHeight="1">
      <c r="A1603" s="8" t="s">
        <v>7816</v>
      </c>
      <c r="B1603" s="8" t="s">
        <v>353</v>
      </c>
      <c r="C1603" s="8" t="s">
        <v>354</v>
      </c>
      <c r="D1603" s="8" t="s">
        <v>637</v>
      </c>
      <c r="E1603" s="8" t="s">
        <v>41</v>
      </c>
      <c r="F1603" s="8" t="s">
        <v>1774</v>
      </c>
      <c r="G1603" s="8" t="s">
        <v>1755</v>
      </c>
      <c r="H1603" s="8">
        <v>1</v>
      </c>
      <c r="I1603" s="8">
        <v>1</v>
      </c>
      <c r="J1603" s="8" t="s">
        <v>1772</v>
      </c>
      <c r="K1603" s="8" t="s">
        <v>358</v>
      </c>
      <c r="L1603" s="9">
        <v>46319</v>
      </c>
      <c r="M1603" s="8" t="s">
        <v>5864</v>
      </c>
      <c r="N1603" s="8" t="s">
        <v>5870</v>
      </c>
    </row>
    <row r="1604" spans="1:14" ht="40" customHeight="1">
      <c r="A1604" s="4" t="s">
        <v>7817</v>
      </c>
      <c r="B1604" s="4" t="s">
        <v>353</v>
      </c>
      <c r="C1604" s="4" t="s">
        <v>354</v>
      </c>
      <c r="D1604" s="4" t="s">
        <v>637</v>
      </c>
      <c r="E1604" s="4" t="s">
        <v>41</v>
      </c>
      <c r="F1604" s="4" t="s">
        <v>1381</v>
      </c>
      <c r="G1604" s="4" t="s">
        <v>1755</v>
      </c>
      <c r="H1604" s="4">
        <v>1</v>
      </c>
      <c r="I1604" s="4">
        <v>1</v>
      </c>
      <c r="J1604" s="4" t="s">
        <v>1776</v>
      </c>
      <c r="K1604" s="4" t="s">
        <v>358</v>
      </c>
      <c r="L1604" s="6">
        <v>46319</v>
      </c>
      <c r="M1604" s="4" t="s">
        <v>5864</v>
      </c>
      <c r="N1604" s="4" t="s">
        <v>6087</v>
      </c>
    </row>
    <row r="1605" spans="1:14" ht="40" customHeight="1">
      <c r="A1605" s="8" t="s">
        <v>7818</v>
      </c>
      <c r="B1605" s="8" t="s">
        <v>353</v>
      </c>
      <c r="C1605" s="8" t="s">
        <v>354</v>
      </c>
      <c r="D1605" s="8" t="s">
        <v>637</v>
      </c>
      <c r="E1605" s="8" t="s">
        <v>41</v>
      </c>
      <c r="F1605" s="8" t="s">
        <v>1385</v>
      </c>
      <c r="G1605" s="8" t="s">
        <v>1755</v>
      </c>
      <c r="H1605" s="8">
        <v>1</v>
      </c>
      <c r="I1605" s="8">
        <v>1</v>
      </c>
      <c r="J1605" s="8" t="s">
        <v>1779</v>
      </c>
      <c r="K1605" s="8" t="s">
        <v>358</v>
      </c>
      <c r="L1605" s="9">
        <v>46319</v>
      </c>
      <c r="M1605" s="8" t="s">
        <v>5864</v>
      </c>
      <c r="N1605" s="8" t="s">
        <v>5870</v>
      </c>
    </row>
    <row r="1606" spans="1:14" ht="40" customHeight="1">
      <c r="A1606" s="4" t="s">
        <v>7819</v>
      </c>
      <c r="B1606" s="4" t="s">
        <v>353</v>
      </c>
      <c r="C1606" s="4" t="s">
        <v>354</v>
      </c>
      <c r="D1606" s="4" t="s">
        <v>637</v>
      </c>
      <c r="E1606" s="4" t="s">
        <v>41</v>
      </c>
      <c r="F1606" s="4" t="s">
        <v>1784</v>
      </c>
      <c r="G1606" s="4" t="s">
        <v>1755</v>
      </c>
      <c r="H1606" s="4">
        <v>1</v>
      </c>
      <c r="I1606" s="4">
        <v>1</v>
      </c>
      <c r="J1606" s="4" t="s">
        <v>1782</v>
      </c>
      <c r="K1606" s="4" t="s">
        <v>358</v>
      </c>
      <c r="L1606" s="6">
        <v>46319</v>
      </c>
      <c r="M1606" s="4" t="s">
        <v>5864</v>
      </c>
      <c r="N1606" s="4" t="s">
        <v>5870</v>
      </c>
    </row>
    <row r="1607" spans="1:14" ht="40" customHeight="1">
      <c r="A1607" s="8" t="s">
        <v>7820</v>
      </c>
      <c r="B1607" s="8" t="s">
        <v>353</v>
      </c>
      <c r="C1607" s="8" t="s">
        <v>354</v>
      </c>
      <c r="D1607" s="8" t="s">
        <v>637</v>
      </c>
      <c r="E1607" s="8" t="s">
        <v>41</v>
      </c>
      <c r="F1607" s="8" t="s">
        <v>1787</v>
      </c>
      <c r="G1607" s="8" t="s">
        <v>1755</v>
      </c>
      <c r="H1607" s="8">
        <v>1</v>
      </c>
      <c r="I1607" s="8">
        <v>1</v>
      </c>
      <c r="J1607" s="8" t="s">
        <v>1764</v>
      </c>
      <c r="K1607" s="8" t="s">
        <v>358</v>
      </c>
      <c r="L1607" s="9">
        <v>46319</v>
      </c>
      <c r="M1607" s="8" t="s">
        <v>5864</v>
      </c>
      <c r="N1607" s="8" t="s">
        <v>5870</v>
      </c>
    </row>
    <row r="1608" spans="1:14" ht="40" customHeight="1">
      <c r="A1608" s="4" t="s">
        <v>7821</v>
      </c>
      <c r="B1608" s="4" t="s">
        <v>353</v>
      </c>
      <c r="C1608" s="4" t="s">
        <v>354</v>
      </c>
      <c r="D1608" s="4" t="s">
        <v>637</v>
      </c>
      <c r="E1608" s="4" t="s">
        <v>41</v>
      </c>
      <c r="F1608" s="4" t="s">
        <v>1790</v>
      </c>
      <c r="G1608" s="4" t="s">
        <v>1755</v>
      </c>
      <c r="H1608" s="4">
        <v>1</v>
      </c>
      <c r="I1608" s="4">
        <v>1</v>
      </c>
      <c r="J1608" s="4" t="s">
        <v>1768</v>
      </c>
      <c r="K1608" s="4" t="s">
        <v>358</v>
      </c>
      <c r="L1608" s="6">
        <v>46319</v>
      </c>
      <c r="M1608" s="4" t="s">
        <v>5864</v>
      </c>
      <c r="N1608" s="4" t="s">
        <v>5870</v>
      </c>
    </row>
    <row r="1609" spans="1:14" ht="40" customHeight="1">
      <c r="A1609" s="8" t="s">
        <v>7822</v>
      </c>
      <c r="B1609" s="8" t="s">
        <v>353</v>
      </c>
      <c r="C1609" s="8" t="s">
        <v>354</v>
      </c>
      <c r="D1609" s="8" t="s">
        <v>637</v>
      </c>
      <c r="E1609" s="8" t="s">
        <v>41</v>
      </c>
      <c r="F1609" s="8" t="s">
        <v>1794</v>
      </c>
      <c r="G1609" s="8" t="s">
        <v>1755</v>
      </c>
      <c r="H1609" s="8">
        <v>1</v>
      </c>
      <c r="I1609" s="8">
        <v>1</v>
      </c>
      <c r="J1609" s="8" t="s">
        <v>1792</v>
      </c>
      <c r="K1609" s="8" t="s">
        <v>358</v>
      </c>
      <c r="L1609" s="9">
        <v>46319</v>
      </c>
      <c r="M1609" s="8" t="s">
        <v>5864</v>
      </c>
      <c r="N1609" s="8" t="s">
        <v>5870</v>
      </c>
    </row>
    <row r="1610" spans="1:14" ht="40" customHeight="1">
      <c r="A1610" s="4" t="s">
        <v>5395</v>
      </c>
      <c r="B1610" s="4" t="s">
        <v>353</v>
      </c>
      <c r="C1610" s="4" t="s">
        <v>354</v>
      </c>
      <c r="D1610" s="4" t="s">
        <v>7</v>
      </c>
      <c r="E1610" s="4" t="s">
        <v>41</v>
      </c>
      <c r="F1610" s="4" t="s">
        <v>6212</v>
      </c>
      <c r="G1610" s="4" t="s">
        <v>1755</v>
      </c>
      <c r="H1610" s="4">
        <v>1</v>
      </c>
      <c r="I1610" s="4">
        <v>1</v>
      </c>
      <c r="J1610" s="4" t="s">
        <v>5396</v>
      </c>
      <c r="K1610" s="4" t="s">
        <v>358</v>
      </c>
      <c r="L1610" s="6">
        <v>46319</v>
      </c>
      <c r="M1610" s="4" t="s">
        <v>5864</v>
      </c>
      <c r="N1610" s="4" t="s">
        <v>5870</v>
      </c>
    </row>
    <row r="1611" spans="1:14" ht="40" customHeight="1">
      <c r="A1611" s="8" t="s">
        <v>5397</v>
      </c>
      <c r="B1611" s="8" t="s">
        <v>353</v>
      </c>
      <c r="C1611" s="8" t="s">
        <v>354</v>
      </c>
      <c r="D1611" s="8" t="s">
        <v>7</v>
      </c>
      <c r="E1611" s="8" t="s">
        <v>41</v>
      </c>
      <c r="F1611" s="8" t="s">
        <v>6213</v>
      </c>
      <c r="G1611" s="8" t="s">
        <v>1755</v>
      </c>
      <c r="H1611" s="8">
        <v>1</v>
      </c>
      <c r="I1611" s="8">
        <v>1</v>
      </c>
      <c r="J1611" s="8" t="s">
        <v>5398</v>
      </c>
      <c r="K1611" s="8" t="s">
        <v>358</v>
      </c>
      <c r="L1611" s="9">
        <v>46319</v>
      </c>
      <c r="M1611" s="8" t="s">
        <v>5864</v>
      </c>
      <c r="N1611" s="8" t="s">
        <v>5870</v>
      </c>
    </row>
    <row r="1612" spans="1:14" ht="40" customHeight="1">
      <c r="A1612" s="4" t="s">
        <v>5399</v>
      </c>
      <c r="B1612" s="4" t="s">
        <v>353</v>
      </c>
      <c r="C1612" s="4" t="s">
        <v>354</v>
      </c>
      <c r="D1612" s="4" t="s">
        <v>7</v>
      </c>
      <c r="E1612" s="4" t="s">
        <v>41</v>
      </c>
      <c r="F1612" s="4" t="s">
        <v>6214</v>
      </c>
      <c r="G1612" s="4" t="s">
        <v>1755</v>
      </c>
      <c r="H1612" s="4">
        <v>1</v>
      </c>
      <c r="I1612" s="4">
        <v>1</v>
      </c>
      <c r="J1612" s="4" t="s">
        <v>5400</v>
      </c>
      <c r="K1612" s="4" t="s">
        <v>358</v>
      </c>
      <c r="L1612" s="6">
        <v>46319</v>
      </c>
      <c r="M1612" s="4" t="s">
        <v>5864</v>
      </c>
      <c r="N1612" s="4" t="s">
        <v>5870</v>
      </c>
    </row>
    <row r="1613" spans="1:14" ht="40" customHeight="1">
      <c r="A1613" s="8" t="s">
        <v>5401</v>
      </c>
      <c r="B1613" s="8" t="s">
        <v>353</v>
      </c>
      <c r="C1613" s="8" t="s">
        <v>354</v>
      </c>
      <c r="D1613" s="8" t="s">
        <v>7</v>
      </c>
      <c r="E1613" s="8" t="s">
        <v>41</v>
      </c>
      <c r="F1613" s="8" t="s">
        <v>6215</v>
      </c>
      <c r="G1613" s="8" t="s">
        <v>1755</v>
      </c>
      <c r="H1613" s="8">
        <v>1</v>
      </c>
      <c r="I1613" s="8">
        <v>1</v>
      </c>
      <c r="J1613" s="8" t="s">
        <v>5402</v>
      </c>
      <c r="K1613" s="8" t="s">
        <v>358</v>
      </c>
      <c r="L1613" s="9">
        <v>46319</v>
      </c>
      <c r="M1613" s="8" t="s">
        <v>5864</v>
      </c>
      <c r="N1613" s="8" t="s">
        <v>5870</v>
      </c>
    </row>
    <row r="1614" spans="1:14" ht="40" customHeight="1">
      <c r="A1614" s="4" t="s">
        <v>5403</v>
      </c>
      <c r="B1614" s="4" t="s">
        <v>353</v>
      </c>
      <c r="C1614" s="4" t="s">
        <v>354</v>
      </c>
      <c r="D1614" s="4" t="s">
        <v>7</v>
      </c>
      <c r="E1614" s="4" t="s">
        <v>41</v>
      </c>
      <c r="F1614" s="4" t="s">
        <v>6216</v>
      </c>
      <c r="G1614" s="4" t="s">
        <v>1755</v>
      </c>
      <c r="H1614" s="4">
        <v>1</v>
      </c>
      <c r="I1614" s="4">
        <v>1</v>
      </c>
      <c r="J1614" s="4" t="s">
        <v>5404</v>
      </c>
      <c r="K1614" s="4" t="s">
        <v>358</v>
      </c>
      <c r="L1614" s="6">
        <v>46319</v>
      </c>
      <c r="M1614" s="4" t="s">
        <v>5864</v>
      </c>
      <c r="N1614" s="4" t="s">
        <v>5870</v>
      </c>
    </row>
    <row r="1615" spans="1:14" ht="40" customHeight="1">
      <c r="A1615" s="8" t="s">
        <v>5405</v>
      </c>
      <c r="B1615" s="8" t="s">
        <v>353</v>
      </c>
      <c r="C1615" s="8" t="s">
        <v>354</v>
      </c>
      <c r="D1615" s="8" t="s">
        <v>7</v>
      </c>
      <c r="E1615" s="8" t="s">
        <v>41</v>
      </c>
      <c r="F1615" s="8" t="s">
        <v>6284</v>
      </c>
      <c r="G1615" s="8" t="s">
        <v>1755</v>
      </c>
      <c r="H1615" s="8">
        <v>1</v>
      </c>
      <c r="I1615" s="8">
        <v>1</v>
      </c>
      <c r="J1615" s="8" t="s">
        <v>5406</v>
      </c>
      <c r="K1615" s="8" t="s">
        <v>358</v>
      </c>
      <c r="L1615" s="9">
        <v>46319</v>
      </c>
      <c r="M1615" s="8" t="s">
        <v>5864</v>
      </c>
      <c r="N1615" s="8" t="s">
        <v>5870</v>
      </c>
    </row>
    <row r="1616" spans="1:14" ht="40" customHeight="1">
      <c r="A1616" s="4" t="s">
        <v>5407</v>
      </c>
      <c r="B1616" s="4" t="s">
        <v>353</v>
      </c>
      <c r="C1616" s="4" t="s">
        <v>354</v>
      </c>
      <c r="D1616" s="4" t="s">
        <v>7</v>
      </c>
      <c r="E1616" s="4" t="s">
        <v>41</v>
      </c>
      <c r="F1616" s="4" t="s">
        <v>6285</v>
      </c>
      <c r="G1616" s="4" t="s">
        <v>1755</v>
      </c>
      <c r="H1616" s="4">
        <v>1</v>
      </c>
      <c r="I1616" s="4">
        <v>1</v>
      </c>
      <c r="J1616" s="4" t="s">
        <v>5408</v>
      </c>
      <c r="K1616" s="4" t="s">
        <v>358</v>
      </c>
      <c r="L1616" s="6">
        <v>46319</v>
      </c>
      <c r="M1616" s="4" t="s">
        <v>5864</v>
      </c>
      <c r="N1616" s="4" t="s">
        <v>5870</v>
      </c>
    </row>
    <row r="1617" spans="1:14" ht="40" customHeight="1">
      <c r="A1617" s="8" t="s">
        <v>5409</v>
      </c>
      <c r="B1617" s="8" t="s">
        <v>353</v>
      </c>
      <c r="C1617" s="8" t="s">
        <v>354</v>
      </c>
      <c r="D1617" s="8" t="s">
        <v>7</v>
      </c>
      <c r="E1617" s="8" t="s">
        <v>41</v>
      </c>
      <c r="F1617" s="8" t="s">
        <v>6286</v>
      </c>
      <c r="G1617" s="8" t="s">
        <v>1755</v>
      </c>
      <c r="H1617" s="8">
        <v>1</v>
      </c>
      <c r="I1617" s="8">
        <v>1</v>
      </c>
      <c r="J1617" s="8" t="s">
        <v>5410</v>
      </c>
      <c r="K1617" s="8" t="s">
        <v>358</v>
      </c>
      <c r="L1617" s="9">
        <v>46319</v>
      </c>
      <c r="M1617" s="8" t="s">
        <v>5864</v>
      </c>
      <c r="N1617" s="8" t="s">
        <v>5870</v>
      </c>
    </row>
    <row r="1618" spans="1:14" ht="40" customHeight="1">
      <c r="A1618" s="4" t="s">
        <v>5411</v>
      </c>
      <c r="B1618" s="4" t="s">
        <v>353</v>
      </c>
      <c r="C1618" s="4" t="s">
        <v>354</v>
      </c>
      <c r="D1618" s="4" t="s">
        <v>7</v>
      </c>
      <c r="E1618" s="4" t="s">
        <v>41</v>
      </c>
      <c r="F1618" s="4" t="s">
        <v>6287</v>
      </c>
      <c r="G1618" s="4" t="s">
        <v>1755</v>
      </c>
      <c r="H1618" s="4">
        <v>1</v>
      </c>
      <c r="I1618" s="4">
        <v>1</v>
      </c>
      <c r="J1618" s="4" t="s">
        <v>5412</v>
      </c>
      <c r="K1618" s="4" t="s">
        <v>358</v>
      </c>
      <c r="L1618" s="6">
        <v>46319</v>
      </c>
      <c r="M1618" s="4" t="s">
        <v>5864</v>
      </c>
      <c r="N1618" s="4" t="s">
        <v>5870</v>
      </c>
    </row>
    <row r="1619" spans="1:14" ht="40" customHeight="1">
      <c r="A1619" s="8" t="s">
        <v>5413</v>
      </c>
      <c r="B1619" s="8" t="s">
        <v>353</v>
      </c>
      <c r="C1619" s="8" t="s">
        <v>354</v>
      </c>
      <c r="D1619" s="8" t="s">
        <v>7</v>
      </c>
      <c r="E1619" s="8" t="s">
        <v>41</v>
      </c>
      <c r="F1619" s="8" t="s">
        <v>6288</v>
      </c>
      <c r="G1619" s="8" t="s">
        <v>1755</v>
      </c>
      <c r="H1619" s="8">
        <v>1</v>
      </c>
      <c r="I1619" s="8">
        <v>1</v>
      </c>
      <c r="J1619" s="8" t="s">
        <v>5414</v>
      </c>
      <c r="K1619" s="8" t="s">
        <v>358</v>
      </c>
      <c r="L1619" s="9">
        <v>46319</v>
      </c>
      <c r="M1619" s="8" t="s">
        <v>5864</v>
      </c>
      <c r="N1619" s="8" t="s">
        <v>5870</v>
      </c>
    </row>
    <row r="1620" spans="1:14" ht="40" customHeight="1">
      <c r="A1620" s="4" t="s">
        <v>5415</v>
      </c>
      <c r="B1620" s="4" t="s">
        <v>353</v>
      </c>
      <c r="C1620" s="4" t="s">
        <v>354</v>
      </c>
      <c r="D1620" s="4" t="s">
        <v>7</v>
      </c>
      <c r="E1620" s="4" t="s">
        <v>41</v>
      </c>
      <c r="F1620" s="4" t="s">
        <v>6289</v>
      </c>
      <c r="G1620" s="4" t="s">
        <v>1755</v>
      </c>
      <c r="H1620" s="4">
        <v>1</v>
      </c>
      <c r="I1620" s="4">
        <v>1</v>
      </c>
      <c r="J1620" s="4" t="s">
        <v>5416</v>
      </c>
      <c r="K1620" s="4" t="s">
        <v>358</v>
      </c>
      <c r="L1620" s="6">
        <v>46319</v>
      </c>
      <c r="M1620" s="4" t="s">
        <v>5864</v>
      </c>
      <c r="N1620" s="4" t="s">
        <v>5870</v>
      </c>
    </row>
    <row r="1621" spans="1:14" ht="40" customHeight="1">
      <c r="A1621" s="8" t="s">
        <v>5417</v>
      </c>
      <c r="B1621" s="8" t="s">
        <v>353</v>
      </c>
      <c r="C1621" s="8" t="s">
        <v>354</v>
      </c>
      <c r="D1621" s="8" t="s">
        <v>7</v>
      </c>
      <c r="E1621" s="8" t="s">
        <v>41</v>
      </c>
      <c r="F1621" s="8" t="s">
        <v>6833</v>
      </c>
      <c r="G1621" s="8" t="s">
        <v>1755</v>
      </c>
      <c r="H1621" s="8">
        <v>1</v>
      </c>
      <c r="I1621" s="8">
        <v>1</v>
      </c>
      <c r="J1621" s="8" t="s">
        <v>5418</v>
      </c>
      <c r="K1621" s="8" t="s">
        <v>358</v>
      </c>
      <c r="L1621" s="9">
        <v>46319</v>
      </c>
      <c r="M1621" s="8" t="s">
        <v>5864</v>
      </c>
      <c r="N1621" s="8" t="s">
        <v>5870</v>
      </c>
    </row>
    <row r="1622" spans="1:14" ht="40" customHeight="1">
      <c r="A1622" s="4" t="s">
        <v>4407</v>
      </c>
      <c r="B1622" s="4" t="s">
        <v>353</v>
      </c>
      <c r="C1622" s="4" t="s">
        <v>354</v>
      </c>
      <c r="D1622" s="4" t="s">
        <v>5879</v>
      </c>
      <c r="E1622" s="4" t="s">
        <v>41</v>
      </c>
      <c r="F1622" s="4" t="s">
        <v>4214</v>
      </c>
      <c r="G1622" s="4" t="s">
        <v>1755</v>
      </c>
      <c r="H1622" s="4">
        <v>1</v>
      </c>
      <c r="I1622" s="4">
        <v>1</v>
      </c>
      <c r="J1622" s="4" t="s">
        <v>4408</v>
      </c>
      <c r="K1622" s="4" t="s">
        <v>358</v>
      </c>
      <c r="L1622" s="6">
        <v>46319</v>
      </c>
      <c r="M1622" s="4" t="s">
        <v>5864</v>
      </c>
      <c r="N1622" s="4" t="s">
        <v>6087</v>
      </c>
    </row>
    <row r="1623" spans="1:14" ht="40" customHeight="1">
      <c r="A1623" s="8" t="s">
        <v>4409</v>
      </c>
      <c r="B1623" s="8" t="s">
        <v>353</v>
      </c>
      <c r="C1623" s="8" t="s">
        <v>354</v>
      </c>
      <c r="D1623" s="8" t="s">
        <v>5879</v>
      </c>
      <c r="E1623" s="8" t="s">
        <v>41</v>
      </c>
      <c r="F1623" s="8" t="s">
        <v>3485</v>
      </c>
      <c r="G1623" s="8" t="s">
        <v>1755</v>
      </c>
      <c r="H1623" s="8">
        <v>1</v>
      </c>
      <c r="I1623" s="8">
        <v>1</v>
      </c>
      <c r="J1623" s="8" t="s">
        <v>4410</v>
      </c>
      <c r="K1623" s="8" t="s">
        <v>358</v>
      </c>
      <c r="L1623" s="9">
        <v>46319</v>
      </c>
      <c r="M1623" s="8" t="s">
        <v>5864</v>
      </c>
      <c r="N1623" s="8" t="s">
        <v>5865</v>
      </c>
    </row>
    <row r="1624" spans="1:14" ht="40" customHeight="1">
      <c r="A1624" s="4" t="s">
        <v>4411</v>
      </c>
      <c r="B1624" s="4" t="s">
        <v>353</v>
      </c>
      <c r="C1624" s="4" t="s">
        <v>354</v>
      </c>
      <c r="D1624" s="4" t="s">
        <v>5879</v>
      </c>
      <c r="E1624" s="4" t="s">
        <v>41</v>
      </c>
      <c r="F1624" s="4" t="s">
        <v>3655</v>
      </c>
      <c r="G1624" s="4" t="s">
        <v>1755</v>
      </c>
      <c r="H1624" s="4">
        <v>1</v>
      </c>
      <c r="I1624" s="4">
        <v>1</v>
      </c>
      <c r="J1624" s="4" t="s">
        <v>4412</v>
      </c>
      <c r="K1624" s="4" t="s">
        <v>358</v>
      </c>
      <c r="L1624" s="6">
        <v>46319</v>
      </c>
      <c r="M1624" s="4" t="s">
        <v>5864</v>
      </c>
      <c r="N1624" s="4" t="s">
        <v>5865</v>
      </c>
    </row>
    <row r="1625" spans="1:14" ht="40" customHeight="1">
      <c r="A1625" s="8" t="s">
        <v>4413</v>
      </c>
      <c r="B1625" s="8" t="s">
        <v>353</v>
      </c>
      <c r="C1625" s="8" t="s">
        <v>354</v>
      </c>
      <c r="D1625" s="8" t="s">
        <v>5879</v>
      </c>
      <c r="E1625" s="8" t="s">
        <v>41</v>
      </c>
      <c r="F1625" s="8" t="s">
        <v>3494</v>
      </c>
      <c r="G1625" s="8" t="s">
        <v>1755</v>
      </c>
      <c r="H1625" s="8">
        <v>1</v>
      </c>
      <c r="I1625" s="8">
        <v>1</v>
      </c>
      <c r="J1625" s="8" t="s">
        <v>4414</v>
      </c>
      <c r="K1625" s="8" t="s">
        <v>358</v>
      </c>
      <c r="L1625" s="9">
        <v>46319</v>
      </c>
      <c r="M1625" s="8" t="s">
        <v>5864</v>
      </c>
      <c r="N1625" s="8" t="s">
        <v>5865</v>
      </c>
    </row>
    <row r="1626" spans="1:14" ht="54" customHeight="1">
      <c r="A1626" s="4" t="s">
        <v>4415</v>
      </c>
      <c r="B1626" s="4" t="s">
        <v>353</v>
      </c>
      <c r="C1626" s="4" t="s">
        <v>354</v>
      </c>
      <c r="D1626" s="4" t="s">
        <v>5879</v>
      </c>
      <c r="E1626" s="4" t="s">
        <v>41</v>
      </c>
      <c r="F1626" s="4" t="s">
        <v>3497</v>
      </c>
      <c r="G1626" s="4" t="s">
        <v>1755</v>
      </c>
      <c r="H1626" s="4">
        <v>1</v>
      </c>
      <c r="I1626" s="4">
        <v>1</v>
      </c>
      <c r="J1626" s="4" t="s">
        <v>4416</v>
      </c>
      <c r="K1626" s="4" t="s">
        <v>358</v>
      </c>
      <c r="L1626" s="6">
        <v>46319</v>
      </c>
      <c r="M1626" s="4" t="s">
        <v>5864</v>
      </c>
      <c r="N1626" s="4" t="s">
        <v>5865</v>
      </c>
    </row>
    <row r="1627" spans="1:14" ht="40" customHeight="1">
      <c r="A1627" s="8" t="s">
        <v>4417</v>
      </c>
      <c r="B1627" s="8" t="s">
        <v>353</v>
      </c>
      <c r="C1627" s="8" t="s">
        <v>354</v>
      </c>
      <c r="D1627" s="8" t="s">
        <v>5879</v>
      </c>
      <c r="E1627" s="8" t="s">
        <v>41</v>
      </c>
      <c r="F1627" s="8" t="s">
        <v>3500</v>
      </c>
      <c r="G1627" s="8" t="s">
        <v>1755</v>
      </c>
      <c r="H1627" s="8">
        <v>1</v>
      </c>
      <c r="I1627" s="8">
        <v>1</v>
      </c>
      <c r="J1627" s="8" t="s">
        <v>4418</v>
      </c>
      <c r="K1627" s="8" t="s">
        <v>358</v>
      </c>
      <c r="L1627" s="9">
        <v>46319</v>
      </c>
      <c r="M1627" s="8" t="s">
        <v>5864</v>
      </c>
      <c r="N1627" s="8" t="s">
        <v>5865</v>
      </c>
    </row>
    <row r="1628" spans="1:14" ht="40" customHeight="1">
      <c r="A1628" s="4" t="s">
        <v>4419</v>
      </c>
      <c r="B1628" s="4" t="s">
        <v>353</v>
      </c>
      <c r="C1628" s="4" t="s">
        <v>354</v>
      </c>
      <c r="D1628" s="4" t="s">
        <v>5879</v>
      </c>
      <c r="E1628" s="4" t="s">
        <v>41</v>
      </c>
      <c r="F1628" s="4" t="s">
        <v>3503</v>
      </c>
      <c r="G1628" s="4" t="s">
        <v>1755</v>
      </c>
      <c r="H1628" s="4">
        <v>1</v>
      </c>
      <c r="I1628" s="4">
        <v>1</v>
      </c>
      <c r="J1628" s="4" t="s">
        <v>4420</v>
      </c>
      <c r="K1628" s="4" t="s">
        <v>358</v>
      </c>
      <c r="L1628" s="6">
        <v>46319</v>
      </c>
      <c r="M1628" s="4" t="s">
        <v>5864</v>
      </c>
      <c r="N1628" s="4" t="s">
        <v>5865</v>
      </c>
    </row>
    <row r="1629" spans="1:14" ht="82" customHeight="1">
      <c r="A1629" s="8" t="s">
        <v>4421</v>
      </c>
      <c r="B1629" s="8" t="s">
        <v>353</v>
      </c>
      <c r="C1629" s="8" t="s">
        <v>354</v>
      </c>
      <c r="D1629" s="8" t="s">
        <v>5879</v>
      </c>
      <c r="E1629" s="8" t="s">
        <v>41</v>
      </c>
      <c r="F1629" s="8" t="s">
        <v>3506</v>
      </c>
      <c r="G1629" s="8" t="s">
        <v>1755</v>
      </c>
      <c r="H1629" s="8">
        <v>1</v>
      </c>
      <c r="I1629" s="8">
        <v>1</v>
      </c>
      <c r="J1629" s="8" t="s">
        <v>4422</v>
      </c>
      <c r="K1629" s="8" t="s">
        <v>358</v>
      </c>
      <c r="L1629" s="9">
        <v>46319</v>
      </c>
      <c r="M1629" s="8" t="s">
        <v>5864</v>
      </c>
      <c r="N1629" s="8" t="s">
        <v>5865</v>
      </c>
    </row>
    <row r="1630" spans="1:14" ht="54" customHeight="1">
      <c r="A1630" s="4" t="s">
        <v>4423</v>
      </c>
      <c r="B1630" s="4" t="s">
        <v>353</v>
      </c>
      <c r="C1630" s="4" t="s">
        <v>354</v>
      </c>
      <c r="D1630" s="4" t="s">
        <v>5879</v>
      </c>
      <c r="E1630" s="4" t="s">
        <v>41</v>
      </c>
      <c r="F1630" s="4" t="s">
        <v>3509</v>
      </c>
      <c r="G1630" s="4" t="s">
        <v>1755</v>
      </c>
      <c r="H1630" s="4">
        <v>1</v>
      </c>
      <c r="I1630" s="4">
        <v>1</v>
      </c>
      <c r="J1630" s="4" t="s">
        <v>4424</v>
      </c>
      <c r="K1630" s="4" t="s">
        <v>358</v>
      </c>
      <c r="L1630" s="6">
        <v>46319</v>
      </c>
      <c r="M1630" s="4" t="s">
        <v>5864</v>
      </c>
      <c r="N1630" s="4" t="s">
        <v>5865</v>
      </c>
    </row>
    <row r="1631" spans="1:14" ht="40" customHeight="1">
      <c r="A1631" s="8" t="s">
        <v>4425</v>
      </c>
      <c r="B1631" s="8" t="s">
        <v>353</v>
      </c>
      <c r="C1631" s="8" t="s">
        <v>354</v>
      </c>
      <c r="D1631" s="8" t="s">
        <v>5879</v>
      </c>
      <c r="E1631" s="8" t="s">
        <v>41</v>
      </c>
      <c r="F1631" s="8" t="s">
        <v>4426</v>
      </c>
      <c r="G1631" s="8" t="s">
        <v>1755</v>
      </c>
      <c r="H1631" s="8">
        <v>1</v>
      </c>
      <c r="I1631" s="8">
        <v>1</v>
      </c>
      <c r="J1631" s="8" t="s">
        <v>4391</v>
      </c>
      <c r="K1631" s="8" t="s">
        <v>358</v>
      </c>
      <c r="L1631" s="9">
        <v>46319</v>
      </c>
      <c r="M1631" s="8" t="s">
        <v>5864</v>
      </c>
      <c r="N1631" s="8" t="s">
        <v>6087</v>
      </c>
    </row>
    <row r="1632" spans="1:14" ht="68" customHeight="1">
      <c r="A1632" s="4" t="s">
        <v>4427</v>
      </c>
      <c r="B1632" s="4" t="s">
        <v>353</v>
      </c>
      <c r="C1632" s="4" t="s">
        <v>354</v>
      </c>
      <c r="D1632" s="4" t="s">
        <v>5879</v>
      </c>
      <c r="E1632" s="4" t="s">
        <v>41</v>
      </c>
      <c r="F1632" s="4" t="s">
        <v>4429</v>
      </c>
      <c r="G1632" s="4" t="s">
        <v>1755</v>
      </c>
      <c r="H1632" s="4">
        <v>1</v>
      </c>
      <c r="I1632" s="4">
        <v>1</v>
      </c>
      <c r="J1632" s="4" t="s">
        <v>4428</v>
      </c>
      <c r="K1632" s="4" t="s">
        <v>358</v>
      </c>
      <c r="L1632" s="6">
        <v>46319</v>
      </c>
      <c r="M1632" s="4" t="s">
        <v>5864</v>
      </c>
      <c r="N1632" s="4" t="s">
        <v>5865</v>
      </c>
    </row>
    <row r="1633" spans="1:14" ht="40" customHeight="1">
      <c r="A1633" s="8" t="s">
        <v>4430</v>
      </c>
      <c r="B1633" s="8" t="s">
        <v>353</v>
      </c>
      <c r="C1633" s="8" t="s">
        <v>354</v>
      </c>
      <c r="D1633" s="8" t="s">
        <v>5879</v>
      </c>
      <c r="E1633" s="8" t="s">
        <v>41</v>
      </c>
      <c r="F1633" s="8" t="s">
        <v>4432</v>
      </c>
      <c r="G1633" s="8" t="s">
        <v>1755</v>
      </c>
      <c r="H1633" s="8">
        <v>1</v>
      </c>
      <c r="I1633" s="8">
        <v>1</v>
      </c>
      <c r="J1633" s="8" t="s">
        <v>4431</v>
      </c>
      <c r="K1633" s="8" t="s">
        <v>358</v>
      </c>
      <c r="L1633" s="9">
        <v>46319</v>
      </c>
      <c r="M1633" s="8" t="s">
        <v>5864</v>
      </c>
      <c r="N1633" s="8" t="s">
        <v>6087</v>
      </c>
    </row>
    <row r="1634" spans="1:14" ht="40" customHeight="1">
      <c r="A1634" s="4" t="s">
        <v>4433</v>
      </c>
      <c r="B1634" s="4" t="s">
        <v>353</v>
      </c>
      <c r="C1634" s="4" t="s">
        <v>354</v>
      </c>
      <c r="D1634" s="4" t="s">
        <v>5879</v>
      </c>
      <c r="E1634" s="4" t="s">
        <v>41</v>
      </c>
      <c r="F1634" s="4" t="s">
        <v>4435</v>
      </c>
      <c r="G1634" s="4" t="s">
        <v>1755</v>
      </c>
      <c r="H1634" s="4">
        <v>1</v>
      </c>
      <c r="I1634" s="4">
        <v>1</v>
      </c>
      <c r="J1634" s="4" t="s">
        <v>4434</v>
      </c>
      <c r="K1634" s="4" t="s">
        <v>358</v>
      </c>
      <c r="L1634" s="6">
        <v>46319</v>
      </c>
      <c r="M1634" s="4" t="s">
        <v>5864</v>
      </c>
      <c r="N1634" s="4" t="s">
        <v>5865</v>
      </c>
    </row>
    <row r="1635" spans="1:14" ht="82" customHeight="1">
      <c r="A1635" s="8" t="s">
        <v>7823</v>
      </c>
      <c r="B1635" s="8" t="s">
        <v>353</v>
      </c>
      <c r="C1635" s="8" t="s">
        <v>354</v>
      </c>
      <c r="D1635" s="8" t="s">
        <v>2969</v>
      </c>
      <c r="E1635" s="8" t="s">
        <v>41</v>
      </c>
      <c r="F1635" s="8" t="s">
        <v>5881</v>
      </c>
      <c r="G1635" s="8" t="s">
        <v>1755</v>
      </c>
      <c r="H1635" s="8">
        <v>1</v>
      </c>
      <c r="I1635" s="8">
        <v>1</v>
      </c>
      <c r="J1635" s="8" t="s">
        <v>7824</v>
      </c>
      <c r="K1635" s="8" t="s">
        <v>358</v>
      </c>
      <c r="L1635" s="9">
        <v>46319</v>
      </c>
      <c r="M1635" s="8" t="s">
        <v>5864</v>
      </c>
      <c r="N1635" s="8" t="s">
        <v>5883</v>
      </c>
    </row>
    <row r="1636" spans="1:14" ht="54" customHeight="1">
      <c r="A1636" s="4" t="s">
        <v>7825</v>
      </c>
      <c r="B1636" s="4" t="s">
        <v>353</v>
      </c>
      <c r="C1636" s="4" t="s">
        <v>354</v>
      </c>
      <c r="D1636" s="4" t="s">
        <v>2969</v>
      </c>
      <c r="E1636" s="4" t="s">
        <v>41</v>
      </c>
      <c r="F1636" s="4" t="s">
        <v>5885</v>
      </c>
      <c r="G1636" s="4" t="s">
        <v>1755</v>
      </c>
      <c r="H1636" s="4">
        <v>1</v>
      </c>
      <c r="I1636" s="4">
        <v>1</v>
      </c>
      <c r="J1636" s="4" t="s">
        <v>7826</v>
      </c>
      <c r="K1636" s="4" t="s">
        <v>358</v>
      </c>
      <c r="L1636" s="6">
        <v>46319</v>
      </c>
      <c r="M1636" s="4" t="s">
        <v>5864</v>
      </c>
      <c r="N1636" s="4" t="s">
        <v>5883</v>
      </c>
    </row>
    <row r="1637" spans="1:14" ht="40" customHeight="1">
      <c r="A1637" s="8" t="s">
        <v>7827</v>
      </c>
      <c r="B1637" s="8" t="s">
        <v>353</v>
      </c>
      <c r="C1637" s="8" t="s">
        <v>354</v>
      </c>
      <c r="D1637" s="8" t="s">
        <v>2969</v>
      </c>
      <c r="E1637" s="8" t="s">
        <v>41</v>
      </c>
      <c r="F1637" s="8" t="s">
        <v>5888</v>
      </c>
      <c r="G1637" s="8" t="s">
        <v>1755</v>
      </c>
      <c r="H1637" s="8">
        <v>1</v>
      </c>
      <c r="I1637" s="8">
        <v>1</v>
      </c>
      <c r="J1637" s="8" t="s">
        <v>7828</v>
      </c>
      <c r="K1637" s="8" t="s">
        <v>358</v>
      </c>
      <c r="L1637" s="9">
        <v>46319</v>
      </c>
      <c r="M1637" s="8" t="s">
        <v>5864</v>
      </c>
      <c r="N1637" s="8" t="s">
        <v>5883</v>
      </c>
    </row>
    <row r="1638" spans="1:14" ht="96" customHeight="1">
      <c r="A1638" s="4" t="s">
        <v>7829</v>
      </c>
      <c r="B1638" s="4" t="s">
        <v>353</v>
      </c>
      <c r="C1638" s="4" t="s">
        <v>354</v>
      </c>
      <c r="D1638" s="4" t="s">
        <v>2969</v>
      </c>
      <c r="E1638" s="4" t="s">
        <v>41</v>
      </c>
      <c r="F1638" s="4" t="s">
        <v>5891</v>
      </c>
      <c r="G1638" s="4" t="s">
        <v>1755</v>
      </c>
      <c r="H1638" s="4">
        <v>1</v>
      </c>
      <c r="I1638" s="4">
        <v>1</v>
      </c>
      <c r="J1638" s="4" t="s">
        <v>7830</v>
      </c>
      <c r="K1638" s="4" t="s">
        <v>358</v>
      </c>
      <c r="L1638" s="6">
        <v>46319</v>
      </c>
      <c r="M1638" s="4" t="s">
        <v>5864</v>
      </c>
      <c r="N1638" s="4" t="s">
        <v>5883</v>
      </c>
    </row>
    <row r="1639" spans="1:14" ht="110" customHeight="1">
      <c r="A1639" s="8" t="s">
        <v>7831</v>
      </c>
      <c r="B1639" s="8" t="s">
        <v>353</v>
      </c>
      <c r="C1639" s="8" t="s">
        <v>354</v>
      </c>
      <c r="D1639" s="8" t="s">
        <v>2969</v>
      </c>
      <c r="E1639" s="8" t="s">
        <v>41</v>
      </c>
      <c r="F1639" s="8" t="s">
        <v>5894</v>
      </c>
      <c r="G1639" s="8" t="s">
        <v>1755</v>
      </c>
      <c r="H1639" s="8">
        <v>1</v>
      </c>
      <c r="I1639" s="8">
        <v>1</v>
      </c>
      <c r="J1639" s="8" t="s">
        <v>7832</v>
      </c>
      <c r="K1639" s="8" t="s">
        <v>358</v>
      </c>
      <c r="L1639" s="9">
        <v>46319</v>
      </c>
      <c r="M1639" s="8" t="s">
        <v>5864</v>
      </c>
      <c r="N1639" s="8" t="s">
        <v>5883</v>
      </c>
    </row>
    <row r="1640" spans="1:14" ht="138" customHeight="1">
      <c r="A1640" s="4" t="s">
        <v>7833</v>
      </c>
      <c r="B1640" s="4" t="s">
        <v>353</v>
      </c>
      <c r="C1640" s="4" t="s">
        <v>354</v>
      </c>
      <c r="D1640" s="4" t="s">
        <v>2969</v>
      </c>
      <c r="E1640" s="4" t="s">
        <v>41</v>
      </c>
      <c r="F1640" s="4" t="s">
        <v>5897</v>
      </c>
      <c r="G1640" s="4" t="s">
        <v>1755</v>
      </c>
      <c r="H1640" s="4">
        <v>1</v>
      </c>
      <c r="I1640" s="4">
        <v>1</v>
      </c>
      <c r="J1640" s="4" t="s">
        <v>7834</v>
      </c>
      <c r="K1640" s="4" t="s">
        <v>358</v>
      </c>
      <c r="L1640" s="6">
        <v>46319</v>
      </c>
      <c r="M1640" s="4" t="s">
        <v>5864</v>
      </c>
      <c r="N1640" s="4" t="s">
        <v>5883</v>
      </c>
    </row>
    <row r="1641" spans="1:14" ht="54" customHeight="1">
      <c r="A1641" s="8" t="s">
        <v>7835</v>
      </c>
      <c r="B1641" s="8" t="s">
        <v>353</v>
      </c>
      <c r="C1641" s="8" t="s">
        <v>354</v>
      </c>
      <c r="D1641" s="8" t="s">
        <v>2969</v>
      </c>
      <c r="E1641" s="8" t="s">
        <v>41</v>
      </c>
      <c r="F1641" s="8" t="s">
        <v>5900</v>
      </c>
      <c r="G1641" s="8" t="s">
        <v>1755</v>
      </c>
      <c r="H1641" s="8">
        <v>1</v>
      </c>
      <c r="I1641" s="8">
        <v>1</v>
      </c>
      <c r="J1641" s="8" t="s">
        <v>7836</v>
      </c>
      <c r="K1641" s="8" t="s">
        <v>358</v>
      </c>
      <c r="L1641" s="9">
        <v>46319</v>
      </c>
      <c r="M1641" s="8" t="s">
        <v>5864</v>
      </c>
      <c r="N1641" s="8" t="s">
        <v>5883</v>
      </c>
    </row>
    <row r="1642" spans="1:14" ht="40" customHeight="1">
      <c r="A1642" s="4" t="s">
        <v>7837</v>
      </c>
      <c r="B1642" s="4" t="s">
        <v>353</v>
      </c>
      <c r="C1642" s="4" t="s">
        <v>354</v>
      </c>
      <c r="D1642" s="4" t="s">
        <v>2969</v>
      </c>
      <c r="E1642" s="4" t="s">
        <v>41</v>
      </c>
      <c r="F1642" s="4" t="s">
        <v>5903</v>
      </c>
      <c r="G1642" s="4" t="s">
        <v>1755</v>
      </c>
      <c r="H1642" s="4">
        <v>1</v>
      </c>
      <c r="I1642" s="4">
        <v>1</v>
      </c>
      <c r="J1642" s="4" t="s">
        <v>7838</v>
      </c>
      <c r="K1642" s="4" t="s">
        <v>358</v>
      </c>
      <c r="L1642" s="6">
        <v>46319</v>
      </c>
      <c r="M1642" s="4" t="s">
        <v>5864</v>
      </c>
      <c r="N1642" s="4" t="s">
        <v>5883</v>
      </c>
    </row>
    <row r="1643" spans="1:14" ht="40" customHeight="1">
      <c r="A1643" s="8" t="s">
        <v>7839</v>
      </c>
      <c r="B1643" s="8" t="s">
        <v>353</v>
      </c>
      <c r="C1643" s="8" t="s">
        <v>354</v>
      </c>
      <c r="D1643" s="8" t="s">
        <v>2969</v>
      </c>
      <c r="E1643" s="8" t="s">
        <v>41</v>
      </c>
      <c r="F1643" s="8" t="s">
        <v>5906</v>
      </c>
      <c r="G1643" s="8" t="s">
        <v>1755</v>
      </c>
      <c r="H1643" s="8">
        <v>1</v>
      </c>
      <c r="I1643" s="8">
        <v>1</v>
      </c>
      <c r="J1643" s="8" t="s">
        <v>7840</v>
      </c>
      <c r="K1643" s="8" t="s">
        <v>358</v>
      </c>
      <c r="L1643" s="9">
        <v>46319</v>
      </c>
      <c r="M1643" s="8" t="s">
        <v>5864</v>
      </c>
      <c r="N1643" s="8" t="s">
        <v>5883</v>
      </c>
    </row>
    <row r="1644" spans="1:14" ht="40" customHeight="1">
      <c r="A1644" s="4" t="s">
        <v>7841</v>
      </c>
      <c r="B1644" s="4" t="s">
        <v>353</v>
      </c>
      <c r="C1644" s="4" t="s">
        <v>354</v>
      </c>
      <c r="D1644" s="4" t="s">
        <v>2969</v>
      </c>
      <c r="E1644" s="4" t="s">
        <v>41</v>
      </c>
      <c r="F1644" s="4" t="s">
        <v>5909</v>
      </c>
      <c r="G1644" s="4" t="s">
        <v>1755</v>
      </c>
      <c r="H1644" s="4">
        <v>1</v>
      </c>
      <c r="I1644" s="4">
        <v>1</v>
      </c>
      <c r="J1644" s="4" t="s">
        <v>7842</v>
      </c>
      <c r="K1644" s="4" t="s">
        <v>358</v>
      </c>
      <c r="L1644" s="6">
        <v>46319</v>
      </c>
      <c r="M1644" s="4" t="s">
        <v>5864</v>
      </c>
      <c r="N1644" s="4" t="s">
        <v>5883</v>
      </c>
    </row>
    <row r="1645" spans="1:14" ht="138" customHeight="1">
      <c r="A1645" s="8" t="s">
        <v>7843</v>
      </c>
      <c r="B1645" s="8" t="s">
        <v>361</v>
      </c>
      <c r="C1645" s="8" t="s">
        <v>362</v>
      </c>
      <c r="D1645" s="8" t="s">
        <v>5861</v>
      </c>
      <c r="E1645" s="8" t="s">
        <v>41</v>
      </c>
      <c r="F1645" s="8" t="s">
        <v>5994</v>
      </c>
      <c r="G1645" s="8" t="s">
        <v>1799</v>
      </c>
      <c r="H1645" s="8">
        <v>1</v>
      </c>
      <c r="I1645" s="8">
        <v>1</v>
      </c>
      <c r="J1645" s="8" t="s">
        <v>7844</v>
      </c>
      <c r="K1645" s="8" t="s">
        <v>365</v>
      </c>
      <c r="L1645" s="9">
        <v>46319</v>
      </c>
      <c r="M1645" s="8" t="s">
        <v>5864</v>
      </c>
      <c r="N1645" s="8" t="s">
        <v>5865</v>
      </c>
    </row>
    <row r="1646" spans="1:14" ht="40" customHeight="1">
      <c r="A1646" s="4" t="s">
        <v>7845</v>
      </c>
      <c r="B1646" s="4" t="s">
        <v>361</v>
      </c>
      <c r="C1646" s="4" t="s">
        <v>362</v>
      </c>
      <c r="D1646" s="4" t="s">
        <v>5861</v>
      </c>
      <c r="E1646" s="4" t="s">
        <v>7846</v>
      </c>
      <c r="F1646" s="4" t="s">
        <v>5997</v>
      </c>
      <c r="G1646" s="4" t="s">
        <v>1799</v>
      </c>
      <c r="H1646" s="4">
        <v>1</v>
      </c>
      <c r="I1646" s="4">
        <v>1</v>
      </c>
      <c r="J1646" s="4" t="s">
        <v>7846</v>
      </c>
      <c r="K1646" s="4" t="s">
        <v>365</v>
      </c>
      <c r="L1646" s="6">
        <v>46319</v>
      </c>
      <c r="M1646" s="4" t="s">
        <v>5864</v>
      </c>
      <c r="N1646" s="4" t="s">
        <v>5865</v>
      </c>
    </row>
    <row r="1647" spans="1:14" ht="54" customHeight="1">
      <c r="A1647" s="8" t="s">
        <v>7847</v>
      </c>
      <c r="B1647" s="8" t="s">
        <v>361</v>
      </c>
      <c r="C1647" s="8" t="s">
        <v>362</v>
      </c>
      <c r="D1647" s="8" t="s">
        <v>5861</v>
      </c>
      <c r="E1647" s="8" t="s">
        <v>7846</v>
      </c>
      <c r="F1647" s="8" t="s">
        <v>7848</v>
      </c>
      <c r="G1647" s="8" t="s">
        <v>1799</v>
      </c>
      <c r="H1647" s="8">
        <v>1</v>
      </c>
      <c r="I1647" s="8">
        <v>1</v>
      </c>
      <c r="J1647" s="8" t="s">
        <v>7849</v>
      </c>
      <c r="K1647" s="8" t="s">
        <v>365</v>
      </c>
      <c r="L1647" s="9">
        <v>46319</v>
      </c>
      <c r="M1647" s="8" t="s">
        <v>5864</v>
      </c>
      <c r="N1647" s="8" t="s">
        <v>5865</v>
      </c>
    </row>
    <row r="1648" spans="1:14" ht="40" customHeight="1">
      <c r="A1648" s="4" t="s">
        <v>7850</v>
      </c>
      <c r="B1648" s="4" t="s">
        <v>361</v>
      </c>
      <c r="C1648" s="4" t="s">
        <v>362</v>
      </c>
      <c r="D1648" s="4" t="s">
        <v>5861</v>
      </c>
      <c r="E1648" s="4" t="s">
        <v>7846</v>
      </c>
      <c r="F1648" s="4" t="s">
        <v>7851</v>
      </c>
      <c r="G1648" s="4" t="s">
        <v>1799</v>
      </c>
      <c r="H1648" s="4">
        <v>1</v>
      </c>
      <c r="I1648" s="4">
        <v>1</v>
      </c>
      <c r="J1648" s="4" t="s">
        <v>7852</v>
      </c>
      <c r="K1648" s="4" t="s">
        <v>365</v>
      </c>
      <c r="L1648" s="6">
        <v>46319</v>
      </c>
      <c r="M1648" s="4" t="s">
        <v>5864</v>
      </c>
      <c r="N1648" s="4" t="s">
        <v>6087</v>
      </c>
    </row>
    <row r="1649" spans="1:14" ht="40" customHeight="1">
      <c r="A1649" s="8" t="s">
        <v>7853</v>
      </c>
      <c r="B1649" s="8" t="s">
        <v>361</v>
      </c>
      <c r="C1649" s="8" t="s">
        <v>362</v>
      </c>
      <c r="D1649" s="8" t="s">
        <v>5861</v>
      </c>
      <c r="E1649" s="8" t="s">
        <v>7846</v>
      </c>
      <c r="F1649" s="8" t="s">
        <v>7786</v>
      </c>
      <c r="G1649" s="8" t="s">
        <v>1799</v>
      </c>
      <c r="H1649" s="8">
        <v>1</v>
      </c>
      <c r="I1649" s="8">
        <v>1</v>
      </c>
      <c r="J1649" s="8" t="s">
        <v>7854</v>
      </c>
      <c r="K1649" s="8" t="s">
        <v>365</v>
      </c>
      <c r="L1649" s="9">
        <v>46319</v>
      </c>
      <c r="M1649" s="8" t="s">
        <v>5864</v>
      </c>
      <c r="N1649" s="8" t="s">
        <v>5865</v>
      </c>
    </row>
    <row r="1650" spans="1:14" ht="54" customHeight="1">
      <c r="A1650" s="4" t="s">
        <v>7855</v>
      </c>
      <c r="B1650" s="4" t="s">
        <v>361</v>
      </c>
      <c r="C1650" s="4" t="s">
        <v>362</v>
      </c>
      <c r="D1650" s="4" t="s">
        <v>5867</v>
      </c>
      <c r="E1650" s="4" t="s">
        <v>41</v>
      </c>
      <c r="F1650" s="4" t="s">
        <v>6111</v>
      </c>
      <c r="G1650" s="4" t="s">
        <v>1799</v>
      </c>
      <c r="H1650" s="4">
        <v>1</v>
      </c>
      <c r="I1650" s="4">
        <v>1</v>
      </c>
      <c r="J1650" s="4" t="s">
        <v>7856</v>
      </c>
      <c r="K1650" s="4" t="s">
        <v>365</v>
      </c>
      <c r="L1650" s="6">
        <v>46319</v>
      </c>
      <c r="M1650" s="4" t="s">
        <v>5864</v>
      </c>
      <c r="N1650" s="4" t="s">
        <v>5870</v>
      </c>
    </row>
    <row r="1651" spans="1:14" ht="40" customHeight="1">
      <c r="A1651" s="8" t="s">
        <v>7857</v>
      </c>
      <c r="B1651" s="8" t="s">
        <v>361</v>
      </c>
      <c r="C1651" s="8" t="s">
        <v>362</v>
      </c>
      <c r="D1651" s="8" t="s">
        <v>5867</v>
      </c>
      <c r="E1651" s="8" t="s">
        <v>41</v>
      </c>
      <c r="F1651" s="8" t="s">
        <v>7858</v>
      </c>
      <c r="G1651" s="8" t="s">
        <v>1799</v>
      </c>
      <c r="H1651" s="8">
        <v>1</v>
      </c>
      <c r="I1651" s="8">
        <v>1</v>
      </c>
      <c r="J1651" s="8" t="s">
        <v>7859</v>
      </c>
      <c r="K1651" s="8" t="s">
        <v>365</v>
      </c>
      <c r="L1651" s="9">
        <v>46319</v>
      </c>
      <c r="M1651" s="8" t="s">
        <v>5864</v>
      </c>
      <c r="N1651" s="8" t="s">
        <v>5870</v>
      </c>
    </row>
    <row r="1652" spans="1:14" ht="40" customHeight="1">
      <c r="A1652" s="4" t="s">
        <v>7860</v>
      </c>
      <c r="B1652" s="4" t="s">
        <v>361</v>
      </c>
      <c r="C1652" s="4" t="s">
        <v>362</v>
      </c>
      <c r="D1652" s="4" t="s">
        <v>637</v>
      </c>
      <c r="E1652" s="4" t="s">
        <v>41</v>
      </c>
      <c r="F1652" s="4" t="s">
        <v>926</v>
      </c>
      <c r="G1652" s="4" t="s">
        <v>1799</v>
      </c>
      <c r="H1652" s="4">
        <v>1</v>
      </c>
      <c r="I1652" s="4">
        <v>1</v>
      </c>
      <c r="J1652" s="4" t="s">
        <v>1797</v>
      </c>
      <c r="K1652" s="4" t="s">
        <v>365</v>
      </c>
      <c r="L1652" s="6">
        <v>46319</v>
      </c>
      <c r="M1652" s="4" t="s">
        <v>5864</v>
      </c>
      <c r="N1652" s="4" t="s">
        <v>5870</v>
      </c>
    </row>
    <row r="1653" spans="1:14" ht="40" customHeight="1">
      <c r="A1653" s="8" t="s">
        <v>7861</v>
      </c>
      <c r="B1653" s="8" t="s">
        <v>361</v>
      </c>
      <c r="C1653" s="8" t="s">
        <v>362</v>
      </c>
      <c r="D1653" s="8" t="s">
        <v>637</v>
      </c>
      <c r="E1653" s="8" t="s">
        <v>41</v>
      </c>
      <c r="F1653" s="8" t="s">
        <v>931</v>
      </c>
      <c r="G1653" s="8" t="s">
        <v>1799</v>
      </c>
      <c r="H1653" s="8">
        <v>1</v>
      </c>
      <c r="I1653" s="8">
        <v>1</v>
      </c>
      <c r="J1653" s="8" t="s">
        <v>1801</v>
      </c>
      <c r="K1653" s="8" t="s">
        <v>365</v>
      </c>
      <c r="L1653" s="9">
        <v>46319</v>
      </c>
      <c r="M1653" s="8" t="s">
        <v>5864</v>
      </c>
      <c r="N1653" s="8" t="s">
        <v>5870</v>
      </c>
    </row>
    <row r="1654" spans="1:14" ht="40" customHeight="1">
      <c r="A1654" s="4" t="s">
        <v>7862</v>
      </c>
      <c r="B1654" s="4" t="s">
        <v>361</v>
      </c>
      <c r="C1654" s="4" t="s">
        <v>362</v>
      </c>
      <c r="D1654" s="4" t="s">
        <v>637</v>
      </c>
      <c r="E1654" s="4" t="s">
        <v>41</v>
      </c>
      <c r="F1654" s="4" t="s">
        <v>935</v>
      </c>
      <c r="G1654" s="4" t="s">
        <v>1799</v>
      </c>
      <c r="H1654" s="4">
        <v>1</v>
      </c>
      <c r="I1654" s="4">
        <v>1</v>
      </c>
      <c r="J1654" s="4" t="s">
        <v>1804</v>
      </c>
      <c r="K1654" s="4" t="s">
        <v>365</v>
      </c>
      <c r="L1654" s="6">
        <v>46319</v>
      </c>
      <c r="M1654" s="4" t="s">
        <v>5864</v>
      </c>
      <c r="N1654" s="4" t="s">
        <v>5870</v>
      </c>
    </row>
    <row r="1655" spans="1:14" ht="54" customHeight="1">
      <c r="A1655" s="8" t="s">
        <v>7863</v>
      </c>
      <c r="B1655" s="8" t="s">
        <v>361</v>
      </c>
      <c r="C1655" s="8" t="s">
        <v>362</v>
      </c>
      <c r="D1655" s="8" t="s">
        <v>637</v>
      </c>
      <c r="E1655" s="8" t="s">
        <v>41</v>
      </c>
      <c r="F1655" s="8" t="s">
        <v>939</v>
      </c>
      <c r="G1655" s="8" t="s">
        <v>1799</v>
      </c>
      <c r="H1655" s="8">
        <v>1</v>
      </c>
      <c r="I1655" s="8">
        <v>1</v>
      </c>
      <c r="J1655" s="8" t="s">
        <v>1807</v>
      </c>
      <c r="K1655" s="8" t="s">
        <v>365</v>
      </c>
      <c r="L1655" s="9">
        <v>46319</v>
      </c>
      <c r="M1655" s="8" t="s">
        <v>5864</v>
      </c>
      <c r="N1655" s="8" t="s">
        <v>5870</v>
      </c>
    </row>
    <row r="1656" spans="1:14" ht="40" customHeight="1">
      <c r="A1656" s="4" t="s">
        <v>7864</v>
      </c>
      <c r="B1656" s="4" t="s">
        <v>361</v>
      </c>
      <c r="C1656" s="4" t="s">
        <v>362</v>
      </c>
      <c r="D1656" s="4" t="s">
        <v>637</v>
      </c>
      <c r="E1656" s="4" t="s">
        <v>41</v>
      </c>
      <c r="F1656" s="4" t="s">
        <v>943</v>
      </c>
      <c r="G1656" s="4" t="s">
        <v>1799</v>
      </c>
      <c r="H1656" s="4">
        <v>1</v>
      </c>
      <c r="I1656" s="4">
        <v>1</v>
      </c>
      <c r="J1656" s="4" t="s">
        <v>1810</v>
      </c>
      <c r="K1656" s="4" t="s">
        <v>365</v>
      </c>
      <c r="L1656" s="6">
        <v>46319</v>
      </c>
      <c r="M1656" s="4" t="s">
        <v>5864</v>
      </c>
      <c r="N1656" s="4" t="s">
        <v>5870</v>
      </c>
    </row>
    <row r="1657" spans="1:14" ht="40" customHeight="1">
      <c r="A1657" s="8" t="s">
        <v>7865</v>
      </c>
      <c r="B1657" s="8" t="s">
        <v>361</v>
      </c>
      <c r="C1657" s="8" t="s">
        <v>362</v>
      </c>
      <c r="D1657" s="8" t="s">
        <v>637</v>
      </c>
      <c r="E1657" s="8" t="s">
        <v>41</v>
      </c>
      <c r="F1657" s="8" t="s">
        <v>947</v>
      </c>
      <c r="G1657" s="8" t="s">
        <v>1799</v>
      </c>
      <c r="H1657" s="8">
        <v>1</v>
      </c>
      <c r="I1657" s="8">
        <v>1</v>
      </c>
      <c r="J1657" s="8" t="s">
        <v>1813</v>
      </c>
      <c r="K1657" s="8" t="s">
        <v>365</v>
      </c>
      <c r="L1657" s="9">
        <v>46319</v>
      </c>
      <c r="M1657" s="8" t="s">
        <v>5864</v>
      </c>
      <c r="N1657" s="8" t="s">
        <v>5870</v>
      </c>
    </row>
    <row r="1658" spans="1:14" ht="40" customHeight="1">
      <c r="A1658" s="4" t="s">
        <v>5419</v>
      </c>
      <c r="B1658" s="4" t="s">
        <v>361</v>
      </c>
      <c r="C1658" s="4" t="s">
        <v>362</v>
      </c>
      <c r="D1658" s="4" t="s">
        <v>7</v>
      </c>
      <c r="E1658" s="4" t="s">
        <v>41</v>
      </c>
      <c r="F1658" s="4" t="s">
        <v>6150</v>
      </c>
      <c r="G1658" s="4" t="s">
        <v>1799</v>
      </c>
      <c r="H1658" s="4">
        <v>1</v>
      </c>
      <c r="I1658" s="4">
        <v>1</v>
      </c>
      <c r="J1658" s="4" t="s">
        <v>5420</v>
      </c>
      <c r="K1658" s="4" t="s">
        <v>365</v>
      </c>
      <c r="L1658" s="6">
        <v>46319</v>
      </c>
      <c r="M1658" s="4" t="s">
        <v>5864</v>
      </c>
      <c r="N1658" s="4" t="s">
        <v>5865</v>
      </c>
    </row>
    <row r="1659" spans="1:14" ht="40" customHeight="1">
      <c r="A1659" s="8" t="s">
        <v>5421</v>
      </c>
      <c r="B1659" s="8" t="s">
        <v>361</v>
      </c>
      <c r="C1659" s="8" t="s">
        <v>362</v>
      </c>
      <c r="D1659" s="8" t="s">
        <v>7</v>
      </c>
      <c r="E1659" s="8" t="s">
        <v>41</v>
      </c>
      <c r="F1659" s="8" t="s">
        <v>6834</v>
      </c>
      <c r="G1659" s="8" t="s">
        <v>1799</v>
      </c>
      <c r="H1659" s="8">
        <v>1</v>
      </c>
      <c r="I1659" s="8">
        <v>1</v>
      </c>
      <c r="J1659" s="8" t="s">
        <v>5422</v>
      </c>
      <c r="K1659" s="8" t="s">
        <v>365</v>
      </c>
      <c r="L1659" s="9">
        <v>46319</v>
      </c>
      <c r="M1659" s="8" t="s">
        <v>5864</v>
      </c>
      <c r="N1659" s="8" t="s">
        <v>5865</v>
      </c>
    </row>
    <row r="1660" spans="1:14" ht="40" customHeight="1">
      <c r="A1660" s="4" t="s">
        <v>5423</v>
      </c>
      <c r="B1660" s="4" t="s">
        <v>361</v>
      </c>
      <c r="C1660" s="4" t="s">
        <v>362</v>
      </c>
      <c r="D1660" s="4" t="s">
        <v>7</v>
      </c>
      <c r="E1660" s="4" t="s">
        <v>41</v>
      </c>
      <c r="F1660" s="4" t="s">
        <v>7172</v>
      </c>
      <c r="G1660" s="4" t="s">
        <v>1799</v>
      </c>
      <c r="H1660" s="4">
        <v>1</v>
      </c>
      <c r="I1660" s="4">
        <v>1</v>
      </c>
      <c r="J1660" s="4" t="s">
        <v>5424</v>
      </c>
      <c r="K1660" s="4" t="s">
        <v>365</v>
      </c>
      <c r="L1660" s="6">
        <v>46319</v>
      </c>
      <c r="M1660" s="4" t="s">
        <v>5864</v>
      </c>
      <c r="N1660" s="4" t="s">
        <v>5865</v>
      </c>
    </row>
    <row r="1661" spans="1:14" ht="40" customHeight="1">
      <c r="A1661" s="8" t="s">
        <v>5425</v>
      </c>
      <c r="B1661" s="8" t="s">
        <v>361</v>
      </c>
      <c r="C1661" s="8" t="s">
        <v>362</v>
      </c>
      <c r="D1661" s="8" t="s">
        <v>7</v>
      </c>
      <c r="E1661" s="8" t="s">
        <v>41</v>
      </c>
      <c r="F1661" s="8" t="s">
        <v>6921</v>
      </c>
      <c r="G1661" s="8" t="s">
        <v>1799</v>
      </c>
      <c r="H1661" s="8">
        <v>1</v>
      </c>
      <c r="I1661" s="8">
        <v>1</v>
      </c>
      <c r="J1661" s="8" t="s">
        <v>5426</v>
      </c>
      <c r="K1661" s="8" t="s">
        <v>365</v>
      </c>
      <c r="L1661" s="9">
        <v>46319</v>
      </c>
      <c r="M1661" s="8" t="s">
        <v>5864</v>
      </c>
      <c r="N1661" s="8" t="s">
        <v>5865</v>
      </c>
    </row>
    <row r="1662" spans="1:14" ht="40" customHeight="1">
      <c r="A1662" s="4" t="s">
        <v>5427</v>
      </c>
      <c r="B1662" s="4" t="s">
        <v>361</v>
      </c>
      <c r="C1662" s="4" t="s">
        <v>362</v>
      </c>
      <c r="D1662" s="4" t="s">
        <v>7</v>
      </c>
      <c r="E1662" s="4" t="s">
        <v>41</v>
      </c>
      <c r="F1662" s="4" t="s">
        <v>7173</v>
      </c>
      <c r="G1662" s="4" t="s">
        <v>1799</v>
      </c>
      <c r="H1662" s="4">
        <v>1</v>
      </c>
      <c r="I1662" s="4">
        <v>1</v>
      </c>
      <c r="J1662" s="4" t="s">
        <v>5428</v>
      </c>
      <c r="K1662" s="4" t="s">
        <v>365</v>
      </c>
      <c r="L1662" s="6">
        <v>46319</v>
      </c>
      <c r="M1662" s="4" t="s">
        <v>5864</v>
      </c>
      <c r="N1662" s="4" t="s">
        <v>5865</v>
      </c>
    </row>
    <row r="1663" spans="1:14" ht="40" customHeight="1">
      <c r="A1663" s="8" t="s">
        <v>5429</v>
      </c>
      <c r="B1663" s="8" t="s">
        <v>361</v>
      </c>
      <c r="C1663" s="8" t="s">
        <v>362</v>
      </c>
      <c r="D1663" s="8" t="s">
        <v>7</v>
      </c>
      <c r="E1663" s="8" t="s">
        <v>41</v>
      </c>
      <c r="F1663" s="8" t="s">
        <v>7174</v>
      </c>
      <c r="G1663" s="8" t="s">
        <v>1799</v>
      </c>
      <c r="H1663" s="8">
        <v>1</v>
      </c>
      <c r="I1663" s="8">
        <v>1</v>
      </c>
      <c r="J1663" s="8" t="s">
        <v>5430</v>
      </c>
      <c r="K1663" s="8" t="s">
        <v>365</v>
      </c>
      <c r="L1663" s="9">
        <v>46319</v>
      </c>
      <c r="M1663" s="8" t="s">
        <v>5864</v>
      </c>
      <c r="N1663" s="8" t="s">
        <v>5865</v>
      </c>
    </row>
    <row r="1664" spans="1:14" ht="40" customHeight="1">
      <c r="A1664" s="4" t="s">
        <v>5431</v>
      </c>
      <c r="B1664" s="4" t="s">
        <v>361</v>
      </c>
      <c r="C1664" s="4" t="s">
        <v>362</v>
      </c>
      <c r="D1664" s="4" t="s">
        <v>7</v>
      </c>
      <c r="E1664" s="4" t="s">
        <v>41</v>
      </c>
      <c r="F1664" s="4" t="s">
        <v>6928</v>
      </c>
      <c r="G1664" s="4" t="s">
        <v>1799</v>
      </c>
      <c r="H1664" s="4">
        <v>1</v>
      </c>
      <c r="I1664" s="4">
        <v>1</v>
      </c>
      <c r="J1664" s="4" t="s">
        <v>5432</v>
      </c>
      <c r="K1664" s="4" t="s">
        <v>365</v>
      </c>
      <c r="L1664" s="6">
        <v>46319</v>
      </c>
      <c r="M1664" s="4" t="s">
        <v>5864</v>
      </c>
      <c r="N1664" s="4" t="s">
        <v>5865</v>
      </c>
    </row>
    <row r="1665" spans="1:14" ht="40" customHeight="1">
      <c r="A1665" s="8" t="s">
        <v>5433</v>
      </c>
      <c r="B1665" s="8" t="s">
        <v>361</v>
      </c>
      <c r="C1665" s="8" t="s">
        <v>362</v>
      </c>
      <c r="D1665" s="8" t="s">
        <v>7</v>
      </c>
      <c r="E1665" s="8" t="s">
        <v>41</v>
      </c>
      <c r="F1665" s="8" t="s">
        <v>7866</v>
      </c>
      <c r="G1665" s="8" t="s">
        <v>1799</v>
      </c>
      <c r="H1665" s="8">
        <v>1</v>
      </c>
      <c r="I1665" s="8">
        <v>1</v>
      </c>
      <c r="J1665" s="8" t="s">
        <v>5434</v>
      </c>
      <c r="K1665" s="8" t="s">
        <v>365</v>
      </c>
      <c r="L1665" s="9">
        <v>46319</v>
      </c>
      <c r="M1665" s="8" t="s">
        <v>5864</v>
      </c>
      <c r="N1665" s="8" t="s">
        <v>5865</v>
      </c>
    </row>
    <row r="1666" spans="1:14" ht="40" customHeight="1">
      <c r="A1666" s="4" t="s">
        <v>5435</v>
      </c>
      <c r="B1666" s="4" t="s">
        <v>361</v>
      </c>
      <c r="C1666" s="4" t="s">
        <v>362</v>
      </c>
      <c r="D1666" s="4" t="s">
        <v>7</v>
      </c>
      <c r="E1666" s="4" t="s">
        <v>41</v>
      </c>
      <c r="F1666" s="4" t="s">
        <v>6931</v>
      </c>
      <c r="G1666" s="4" t="s">
        <v>1799</v>
      </c>
      <c r="H1666" s="4">
        <v>1</v>
      </c>
      <c r="I1666" s="4">
        <v>1</v>
      </c>
      <c r="J1666" s="4" t="s">
        <v>5436</v>
      </c>
      <c r="K1666" s="4" t="s">
        <v>365</v>
      </c>
      <c r="L1666" s="6">
        <v>46319</v>
      </c>
      <c r="M1666" s="4" t="s">
        <v>5864</v>
      </c>
      <c r="N1666" s="4" t="s">
        <v>5865</v>
      </c>
    </row>
    <row r="1667" spans="1:14" ht="40" customHeight="1">
      <c r="A1667" s="8" t="s">
        <v>5437</v>
      </c>
      <c r="B1667" s="8" t="s">
        <v>361</v>
      </c>
      <c r="C1667" s="8" t="s">
        <v>362</v>
      </c>
      <c r="D1667" s="8" t="s">
        <v>7</v>
      </c>
      <c r="E1667" s="8" t="s">
        <v>41</v>
      </c>
      <c r="F1667" s="8" t="s">
        <v>7176</v>
      </c>
      <c r="G1667" s="8" t="s">
        <v>1799</v>
      </c>
      <c r="H1667" s="8">
        <v>1</v>
      </c>
      <c r="I1667" s="8">
        <v>1</v>
      </c>
      <c r="J1667" s="8" t="s">
        <v>5438</v>
      </c>
      <c r="K1667" s="8" t="s">
        <v>365</v>
      </c>
      <c r="L1667" s="9">
        <v>46319</v>
      </c>
      <c r="M1667" s="8" t="s">
        <v>5864</v>
      </c>
      <c r="N1667" s="8" t="s">
        <v>5865</v>
      </c>
    </row>
    <row r="1668" spans="1:14" ht="40" customHeight="1">
      <c r="A1668" s="4" t="s">
        <v>5439</v>
      </c>
      <c r="B1668" s="4" t="s">
        <v>361</v>
      </c>
      <c r="C1668" s="4" t="s">
        <v>362</v>
      </c>
      <c r="D1668" s="4" t="s">
        <v>7</v>
      </c>
      <c r="E1668" s="4" t="s">
        <v>41</v>
      </c>
      <c r="F1668" s="4" t="s">
        <v>7177</v>
      </c>
      <c r="G1668" s="4" t="s">
        <v>1799</v>
      </c>
      <c r="H1668" s="4">
        <v>1</v>
      </c>
      <c r="I1668" s="4">
        <v>1</v>
      </c>
      <c r="J1668" s="4" t="s">
        <v>5440</v>
      </c>
      <c r="K1668" s="4" t="s">
        <v>365</v>
      </c>
      <c r="L1668" s="6">
        <v>46319</v>
      </c>
      <c r="M1668" s="4" t="s">
        <v>5864</v>
      </c>
      <c r="N1668" s="4" t="s">
        <v>5865</v>
      </c>
    </row>
    <row r="1669" spans="1:14" ht="40" customHeight="1">
      <c r="A1669" s="8" t="s">
        <v>5441</v>
      </c>
      <c r="B1669" s="8" t="s">
        <v>361</v>
      </c>
      <c r="C1669" s="8" t="s">
        <v>362</v>
      </c>
      <c r="D1669" s="8" t="s">
        <v>7</v>
      </c>
      <c r="E1669" s="8" t="s">
        <v>41</v>
      </c>
      <c r="F1669" s="8" t="s">
        <v>7867</v>
      </c>
      <c r="G1669" s="8" t="s">
        <v>1799</v>
      </c>
      <c r="H1669" s="8">
        <v>1</v>
      </c>
      <c r="I1669" s="8">
        <v>1</v>
      </c>
      <c r="J1669" s="8" t="s">
        <v>5442</v>
      </c>
      <c r="K1669" s="8" t="s">
        <v>365</v>
      </c>
      <c r="L1669" s="9">
        <v>46319</v>
      </c>
      <c r="M1669" s="8" t="s">
        <v>5864</v>
      </c>
      <c r="N1669" s="8" t="s">
        <v>5865</v>
      </c>
    </row>
    <row r="1670" spans="1:14" ht="40" customHeight="1">
      <c r="A1670" s="4" t="s">
        <v>4436</v>
      </c>
      <c r="B1670" s="4" t="s">
        <v>361</v>
      </c>
      <c r="C1670" s="4" t="s">
        <v>362</v>
      </c>
      <c r="D1670" s="4" t="s">
        <v>5879</v>
      </c>
      <c r="E1670" s="4" t="s">
        <v>41</v>
      </c>
      <c r="F1670" s="4" t="s">
        <v>3463</v>
      </c>
      <c r="G1670" s="4" t="s">
        <v>1799</v>
      </c>
      <c r="H1670" s="4">
        <v>1</v>
      </c>
      <c r="I1670" s="4">
        <v>1</v>
      </c>
      <c r="J1670" s="4" t="s">
        <v>4437</v>
      </c>
      <c r="K1670" s="4" t="s">
        <v>365</v>
      </c>
      <c r="L1670" s="6">
        <v>46319</v>
      </c>
      <c r="M1670" s="4" t="s">
        <v>5864</v>
      </c>
      <c r="N1670" s="4" t="s">
        <v>5865</v>
      </c>
    </row>
    <row r="1671" spans="1:14" ht="40" customHeight="1">
      <c r="A1671" s="8" t="s">
        <v>4438</v>
      </c>
      <c r="B1671" s="8" t="s">
        <v>361</v>
      </c>
      <c r="C1671" s="8" t="s">
        <v>362</v>
      </c>
      <c r="D1671" s="8" t="s">
        <v>5879</v>
      </c>
      <c r="E1671" s="8" t="s">
        <v>41</v>
      </c>
      <c r="F1671" s="8" t="s">
        <v>3485</v>
      </c>
      <c r="G1671" s="8" t="s">
        <v>1799</v>
      </c>
      <c r="H1671" s="8">
        <v>1</v>
      </c>
      <c r="I1671" s="8">
        <v>1</v>
      </c>
      <c r="J1671" s="8" t="s">
        <v>4439</v>
      </c>
      <c r="K1671" s="8" t="s">
        <v>365</v>
      </c>
      <c r="L1671" s="9">
        <v>46319</v>
      </c>
      <c r="M1671" s="8" t="s">
        <v>5864</v>
      </c>
      <c r="N1671" s="8" t="s">
        <v>5865</v>
      </c>
    </row>
    <row r="1672" spans="1:14" ht="54" customHeight="1">
      <c r="A1672" s="4" t="s">
        <v>4440</v>
      </c>
      <c r="B1672" s="4" t="s">
        <v>361</v>
      </c>
      <c r="C1672" s="4" t="s">
        <v>362</v>
      </c>
      <c r="D1672" s="4" t="s">
        <v>5879</v>
      </c>
      <c r="E1672" s="4" t="s">
        <v>41</v>
      </c>
      <c r="F1672" s="4" t="s">
        <v>3655</v>
      </c>
      <c r="G1672" s="4" t="s">
        <v>1799</v>
      </c>
      <c r="H1672" s="4">
        <v>1</v>
      </c>
      <c r="I1672" s="4">
        <v>1</v>
      </c>
      <c r="J1672" s="4" t="s">
        <v>4441</v>
      </c>
      <c r="K1672" s="4" t="s">
        <v>365</v>
      </c>
      <c r="L1672" s="6">
        <v>46319</v>
      </c>
      <c r="M1672" s="4" t="s">
        <v>5864</v>
      </c>
      <c r="N1672" s="4" t="s">
        <v>5865</v>
      </c>
    </row>
    <row r="1673" spans="1:14" ht="68" customHeight="1">
      <c r="A1673" s="8" t="s">
        <v>4442</v>
      </c>
      <c r="B1673" s="8" t="s">
        <v>361</v>
      </c>
      <c r="C1673" s="8" t="s">
        <v>362</v>
      </c>
      <c r="D1673" s="8" t="s">
        <v>5879</v>
      </c>
      <c r="E1673" s="8" t="s">
        <v>41</v>
      </c>
      <c r="F1673" s="8" t="s">
        <v>3494</v>
      </c>
      <c r="G1673" s="8" t="s">
        <v>1799</v>
      </c>
      <c r="H1673" s="8">
        <v>1</v>
      </c>
      <c r="I1673" s="8">
        <v>1</v>
      </c>
      <c r="J1673" s="8" t="s">
        <v>4443</v>
      </c>
      <c r="K1673" s="8" t="s">
        <v>365</v>
      </c>
      <c r="L1673" s="9">
        <v>46319</v>
      </c>
      <c r="M1673" s="8" t="s">
        <v>5864</v>
      </c>
      <c r="N1673" s="8" t="s">
        <v>5865</v>
      </c>
    </row>
    <row r="1674" spans="1:14" ht="40" customHeight="1">
      <c r="A1674" s="4" t="s">
        <v>4444</v>
      </c>
      <c r="B1674" s="4" t="s">
        <v>361</v>
      </c>
      <c r="C1674" s="4" t="s">
        <v>362</v>
      </c>
      <c r="D1674" s="4" t="s">
        <v>5879</v>
      </c>
      <c r="E1674" s="4" t="s">
        <v>41</v>
      </c>
      <c r="F1674" s="4" t="s">
        <v>3497</v>
      </c>
      <c r="G1674" s="4" t="s">
        <v>1799</v>
      </c>
      <c r="H1674" s="4">
        <v>1</v>
      </c>
      <c r="I1674" s="4">
        <v>1</v>
      </c>
      <c r="J1674" s="4" t="s">
        <v>4445</v>
      </c>
      <c r="K1674" s="4" t="s">
        <v>365</v>
      </c>
      <c r="L1674" s="6">
        <v>46319</v>
      </c>
      <c r="M1674" s="4" t="s">
        <v>5864</v>
      </c>
      <c r="N1674" s="4" t="s">
        <v>5865</v>
      </c>
    </row>
    <row r="1675" spans="1:14" ht="40" customHeight="1">
      <c r="A1675" s="8" t="s">
        <v>4446</v>
      </c>
      <c r="B1675" s="8" t="s">
        <v>361</v>
      </c>
      <c r="C1675" s="8" t="s">
        <v>362</v>
      </c>
      <c r="D1675" s="8" t="s">
        <v>5879</v>
      </c>
      <c r="E1675" s="8" t="s">
        <v>41</v>
      </c>
      <c r="F1675" s="8" t="s">
        <v>3500</v>
      </c>
      <c r="G1675" s="8" t="s">
        <v>1799</v>
      </c>
      <c r="H1675" s="8">
        <v>1</v>
      </c>
      <c r="I1675" s="8">
        <v>1</v>
      </c>
      <c r="J1675" s="8" t="s">
        <v>4447</v>
      </c>
      <c r="K1675" s="8" t="s">
        <v>365</v>
      </c>
      <c r="L1675" s="9">
        <v>46319</v>
      </c>
      <c r="M1675" s="8" t="s">
        <v>5864</v>
      </c>
      <c r="N1675" s="8" t="s">
        <v>5865</v>
      </c>
    </row>
    <row r="1676" spans="1:14" ht="40" customHeight="1">
      <c r="A1676" s="4" t="s">
        <v>7868</v>
      </c>
      <c r="B1676" s="4" t="s">
        <v>361</v>
      </c>
      <c r="C1676" s="4" t="s">
        <v>362</v>
      </c>
      <c r="D1676" s="4" t="s">
        <v>2969</v>
      </c>
      <c r="E1676" s="4" t="s">
        <v>41</v>
      </c>
      <c r="F1676" s="4" t="s">
        <v>5881</v>
      </c>
      <c r="G1676" s="4" t="s">
        <v>1799</v>
      </c>
      <c r="H1676" s="4">
        <v>1</v>
      </c>
      <c r="I1676" s="4">
        <v>1</v>
      </c>
      <c r="J1676" s="4" t="s">
        <v>7869</v>
      </c>
      <c r="K1676" s="4" t="s">
        <v>365</v>
      </c>
      <c r="L1676" s="6">
        <v>46319</v>
      </c>
      <c r="M1676" s="4" t="s">
        <v>5864</v>
      </c>
      <c r="N1676" s="4" t="s">
        <v>5883</v>
      </c>
    </row>
    <row r="1677" spans="1:14" ht="96" customHeight="1">
      <c r="A1677" s="8" t="s">
        <v>7870</v>
      </c>
      <c r="B1677" s="8" t="s">
        <v>361</v>
      </c>
      <c r="C1677" s="8" t="s">
        <v>362</v>
      </c>
      <c r="D1677" s="8" t="s">
        <v>2969</v>
      </c>
      <c r="E1677" s="8" t="s">
        <v>41</v>
      </c>
      <c r="F1677" s="8" t="s">
        <v>5885</v>
      </c>
      <c r="G1677" s="8" t="s">
        <v>1799</v>
      </c>
      <c r="H1677" s="8">
        <v>1</v>
      </c>
      <c r="I1677" s="8">
        <v>1</v>
      </c>
      <c r="J1677" s="8" t="s">
        <v>7871</v>
      </c>
      <c r="K1677" s="8" t="s">
        <v>365</v>
      </c>
      <c r="L1677" s="9">
        <v>46319</v>
      </c>
      <c r="M1677" s="8" t="s">
        <v>5864</v>
      </c>
      <c r="N1677" s="8" t="s">
        <v>5883</v>
      </c>
    </row>
    <row r="1678" spans="1:14" ht="68" customHeight="1">
      <c r="A1678" s="4" t="s">
        <v>7872</v>
      </c>
      <c r="B1678" s="4" t="s">
        <v>361</v>
      </c>
      <c r="C1678" s="4" t="s">
        <v>362</v>
      </c>
      <c r="D1678" s="4" t="s">
        <v>2969</v>
      </c>
      <c r="E1678" s="4" t="s">
        <v>41</v>
      </c>
      <c r="F1678" s="4" t="s">
        <v>5888</v>
      </c>
      <c r="G1678" s="4" t="s">
        <v>1799</v>
      </c>
      <c r="H1678" s="4">
        <v>1</v>
      </c>
      <c r="I1678" s="4">
        <v>1</v>
      </c>
      <c r="J1678" s="4" t="s">
        <v>7873</v>
      </c>
      <c r="K1678" s="4" t="s">
        <v>365</v>
      </c>
      <c r="L1678" s="6">
        <v>46319</v>
      </c>
      <c r="M1678" s="4" t="s">
        <v>5864</v>
      </c>
      <c r="N1678" s="4" t="s">
        <v>5883</v>
      </c>
    </row>
    <row r="1679" spans="1:14" ht="68" customHeight="1">
      <c r="A1679" s="8" t="s">
        <v>7874</v>
      </c>
      <c r="B1679" s="8" t="s">
        <v>361</v>
      </c>
      <c r="C1679" s="8" t="s">
        <v>362</v>
      </c>
      <c r="D1679" s="8" t="s">
        <v>2969</v>
      </c>
      <c r="E1679" s="8" t="s">
        <v>41</v>
      </c>
      <c r="F1679" s="8" t="s">
        <v>5891</v>
      </c>
      <c r="G1679" s="8" t="s">
        <v>1799</v>
      </c>
      <c r="H1679" s="8">
        <v>1</v>
      </c>
      <c r="I1679" s="8">
        <v>1</v>
      </c>
      <c r="J1679" s="8" t="s">
        <v>7875</v>
      </c>
      <c r="K1679" s="8" t="s">
        <v>365</v>
      </c>
      <c r="L1679" s="9">
        <v>46319</v>
      </c>
      <c r="M1679" s="8" t="s">
        <v>5864</v>
      </c>
      <c r="N1679" s="8" t="s">
        <v>5883</v>
      </c>
    </row>
    <row r="1680" spans="1:14" ht="68" customHeight="1">
      <c r="A1680" s="4" t="s">
        <v>7876</v>
      </c>
      <c r="B1680" s="4" t="s">
        <v>361</v>
      </c>
      <c r="C1680" s="4" t="s">
        <v>362</v>
      </c>
      <c r="D1680" s="4" t="s">
        <v>2969</v>
      </c>
      <c r="E1680" s="4" t="s">
        <v>41</v>
      </c>
      <c r="F1680" s="4" t="s">
        <v>5894</v>
      </c>
      <c r="G1680" s="4" t="s">
        <v>1799</v>
      </c>
      <c r="H1680" s="4">
        <v>1</v>
      </c>
      <c r="I1680" s="4">
        <v>1</v>
      </c>
      <c r="J1680" s="4" t="s">
        <v>7877</v>
      </c>
      <c r="K1680" s="4" t="s">
        <v>365</v>
      </c>
      <c r="L1680" s="6">
        <v>46319</v>
      </c>
      <c r="M1680" s="4" t="s">
        <v>5864</v>
      </c>
      <c r="N1680" s="4" t="s">
        <v>5883</v>
      </c>
    </row>
    <row r="1681" spans="1:14" ht="138" customHeight="1">
      <c r="A1681" s="8" t="s">
        <v>7878</v>
      </c>
      <c r="B1681" s="8" t="s">
        <v>361</v>
      </c>
      <c r="C1681" s="8" t="s">
        <v>362</v>
      </c>
      <c r="D1681" s="8" t="s">
        <v>2969</v>
      </c>
      <c r="E1681" s="8" t="s">
        <v>41</v>
      </c>
      <c r="F1681" s="8" t="s">
        <v>5897</v>
      </c>
      <c r="G1681" s="8" t="s">
        <v>1799</v>
      </c>
      <c r="H1681" s="8">
        <v>1</v>
      </c>
      <c r="I1681" s="8">
        <v>1</v>
      </c>
      <c r="J1681" s="8" t="s">
        <v>7879</v>
      </c>
      <c r="K1681" s="8" t="s">
        <v>365</v>
      </c>
      <c r="L1681" s="9">
        <v>46319</v>
      </c>
      <c r="M1681" s="8" t="s">
        <v>5864</v>
      </c>
      <c r="N1681" s="8" t="s">
        <v>5883</v>
      </c>
    </row>
    <row r="1682" spans="1:14" ht="96" customHeight="1">
      <c r="A1682" s="4" t="s">
        <v>7880</v>
      </c>
      <c r="B1682" s="4" t="s">
        <v>361</v>
      </c>
      <c r="C1682" s="4" t="s">
        <v>362</v>
      </c>
      <c r="D1682" s="4" t="s">
        <v>2969</v>
      </c>
      <c r="E1682" s="4" t="s">
        <v>41</v>
      </c>
      <c r="F1682" s="4" t="s">
        <v>5900</v>
      </c>
      <c r="G1682" s="4" t="s">
        <v>1799</v>
      </c>
      <c r="H1682" s="4">
        <v>1</v>
      </c>
      <c r="I1682" s="4">
        <v>1</v>
      </c>
      <c r="J1682" s="4" t="s">
        <v>7881</v>
      </c>
      <c r="K1682" s="4" t="s">
        <v>365</v>
      </c>
      <c r="L1682" s="6">
        <v>46319</v>
      </c>
      <c r="M1682" s="4" t="s">
        <v>5864</v>
      </c>
      <c r="N1682" s="4" t="s">
        <v>5883</v>
      </c>
    </row>
    <row r="1683" spans="1:14" ht="54" customHeight="1">
      <c r="A1683" s="8" t="s">
        <v>7882</v>
      </c>
      <c r="B1683" s="8" t="s">
        <v>361</v>
      </c>
      <c r="C1683" s="8" t="s">
        <v>362</v>
      </c>
      <c r="D1683" s="8" t="s">
        <v>2969</v>
      </c>
      <c r="E1683" s="8" t="s">
        <v>41</v>
      </c>
      <c r="F1683" s="8" t="s">
        <v>5903</v>
      </c>
      <c r="G1683" s="8" t="s">
        <v>1799</v>
      </c>
      <c r="H1683" s="8">
        <v>1</v>
      </c>
      <c r="I1683" s="8">
        <v>1</v>
      </c>
      <c r="J1683" s="8" t="s">
        <v>7883</v>
      </c>
      <c r="K1683" s="8" t="s">
        <v>365</v>
      </c>
      <c r="L1683" s="9">
        <v>46319</v>
      </c>
      <c r="M1683" s="8" t="s">
        <v>5864</v>
      </c>
      <c r="N1683" s="8" t="s">
        <v>5883</v>
      </c>
    </row>
    <row r="1684" spans="1:14" ht="82" customHeight="1">
      <c r="A1684" s="4" t="s">
        <v>7884</v>
      </c>
      <c r="B1684" s="4" t="s">
        <v>361</v>
      </c>
      <c r="C1684" s="4" t="s">
        <v>362</v>
      </c>
      <c r="D1684" s="4" t="s">
        <v>2969</v>
      </c>
      <c r="E1684" s="4" t="s">
        <v>41</v>
      </c>
      <c r="F1684" s="4" t="s">
        <v>5906</v>
      </c>
      <c r="G1684" s="4" t="s">
        <v>1799</v>
      </c>
      <c r="H1684" s="4">
        <v>1</v>
      </c>
      <c r="I1684" s="4">
        <v>1</v>
      </c>
      <c r="J1684" s="4" t="s">
        <v>7885</v>
      </c>
      <c r="K1684" s="4" t="s">
        <v>365</v>
      </c>
      <c r="L1684" s="6">
        <v>46319</v>
      </c>
      <c r="M1684" s="4" t="s">
        <v>5864</v>
      </c>
      <c r="N1684" s="4" t="s">
        <v>5883</v>
      </c>
    </row>
    <row r="1685" spans="1:14" ht="54" customHeight="1">
      <c r="A1685" s="8" t="s">
        <v>7886</v>
      </c>
      <c r="B1685" s="8" t="s">
        <v>361</v>
      </c>
      <c r="C1685" s="8" t="s">
        <v>362</v>
      </c>
      <c r="D1685" s="8" t="s">
        <v>2969</v>
      </c>
      <c r="E1685" s="8" t="s">
        <v>41</v>
      </c>
      <c r="F1685" s="8" t="s">
        <v>5909</v>
      </c>
      <c r="G1685" s="8" t="s">
        <v>1799</v>
      </c>
      <c r="H1685" s="8">
        <v>1</v>
      </c>
      <c r="I1685" s="8">
        <v>1</v>
      </c>
      <c r="J1685" s="8" t="s">
        <v>7887</v>
      </c>
      <c r="K1685" s="8" t="s">
        <v>365</v>
      </c>
      <c r="L1685" s="9">
        <v>46319</v>
      </c>
      <c r="M1685" s="8" t="s">
        <v>5864</v>
      </c>
      <c r="N1685" s="8" t="s">
        <v>5883</v>
      </c>
    </row>
    <row r="1686" spans="1:14" ht="40" customHeight="1">
      <c r="A1686" s="4" t="s">
        <v>7888</v>
      </c>
      <c r="B1686" s="4" t="s">
        <v>361</v>
      </c>
      <c r="C1686" s="4" t="s">
        <v>362</v>
      </c>
      <c r="D1686" s="4" t="s">
        <v>2969</v>
      </c>
      <c r="E1686" s="4" t="s">
        <v>41</v>
      </c>
      <c r="F1686" s="4" t="s">
        <v>5912</v>
      </c>
      <c r="G1686" s="4" t="s">
        <v>1799</v>
      </c>
      <c r="H1686" s="4">
        <v>1</v>
      </c>
      <c r="I1686" s="4">
        <v>1</v>
      </c>
      <c r="J1686" s="4" t="s">
        <v>7889</v>
      </c>
      <c r="K1686" s="4" t="s">
        <v>365</v>
      </c>
      <c r="L1686" s="6">
        <v>46319</v>
      </c>
      <c r="M1686" s="4" t="s">
        <v>5864</v>
      </c>
      <c r="N1686" s="4" t="s">
        <v>5883</v>
      </c>
    </row>
    <row r="1687" spans="1:14" ht="82" customHeight="1">
      <c r="A1687" s="8" t="s">
        <v>7890</v>
      </c>
      <c r="B1687" s="8" t="s">
        <v>361</v>
      </c>
      <c r="C1687" s="8" t="s">
        <v>362</v>
      </c>
      <c r="D1687" s="8" t="s">
        <v>2969</v>
      </c>
      <c r="E1687" s="8" t="s">
        <v>41</v>
      </c>
      <c r="F1687" s="8" t="s">
        <v>5973</v>
      </c>
      <c r="G1687" s="8" t="s">
        <v>1799</v>
      </c>
      <c r="H1687" s="8">
        <v>1</v>
      </c>
      <c r="I1687" s="8">
        <v>1</v>
      </c>
      <c r="J1687" s="8" t="s">
        <v>7891</v>
      </c>
      <c r="K1687" s="8" t="s">
        <v>365</v>
      </c>
      <c r="L1687" s="9">
        <v>46319</v>
      </c>
      <c r="M1687" s="8" t="s">
        <v>5864</v>
      </c>
      <c r="N1687" s="8" t="s">
        <v>5883</v>
      </c>
    </row>
    <row r="1688" spans="1:14" ht="82" customHeight="1">
      <c r="A1688" s="4" t="s">
        <v>7892</v>
      </c>
      <c r="B1688" s="4" t="s">
        <v>361</v>
      </c>
      <c r="C1688" s="4" t="s">
        <v>362</v>
      </c>
      <c r="D1688" s="4" t="s">
        <v>2969</v>
      </c>
      <c r="E1688" s="4" t="s">
        <v>41</v>
      </c>
      <c r="F1688" s="4" t="s">
        <v>5976</v>
      </c>
      <c r="G1688" s="4" t="s">
        <v>1799</v>
      </c>
      <c r="H1688" s="4">
        <v>1</v>
      </c>
      <c r="I1688" s="4">
        <v>1</v>
      </c>
      <c r="J1688" s="4" t="s">
        <v>7893</v>
      </c>
      <c r="K1688" s="4" t="s">
        <v>365</v>
      </c>
      <c r="L1688" s="6">
        <v>46319</v>
      </c>
      <c r="M1688" s="4" t="s">
        <v>5864</v>
      </c>
      <c r="N1688" s="4" t="s">
        <v>5883</v>
      </c>
    </row>
    <row r="1689" spans="1:14" ht="96" customHeight="1">
      <c r="A1689" s="8" t="s">
        <v>7894</v>
      </c>
      <c r="B1689" s="8" t="s">
        <v>361</v>
      </c>
      <c r="C1689" s="8" t="s">
        <v>362</v>
      </c>
      <c r="D1689" s="8" t="s">
        <v>2969</v>
      </c>
      <c r="E1689" s="8" t="s">
        <v>41</v>
      </c>
      <c r="F1689" s="8" t="s">
        <v>5979</v>
      </c>
      <c r="G1689" s="8" t="s">
        <v>1799</v>
      </c>
      <c r="H1689" s="8">
        <v>1</v>
      </c>
      <c r="I1689" s="8">
        <v>1</v>
      </c>
      <c r="J1689" s="8" t="s">
        <v>7895</v>
      </c>
      <c r="K1689" s="8" t="s">
        <v>365</v>
      </c>
      <c r="L1689" s="9">
        <v>46319</v>
      </c>
      <c r="M1689" s="8" t="s">
        <v>5864</v>
      </c>
      <c r="N1689" s="8" t="s">
        <v>5883</v>
      </c>
    </row>
    <row r="1690" spans="1:14" ht="68" customHeight="1">
      <c r="A1690" s="4" t="s">
        <v>7896</v>
      </c>
      <c r="B1690" s="4" t="s">
        <v>361</v>
      </c>
      <c r="C1690" s="4" t="s">
        <v>362</v>
      </c>
      <c r="D1690" s="4" t="s">
        <v>2969</v>
      </c>
      <c r="E1690" s="4" t="s">
        <v>41</v>
      </c>
      <c r="F1690" s="4" t="s">
        <v>5982</v>
      </c>
      <c r="G1690" s="4" t="s">
        <v>1799</v>
      </c>
      <c r="H1690" s="4">
        <v>1</v>
      </c>
      <c r="I1690" s="4">
        <v>1</v>
      </c>
      <c r="J1690" s="4" t="s">
        <v>7897</v>
      </c>
      <c r="K1690" s="4" t="s">
        <v>365</v>
      </c>
      <c r="L1690" s="6">
        <v>46319</v>
      </c>
      <c r="M1690" s="4" t="s">
        <v>5864</v>
      </c>
      <c r="N1690" s="4" t="s">
        <v>5883</v>
      </c>
    </row>
    <row r="1691" spans="1:14" ht="54" customHeight="1">
      <c r="A1691" s="8" t="s">
        <v>7898</v>
      </c>
      <c r="B1691" s="8" t="s">
        <v>361</v>
      </c>
      <c r="C1691" s="8" t="s">
        <v>362</v>
      </c>
      <c r="D1691" s="8" t="s">
        <v>2969</v>
      </c>
      <c r="E1691" s="8" t="s">
        <v>41</v>
      </c>
      <c r="F1691" s="8" t="s">
        <v>5985</v>
      </c>
      <c r="G1691" s="8" t="s">
        <v>1799</v>
      </c>
      <c r="H1691" s="8">
        <v>1</v>
      </c>
      <c r="I1691" s="8">
        <v>1</v>
      </c>
      <c r="J1691" s="8" t="s">
        <v>7899</v>
      </c>
      <c r="K1691" s="8" t="s">
        <v>365</v>
      </c>
      <c r="L1691" s="9">
        <v>46319</v>
      </c>
      <c r="M1691" s="8" t="s">
        <v>5864</v>
      </c>
      <c r="N1691" s="8" t="s">
        <v>5883</v>
      </c>
    </row>
    <row r="1692" spans="1:14" ht="54" customHeight="1">
      <c r="A1692" s="4" t="s">
        <v>7900</v>
      </c>
      <c r="B1692" s="4" t="s">
        <v>361</v>
      </c>
      <c r="C1692" s="4" t="s">
        <v>362</v>
      </c>
      <c r="D1692" s="4" t="s">
        <v>2969</v>
      </c>
      <c r="E1692" s="4" t="s">
        <v>41</v>
      </c>
      <c r="F1692" s="4" t="s">
        <v>5988</v>
      </c>
      <c r="G1692" s="4" t="s">
        <v>1799</v>
      </c>
      <c r="H1692" s="4">
        <v>1</v>
      </c>
      <c r="I1692" s="4">
        <v>1</v>
      </c>
      <c r="J1692" s="4" t="s">
        <v>7901</v>
      </c>
      <c r="K1692" s="4" t="s">
        <v>365</v>
      </c>
      <c r="L1692" s="6">
        <v>46319</v>
      </c>
      <c r="M1692" s="4" t="s">
        <v>5864</v>
      </c>
      <c r="N1692" s="4" t="s">
        <v>5883</v>
      </c>
    </row>
    <row r="1693" spans="1:14" ht="54" customHeight="1">
      <c r="A1693" s="8" t="s">
        <v>7902</v>
      </c>
      <c r="B1693" s="8" t="s">
        <v>361</v>
      </c>
      <c r="C1693" s="8" t="s">
        <v>362</v>
      </c>
      <c r="D1693" s="8" t="s">
        <v>2969</v>
      </c>
      <c r="E1693" s="8" t="s">
        <v>41</v>
      </c>
      <c r="F1693" s="8" t="s">
        <v>5991</v>
      </c>
      <c r="G1693" s="8" t="s">
        <v>1799</v>
      </c>
      <c r="H1693" s="8">
        <v>1</v>
      </c>
      <c r="I1693" s="8">
        <v>1</v>
      </c>
      <c r="J1693" s="8" t="s">
        <v>7903</v>
      </c>
      <c r="K1693" s="8" t="s">
        <v>365</v>
      </c>
      <c r="L1693" s="9">
        <v>46319</v>
      </c>
      <c r="M1693" s="8" t="s">
        <v>5864</v>
      </c>
      <c r="N1693" s="8" t="s">
        <v>5883</v>
      </c>
    </row>
    <row r="1694" spans="1:14" ht="68" customHeight="1">
      <c r="A1694" s="4" t="s">
        <v>7904</v>
      </c>
      <c r="B1694" s="4" t="s">
        <v>361</v>
      </c>
      <c r="C1694" s="4" t="s">
        <v>362</v>
      </c>
      <c r="D1694" s="4" t="s">
        <v>2969</v>
      </c>
      <c r="E1694" s="4" t="s">
        <v>41</v>
      </c>
      <c r="F1694" s="4" t="s">
        <v>6327</v>
      </c>
      <c r="G1694" s="4" t="s">
        <v>1799</v>
      </c>
      <c r="H1694" s="4">
        <v>1</v>
      </c>
      <c r="I1694" s="4">
        <v>1</v>
      </c>
      <c r="J1694" s="4" t="s">
        <v>7905</v>
      </c>
      <c r="K1694" s="4" t="s">
        <v>365</v>
      </c>
      <c r="L1694" s="6">
        <v>46319</v>
      </c>
      <c r="M1694" s="4" t="s">
        <v>5864</v>
      </c>
      <c r="N1694" s="4" t="s">
        <v>5883</v>
      </c>
    </row>
    <row r="1695" spans="1:14" ht="68" customHeight="1">
      <c r="A1695" s="8" t="s">
        <v>7906</v>
      </c>
      <c r="B1695" s="8" t="s">
        <v>361</v>
      </c>
      <c r="C1695" s="8" t="s">
        <v>362</v>
      </c>
      <c r="D1695" s="8" t="s">
        <v>2969</v>
      </c>
      <c r="E1695" s="8" t="s">
        <v>41</v>
      </c>
      <c r="F1695" s="8" t="s">
        <v>6330</v>
      </c>
      <c r="G1695" s="8" t="s">
        <v>1799</v>
      </c>
      <c r="H1695" s="8">
        <v>1</v>
      </c>
      <c r="I1695" s="8">
        <v>1</v>
      </c>
      <c r="J1695" s="8" t="s">
        <v>7907</v>
      </c>
      <c r="K1695" s="8" t="s">
        <v>365</v>
      </c>
      <c r="L1695" s="9">
        <v>46319</v>
      </c>
      <c r="M1695" s="8" t="s">
        <v>5864</v>
      </c>
      <c r="N1695" s="8" t="s">
        <v>5883</v>
      </c>
    </row>
    <row r="1696" spans="1:14" ht="54" customHeight="1">
      <c r="A1696" s="4" t="s">
        <v>7908</v>
      </c>
      <c r="B1696" s="4" t="s">
        <v>361</v>
      </c>
      <c r="C1696" s="4" t="s">
        <v>362</v>
      </c>
      <c r="D1696" s="4" t="s">
        <v>2969</v>
      </c>
      <c r="E1696" s="4" t="s">
        <v>41</v>
      </c>
      <c r="F1696" s="4" t="s">
        <v>6333</v>
      </c>
      <c r="G1696" s="4" t="s">
        <v>1799</v>
      </c>
      <c r="H1696" s="4">
        <v>1</v>
      </c>
      <c r="I1696" s="4">
        <v>1</v>
      </c>
      <c r="J1696" s="4" t="s">
        <v>7909</v>
      </c>
      <c r="K1696" s="4" t="s">
        <v>365</v>
      </c>
      <c r="L1696" s="6">
        <v>46319</v>
      </c>
      <c r="M1696" s="4" t="s">
        <v>5864</v>
      </c>
      <c r="N1696" s="4" t="s">
        <v>5883</v>
      </c>
    </row>
    <row r="1697" spans="1:14" ht="54" customHeight="1">
      <c r="A1697" s="8" t="s">
        <v>7910</v>
      </c>
      <c r="B1697" s="8" t="s">
        <v>361</v>
      </c>
      <c r="C1697" s="8" t="s">
        <v>362</v>
      </c>
      <c r="D1697" s="8" t="s">
        <v>2969</v>
      </c>
      <c r="E1697" s="8" t="s">
        <v>41</v>
      </c>
      <c r="F1697" s="8" t="s">
        <v>6336</v>
      </c>
      <c r="G1697" s="8" t="s">
        <v>1799</v>
      </c>
      <c r="H1697" s="8">
        <v>1</v>
      </c>
      <c r="I1697" s="8">
        <v>1</v>
      </c>
      <c r="J1697" s="8" t="s">
        <v>7911</v>
      </c>
      <c r="K1697" s="8" t="s">
        <v>365</v>
      </c>
      <c r="L1697" s="9">
        <v>46319</v>
      </c>
      <c r="M1697" s="8" t="s">
        <v>5864</v>
      </c>
      <c r="N1697" s="8" t="s">
        <v>5883</v>
      </c>
    </row>
    <row r="1698" spans="1:14" ht="68" customHeight="1">
      <c r="A1698" s="4" t="s">
        <v>7912</v>
      </c>
      <c r="B1698" s="4" t="s">
        <v>361</v>
      </c>
      <c r="C1698" s="4" t="s">
        <v>362</v>
      </c>
      <c r="D1698" s="4" t="s">
        <v>2969</v>
      </c>
      <c r="E1698" s="4" t="s">
        <v>41</v>
      </c>
      <c r="F1698" s="4" t="s">
        <v>6339</v>
      </c>
      <c r="G1698" s="4" t="s">
        <v>1799</v>
      </c>
      <c r="H1698" s="4">
        <v>1</v>
      </c>
      <c r="I1698" s="4">
        <v>1</v>
      </c>
      <c r="J1698" s="4" t="s">
        <v>7913</v>
      </c>
      <c r="K1698" s="4" t="s">
        <v>365</v>
      </c>
      <c r="L1698" s="6">
        <v>46319</v>
      </c>
      <c r="M1698" s="4" t="s">
        <v>5864</v>
      </c>
      <c r="N1698" s="4" t="s">
        <v>5883</v>
      </c>
    </row>
    <row r="1699" spans="1:14" ht="82" customHeight="1">
      <c r="A1699" s="8" t="s">
        <v>7914</v>
      </c>
      <c r="B1699" s="8" t="s">
        <v>368</v>
      </c>
      <c r="C1699" s="8" t="s">
        <v>369</v>
      </c>
      <c r="D1699" s="8" t="s">
        <v>5861</v>
      </c>
      <c r="E1699" s="8" t="s">
        <v>41</v>
      </c>
      <c r="F1699" s="8" t="s">
        <v>5862</v>
      </c>
      <c r="G1699" s="8" t="s">
        <v>1819</v>
      </c>
      <c r="H1699" s="8">
        <v>1</v>
      </c>
      <c r="I1699" s="8">
        <v>1</v>
      </c>
      <c r="J1699" s="8" t="s">
        <v>7915</v>
      </c>
      <c r="K1699" s="8" t="s">
        <v>375</v>
      </c>
      <c r="L1699" s="9">
        <v>46319</v>
      </c>
      <c r="M1699" s="8" t="s">
        <v>5864</v>
      </c>
      <c r="N1699" s="8" t="s">
        <v>5865</v>
      </c>
    </row>
    <row r="1700" spans="1:14" ht="40" customHeight="1">
      <c r="A1700" s="4" t="s">
        <v>7916</v>
      </c>
      <c r="B1700" s="4" t="s">
        <v>368</v>
      </c>
      <c r="C1700" s="4" t="s">
        <v>369</v>
      </c>
      <c r="D1700" s="4" t="s">
        <v>5861</v>
      </c>
      <c r="E1700" s="4" t="s">
        <v>41</v>
      </c>
      <c r="F1700" s="4" t="s">
        <v>5920</v>
      </c>
      <c r="G1700" s="4" t="s">
        <v>1819</v>
      </c>
      <c r="H1700" s="4">
        <v>1</v>
      </c>
      <c r="I1700" s="4">
        <v>1</v>
      </c>
      <c r="J1700" s="4" t="s">
        <v>7917</v>
      </c>
      <c r="K1700" s="4" t="s">
        <v>375</v>
      </c>
      <c r="L1700" s="6">
        <v>46319</v>
      </c>
      <c r="M1700" s="4" t="s">
        <v>5864</v>
      </c>
      <c r="N1700" s="4" t="s">
        <v>5865</v>
      </c>
    </row>
    <row r="1701" spans="1:14" ht="40" customHeight="1">
      <c r="A1701" s="8" t="s">
        <v>7918</v>
      </c>
      <c r="B1701" s="8" t="s">
        <v>368</v>
      </c>
      <c r="C1701" s="8" t="s">
        <v>369</v>
      </c>
      <c r="D1701" s="8" t="s">
        <v>5861</v>
      </c>
      <c r="E1701" s="8" t="s">
        <v>41</v>
      </c>
      <c r="F1701" s="8" t="s">
        <v>5926</v>
      </c>
      <c r="G1701" s="8" t="s">
        <v>1819</v>
      </c>
      <c r="H1701" s="8">
        <v>1</v>
      </c>
      <c r="I1701" s="8">
        <v>1</v>
      </c>
      <c r="J1701" s="8" t="s">
        <v>7919</v>
      </c>
      <c r="K1701" s="8" t="s">
        <v>375</v>
      </c>
      <c r="L1701" s="9">
        <v>46319</v>
      </c>
      <c r="M1701" s="8" t="s">
        <v>5864</v>
      </c>
      <c r="N1701" s="8" t="s">
        <v>5865</v>
      </c>
    </row>
    <row r="1702" spans="1:14" ht="40" customHeight="1">
      <c r="A1702" s="4" t="s">
        <v>7920</v>
      </c>
      <c r="B1702" s="4" t="s">
        <v>368</v>
      </c>
      <c r="C1702" s="4" t="s">
        <v>369</v>
      </c>
      <c r="D1702" s="4" t="s">
        <v>5861</v>
      </c>
      <c r="E1702" s="4" t="s">
        <v>41</v>
      </c>
      <c r="F1702" s="4" t="s">
        <v>5932</v>
      </c>
      <c r="G1702" s="4" t="s">
        <v>1819</v>
      </c>
      <c r="H1702" s="4">
        <v>1</v>
      </c>
      <c r="I1702" s="4">
        <v>1</v>
      </c>
      <c r="J1702" s="4" t="s">
        <v>7921</v>
      </c>
      <c r="K1702" s="4" t="s">
        <v>375</v>
      </c>
      <c r="L1702" s="6">
        <v>46319</v>
      </c>
      <c r="M1702" s="4" t="s">
        <v>5864</v>
      </c>
      <c r="N1702" s="4" t="s">
        <v>5865</v>
      </c>
    </row>
    <row r="1703" spans="1:14" ht="40" customHeight="1">
      <c r="A1703" s="8" t="s">
        <v>7922</v>
      </c>
      <c r="B1703" s="8" t="s">
        <v>368</v>
      </c>
      <c r="C1703" s="8" t="s">
        <v>369</v>
      </c>
      <c r="D1703" s="8" t="s">
        <v>5861</v>
      </c>
      <c r="E1703" s="8" t="s">
        <v>41</v>
      </c>
      <c r="F1703" s="8" t="s">
        <v>5938</v>
      </c>
      <c r="G1703" s="8" t="s">
        <v>1819</v>
      </c>
      <c r="H1703" s="8">
        <v>1</v>
      </c>
      <c r="I1703" s="8">
        <v>1</v>
      </c>
      <c r="J1703" s="8" t="s">
        <v>7923</v>
      </c>
      <c r="K1703" s="8" t="s">
        <v>375</v>
      </c>
      <c r="L1703" s="9">
        <v>46319</v>
      </c>
      <c r="M1703" s="8" t="s">
        <v>5864</v>
      </c>
      <c r="N1703" s="8" t="s">
        <v>5865</v>
      </c>
    </row>
    <row r="1704" spans="1:14" ht="40" customHeight="1">
      <c r="A1704" s="4" t="s">
        <v>7924</v>
      </c>
      <c r="B1704" s="4" t="s">
        <v>368</v>
      </c>
      <c r="C1704" s="4" t="s">
        <v>369</v>
      </c>
      <c r="D1704" s="4" t="s">
        <v>5861</v>
      </c>
      <c r="E1704" s="4" t="s">
        <v>41</v>
      </c>
      <c r="F1704" s="4" t="s">
        <v>7000</v>
      </c>
      <c r="G1704" s="4" t="s">
        <v>1819</v>
      </c>
      <c r="H1704" s="4">
        <v>1</v>
      </c>
      <c r="I1704" s="4">
        <v>1</v>
      </c>
      <c r="J1704" s="4" t="s">
        <v>7925</v>
      </c>
      <c r="K1704" s="4" t="s">
        <v>375</v>
      </c>
      <c r="L1704" s="6">
        <v>46319</v>
      </c>
      <c r="M1704" s="4" t="s">
        <v>5864</v>
      </c>
      <c r="N1704" s="4" t="s">
        <v>5865</v>
      </c>
    </row>
    <row r="1705" spans="1:14" ht="82" customHeight="1">
      <c r="A1705" s="8" t="s">
        <v>7926</v>
      </c>
      <c r="B1705" s="8" t="s">
        <v>368</v>
      </c>
      <c r="C1705" s="8" t="s">
        <v>369</v>
      </c>
      <c r="D1705" s="8" t="s">
        <v>5861</v>
      </c>
      <c r="E1705" s="8" t="s">
        <v>41</v>
      </c>
      <c r="F1705" s="8" t="s">
        <v>7002</v>
      </c>
      <c r="G1705" s="8" t="s">
        <v>1819</v>
      </c>
      <c r="H1705" s="8">
        <v>1</v>
      </c>
      <c r="I1705" s="8">
        <v>1</v>
      </c>
      <c r="J1705" s="8" t="s">
        <v>7927</v>
      </c>
      <c r="K1705" s="8" t="s">
        <v>375</v>
      </c>
      <c r="L1705" s="9">
        <v>46319</v>
      </c>
      <c r="M1705" s="8" t="s">
        <v>5864</v>
      </c>
      <c r="N1705" s="8" t="s">
        <v>5865</v>
      </c>
    </row>
    <row r="1706" spans="1:14" ht="40" customHeight="1">
      <c r="A1706" s="4" t="s">
        <v>7928</v>
      </c>
      <c r="B1706" s="4" t="s">
        <v>368</v>
      </c>
      <c r="C1706" s="4" t="s">
        <v>369</v>
      </c>
      <c r="D1706" s="4" t="s">
        <v>5861</v>
      </c>
      <c r="E1706" s="4" t="s">
        <v>7929</v>
      </c>
      <c r="F1706" s="4" t="s">
        <v>7930</v>
      </c>
      <c r="G1706" s="4" t="s">
        <v>1819</v>
      </c>
      <c r="H1706" s="4">
        <v>1</v>
      </c>
      <c r="I1706" s="4">
        <v>1</v>
      </c>
      <c r="J1706" s="4" t="s">
        <v>7929</v>
      </c>
      <c r="K1706" s="4" t="s">
        <v>375</v>
      </c>
      <c r="L1706" s="6">
        <v>46319</v>
      </c>
      <c r="M1706" s="4" t="s">
        <v>5864</v>
      </c>
      <c r="N1706" s="4" t="s">
        <v>5865</v>
      </c>
    </row>
    <row r="1707" spans="1:14" ht="40" customHeight="1">
      <c r="A1707" s="8" t="s">
        <v>7931</v>
      </c>
      <c r="B1707" s="8" t="s">
        <v>368</v>
      </c>
      <c r="C1707" s="8" t="s">
        <v>369</v>
      </c>
      <c r="D1707" s="8" t="s">
        <v>5861</v>
      </c>
      <c r="E1707" s="8" t="s">
        <v>7929</v>
      </c>
      <c r="F1707" s="8" t="s">
        <v>7932</v>
      </c>
      <c r="G1707" s="8" t="s">
        <v>1819</v>
      </c>
      <c r="H1707" s="8">
        <v>1</v>
      </c>
      <c r="I1707" s="8">
        <v>1</v>
      </c>
      <c r="J1707" s="8" t="s">
        <v>7933</v>
      </c>
      <c r="K1707" s="8" t="s">
        <v>375</v>
      </c>
      <c r="L1707" s="9">
        <v>46319</v>
      </c>
      <c r="M1707" s="8" t="s">
        <v>5864</v>
      </c>
      <c r="N1707" s="8" t="s">
        <v>5865</v>
      </c>
    </row>
    <row r="1708" spans="1:14" ht="40" customHeight="1">
      <c r="A1708" s="4" t="s">
        <v>7934</v>
      </c>
      <c r="B1708" s="4" t="s">
        <v>368</v>
      </c>
      <c r="C1708" s="4" t="s">
        <v>369</v>
      </c>
      <c r="D1708" s="4" t="s">
        <v>5861</v>
      </c>
      <c r="E1708" s="4" t="s">
        <v>7929</v>
      </c>
      <c r="F1708" s="4" t="s">
        <v>7935</v>
      </c>
      <c r="G1708" s="4" t="s">
        <v>1819</v>
      </c>
      <c r="H1708" s="4">
        <v>1</v>
      </c>
      <c r="I1708" s="4">
        <v>1</v>
      </c>
      <c r="J1708" s="4" t="s">
        <v>7936</v>
      </c>
      <c r="K1708" s="4" t="s">
        <v>375</v>
      </c>
      <c r="L1708" s="6">
        <v>46319</v>
      </c>
      <c r="M1708" s="4" t="s">
        <v>5864</v>
      </c>
      <c r="N1708" s="4" t="s">
        <v>5865</v>
      </c>
    </row>
    <row r="1709" spans="1:14" ht="40" customHeight="1">
      <c r="A1709" s="8" t="s">
        <v>7937</v>
      </c>
      <c r="B1709" s="8" t="s">
        <v>368</v>
      </c>
      <c r="C1709" s="8" t="s">
        <v>369</v>
      </c>
      <c r="D1709" s="8" t="s">
        <v>5861</v>
      </c>
      <c r="E1709" s="8" t="s">
        <v>7929</v>
      </c>
      <c r="F1709" s="8" t="s">
        <v>7938</v>
      </c>
      <c r="G1709" s="8" t="s">
        <v>1819</v>
      </c>
      <c r="H1709" s="8">
        <v>1</v>
      </c>
      <c r="I1709" s="8">
        <v>1</v>
      </c>
      <c r="J1709" s="8" t="s">
        <v>7939</v>
      </c>
      <c r="K1709" s="8" t="s">
        <v>375</v>
      </c>
      <c r="L1709" s="9">
        <v>46319</v>
      </c>
      <c r="M1709" s="8" t="s">
        <v>5864</v>
      </c>
      <c r="N1709" s="8" t="s">
        <v>5865</v>
      </c>
    </row>
    <row r="1710" spans="1:14" ht="40" customHeight="1">
      <c r="A1710" s="4" t="s">
        <v>7940</v>
      </c>
      <c r="B1710" s="4" t="s">
        <v>368</v>
      </c>
      <c r="C1710" s="4" t="s">
        <v>369</v>
      </c>
      <c r="D1710" s="4" t="s">
        <v>5861</v>
      </c>
      <c r="E1710" s="4" t="s">
        <v>7929</v>
      </c>
      <c r="F1710" s="4" t="s">
        <v>7941</v>
      </c>
      <c r="G1710" s="4" t="s">
        <v>1819</v>
      </c>
      <c r="H1710" s="4">
        <v>1</v>
      </c>
      <c r="I1710" s="4">
        <v>1</v>
      </c>
      <c r="J1710" s="4" t="s">
        <v>7942</v>
      </c>
      <c r="K1710" s="4" t="s">
        <v>375</v>
      </c>
      <c r="L1710" s="6">
        <v>46319</v>
      </c>
      <c r="M1710" s="4" t="s">
        <v>5864</v>
      </c>
      <c r="N1710" s="4" t="s">
        <v>5865</v>
      </c>
    </row>
    <row r="1711" spans="1:14" ht="40" customHeight="1">
      <c r="A1711" s="8" t="s">
        <v>7943</v>
      </c>
      <c r="B1711" s="8" t="s">
        <v>368</v>
      </c>
      <c r="C1711" s="8" t="s">
        <v>369</v>
      </c>
      <c r="D1711" s="8" t="s">
        <v>5861</v>
      </c>
      <c r="E1711" s="8" t="s">
        <v>7929</v>
      </c>
      <c r="F1711" s="8" t="s">
        <v>7944</v>
      </c>
      <c r="G1711" s="8" t="s">
        <v>1819</v>
      </c>
      <c r="H1711" s="8">
        <v>1</v>
      </c>
      <c r="I1711" s="8">
        <v>1</v>
      </c>
      <c r="J1711" s="8" t="s">
        <v>7945</v>
      </c>
      <c r="K1711" s="8" t="s">
        <v>375</v>
      </c>
      <c r="L1711" s="9">
        <v>46319</v>
      </c>
      <c r="M1711" s="8" t="s">
        <v>5864</v>
      </c>
      <c r="N1711" s="8" t="s">
        <v>5865</v>
      </c>
    </row>
    <row r="1712" spans="1:14" ht="40" customHeight="1">
      <c r="A1712" s="4" t="s">
        <v>7946</v>
      </c>
      <c r="B1712" s="4" t="s">
        <v>368</v>
      </c>
      <c r="C1712" s="4" t="s">
        <v>369</v>
      </c>
      <c r="D1712" s="4" t="s">
        <v>5861</v>
      </c>
      <c r="E1712" s="4" t="s">
        <v>7929</v>
      </c>
      <c r="F1712" s="4" t="s">
        <v>7947</v>
      </c>
      <c r="G1712" s="4" t="s">
        <v>1819</v>
      </c>
      <c r="H1712" s="4">
        <v>1</v>
      </c>
      <c r="I1712" s="4">
        <v>1</v>
      </c>
      <c r="J1712" s="4" t="s">
        <v>7948</v>
      </c>
      <c r="K1712" s="4" t="s">
        <v>375</v>
      </c>
      <c r="L1712" s="6">
        <v>46319</v>
      </c>
      <c r="M1712" s="4" t="s">
        <v>5864</v>
      </c>
      <c r="N1712" s="4" t="s">
        <v>5865</v>
      </c>
    </row>
    <row r="1713" spans="1:14" ht="40" customHeight="1">
      <c r="A1713" s="8" t="s">
        <v>7949</v>
      </c>
      <c r="B1713" s="8" t="s">
        <v>368</v>
      </c>
      <c r="C1713" s="8" t="s">
        <v>369</v>
      </c>
      <c r="D1713" s="8" t="s">
        <v>5861</v>
      </c>
      <c r="E1713" s="8" t="s">
        <v>7950</v>
      </c>
      <c r="F1713" s="8" t="s">
        <v>7951</v>
      </c>
      <c r="G1713" s="8" t="s">
        <v>1819</v>
      </c>
      <c r="H1713" s="8">
        <v>1</v>
      </c>
      <c r="I1713" s="8">
        <v>1</v>
      </c>
      <c r="J1713" s="8" t="s">
        <v>7950</v>
      </c>
      <c r="K1713" s="8" t="s">
        <v>375</v>
      </c>
      <c r="L1713" s="9">
        <v>46319</v>
      </c>
      <c r="M1713" s="8" t="s">
        <v>5864</v>
      </c>
      <c r="N1713" s="8" t="s">
        <v>5865</v>
      </c>
    </row>
    <row r="1714" spans="1:14" ht="40" customHeight="1">
      <c r="A1714" s="4" t="s">
        <v>7952</v>
      </c>
      <c r="B1714" s="4" t="s">
        <v>368</v>
      </c>
      <c r="C1714" s="4" t="s">
        <v>369</v>
      </c>
      <c r="D1714" s="4" t="s">
        <v>5861</v>
      </c>
      <c r="E1714" s="4" t="s">
        <v>7950</v>
      </c>
      <c r="F1714" s="4" t="s">
        <v>7953</v>
      </c>
      <c r="G1714" s="4" t="s">
        <v>1819</v>
      </c>
      <c r="H1714" s="4">
        <v>1</v>
      </c>
      <c r="I1714" s="4">
        <v>1</v>
      </c>
      <c r="J1714" s="4" t="s">
        <v>7954</v>
      </c>
      <c r="K1714" s="4" t="s">
        <v>375</v>
      </c>
      <c r="L1714" s="6">
        <v>46319</v>
      </c>
      <c r="M1714" s="4" t="s">
        <v>5864</v>
      </c>
      <c r="N1714" s="4" t="s">
        <v>5865</v>
      </c>
    </row>
    <row r="1715" spans="1:14" ht="40" customHeight="1">
      <c r="A1715" s="8" t="s">
        <v>7955</v>
      </c>
      <c r="B1715" s="8" t="s">
        <v>368</v>
      </c>
      <c r="C1715" s="8" t="s">
        <v>369</v>
      </c>
      <c r="D1715" s="8" t="s">
        <v>5861</v>
      </c>
      <c r="E1715" s="8" t="s">
        <v>7950</v>
      </c>
      <c r="F1715" s="8" t="s">
        <v>7956</v>
      </c>
      <c r="G1715" s="8" t="s">
        <v>1819</v>
      </c>
      <c r="H1715" s="8">
        <v>1</v>
      </c>
      <c r="I1715" s="8">
        <v>1</v>
      </c>
      <c r="J1715" s="8" t="s">
        <v>7957</v>
      </c>
      <c r="K1715" s="8" t="s">
        <v>375</v>
      </c>
      <c r="L1715" s="9">
        <v>46319</v>
      </c>
      <c r="M1715" s="8" t="s">
        <v>5864</v>
      </c>
      <c r="N1715" s="8" t="s">
        <v>5865</v>
      </c>
    </row>
    <row r="1716" spans="1:14" ht="40" customHeight="1">
      <c r="A1716" s="4" t="s">
        <v>7958</v>
      </c>
      <c r="B1716" s="4" t="s">
        <v>368</v>
      </c>
      <c r="C1716" s="4" t="s">
        <v>369</v>
      </c>
      <c r="D1716" s="4" t="s">
        <v>5861</v>
      </c>
      <c r="E1716" s="4" t="s">
        <v>7950</v>
      </c>
      <c r="F1716" s="4" t="s">
        <v>7959</v>
      </c>
      <c r="G1716" s="4" t="s">
        <v>1819</v>
      </c>
      <c r="H1716" s="4">
        <v>1</v>
      </c>
      <c r="I1716" s="4">
        <v>1</v>
      </c>
      <c r="J1716" s="4" t="s">
        <v>7960</v>
      </c>
      <c r="K1716" s="4" t="s">
        <v>375</v>
      </c>
      <c r="L1716" s="6">
        <v>46319</v>
      </c>
      <c r="M1716" s="4" t="s">
        <v>5864</v>
      </c>
      <c r="N1716" s="4" t="s">
        <v>5865</v>
      </c>
    </row>
    <row r="1717" spans="1:14" ht="40" customHeight="1">
      <c r="A1717" s="8" t="s">
        <v>7961</v>
      </c>
      <c r="B1717" s="8" t="s">
        <v>368</v>
      </c>
      <c r="C1717" s="8" t="s">
        <v>369</v>
      </c>
      <c r="D1717" s="8" t="s">
        <v>5861</v>
      </c>
      <c r="E1717" s="8" t="s">
        <v>7950</v>
      </c>
      <c r="F1717" s="8" t="s">
        <v>7962</v>
      </c>
      <c r="G1717" s="8" t="s">
        <v>1819</v>
      </c>
      <c r="H1717" s="8">
        <v>1</v>
      </c>
      <c r="I1717" s="8">
        <v>1</v>
      </c>
      <c r="J1717" s="8" t="s">
        <v>7963</v>
      </c>
      <c r="K1717" s="8" t="s">
        <v>375</v>
      </c>
      <c r="L1717" s="9">
        <v>46319</v>
      </c>
      <c r="M1717" s="8" t="s">
        <v>5864</v>
      </c>
      <c r="N1717" s="8" t="s">
        <v>5865</v>
      </c>
    </row>
    <row r="1718" spans="1:14" ht="40" customHeight="1">
      <c r="A1718" s="4" t="s">
        <v>7964</v>
      </c>
      <c r="B1718" s="4" t="s">
        <v>368</v>
      </c>
      <c r="C1718" s="4" t="s">
        <v>369</v>
      </c>
      <c r="D1718" s="4" t="s">
        <v>5861</v>
      </c>
      <c r="E1718" s="4" t="s">
        <v>7950</v>
      </c>
      <c r="F1718" s="4" t="s">
        <v>7965</v>
      </c>
      <c r="G1718" s="4" t="s">
        <v>1819</v>
      </c>
      <c r="H1718" s="4">
        <v>1</v>
      </c>
      <c r="I1718" s="4">
        <v>1</v>
      </c>
      <c r="J1718" s="4" t="s">
        <v>7966</v>
      </c>
      <c r="K1718" s="4" t="s">
        <v>375</v>
      </c>
      <c r="L1718" s="6">
        <v>46319</v>
      </c>
      <c r="M1718" s="4" t="s">
        <v>5864</v>
      </c>
      <c r="N1718" s="4" t="s">
        <v>5865</v>
      </c>
    </row>
    <row r="1719" spans="1:14" ht="40" customHeight="1">
      <c r="A1719" s="8" t="s">
        <v>7967</v>
      </c>
      <c r="B1719" s="8" t="s">
        <v>368</v>
      </c>
      <c r="C1719" s="8" t="s">
        <v>369</v>
      </c>
      <c r="D1719" s="8" t="s">
        <v>5861</v>
      </c>
      <c r="E1719" s="8" t="s">
        <v>7968</v>
      </c>
      <c r="F1719" s="8" t="s">
        <v>7969</v>
      </c>
      <c r="G1719" s="8" t="s">
        <v>1819</v>
      </c>
      <c r="H1719" s="8">
        <v>1</v>
      </c>
      <c r="I1719" s="8">
        <v>1</v>
      </c>
      <c r="J1719" s="8" t="s">
        <v>7968</v>
      </c>
      <c r="K1719" s="8" t="s">
        <v>375</v>
      </c>
      <c r="L1719" s="9">
        <v>46319</v>
      </c>
      <c r="M1719" s="8" t="s">
        <v>5864</v>
      </c>
      <c r="N1719" s="8" t="s">
        <v>5865</v>
      </c>
    </row>
    <row r="1720" spans="1:14" ht="40" customHeight="1">
      <c r="A1720" s="4" t="s">
        <v>7970</v>
      </c>
      <c r="B1720" s="4" t="s">
        <v>368</v>
      </c>
      <c r="C1720" s="4" t="s">
        <v>369</v>
      </c>
      <c r="D1720" s="4" t="s">
        <v>5861</v>
      </c>
      <c r="E1720" s="4" t="s">
        <v>7968</v>
      </c>
      <c r="F1720" s="4" t="s">
        <v>7971</v>
      </c>
      <c r="G1720" s="4" t="s">
        <v>1819</v>
      </c>
      <c r="H1720" s="4">
        <v>1</v>
      </c>
      <c r="I1720" s="4">
        <v>1</v>
      </c>
      <c r="J1720" s="4" t="s">
        <v>7972</v>
      </c>
      <c r="K1720" s="4" t="s">
        <v>375</v>
      </c>
      <c r="L1720" s="6">
        <v>46319</v>
      </c>
      <c r="M1720" s="4" t="s">
        <v>5864</v>
      </c>
      <c r="N1720" s="4" t="s">
        <v>5865</v>
      </c>
    </row>
    <row r="1721" spans="1:14" ht="40" customHeight="1">
      <c r="A1721" s="8" t="s">
        <v>7973</v>
      </c>
      <c r="B1721" s="8" t="s">
        <v>368</v>
      </c>
      <c r="C1721" s="8" t="s">
        <v>369</v>
      </c>
      <c r="D1721" s="8" t="s">
        <v>5861</v>
      </c>
      <c r="E1721" s="8" t="s">
        <v>7968</v>
      </c>
      <c r="F1721" s="8" t="s">
        <v>7974</v>
      </c>
      <c r="G1721" s="8" t="s">
        <v>1819</v>
      </c>
      <c r="H1721" s="8">
        <v>1</v>
      </c>
      <c r="I1721" s="8">
        <v>1</v>
      </c>
      <c r="J1721" s="8" t="s">
        <v>7975</v>
      </c>
      <c r="K1721" s="8" t="s">
        <v>375</v>
      </c>
      <c r="L1721" s="9">
        <v>46319</v>
      </c>
      <c r="M1721" s="8" t="s">
        <v>5864</v>
      </c>
      <c r="N1721" s="8" t="s">
        <v>5865</v>
      </c>
    </row>
    <row r="1722" spans="1:14" ht="40" customHeight="1">
      <c r="A1722" s="4" t="s">
        <v>7976</v>
      </c>
      <c r="B1722" s="4" t="s">
        <v>368</v>
      </c>
      <c r="C1722" s="4" t="s">
        <v>369</v>
      </c>
      <c r="D1722" s="4" t="s">
        <v>5861</v>
      </c>
      <c r="E1722" s="4" t="s">
        <v>7968</v>
      </c>
      <c r="F1722" s="4" t="s">
        <v>7977</v>
      </c>
      <c r="G1722" s="4" t="s">
        <v>1819</v>
      </c>
      <c r="H1722" s="4">
        <v>1</v>
      </c>
      <c r="I1722" s="4">
        <v>1</v>
      </c>
      <c r="J1722" s="4" t="s">
        <v>7978</v>
      </c>
      <c r="K1722" s="4" t="s">
        <v>375</v>
      </c>
      <c r="L1722" s="6">
        <v>46319</v>
      </c>
      <c r="M1722" s="4" t="s">
        <v>5864</v>
      </c>
      <c r="N1722" s="4" t="s">
        <v>5865</v>
      </c>
    </row>
    <row r="1723" spans="1:14" ht="40" customHeight="1">
      <c r="A1723" s="8" t="s">
        <v>7979</v>
      </c>
      <c r="B1723" s="8" t="s">
        <v>368</v>
      </c>
      <c r="C1723" s="8" t="s">
        <v>369</v>
      </c>
      <c r="D1723" s="8" t="s">
        <v>5861</v>
      </c>
      <c r="E1723" s="8" t="s">
        <v>7968</v>
      </c>
      <c r="F1723" s="8" t="s">
        <v>7980</v>
      </c>
      <c r="G1723" s="8" t="s">
        <v>1819</v>
      </c>
      <c r="H1723" s="8">
        <v>1</v>
      </c>
      <c r="I1723" s="8">
        <v>1</v>
      </c>
      <c r="J1723" s="8" t="s">
        <v>7981</v>
      </c>
      <c r="K1723" s="8" t="s">
        <v>375</v>
      </c>
      <c r="L1723" s="9">
        <v>46319</v>
      </c>
      <c r="M1723" s="8" t="s">
        <v>5864</v>
      </c>
      <c r="N1723" s="8" t="s">
        <v>5865</v>
      </c>
    </row>
    <row r="1724" spans="1:14" ht="40" customHeight="1">
      <c r="A1724" s="4" t="s">
        <v>7982</v>
      </c>
      <c r="B1724" s="4" t="s">
        <v>368</v>
      </c>
      <c r="C1724" s="4" t="s">
        <v>369</v>
      </c>
      <c r="D1724" s="4" t="s">
        <v>5861</v>
      </c>
      <c r="E1724" s="4" t="s">
        <v>7968</v>
      </c>
      <c r="F1724" s="4" t="s">
        <v>7983</v>
      </c>
      <c r="G1724" s="4" t="s">
        <v>1819</v>
      </c>
      <c r="H1724" s="4">
        <v>1</v>
      </c>
      <c r="I1724" s="4">
        <v>1</v>
      </c>
      <c r="J1724" s="4" t="s">
        <v>7984</v>
      </c>
      <c r="K1724" s="4" t="s">
        <v>375</v>
      </c>
      <c r="L1724" s="6">
        <v>46319</v>
      </c>
      <c r="M1724" s="4" t="s">
        <v>5864</v>
      </c>
      <c r="N1724" s="4" t="s">
        <v>5865</v>
      </c>
    </row>
    <row r="1725" spans="1:14" ht="40" customHeight="1">
      <c r="A1725" s="8" t="s">
        <v>7985</v>
      </c>
      <c r="B1725" s="8" t="s">
        <v>368</v>
      </c>
      <c r="C1725" s="8" t="s">
        <v>369</v>
      </c>
      <c r="D1725" s="8" t="s">
        <v>5861</v>
      </c>
      <c r="E1725" s="8" t="s">
        <v>7968</v>
      </c>
      <c r="F1725" s="8" t="s">
        <v>7986</v>
      </c>
      <c r="G1725" s="8" t="s">
        <v>1819</v>
      </c>
      <c r="H1725" s="8">
        <v>1</v>
      </c>
      <c r="I1725" s="8">
        <v>1</v>
      </c>
      <c r="J1725" s="8" t="s">
        <v>7987</v>
      </c>
      <c r="K1725" s="8" t="s">
        <v>375</v>
      </c>
      <c r="L1725" s="9">
        <v>46319</v>
      </c>
      <c r="M1725" s="8" t="s">
        <v>5864</v>
      </c>
      <c r="N1725" s="8" t="s">
        <v>5865</v>
      </c>
    </row>
    <row r="1726" spans="1:14" ht="40" customHeight="1">
      <c r="A1726" s="4" t="s">
        <v>7988</v>
      </c>
      <c r="B1726" s="4" t="s">
        <v>368</v>
      </c>
      <c r="C1726" s="4" t="s">
        <v>369</v>
      </c>
      <c r="D1726" s="4" t="s">
        <v>5867</v>
      </c>
      <c r="E1726" s="4" t="s">
        <v>41</v>
      </c>
      <c r="F1726" s="4" t="s">
        <v>6248</v>
      </c>
      <c r="G1726" s="4" t="s">
        <v>1819</v>
      </c>
      <c r="H1726" s="4">
        <v>1</v>
      </c>
      <c r="I1726" s="4">
        <v>1</v>
      </c>
      <c r="J1726" s="4" t="s">
        <v>7989</v>
      </c>
      <c r="K1726" s="4" t="s">
        <v>375</v>
      </c>
      <c r="L1726" s="6">
        <v>46319</v>
      </c>
      <c r="M1726" s="4" t="s">
        <v>5864</v>
      </c>
      <c r="N1726" s="4" t="s">
        <v>5865</v>
      </c>
    </row>
    <row r="1727" spans="1:14" ht="40" customHeight="1">
      <c r="A1727" s="8" t="s">
        <v>7990</v>
      </c>
      <c r="B1727" s="8" t="s">
        <v>368</v>
      </c>
      <c r="C1727" s="8" t="s">
        <v>369</v>
      </c>
      <c r="D1727" s="8" t="s">
        <v>5867</v>
      </c>
      <c r="E1727" s="8" t="s">
        <v>41</v>
      </c>
      <c r="F1727" s="8" t="s">
        <v>6142</v>
      </c>
      <c r="G1727" s="8" t="s">
        <v>1819</v>
      </c>
      <c r="H1727" s="8">
        <v>1</v>
      </c>
      <c r="I1727" s="8">
        <v>1</v>
      </c>
      <c r="J1727" s="8" t="s">
        <v>7991</v>
      </c>
      <c r="K1727" s="8" t="s">
        <v>375</v>
      </c>
      <c r="L1727" s="9">
        <v>46319</v>
      </c>
      <c r="M1727" s="8" t="s">
        <v>5864</v>
      </c>
      <c r="N1727" s="8" t="s">
        <v>5865</v>
      </c>
    </row>
    <row r="1728" spans="1:14" ht="40" customHeight="1">
      <c r="A1728" s="4" t="s">
        <v>7992</v>
      </c>
      <c r="B1728" s="4" t="s">
        <v>368</v>
      </c>
      <c r="C1728" s="4" t="s">
        <v>369</v>
      </c>
      <c r="D1728" s="4" t="s">
        <v>5867</v>
      </c>
      <c r="E1728" s="4" t="s">
        <v>41</v>
      </c>
      <c r="F1728" s="4" t="s">
        <v>6391</v>
      </c>
      <c r="G1728" s="4" t="s">
        <v>1819</v>
      </c>
      <c r="H1728" s="4">
        <v>1</v>
      </c>
      <c r="I1728" s="4">
        <v>1</v>
      </c>
      <c r="J1728" s="4" t="s">
        <v>7993</v>
      </c>
      <c r="K1728" s="4" t="s">
        <v>375</v>
      </c>
      <c r="L1728" s="6">
        <v>46319</v>
      </c>
      <c r="M1728" s="4" t="s">
        <v>5864</v>
      </c>
      <c r="N1728" s="4" t="s">
        <v>5865</v>
      </c>
    </row>
    <row r="1729" spans="1:14" ht="40" customHeight="1">
      <c r="A1729" s="8" t="s">
        <v>7994</v>
      </c>
      <c r="B1729" s="8" t="s">
        <v>368</v>
      </c>
      <c r="C1729" s="8" t="s">
        <v>369</v>
      </c>
      <c r="D1729" s="8" t="s">
        <v>5867</v>
      </c>
      <c r="E1729" s="8" t="s">
        <v>41</v>
      </c>
      <c r="F1729" s="8" t="s">
        <v>6765</v>
      </c>
      <c r="G1729" s="8" t="s">
        <v>1819</v>
      </c>
      <c r="H1729" s="8">
        <v>1</v>
      </c>
      <c r="I1729" s="8">
        <v>1</v>
      </c>
      <c r="J1729" s="8" t="s">
        <v>7995</v>
      </c>
      <c r="K1729" s="8" t="s">
        <v>375</v>
      </c>
      <c r="L1729" s="9">
        <v>46319</v>
      </c>
      <c r="M1729" s="8" t="s">
        <v>5864</v>
      </c>
      <c r="N1729" s="8" t="s">
        <v>5865</v>
      </c>
    </row>
    <row r="1730" spans="1:14" ht="40" customHeight="1">
      <c r="A1730" s="4" t="s">
        <v>7996</v>
      </c>
      <c r="B1730" s="4" t="s">
        <v>368</v>
      </c>
      <c r="C1730" s="4" t="s">
        <v>369</v>
      </c>
      <c r="D1730" s="4" t="s">
        <v>637</v>
      </c>
      <c r="E1730" s="4" t="s">
        <v>41</v>
      </c>
      <c r="F1730" s="4" t="s">
        <v>920</v>
      </c>
      <c r="G1730" s="4" t="s">
        <v>1819</v>
      </c>
      <c r="H1730" s="4">
        <v>1</v>
      </c>
      <c r="I1730" s="4">
        <v>1</v>
      </c>
      <c r="J1730" s="4" t="s">
        <v>1817</v>
      </c>
      <c r="K1730" s="4" t="s">
        <v>375</v>
      </c>
      <c r="L1730" s="6">
        <v>46319</v>
      </c>
      <c r="M1730" s="4" t="s">
        <v>5864</v>
      </c>
      <c r="N1730" s="4" t="s">
        <v>5865</v>
      </c>
    </row>
    <row r="1731" spans="1:14" ht="54" customHeight="1">
      <c r="A1731" s="8" t="s">
        <v>7997</v>
      </c>
      <c r="B1731" s="8" t="s">
        <v>368</v>
      </c>
      <c r="C1731" s="8" t="s">
        <v>369</v>
      </c>
      <c r="D1731" s="8" t="s">
        <v>637</v>
      </c>
      <c r="E1731" s="8" t="s">
        <v>41</v>
      </c>
      <c r="F1731" s="8" t="s">
        <v>1091</v>
      </c>
      <c r="G1731" s="8" t="s">
        <v>1819</v>
      </c>
      <c r="H1731" s="8">
        <v>1</v>
      </c>
      <c r="I1731" s="8">
        <v>1</v>
      </c>
      <c r="J1731" s="8" t="s">
        <v>1821</v>
      </c>
      <c r="K1731" s="8" t="s">
        <v>375</v>
      </c>
      <c r="L1731" s="9">
        <v>46319</v>
      </c>
      <c r="M1731" s="8" t="s">
        <v>5864</v>
      </c>
      <c r="N1731" s="8" t="s">
        <v>5865</v>
      </c>
    </row>
    <row r="1732" spans="1:14" ht="54" customHeight="1">
      <c r="A1732" s="4" t="s">
        <v>7998</v>
      </c>
      <c r="B1732" s="4" t="s">
        <v>368</v>
      </c>
      <c r="C1732" s="4" t="s">
        <v>369</v>
      </c>
      <c r="D1732" s="4" t="s">
        <v>637</v>
      </c>
      <c r="E1732" s="4" t="s">
        <v>41</v>
      </c>
      <c r="F1732" s="4" t="s">
        <v>1099</v>
      </c>
      <c r="G1732" s="4" t="s">
        <v>1819</v>
      </c>
      <c r="H1732" s="4">
        <v>1</v>
      </c>
      <c r="I1732" s="4">
        <v>1</v>
      </c>
      <c r="J1732" s="4" t="s">
        <v>1824</v>
      </c>
      <c r="K1732" s="4" t="s">
        <v>375</v>
      </c>
      <c r="L1732" s="6">
        <v>46319</v>
      </c>
      <c r="M1732" s="4" t="s">
        <v>5864</v>
      </c>
      <c r="N1732" s="4" t="s">
        <v>5865</v>
      </c>
    </row>
    <row r="1733" spans="1:14" ht="40" customHeight="1">
      <c r="A1733" s="8" t="s">
        <v>5443</v>
      </c>
      <c r="B1733" s="8" t="s">
        <v>368</v>
      </c>
      <c r="C1733" s="8" t="s">
        <v>369</v>
      </c>
      <c r="D1733" s="8" t="s">
        <v>7</v>
      </c>
      <c r="E1733" s="8" t="s">
        <v>41</v>
      </c>
      <c r="F1733" s="8" t="s">
        <v>6150</v>
      </c>
      <c r="G1733" s="8" t="s">
        <v>1819</v>
      </c>
      <c r="H1733" s="8">
        <v>1</v>
      </c>
      <c r="I1733" s="8">
        <v>1</v>
      </c>
      <c r="J1733" s="8" t="s">
        <v>5444</v>
      </c>
      <c r="K1733" s="8" t="s">
        <v>375</v>
      </c>
      <c r="L1733" s="9">
        <v>46319</v>
      </c>
      <c r="M1733" s="8" t="s">
        <v>5864</v>
      </c>
      <c r="N1733" s="8" t="s">
        <v>5865</v>
      </c>
    </row>
    <row r="1734" spans="1:14" ht="40" customHeight="1">
      <c r="A1734" s="4" t="s">
        <v>5445</v>
      </c>
      <c r="B1734" s="4" t="s">
        <v>368</v>
      </c>
      <c r="C1734" s="4" t="s">
        <v>369</v>
      </c>
      <c r="D1734" s="4" t="s">
        <v>7</v>
      </c>
      <c r="E1734" s="4" t="s">
        <v>41</v>
      </c>
      <c r="F1734" s="4" t="s">
        <v>6834</v>
      </c>
      <c r="G1734" s="4" t="s">
        <v>1819</v>
      </c>
      <c r="H1734" s="4">
        <v>1</v>
      </c>
      <c r="I1734" s="4">
        <v>1</v>
      </c>
      <c r="J1734" s="4" t="s">
        <v>5446</v>
      </c>
      <c r="K1734" s="4" t="s">
        <v>375</v>
      </c>
      <c r="L1734" s="6">
        <v>46319</v>
      </c>
      <c r="M1734" s="4" t="s">
        <v>5864</v>
      </c>
      <c r="N1734" s="4" t="s">
        <v>5865</v>
      </c>
    </row>
    <row r="1735" spans="1:14" ht="40" customHeight="1">
      <c r="A1735" s="8" t="s">
        <v>5447</v>
      </c>
      <c r="B1735" s="8" t="s">
        <v>368</v>
      </c>
      <c r="C1735" s="8" t="s">
        <v>369</v>
      </c>
      <c r="D1735" s="8" t="s">
        <v>7</v>
      </c>
      <c r="E1735" s="8" t="s">
        <v>41</v>
      </c>
      <c r="F1735" s="8" t="s">
        <v>7172</v>
      </c>
      <c r="G1735" s="8" t="s">
        <v>1819</v>
      </c>
      <c r="H1735" s="8">
        <v>1</v>
      </c>
      <c r="I1735" s="8">
        <v>1</v>
      </c>
      <c r="J1735" s="8" t="s">
        <v>5448</v>
      </c>
      <c r="K1735" s="8" t="s">
        <v>375</v>
      </c>
      <c r="L1735" s="9">
        <v>46319</v>
      </c>
      <c r="M1735" s="8" t="s">
        <v>5864</v>
      </c>
      <c r="N1735" s="8" t="s">
        <v>5865</v>
      </c>
    </row>
    <row r="1736" spans="1:14" ht="40" customHeight="1">
      <c r="A1736" s="4" t="s">
        <v>4448</v>
      </c>
      <c r="B1736" s="4" t="s">
        <v>368</v>
      </c>
      <c r="C1736" s="4" t="s">
        <v>369</v>
      </c>
      <c r="D1736" s="4" t="s">
        <v>5879</v>
      </c>
      <c r="E1736" s="4" t="s">
        <v>41</v>
      </c>
      <c r="F1736" s="4" t="s">
        <v>3449</v>
      </c>
      <c r="G1736" s="4" t="s">
        <v>1819</v>
      </c>
      <c r="H1736" s="4">
        <v>1</v>
      </c>
      <c r="I1736" s="4">
        <v>1</v>
      </c>
      <c r="J1736" s="4" t="s">
        <v>4449</v>
      </c>
      <c r="K1736" s="4" t="s">
        <v>375</v>
      </c>
      <c r="L1736" s="6">
        <v>46319</v>
      </c>
      <c r="M1736" s="4" t="s">
        <v>5864</v>
      </c>
      <c r="N1736" s="4" t="s">
        <v>5865</v>
      </c>
    </row>
    <row r="1737" spans="1:14" ht="40" customHeight="1">
      <c r="A1737" s="8" t="s">
        <v>4450</v>
      </c>
      <c r="B1737" s="8" t="s">
        <v>368</v>
      </c>
      <c r="C1737" s="8" t="s">
        <v>369</v>
      </c>
      <c r="D1737" s="8" t="s">
        <v>5879</v>
      </c>
      <c r="E1737" s="8" t="s">
        <v>41</v>
      </c>
      <c r="F1737" s="8" t="s">
        <v>3466</v>
      </c>
      <c r="G1737" s="8" t="s">
        <v>1819</v>
      </c>
      <c r="H1737" s="8">
        <v>1</v>
      </c>
      <c r="I1737" s="8">
        <v>1</v>
      </c>
      <c r="J1737" s="8" t="s">
        <v>4451</v>
      </c>
      <c r="K1737" s="8" t="s">
        <v>375</v>
      </c>
      <c r="L1737" s="9">
        <v>46319</v>
      </c>
      <c r="M1737" s="8" t="s">
        <v>5864</v>
      </c>
      <c r="N1737" s="8" t="s">
        <v>5865</v>
      </c>
    </row>
    <row r="1738" spans="1:14" ht="40" customHeight="1">
      <c r="A1738" s="4" t="s">
        <v>4452</v>
      </c>
      <c r="B1738" s="4" t="s">
        <v>368</v>
      </c>
      <c r="C1738" s="4" t="s">
        <v>369</v>
      </c>
      <c r="D1738" s="4" t="s">
        <v>5879</v>
      </c>
      <c r="E1738" s="4" t="s">
        <v>4453</v>
      </c>
      <c r="F1738" s="4" t="s">
        <v>3472</v>
      </c>
      <c r="G1738" s="4" t="s">
        <v>1819</v>
      </c>
      <c r="H1738" s="4">
        <v>1</v>
      </c>
      <c r="I1738" s="4">
        <v>1</v>
      </c>
      <c r="J1738" s="4" t="s">
        <v>4453</v>
      </c>
      <c r="K1738" s="4" t="s">
        <v>375</v>
      </c>
      <c r="L1738" s="6">
        <v>46319</v>
      </c>
      <c r="M1738" s="4" t="s">
        <v>5864</v>
      </c>
      <c r="N1738" s="4" t="s">
        <v>5865</v>
      </c>
    </row>
    <row r="1739" spans="1:14" ht="40" customHeight="1">
      <c r="A1739" s="8" t="s">
        <v>4454</v>
      </c>
      <c r="B1739" s="8" t="s">
        <v>368</v>
      </c>
      <c r="C1739" s="8" t="s">
        <v>369</v>
      </c>
      <c r="D1739" s="8" t="s">
        <v>5879</v>
      </c>
      <c r="E1739" s="8" t="s">
        <v>4453</v>
      </c>
      <c r="F1739" s="8" t="s">
        <v>3475</v>
      </c>
      <c r="G1739" s="8" t="s">
        <v>1819</v>
      </c>
      <c r="H1739" s="8">
        <v>1</v>
      </c>
      <c r="I1739" s="8">
        <v>1</v>
      </c>
      <c r="J1739" s="8" t="s">
        <v>4455</v>
      </c>
      <c r="K1739" s="8" t="s">
        <v>375</v>
      </c>
      <c r="L1739" s="9">
        <v>46319</v>
      </c>
      <c r="M1739" s="8" t="s">
        <v>5864</v>
      </c>
      <c r="N1739" s="8" t="s">
        <v>5865</v>
      </c>
    </row>
    <row r="1740" spans="1:14" ht="40" customHeight="1">
      <c r="A1740" s="4" t="s">
        <v>4456</v>
      </c>
      <c r="B1740" s="4" t="s">
        <v>368</v>
      </c>
      <c r="C1740" s="4" t="s">
        <v>369</v>
      </c>
      <c r="D1740" s="4" t="s">
        <v>5879</v>
      </c>
      <c r="E1740" s="4" t="s">
        <v>4457</v>
      </c>
      <c r="F1740" s="4" t="s">
        <v>3603</v>
      </c>
      <c r="G1740" s="4" t="s">
        <v>1819</v>
      </c>
      <c r="H1740" s="4">
        <v>1</v>
      </c>
      <c r="I1740" s="4">
        <v>1</v>
      </c>
      <c r="J1740" s="4" t="s">
        <v>4457</v>
      </c>
      <c r="K1740" s="4" t="s">
        <v>375</v>
      </c>
      <c r="L1740" s="6">
        <v>46319</v>
      </c>
      <c r="M1740" s="4" t="s">
        <v>5864</v>
      </c>
      <c r="N1740" s="4" t="s">
        <v>5865</v>
      </c>
    </row>
    <row r="1741" spans="1:14" ht="40" customHeight="1">
      <c r="A1741" s="8" t="s">
        <v>4458</v>
      </c>
      <c r="B1741" s="8" t="s">
        <v>368</v>
      </c>
      <c r="C1741" s="8" t="s">
        <v>369</v>
      </c>
      <c r="D1741" s="8" t="s">
        <v>5879</v>
      </c>
      <c r="E1741" s="8" t="s">
        <v>4457</v>
      </c>
      <c r="F1741" s="8" t="s">
        <v>3608</v>
      </c>
      <c r="G1741" s="8" t="s">
        <v>1819</v>
      </c>
      <c r="H1741" s="8">
        <v>1</v>
      </c>
      <c r="I1741" s="8">
        <v>1</v>
      </c>
      <c r="J1741" s="8" t="s">
        <v>4459</v>
      </c>
      <c r="K1741" s="8" t="s">
        <v>375</v>
      </c>
      <c r="L1741" s="9">
        <v>46319</v>
      </c>
      <c r="M1741" s="8" t="s">
        <v>5864</v>
      </c>
      <c r="N1741" s="8" t="s">
        <v>5865</v>
      </c>
    </row>
    <row r="1742" spans="1:14" ht="40" customHeight="1">
      <c r="A1742" s="4" t="s">
        <v>4460</v>
      </c>
      <c r="B1742" s="4" t="s">
        <v>368</v>
      </c>
      <c r="C1742" s="4" t="s">
        <v>369</v>
      </c>
      <c r="D1742" s="4" t="s">
        <v>5879</v>
      </c>
      <c r="E1742" s="4" t="s">
        <v>4461</v>
      </c>
      <c r="F1742" s="4" t="s">
        <v>3775</v>
      </c>
      <c r="G1742" s="4" t="s">
        <v>1819</v>
      </c>
      <c r="H1742" s="4">
        <v>1</v>
      </c>
      <c r="I1742" s="4">
        <v>1</v>
      </c>
      <c r="J1742" s="4" t="s">
        <v>4461</v>
      </c>
      <c r="K1742" s="4" t="s">
        <v>375</v>
      </c>
      <c r="L1742" s="6">
        <v>46319</v>
      </c>
      <c r="M1742" s="4" t="s">
        <v>5864</v>
      </c>
      <c r="N1742" s="4" t="s">
        <v>5865</v>
      </c>
    </row>
    <row r="1743" spans="1:14" ht="40" customHeight="1">
      <c r="A1743" s="8" t="s">
        <v>4462</v>
      </c>
      <c r="B1743" s="8" t="s">
        <v>368</v>
      </c>
      <c r="C1743" s="8" t="s">
        <v>369</v>
      </c>
      <c r="D1743" s="8" t="s">
        <v>5879</v>
      </c>
      <c r="E1743" s="8" t="s">
        <v>4461</v>
      </c>
      <c r="F1743" s="8" t="s">
        <v>3777</v>
      </c>
      <c r="G1743" s="8" t="s">
        <v>1819</v>
      </c>
      <c r="H1743" s="8">
        <v>1</v>
      </c>
      <c r="I1743" s="8">
        <v>1</v>
      </c>
      <c r="J1743" s="8" t="s">
        <v>4463</v>
      </c>
      <c r="K1743" s="8" t="s">
        <v>375</v>
      </c>
      <c r="L1743" s="9">
        <v>46319</v>
      </c>
      <c r="M1743" s="8" t="s">
        <v>5864</v>
      </c>
      <c r="N1743" s="8" t="s">
        <v>5865</v>
      </c>
    </row>
    <row r="1744" spans="1:14" ht="40" customHeight="1">
      <c r="A1744" s="4" t="s">
        <v>4464</v>
      </c>
      <c r="B1744" s="4" t="s">
        <v>368</v>
      </c>
      <c r="C1744" s="4" t="s">
        <v>369</v>
      </c>
      <c r="D1744" s="4" t="s">
        <v>5879</v>
      </c>
      <c r="E1744" s="4" t="s">
        <v>4461</v>
      </c>
      <c r="F1744" s="4" t="s">
        <v>3781</v>
      </c>
      <c r="G1744" s="4" t="s">
        <v>1819</v>
      </c>
      <c r="H1744" s="4">
        <v>1</v>
      </c>
      <c r="I1744" s="4">
        <v>1</v>
      </c>
      <c r="J1744" s="4" t="s">
        <v>4465</v>
      </c>
      <c r="K1744" s="4" t="s">
        <v>375</v>
      </c>
      <c r="L1744" s="6">
        <v>46319</v>
      </c>
      <c r="M1744" s="4" t="s">
        <v>5864</v>
      </c>
      <c r="N1744" s="4" t="s">
        <v>5865</v>
      </c>
    </row>
    <row r="1745" spans="1:14" ht="40" customHeight="1">
      <c r="A1745" s="8" t="s">
        <v>4466</v>
      </c>
      <c r="B1745" s="8" t="s">
        <v>368</v>
      </c>
      <c r="C1745" s="8" t="s">
        <v>369</v>
      </c>
      <c r="D1745" s="8" t="s">
        <v>5879</v>
      </c>
      <c r="E1745" s="8" t="s">
        <v>4461</v>
      </c>
      <c r="F1745" s="8" t="s">
        <v>3783</v>
      </c>
      <c r="G1745" s="8" t="s">
        <v>1819</v>
      </c>
      <c r="H1745" s="8">
        <v>1</v>
      </c>
      <c r="I1745" s="8">
        <v>1</v>
      </c>
      <c r="J1745" s="8" t="s">
        <v>4467</v>
      </c>
      <c r="K1745" s="8" t="s">
        <v>375</v>
      </c>
      <c r="L1745" s="9">
        <v>46319</v>
      </c>
      <c r="M1745" s="8" t="s">
        <v>5864</v>
      </c>
      <c r="N1745" s="8" t="s">
        <v>5865</v>
      </c>
    </row>
    <row r="1746" spans="1:14" ht="82" customHeight="1">
      <c r="A1746" s="4" t="s">
        <v>7999</v>
      </c>
      <c r="B1746" s="4" t="s">
        <v>368</v>
      </c>
      <c r="C1746" s="4" t="s">
        <v>369</v>
      </c>
      <c r="D1746" s="4" t="s">
        <v>2969</v>
      </c>
      <c r="E1746" s="4" t="s">
        <v>41</v>
      </c>
      <c r="F1746" s="4" t="s">
        <v>5881</v>
      </c>
      <c r="G1746" s="4" t="s">
        <v>1819</v>
      </c>
      <c r="H1746" s="4">
        <v>1</v>
      </c>
      <c r="I1746" s="4">
        <v>1</v>
      </c>
      <c r="J1746" s="4" t="s">
        <v>8000</v>
      </c>
      <c r="K1746" s="4" t="s">
        <v>375</v>
      </c>
      <c r="L1746" s="6">
        <v>46319</v>
      </c>
      <c r="M1746" s="4" t="s">
        <v>5864</v>
      </c>
      <c r="N1746" s="4" t="s">
        <v>5883</v>
      </c>
    </row>
    <row r="1747" spans="1:14" ht="54" customHeight="1">
      <c r="A1747" s="8" t="s">
        <v>8001</v>
      </c>
      <c r="B1747" s="8" t="s">
        <v>368</v>
      </c>
      <c r="C1747" s="8" t="s">
        <v>369</v>
      </c>
      <c r="D1747" s="8" t="s">
        <v>2969</v>
      </c>
      <c r="E1747" s="8" t="s">
        <v>41</v>
      </c>
      <c r="F1747" s="8" t="s">
        <v>5885</v>
      </c>
      <c r="G1747" s="8" t="s">
        <v>1819</v>
      </c>
      <c r="H1747" s="8">
        <v>1</v>
      </c>
      <c r="I1747" s="8">
        <v>1</v>
      </c>
      <c r="J1747" s="8" t="s">
        <v>8002</v>
      </c>
      <c r="K1747" s="8" t="s">
        <v>375</v>
      </c>
      <c r="L1747" s="9">
        <v>46319</v>
      </c>
      <c r="M1747" s="8" t="s">
        <v>5864</v>
      </c>
      <c r="N1747" s="8" t="s">
        <v>5883</v>
      </c>
    </row>
    <row r="1748" spans="1:14" ht="138" customHeight="1">
      <c r="A1748" s="4" t="s">
        <v>8003</v>
      </c>
      <c r="B1748" s="4" t="s">
        <v>368</v>
      </c>
      <c r="C1748" s="4" t="s">
        <v>369</v>
      </c>
      <c r="D1748" s="4" t="s">
        <v>2969</v>
      </c>
      <c r="E1748" s="4" t="s">
        <v>41</v>
      </c>
      <c r="F1748" s="4" t="s">
        <v>5888</v>
      </c>
      <c r="G1748" s="4" t="s">
        <v>1819</v>
      </c>
      <c r="H1748" s="4">
        <v>1</v>
      </c>
      <c r="I1748" s="4">
        <v>1</v>
      </c>
      <c r="J1748" s="4" t="s">
        <v>8004</v>
      </c>
      <c r="K1748" s="4" t="s">
        <v>375</v>
      </c>
      <c r="L1748" s="6">
        <v>46319</v>
      </c>
      <c r="M1748" s="4" t="s">
        <v>5864</v>
      </c>
      <c r="N1748" s="4" t="s">
        <v>5883</v>
      </c>
    </row>
    <row r="1749" spans="1:14" ht="96" customHeight="1">
      <c r="A1749" s="8" t="s">
        <v>8005</v>
      </c>
      <c r="B1749" s="8" t="s">
        <v>368</v>
      </c>
      <c r="C1749" s="8" t="s">
        <v>369</v>
      </c>
      <c r="D1749" s="8" t="s">
        <v>2969</v>
      </c>
      <c r="E1749" s="8" t="s">
        <v>41</v>
      </c>
      <c r="F1749" s="8" t="s">
        <v>5891</v>
      </c>
      <c r="G1749" s="8" t="s">
        <v>1819</v>
      </c>
      <c r="H1749" s="8">
        <v>1</v>
      </c>
      <c r="I1749" s="8">
        <v>1</v>
      </c>
      <c r="J1749" s="8" t="s">
        <v>8006</v>
      </c>
      <c r="K1749" s="8" t="s">
        <v>375</v>
      </c>
      <c r="L1749" s="9">
        <v>46319</v>
      </c>
      <c r="M1749" s="8" t="s">
        <v>5864</v>
      </c>
      <c r="N1749" s="8" t="s">
        <v>5883</v>
      </c>
    </row>
    <row r="1750" spans="1:14" ht="82" customHeight="1">
      <c r="A1750" s="4" t="s">
        <v>8007</v>
      </c>
      <c r="B1750" s="4" t="s">
        <v>368</v>
      </c>
      <c r="C1750" s="4" t="s">
        <v>369</v>
      </c>
      <c r="D1750" s="4" t="s">
        <v>2969</v>
      </c>
      <c r="E1750" s="4" t="s">
        <v>41</v>
      </c>
      <c r="F1750" s="4" t="s">
        <v>5894</v>
      </c>
      <c r="G1750" s="4" t="s">
        <v>1819</v>
      </c>
      <c r="H1750" s="4">
        <v>1</v>
      </c>
      <c r="I1750" s="4">
        <v>1</v>
      </c>
      <c r="J1750" s="4" t="s">
        <v>8008</v>
      </c>
      <c r="K1750" s="4" t="s">
        <v>375</v>
      </c>
      <c r="L1750" s="6">
        <v>46319</v>
      </c>
      <c r="M1750" s="4" t="s">
        <v>5864</v>
      </c>
      <c r="N1750" s="4" t="s">
        <v>5883</v>
      </c>
    </row>
    <row r="1751" spans="1:14" ht="82" customHeight="1">
      <c r="A1751" s="8" t="s">
        <v>8009</v>
      </c>
      <c r="B1751" s="8" t="s">
        <v>368</v>
      </c>
      <c r="C1751" s="8" t="s">
        <v>369</v>
      </c>
      <c r="D1751" s="8" t="s">
        <v>2969</v>
      </c>
      <c r="E1751" s="8" t="s">
        <v>41</v>
      </c>
      <c r="F1751" s="8" t="s">
        <v>5897</v>
      </c>
      <c r="G1751" s="8" t="s">
        <v>1819</v>
      </c>
      <c r="H1751" s="8">
        <v>1</v>
      </c>
      <c r="I1751" s="8">
        <v>1</v>
      </c>
      <c r="J1751" s="8" t="s">
        <v>8010</v>
      </c>
      <c r="K1751" s="8" t="s">
        <v>375</v>
      </c>
      <c r="L1751" s="9">
        <v>46319</v>
      </c>
      <c r="M1751" s="8" t="s">
        <v>5864</v>
      </c>
      <c r="N1751" s="8" t="s">
        <v>5883</v>
      </c>
    </row>
    <row r="1752" spans="1:14" ht="54" customHeight="1">
      <c r="A1752" s="4" t="s">
        <v>8011</v>
      </c>
      <c r="B1752" s="4" t="s">
        <v>368</v>
      </c>
      <c r="C1752" s="4" t="s">
        <v>369</v>
      </c>
      <c r="D1752" s="4" t="s">
        <v>2969</v>
      </c>
      <c r="E1752" s="4" t="s">
        <v>41</v>
      </c>
      <c r="F1752" s="4" t="s">
        <v>5900</v>
      </c>
      <c r="G1752" s="4" t="s">
        <v>1819</v>
      </c>
      <c r="H1752" s="4">
        <v>1</v>
      </c>
      <c r="I1752" s="4">
        <v>1</v>
      </c>
      <c r="J1752" s="4" t="s">
        <v>8012</v>
      </c>
      <c r="K1752" s="4" t="s">
        <v>375</v>
      </c>
      <c r="L1752" s="6">
        <v>46319</v>
      </c>
      <c r="M1752" s="4" t="s">
        <v>5864</v>
      </c>
      <c r="N1752" s="4" t="s">
        <v>5883</v>
      </c>
    </row>
    <row r="1753" spans="1:14" ht="40" customHeight="1">
      <c r="A1753" s="8" t="s">
        <v>8013</v>
      </c>
      <c r="B1753" s="8" t="s">
        <v>368</v>
      </c>
      <c r="C1753" s="8" t="s">
        <v>369</v>
      </c>
      <c r="D1753" s="8" t="s">
        <v>2969</v>
      </c>
      <c r="E1753" s="8" t="s">
        <v>41</v>
      </c>
      <c r="F1753" s="8" t="s">
        <v>5903</v>
      </c>
      <c r="G1753" s="8" t="s">
        <v>1819</v>
      </c>
      <c r="H1753" s="8">
        <v>1</v>
      </c>
      <c r="I1753" s="8">
        <v>1</v>
      </c>
      <c r="J1753" s="8" t="s">
        <v>8014</v>
      </c>
      <c r="K1753" s="8" t="s">
        <v>375</v>
      </c>
      <c r="L1753" s="9">
        <v>46319</v>
      </c>
      <c r="M1753" s="8" t="s">
        <v>5864</v>
      </c>
      <c r="N1753" s="8" t="s">
        <v>5883</v>
      </c>
    </row>
    <row r="1754" spans="1:14" ht="54" customHeight="1">
      <c r="A1754" s="4" t="s">
        <v>8015</v>
      </c>
      <c r="B1754" s="4" t="s">
        <v>368</v>
      </c>
      <c r="C1754" s="4" t="s">
        <v>369</v>
      </c>
      <c r="D1754" s="4" t="s">
        <v>2969</v>
      </c>
      <c r="E1754" s="4" t="s">
        <v>41</v>
      </c>
      <c r="F1754" s="4" t="s">
        <v>5906</v>
      </c>
      <c r="G1754" s="4" t="s">
        <v>1819</v>
      </c>
      <c r="H1754" s="4">
        <v>1</v>
      </c>
      <c r="I1754" s="4">
        <v>1</v>
      </c>
      <c r="J1754" s="4" t="s">
        <v>8016</v>
      </c>
      <c r="K1754" s="4" t="s">
        <v>375</v>
      </c>
      <c r="L1754" s="6">
        <v>46319</v>
      </c>
      <c r="M1754" s="4" t="s">
        <v>5864</v>
      </c>
      <c r="N1754" s="4" t="s">
        <v>5883</v>
      </c>
    </row>
    <row r="1755" spans="1:14" ht="54" customHeight="1">
      <c r="A1755" s="8" t="s">
        <v>8017</v>
      </c>
      <c r="B1755" s="8" t="s">
        <v>368</v>
      </c>
      <c r="C1755" s="8" t="s">
        <v>369</v>
      </c>
      <c r="D1755" s="8" t="s">
        <v>2969</v>
      </c>
      <c r="E1755" s="8" t="s">
        <v>41</v>
      </c>
      <c r="F1755" s="8" t="s">
        <v>5909</v>
      </c>
      <c r="G1755" s="8" t="s">
        <v>1819</v>
      </c>
      <c r="H1755" s="8">
        <v>1</v>
      </c>
      <c r="I1755" s="8">
        <v>1</v>
      </c>
      <c r="J1755" s="8" t="s">
        <v>8018</v>
      </c>
      <c r="K1755" s="8" t="s">
        <v>375</v>
      </c>
      <c r="L1755" s="9">
        <v>46319</v>
      </c>
      <c r="M1755" s="8" t="s">
        <v>5864</v>
      </c>
      <c r="N1755" s="8" t="s">
        <v>5883</v>
      </c>
    </row>
    <row r="1756" spans="1:14" ht="54" customHeight="1">
      <c r="A1756" s="4" t="s">
        <v>8019</v>
      </c>
      <c r="B1756" s="4" t="s">
        <v>368</v>
      </c>
      <c r="C1756" s="4" t="s">
        <v>369</v>
      </c>
      <c r="D1756" s="4" t="s">
        <v>2969</v>
      </c>
      <c r="E1756" s="4" t="s">
        <v>41</v>
      </c>
      <c r="F1756" s="4" t="s">
        <v>5912</v>
      </c>
      <c r="G1756" s="4" t="s">
        <v>1819</v>
      </c>
      <c r="H1756" s="4">
        <v>1</v>
      </c>
      <c r="I1756" s="4">
        <v>1</v>
      </c>
      <c r="J1756" s="4" t="s">
        <v>8020</v>
      </c>
      <c r="K1756" s="4" t="s">
        <v>375</v>
      </c>
      <c r="L1756" s="6">
        <v>46319</v>
      </c>
      <c r="M1756" s="4" t="s">
        <v>5864</v>
      </c>
      <c r="N1756" s="4" t="s">
        <v>5883</v>
      </c>
    </row>
    <row r="1757" spans="1:14" ht="54" customHeight="1">
      <c r="A1757" s="8" t="s">
        <v>8021</v>
      </c>
      <c r="B1757" s="8" t="s">
        <v>368</v>
      </c>
      <c r="C1757" s="8" t="s">
        <v>369</v>
      </c>
      <c r="D1757" s="8" t="s">
        <v>2969</v>
      </c>
      <c r="E1757" s="8" t="s">
        <v>41</v>
      </c>
      <c r="F1757" s="8" t="s">
        <v>5973</v>
      </c>
      <c r="G1757" s="8" t="s">
        <v>1819</v>
      </c>
      <c r="H1757" s="8">
        <v>1</v>
      </c>
      <c r="I1757" s="8">
        <v>1</v>
      </c>
      <c r="J1757" s="8" t="s">
        <v>8022</v>
      </c>
      <c r="K1757" s="8" t="s">
        <v>375</v>
      </c>
      <c r="L1757" s="9">
        <v>46319</v>
      </c>
      <c r="M1757" s="8" t="s">
        <v>5864</v>
      </c>
      <c r="N1757" s="8" t="s">
        <v>5883</v>
      </c>
    </row>
    <row r="1758" spans="1:14" ht="54" customHeight="1">
      <c r="A1758" s="4" t="s">
        <v>8023</v>
      </c>
      <c r="B1758" s="4" t="s">
        <v>368</v>
      </c>
      <c r="C1758" s="4" t="s">
        <v>369</v>
      </c>
      <c r="D1758" s="4" t="s">
        <v>2969</v>
      </c>
      <c r="E1758" s="4" t="s">
        <v>41</v>
      </c>
      <c r="F1758" s="4" t="s">
        <v>5976</v>
      </c>
      <c r="G1758" s="4" t="s">
        <v>1819</v>
      </c>
      <c r="H1758" s="4">
        <v>1</v>
      </c>
      <c r="I1758" s="4">
        <v>1</v>
      </c>
      <c r="J1758" s="4" t="s">
        <v>8024</v>
      </c>
      <c r="K1758" s="4" t="s">
        <v>375</v>
      </c>
      <c r="L1758" s="6">
        <v>46319</v>
      </c>
      <c r="M1758" s="4" t="s">
        <v>5864</v>
      </c>
      <c r="N1758" s="4" t="s">
        <v>5883</v>
      </c>
    </row>
    <row r="1759" spans="1:14" ht="82" customHeight="1">
      <c r="A1759" s="8" t="s">
        <v>8025</v>
      </c>
      <c r="B1759" s="8" t="s">
        <v>378</v>
      </c>
      <c r="C1759" s="8" t="s">
        <v>379</v>
      </c>
      <c r="D1759" s="8" t="s">
        <v>5861</v>
      </c>
      <c r="E1759" s="8" t="s">
        <v>41</v>
      </c>
      <c r="F1759" s="8" t="s">
        <v>5994</v>
      </c>
      <c r="G1759" s="8" t="s">
        <v>1829</v>
      </c>
      <c r="H1759" s="8">
        <v>1</v>
      </c>
      <c r="I1759" s="8">
        <v>1</v>
      </c>
      <c r="J1759" s="8" t="s">
        <v>8026</v>
      </c>
      <c r="K1759" s="8" t="s">
        <v>384</v>
      </c>
      <c r="L1759" s="9">
        <v>46319</v>
      </c>
      <c r="M1759" s="8" t="s">
        <v>5864</v>
      </c>
      <c r="N1759" s="8" t="s">
        <v>5865</v>
      </c>
    </row>
    <row r="1760" spans="1:14" ht="110" customHeight="1">
      <c r="A1760" s="4" t="s">
        <v>8027</v>
      </c>
      <c r="B1760" s="4" t="s">
        <v>378</v>
      </c>
      <c r="C1760" s="4" t="s">
        <v>379</v>
      </c>
      <c r="D1760" s="4" t="s">
        <v>5861</v>
      </c>
      <c r="E1760" s="4" t="s">
        <v>41</v>
      </c>
      <c r="F1760" s="4" t="s">
        <v>5997</v>
      </c>
      <c r="G1760" s="4" t="s">
        <v>1829</v>
      </c>
      <c r="H1760" s="4">
        <v>1</v>
      </c>
      <c r="I1760" s="4">
        <v>1</v>
      </c>
      <c r="J1760" s="4" t="s">
        <v>8028</v>
      </c>
      <c r="K1760" s="4" t="s">
        <v>384</v>
      </c>
      <c r="L1760" s="6">
        <v>46319</v>
      </c>
      <c r="M1760" s="4" t="s">
        <v>5864</v>
      </c>
      <c r="N1760" s="4" t="s">
        <v>5865</v>
      </c>
    </row>
    <row r="1761" spans="1:14" ht="54" customHeight="1">
      <c r="A1761" s="8" t="s">
        <v>8029</v>
      </c>
      <c r="B1761" s="8" t="s">
        <v>378</v>
      </c>
      <c r="C1761" s="8" t="s">
        <v>379</v>
      </c>
      <c r="D1761" s="8" t="s">
        <v>5861</v>
      </c>
      <c r="E1761" s="8" t="s">
        <v>41</v>
      </c>
      <c r="F1761" s="8" t="s">
        <v>7848</v>
      </c>
      <c r="G1761" s="8" t="s">
        <v>1829</v>
      </c>
      <c r="H1761" s="8">
        <v>1</v>
      </c>
      <c r="I1761" s="8">
        <v>1</v>
      </c>
      <c r="J1761" s="8" t="s">
        <v>8030</v>
      </c>
      <c r="K1761" s="8" t="s">
        <v>384</v>
      </c>
      <c r="L1761" s="9">
        <v>46319</v>
      </c>
      <c r="M1761" s="8" t="s">
        <v>5864</v>
      </c>
      <c r="N1761" s="8" t="s">
        <v>5865</v>
      </c>
    </row>
    <row r="1762" spans="1:14" ht="110" customHeight="1">
      <c r="A1762" s="4" t="s">
        <v>8031</v>
      </c>
      <c r="B1762" s="4" t="s">
        <v>378</v>
      </c>
      <c r="C1762" s="4" t="s">
        <v>379</v>
      </c>
      <c r="D1762" s="4" t="s">
        <v>5861</v>
      </c>
      <c r="E1762" s="4" t="s">
        <v>41</v>
      </c>
      <c r="F1762" s="4" t="s">
        <v>7784</v>
      </c>
      <c r="G1762" s="4" t="s">
        <v>1829</v>
      </c>
      <c r="H1762" s="4">
        <v>1</v>
      </c>
      <c r="I1762" s="4">
        <v>1</v>
      </c>
      <c r="J1762" s="4" t="s">
        <v>8032</v>
      </c>
      <c r="K1762" s="4" t="s">
        <v>384</v>
      </c>
      <c r="L1762" s="6">
        <v>46319</v>
      </c>
      <c r="M1762" s="4" t="s">
        <v>5864</v>
      </c>
      <c r="N1762" s="4" t="s">
        <v>5865</v>
      </c>
    </row>
    <row r="1763" spans="1:14" ht="68" customHeight="1">
      <c r="A1763" s="8" t="s">
        <v>8033</v>
      </c>
      <c r="B1763" s="8" t="s">
        <v>378</v>
      </c>
      <c r="C1763" s="8" t="s">
        <v>379</v>
      </c>
      <c r="D1763" s="8" t="s">
        <v>5861</v>
      </c>
      <c r="E1763" s="8" t="s">
        <v>41</v>
      </c>
      <c r="F1763" s="8" t="s">
        <v>7786</v>
      </c>
      <c r="G1763" s="8" t="s">
        <v>1829</v>
      </c>
      <c r="H1763" s="8">
        <v>1</v>
      </c>
      <c r="I1763" s="8">
        <v>1</v>
      </c>
      <c r="J1763" s="8" t="s">
        <v>8034</v>
      </c>
      <c r="K1763" s="8" t="s">
        <v>384</v>
      </c>
      <c r="L1763" s="9">
        <v>46319</v>
      </c>
      <c r="M1763" s="8" t="s">
        <v>5864</v>
      </c>
      <c r="N1763" s="8" t="s">
        <v>5865</v>
      </c>
    </row>
    <row r="1764" spans="1:14" ht="82" customHeight="1">
      <c r="A1764" s="4" t="s">
        <v>8035</v>
      </c>
      <c r="B1764" s="4" t="s">
        <v>378</v>
      </c>
      <c r="C1764" s="4" t="s">
        <v>379</v>
      </c>
      <c r="D1764" s="4" t="s">
        <v>5867</v>
      </c>
      <c r="E1764" s="4" t="s">
        <v>41</v>
      </c>
      <c r="F1764" s="4" t="s">
        <v>5868</v>
      </c>
      <c r="G1764" s="4" t="s">
        <v>1829</v>
      </c>
      <c r="H1764" s="4">
        <v>1</v>
      </c>
      <c r="I1764" s="4">
        <v>1</v>
      </c>
      <c r="J1764" s="4" t="s">
        <v>8036</v>
      </c>
      <c r="K1764" s="4" t="s">
        <v>384</v>
      </c>
      <c r="L1764" s="6">
        <v>46319</v>
      </c>
      <c r="M1764" s="4" t="s">
        <v>5864</v>
      </c>
      <c r="N1764" s="4" t="s">
        <v>5865</v>
      </c>
    </row>
    <row r="1765" spans="1:14" ht="40" customHeight="1">
      <c r="A1765" s="8" t="s">
        <v>8037</v>
      </c>
      <c r="B1765" s="8" t="s">
        <v>378</v>
      </c>
      <c r="C1765" s="8" t="s">
        <v>379</v>
      </c>
      <c r="D1765" s="8" t="s">
        <v>5867</v>
      </c>
      <c r="E1765" s="8" t="s">
        <v>41</v>
      </c>
      <c r="F1765" s="8" t="s">
        <v>7671</v>
      </c>
      <c r="G1765" s="8" t="s">
        <v>1829</v>
      </c>
      <c r="H1765" s="8">
        <v>1</v>
      </c>
      <c r="I1765" s="8">
        <v>1</v>
      </c>
      <c r="J1765" s="8" t="s">
        <v>8038</v>
      </c>
      <c r="K1765" s="8" t="s">
        <v>384</v>
      </c>
      <c r="L1765" s="9">
        <v>46319</v>
      </c>
      <c r="M1765" s="8" t="s">
        <v>5864</v>
      </c>
      <c r="N1765" s="8" t="s">
        <v>6087</v>
      </c>
    </row>
    <row r="1766" spans="1:14" ht="40" customHeight="1">
      <c r="A1766" s="4" t="s">
        <v>8039</v>
      </c>
      <c r="B1766" s="4" t="s">
        <v>378</v>
      </c>
      <c r="C1766" s="4" t="s">
        <v>379</v>
      </c>
      <c r="D1766" s="4" t="s">
        <v>5867</v>
      </c>
      <c r="E1766" s="4" t="s">
        <v>41</v>
      </c>
      <c r="F1766" s="4" t="s">
        <v>7674</v>
      </c>
      <c r="G1766" s="4" t="s">
        <v>1829</v>
      </c>
      <c r="H1766" s="4">
        <v>1</v>
      </c>
      <c r="I1766" s="4">
        <v>1</v>
      </c>
      <c r="J1766" s="4" t="s">
        <v>8040</v>
      </c>
      <c r="K1766" s="4" t="s">
        <v>384</v>
      </c>
      <c r="L1766" s="6">
        <v>46319</v>
      </c>
      <c r="M1766" s="4" t="s">
        <v>5864</v>
      </c>
      <c r="N1766" s="4" t="s">
        <v>6087</v>
      </c>
    </row>
    <row r="1767" spans="1:14" ht="40" customHeight="1">
      <c r="A1767" s="8" t="s">
        <v>8041</v>
      </c>
      <c r="B1767" s="8" t="s">
        <v>378</v>
      </c>
      <c r="C1767" s="8" t="s">
        <v>379</v>
      </c>
      <c r="D1767" s="8" t="s">
        <v>5867</v>
      </c>
      <c r="E1767" s="8" t="s">
        <v>41</v>
      </c>
      <c r="F1767" s="8" t="s">
        <v>8042</v>
      </c>
      <c r="G1767" s="8" t="s">
        <v>1829</v>
      </c>
      <c r="H1767" s="8">
        <v>1</v>
      </c>
      <c r="I1767" s="8">
        <v>1</v>
      </c>
      <c r="J1767" s="8" t="s">
        <v>8043</v>
      </c>
      <c r="K1767" s="8" t="s">
        <v>384</v>
      </c>
      <c r="L1767" s="9">
        <v>46319</v>
      </c>
      <c r="M1767" s="8" t="s">
        <v>5864</v>
      </c>
      <c r="N1767" s="8" t="s">
        <v>6087</v>
      </c>
    </row>
    <row r="1768" spans="1:14" ht="40" customHeight="1">
      <c r="A1768" s="4" t="s">
        <v>8044</v>
      </c>
      <c r="B1768" s="4" t="s">
        <v>378</v>
      </c>
      <c r="C1768" s="4" t="s">
        <v>379</v>
      </c>
      <c r="D1768" s="4" t="s">
        <v>5867</v>
      </c>
      <c r="E1768" s="4" t="s">
        <v>41</v>
      </c>
      <c r="F1768" s="4" t="s">
        <v>7677</v>
      </c>
      <c r="G1768" s="4" t="s">
        <v>1829</v>
      </c>
      <c r="H1768" s="4">
        <v>1</v>
      </c>
      <c r="I1768" s="4">
        <v>1</v>
      </c>
      <c r="J1768" s="4" t="s">
        <v>8045</v>
      </c>
      <c r="K1768" s="4" t="s">
        <v>384</v>
      </c>
      <c r="L1768" s="6">
        <v>46319</v>
      </c>
      <c r="M1768" s="4" t="s">
        <v>5864</v>
      </c>
      <c r="N1768" s="4" t="s">
        <v>6087</v>
      </c>
    </row>
    <row r="1769" spans="1:14" ht="40" customHeight="1">
      <c r="A1769" s="8" t="s">
        <v>8046</v>
      </c>
      <c r="B1769" s="8" t="s">
        <v>378</v>
      </c>
      <c r="C1769" s="8" t="s">
        <v>379</v>
      </c>
      <c r="D1769" s="8" t="s">
        <v>5867</v>
      </c>
      <c r="E1769" s="8" t="s">
        <v>41</v>
      </c>
      <c r="F1769" s="8" t="s">
        <v>8047</v>
      </c>
      <c r="G1769" s="8" t="s">
        <v>1829</v>
      </c>
      <c r="H1769" s="8">
        <v>1</v>
      </c>
      <c r="I1769" s="8">
        <v>1</v>
      </c>
      <c r="J1769" s="8" t="s">
        <v>8048</v>
      </c>
      <c r="K1769" s="8" t="s">
        <v>384</v>
      </c>
      <c r="L1769" s="9">
        <v>46319</v>
      </c>
      <c r="M1769" s="8" t="s">
        <v>5864</v>
      </c>
      <c r="N1769" s="8" t="s">
        <v>6087</v>
      </c>
    </row>
    <row r="1770" spans="1:14" ht="40" customHeight="1">
      <c r="A1770" s="4" t="s">
        <v>8049</v>
      </c>
      <c r="B1770" s="4" t="s">
        <v>378</v>
      </c>
      <c r="C1770" s="4" t="s">
        <v>379</v>
      </c>
      <c r="D1770" s="4" t="s">
        <v>5867</v>
      </c>
      <c r="E1770" s="4" t="s">
        <v>41</v>
      </c>
      <c r="F1770" s="4" t="s">
        <v>8050</v>
      </c>
      <c r="G1770" s="4" t="s">
        <v>1829</v>
      </c>
      <c r="H1770" s="4">
        <v>1</v>
      </c>
      <c r="I1770" s="4">
        <v>1</v>
      </c>
      <c r="J1770" s="4" t="s">
        <v>8051</v>
      </c>
      <c r="K1770" s="4" t="s">
        <v>384</v>
      </c>
      <c r="L1770" s="6">
        <v>46319</v>
      </c>
      <c r="M1770" s="4" t="s">
        <v>5864</v>
      </c>
      <c r="N1770" s="4" t="s">
        <v>6087</v>
      </c>
    </row>
    <row r="1771" spans="1:14" ht="40" customHeight="1">
      <c r="A1771" s="8" t="s">
        <v>8052</v>
      </c>
      <c r="B1771" s="8" t="s">
        <v>378</v>
      </c>
      <c r="C1771" s="8" t="s">
        <v>379</v>
      </c>
      <c r="D1771" s="8" t="s">
        <v>5867</v>
      </c>
      <c r="E1771" s="8" t="s">
        <v>41</v>
      </c>
      <c r="F1771" s="8" t="s">
        <v>8053</v>
      </c>
      <c r="G1771" s="8" t="s">
        <v>1829</v>
      </c>
      <c r="H1771" s="8">
        <v>1</v>
      </c>
      <c r="I1771" s="8">
        <v>1</v>
      </c>
      <c r="J1771" s="8" t="s">
        <v>8043</v>
      </c>
      <c r="K1771" s="8" t="s">
        <v>384</v>
      </c>
      <c r="L1771" s="9">
        <v>46319</v>
      </c>
      <c r="M1771" s="8" t="s">
        <v>5864</v>
      </c>
      <c r="N1771" s="8" t="s">
        <v>6087</v>
      </c>
    </row>
    <row r="1772" spans="1:14" ht="40" customHeight="1">
      <c r="A1772" s="4" t="s">
        <v>8054</v>
      </c>
      <c r="B1772" s="4" t="s">
        <v>378</v>
      </c>
      <c r="C1772" s="4" t="s">
        <v>379</v>
      </c>
      <c r="D1772" s="4" t="s">
        <v>5867</v>
      </c>
      <c r="E1772" s="4" t="s">
        <v>41</v>
      </c>
      <c r="F1772" s="4" t="s">
        <v>8055</v>
      </c>
      <c r="G1772" s="4" t="s">
        <v>1829</v>
      </c>
      <c r="H1772" s="4">
        <v>1</v>
      </c>
      <c r="I1772" s="4">
        <v>1</v>
      </c>
      <c r="J1772" s="4" t="s">
        <v>8056</v>
      </c>
      <c r="K1772" s="4" t="s">
        <v>384</v>
      </c>
      <c r="L1772" s="6">
        <v>46319</v>
      </c>
      <c r="M1772" s="4" t="s">
        <v>5864</v>
      </c>
      <c r="N1772" s="4" t="s">
        <v>6087</v>
      </c>
    </row>
    <row r="1773" spans="1:14" ht="40" customHeight="1">
      <c r="A1773" s="8" t="s">
        <v>8057</v>
      </c>
      <c r="B1773" s="8" t="s">
        <v>378</v>
      </c>
      <c r="C1773" s="8" t="s">
        <v>379</v>
      </c>
      <c r="D1773" s="8" t="s">
        <v>5867</v>
      </c>
      <c r="E1773" s="8" t="s">
        <v>41</v>
      </c>
      <c r="F1773" s="8" t="s">
        <v>8058</v>
      </c>
      <c r="G1773" s="8" t="s">
        <v>1829</v>
      </c>
      <c r="H1773" s="8">
        <v>1</v>
      </c>
      <c r="I1773" s="8">
        <v>1</v>
      </c>
      <c r="J1773" s="8" t="s">
        <v>8043</v>
      </c>
      <c r="K1773" s="8" t="s">
        <v>384</v>
      </c>
      <c r="L1773" s="9">
        <v>46319</v>
      </c>
      <c r="M1773" s="8" t="s">
        <v>5864</v>
      </c>
      <c r="N1773" s="8" t="s">
        <v>6087</v>
      </c>
    </row>
    <row r="1774" spans="1:14" ht="40" customHeight="1">
      <c r="A1774" s="4" t="s">
        <v>8059</v>
      </c>
      <c r="B1774" s="4" t="s">
        <v>378</v>
      </c>
      <c r="C1774" s="4" t="s">
        <v>379</v>
      </c>
      <c r="D1774" s="4" t="s">
        <v>5867</v>
      </c>
      <c r="E1774" s="4" t="s">
        <v>41</v>
      </c>
      <c r="F1774" s="4" t="s">
        <v>7680</v>
      </c>
      <c r="G1774" s="4" t="s">
        <v>1829</v>
      </c>
      <c r="H1774" s="4">
        <v>1</v>
      </c>
      <c r="I1774" s="4">
        <v>1</v>
      </c>
      <c r="J1774" s="4" t="s">
        <v>8060</v>
      </c>
      <c r="K1774" s="4" t="s">
        <v>384</v>
      </c>
      <c r="L1774" s="6">
        <v>46319</v>
      </c>
      <c r="M1774" s="4" t="s">
        <v>5864</v>
      </c>
      <c r="N1774" s="4" t="s">
        <v>6087</v>
      </c>
    </row>
    <row r="1775" spans="1:14" ht="40" customHeight="1">
      <c r="A1775" s="8" t="s">
        <v>8061</v>
      </c>
      <c r="B1775" s="8" t="s">
        <v>378</v>
      </c>
      <c r="C1775" s="8" t="s">
        <v>379</v>
      </c>
      <c r="D1775" s="8" t="s">
        <v>5867</v>
      </c>
      <c r="E1775" s="8" t="s">
        <v>41</v>
      </c>
      <c r="F1775" s="8" t="s">
        <v>7683</v>
      </c>
      <c r="G1775" s="8" t="s">
        <v>1829</v>
      </c>
      <c r="H1775" s="8">
        <v>1</v>
      </c>
      <c r="I1775" s="8">
        <v>1</v>
      </c>
      <c r="J1775" s="8" t="s">
        <v>8062</v>
      </c>
      <c r="K1775" s="8" t="s">
        <v>384</v>
      </c>
      <c r="L1775" s="9">
        <v>46319</v>
      </c>
      <c r="M1775" s="8" t="s">
        <v>5864</v>
      </c>
      <c r="N1775" s="8" t="s">
        <v>6087</v>
      </c>
    </row>
    <row r="1776" spans="1:14" ht="40" customHeight="1">
      <c r="A1776" s="4" t="s">
        <v>8063</v>
      </c>
      <c r="B1776" s="4" t="s">
        <v>378</v>
      </c>
      <c r="C1776" s="4" t="s">
        <v>379</v>
      </c>
      <c r="D1776" s="4" t="s">
        <v>5867</v>
      </c>
      <c r="E1776" s="4" t="s">
        <v>41</v>
      </c>
      <c r="F1776" s="4" t="s">
        <v>7686</v>
      </c>
      <c r="G1776" s="4" t="s">
        <v>1829</v>
      </c>
      <c r="H1776" s="4">
        <v>1</v>
      </c>
      <c r="I1776" s="4">
        <v>1</v>
      </c>
      <c r="J1776" s="4" t="s">
        <v>8064</v>
      </c>
      <c r="K1776" s="4" t="s">
        <v>384</v>
      </c>
      <c r="L1776" s="6">
        <v>46319</v>
      </c>
      <c r="M1776" s="4" t="s">
        <v>5864</v>
      </c>
      <c r="N1776" s="4" t="s">
        <v>6087</v>
      </c>
    </row>
    <row r="1777" spans="1:14" ht="40" customHeight="1">
      <c r="A1777" s="8" t="s">
        <v>8065</v>
      </c>
      <c r="B1777" s="8" t="s">
        <v>378</v>
      </c>
      <c r="C1777" s="8" t="s">
        <v>379</v>
      </c>
      <c r="D1777" s="8" t="s">
        <v>5867</v>
      </c>
      <c r="E1777" s="8" t="s">
        <v>41</v>
      </c>
      <c r="F1777" s="8" t="s">
        <v>8066</v>
      </c>
      <c r="G1777" s="8" t="s">
        <v>1829</v>
      </c>
      <c r="H1777" s="8">
        <v>1</v>
      </c>
      <c r="I1777" s="8">
        <v>1</v>
      </c>
      <c r="J1777" s="8" t="s">
        <v>8067</v>
      </c>
      <c r="K1777" s="8" t="s">
        <v>384</v>
      </c>
      <c r="L1777" s="9">
        <v>46319</v>
      </c>
      <c r="M1777" s="8" t="s">
        <v>5864</v>
      </c>
      <c r="N1777" s="8" t="s">
        <v>6087</v>
      </c>
    </row>
    <row r="1778" spans="1:14" ht="40" customHeight="1">
      <c r="A1778" s="4" t="s">
        <v>8068</v>
      </c>
      <c r="B1778" s="4" t="s">
        <v>378</v>
      </c>
      <c r="C1778" s="4" t="s">
        <v>379</v>
      </c>
      <c r="D1778" s="4" t="s">
        <v>5867</v>
      </c>
      <c r="E1778" s="4" t="s">
        <v>41</v>
      </c>
      <c r="F1778" s="4" t="s">
        <v>8069</v>
      </c>
      <c r="G1778" s="4" t="s">
        <v>1829</v>
      </c>
      <c r="H1778" s="4">
        <v>1</v>
      </c>
      <c r="I1778" s="4">
        <v>1</v>
      </c>
      <c r="J1778" s="4" t="s">
        <v>8067</v>
      </c>
      <c r="K1778" s="4" t="s">
        <v>384</v>
      </c>
      <c r="L1778" s="6">
        <v>46319</v>
      </c>
      <c r="M1778" s="4" t="s">
        <v>5864</v>
      </c>
      <c r="N1778" s="4" t="s">
        <v>6087</v>
      </c>
    </row>
    <row r="1779" spans="1:14" ht="40" customHeight="1">
      <c r="A1779" s="8" t="s">
        <v>8070</v>
      </c>
      <c r="B1779" s="8" t="s">
        <v>378</v>
      </c>
      <c r="C1779" s="8" t="s">
        <v>379</v>
      </c>
      <c r="D1779" s="8" t="s">
        <v>5867</v>
      </c>
      <c r="E1779" s="8" t="s">
        <v>41</v>
      </c>
      <c r="F1779" s="8" t="s">
        <v>7689</v>
      </c>
      <c r="G1779" s="8" t="s">
        <v>1829</v>
      </c>
      <c r="H1779" s="8">
        <v>1</v>
      </c>
      <c r="I1779" s="8">
        <v>1</v>
      </c>
      <c r="J1779" s="8" t="s">
        <v>8071</v>
      </c>
      <c r="K1779" s="8" t="s">
        <v>384</v>
      </c>
      <c r="L1779" s="9">
        <v>46319</v>
      </c>
      <c r="M1779" s="8" t="s">
        <v>5864</v>
      </c>
      <c r="N1779" s="8" t="s">
        <v>6087</v>
      </c>
    </row>
    <row r="1780" spans="1:14" ht="40" customHeight="1">
      <c r="A1780" s="4" t="s">
        <v>8072</v>
      </c>
      <c r="B1780" s="4" t="s">
        <v>378</v>
      </c>
      <c r="C1780" s="4" t="s">
        <v>379</v>
      </c>
      <c r="D1780" s="4" t="s">
        <v>5867</v>
      </c>
      <c r="E1780" s="4" t="s">
        <v>41</v>
      </c>
      <c r="F1780" s="4" t="s">
        <v>7692</v>
      </c>
      <c r="G1780" s="4" t="s">
        <v>1829</v>
      </c>
      <c r="H1780" s="4">
        <v>1</v>
      </c>
      <c r="I1780" s="4">
        <v>1</v>
      </c>
      <c r="J1780" s="4" t="s">
        <v>8073</v>
      </c>
      <c r="K1780" s="4" t="s">
        <v>384</v>
      </c>
      <c r="L1780" s="6">
        <v>46319</v>
      </c>
      <c r="M1780" s="4" t="s">
        <v>5864</v>
      </c>
      <c r="N1780" s="4" t="s">
        <v>6087</v>
      </c>
    </row>
    <row r="1781" spans="1:14" ht="40" customHeight="1">
      <c r="A1781" s="8" t="s">
        <v>8074</v>
      </c>
      <c r="B1781" s="8" t="s">
        <v>378</v>
      </c>
      <c r="C1781" s="8" t="s">
        <v>379</v>
      </c>
      <c r="D1781" s="8" t="s">
        <v>5867</v>
      </c>
      <c r="E1781" s="8" t="s">
        <v>41</v>
      </c>
      <c r="F1781" s="8" t="s">
        <v>7695</v>
      </c>
      <c r="G1781" s="8" t="s">
        <v>1829</v>
      </c>
      <c r="H1781" s="8">
        <v>1</v>
      </c>
      <c r="I1781" s="8">
        <v>1</v>
      </c>
      <c r="J1781" s="8" t="s">
        <v>8075</v>
      </c>
      <c r="K1781" s="8" t="s">
        <v>384</v>
      </c>
      <c r="L1781" s="9">
        <v>46319</v>
      </c>
      <c r="M1781" s="8" t="s">
        <v>5864</v>
      </c>
      <c r="N1781" s="8" t="s">
        <v>6087</v>
      </c>
    </row>
    <row r="1782" spans="1:14" ht="40" customHeight="1">
      <c r="A1782" s="4" t="s">
        <v>8076</v>
      </c>
      <c r="B1782" s="4" t="s">
        <v>378</v>
      </c>
      <c r="C1782" s="4" t="s">
        <v>379</v>
      </c>
      <c r="D1782" s="4" t="s">
        <v>5867</v>
      </c>
      <c r="E1782" s="4" t="s">
        <v>41</v>
      </c>
      <c r="F1782" s="4" t="s">
        <v>8077</v>
      </c>
      <c r="G1782" s="4" t="s">
        <v>1829</v>
      </c>
      <c r="H1782" s="4">
        <v>1</v>
      </c>
      <c r="I1782" s="4">
        <v>1</v>
      </c>
      <c r="J1782" s="4" t="s">
        <v>8078</v>
      </c>
      <c r="K1782" s="4" t="s">
        <v>384</v>
      </c>
      <c r="L1782" s="6">
        <v>46319</v>
      </c>
      <c r="M1782" s="4" t="s">
        <v>5864</v>
      </c>
      <c r="N1782" s="4" t="s">
        <v>6087</v>
      </c>
    </row>
    <row r="1783" spans="1:14" ht="40" customHeight="1">
      <c r="A1783" s="8" t="s">
        <v>8079</v>
      </c>
      <c r="B1783" s="8" t="s">
        <v>378</v>
      </c>
      <c r="C1783" s="8" t="s">
        <v>379</v>
      </c>
      <c r="D1783" s="8" t="s">
        <v>5867</v>
      </c>
      <c r="E1783" s="8" t="s">
        <v>41</v>
      </c>
      <c r="F1783" s="8" t="s">
        <v>8080</v>
      </c>
      <c r="G1783" s="8" t="s">
        <v>1829</v>
      </c>
      <c r="H1783" s="8">
        <v>1</v>
      </c>
      <c r="I1783" s="8">
        <v>1</v>
      </c>
      <c r="J1783" s="8" t="s">
        <v>8078</v>
      </c>
      <c r="K1783" s="8" t="s">
        <v>384</v>
      </c>
      <c r="L1783" s="9">
        <v>46319</v>
      </c>
      <c r="M1783" s="8" t="s">
        <v>5864</v>
      </c>
      <c r="N1783" s="8" t="s">
        <v>6087</v>
      </c>
    </row>
    <row r="1784" spans="1:14" ht="40" customHeight="1">
      <c r="A1784" s="4" t="s">
        <v>8081</v>
      </c>
      <c r="B1784" s="4" t="s">
        <v>378</v>
      </c>
      <c r="C1784" s="4" t="s">
        <v>379</v>
      </c>
      <c r="D1784" s="4" t="s">
        <v>5867</v>
      </c>
      <c r="E1784" s="4" t="s">
        <v>41</v>
      </c>
      <c r="F1784" s="4" t="s">
        <v>7698</v>
      </c>
      <c r="G1784" s="4" t="s">
        <v>1829</v>
      </c>
      <c r="H1784" s="4">
        <v>1</v>
      </c>
      <c r="I1784" s="4">
        <v>1</v>
      </c>
      <c r="J1784" s="4" t="s">
        <v>8082</v>
      </c>
      <c r="K1784" s="4" t="s">
        <v>384</v>
      </c>
      <c r="L1784" s="6">
        <v>46319</v>
      </c>
      <c r="M1784" s="4" t="s">
        <v>5864</v>
      </c>
      <c r="N1784" s="4" t="s">
        <v>6087</v>
      </c>
    </row>
    <row r="1785" spans="1:14" ht="40" customHeight="1">
      <c r="A1785" s="8" t="s">
        <v>8083</v>
      </c>
      <c r="B1785" s="8" t="s">
        <v>378</v>
      </c>
      <c r="C1785" s="8" t="s">
        <v>379</v>
      </c>
      <c r="D1785" s="8" t="s">
        <v>5867</v>
      </c>
      <c r="E1785" s="8" t="s">
        <v>41</v>
      </c>
      <c r="F1785" s="8" t="s">
        <v>7701</v>
      </c>
      <c r="G1785" s="8" t="s">
        <v>1829</v>
      </c>
      <c r="H1785" s="8">
        <v>1</v>
      </c>
      <c r="I1785" s="8">
        <v>1</v>
      </c>
      <c r="J1785" s="8" t="s">
        <v>8084</v>
      </c>
      <c r="K1785" s="8" t="s">
        <v>384</v>
      </c>
      <c r="L1785" s="9">
        <v>46319</v>
      </c>
      <c r="M1785" s="8" t="s">
        <v>5864</v>
      </c>
      <c r="N1785" s="8" t="s">
        <v>6087</v>
      </c>
    </row>
    <row r="1786" spans="1:14" ht="40" customHeight="1">
      <c r="A1786" s="4" t="s">
        <v>8085</v>
      </c>
      <c r="B1786" s="4" t="s">
        <v>378</v>
      </c>
      <c r="C1786" s="4" t="s">
        <v>379</v>
      </c>
      <c r="D1786" s="4" t="s">
        <v>5867</v>
      </c>
      <c r="E1786" s="4" t="s">
        <v>41</v>
      </c>
      <c r="F1786" s="4" t="s">
        <v>7704</v>
      </c>
      <c r="G1786" s="4" t="s">
        <v>1829</v>
      </c>
      <c r="H1786" s="4">
        <v>1</v>
      </c>
      <c r="I1786" s="4">
        <v>1</v>
      </c>
      <c r="J1786" s="4" t="s">
        <v>8086</v>
      </c>
      <c r="K1786" s="4" t="s">
        <v>384</v>
      </c>
      <c r="L1786" s="6">
        <v>46319</v>
      </c>
      <c r="M1786" s="4" t="s">
        <v>5864</v>
      </c>
      <c r="N1786" s="4" t="s">
        <v>6087</v>
      </c>
    </row>
    <row r="1787" spans="1:14" ht="40" customHeight="1">
      <c r="A1787" s="8" t="s">
        <v>8087</v>
      </c>
      <c r="B1787" s="8" t="s">
        <v>378</v>
      </c>
      <c r="C1787" s="8" t="s">
        <v>379</v>
      </c>
      <c r="D1787" s="8" t="s">
        <v>5867</v>
      </c>
      <c r="E1787" s="8" t="s">
        <v>41</v>
      </c>
      <c r="F1787" s="8" t="s">
        <v>8088</v>
      </c>
      <c r="G1787" s="8" t="s">
        <v>1829</v>
      </c>
      <c r="H1787" s="8">
        <v>1</v>
      </c>
      <c r="I1787" s="8">
        <v>1</v>
      </c>
      <c r="J1787" s="8" t="s">
        <v>8089</v>
      </c>
      <c r="K1787" s="8" t="s">
        <v>384</v>
      </c>
      <c r="L1787" s="9">
        <v>46319</v>
      </c>
      <c r="M1787" s="8" t="s">
        <v>5864</v>
      </c>
      <c r="N1787" s="8" t="s">
        <v>6087</v>
      </c>
    </row>
    <row r="1788" spans="1:14" ht="40" customHeight="1">
      <c r="A1788" s="4" t="s">
        <v>8090</v>
      </c>
      <c r="B1788" s="4" t="s">
        <v>378</v>
      </c>
      <c r="C1788" s="4" t="s">
        <v>379</v>
      </c>
      <c r="D1788" s="4" t="s">
        <v>5867</v>
      </c>
      <c r="E1788" s="4" t="s">
        <v>41</v>
      </c>
      <c r="F1788" s="4" t="s">
        <v>8091</v>
      </c>
      <c r="G1788" s="4" t="s">
        <v>1829</v>
      </c>
      <c r="H1788" s="4">
        <v>1</v>
      </c>
      <c r="I1788" s="4">
        <v>1</v>
      </c>
      <c r="J1788" s="4" t="s">
        <v>8089</v>
      </c>
      <c r="K1788" s="4" t="s">
        <v>384</v>
      </c>
      <c r="L1788" s="6">
        <v>46319</v>
      </c>
      <c r="M1788" s="4" t="s">
        <v>5864</v>
      </c>
      <c r="N1788" s="4" t="s">
        <v>6087</v>
      </c>
    </row>
    <row r="1789" spans="1:14" ht="40" customHeight="1">
      <c r="A1789" s="8" t="s">
        <v>8092</v>
      </c>
      <c r="B1789" s="8" t="s">
        <v>378</v>
      </c>
      <c r="C1789" s="8" t="s">
        <v>379</v>
      </c>
      <c r="D1789" s="8" t="s">
        <v>5867</v>
      </c>
      <c r="E1789" s="8" t="s">
        <v>41</v>
      </c>
      <c r="F1789" s="8" t="s">
        <v>8093</v>
      </c>
      <c r="G1789" s="8" t="s">
        <v>1829</v>
      </c>
      <c r="H1789" s="8">
        <v>1</v>
      </c>
      <c r="I1789" s="8">
        <v>1</v>
      </c>
      <c r="J1789" s="8" t="s">
        <v>8094</v>
      </c>
      <c r="K1789" s="8" t="s">
        <v>384</v>
      </c>
      <c r="L1789" s="9">
        <v>46319</v>
      </c>
      <c r="M1789" s="8" t="s">
        <v>5864</v>
      </c>
      <c r="N1789" s="8" t="s">
        <v>6087</v>
      </c>
    </row>
    <row r="1790" spans="1:14" ht="40" customHeight="1">
      <c r="A1790" s="4" t="s">
        <v>8095</v>
      </c>
      <c r="B1790" s="4" t="s">
        <v>378</v>
      </c>
      <c r="C1790" s="4" t="s">
        <v>379</v>
      </c>
      <c r="D1790" s="4" t="s">
        <v>5867</v>
      </c>
      <c r="E1790" s="4" t="s">
        <v>41</v>
      </c>
      <c r="F1790" s="4" t="s">
        <v>8096</v>
      </c>
      <c r="G1790" s="4" t="s">
        <v>1829</v>
      </c>
      <c r="H1790" s="4">
        <v>1</v>
      </c>
      <c r="I1790" s="4">
        <v>1</v>
      </c>
      <c r="J1790" s="4" t="s">
        <v>8097</v>
      </c>
      <c r="K1790" s="4" t="s">
        <v>384</v>
      </c>
      <c r="L1790" s="6">
        <v>46319</v>
      </c>
      <c r="M1790" s="4" t="s">
        <v>5864</v>
      </c>
      <c r="N1790" s="4" t="s">
        <v>6087</v>
      </c>
    </row>
    <row r="1791" spans="1:14" ht="40" customHeight="1">
      <c r="A1791" s="8" t="s">
        <v>8098</v>
      </c>
      <c r="B1791" s="8" t="s">
        <v>378</v>
      </c>
      <c r="C1791" s="8" t="s">
        <v>379</v>
      </c>
      <c r="D1791" s="8" t="s">
        <v>5867</v>
      </c>
      <c r="E1791" s="8" t="s">
        <v>41</v>
      </c>
      <c r="F1791" s="8" t="s">
        <v>8099</v>
      </c>
      <c r="G1791" s="8" t="s">
        <v>1829</v>
      </c>
      <c r="H1791" s="8">
        <v>1</v>
      </c>
      <c r="I1791" s="8">
        <v>1</v>
      </c>
      <c r="J1791" s="8" t="s">
        <v>8100</v>
      </c>
      <c r="K1791" s="8" t="s">
        <v>384</v>
      </c>
      <c r="L1791" s="9">
        <v>46319</v>
      </c>
      <c r="M1791" s="8" t="s">
        <v>5864</v>
      </c>
      <c r="N1791" s="8" t="s">
        <v>6087</v>
      </c>
    </row>
    <row r="1792" spans="1:14" ht="40" customHeight="1">
      <c r="A1792" s="4" t="s">
        <v>8101</v>
      </c>
      <c r="B1792" s="4" t="s">
        <v>378</v>
      </c>
      <c r="C1792" s="4" t="s">
        <v>379</v>
      </c>
      <c r="D1792" s="4" t="s">
        <v>5867</v>
      </c>
      <c r="E1792" s="4" t="s">
        <v>41</v>
      </c>
      <c r="F1792" s="4" t="s">
        <v>8102</v>
      </c>
      <c r="G1792" s="4" t="s">
        <v>1829</v>
      </c>
      <c r="H1792" s="4">
        <v>1</v>
      </c>
      <c r="I1792" s="4">
        <v>1</v>
      </c>
      <c r="J1792" s="4" t="s">
        <v>8103</v>
      </c>
      <c r="K1792" s="4" t="s">
        <v>384</v>
      </c>
      <c r="L1792" s="6">
        <v>46319</v>
      </c>
      <c r="M1792" s="4" t="s">
        <v>5864</v>
      </c>
      <c r="N1792" s="4" t="s">
        <v>6087</v>
      </c>
    </row>
    <row r="1793" spans="1:14" ht="40" customHeight="1">
      <c r="A1793" s="8" t="s">
        <v>8104</v>
      </c>
      <c r="B1793" s="8" t="s">
        <v>378</v>
      </c>
      <c r="C1793" s="8" t="s">
        <v>379</v>
      </c>
      <c r="D1793" s="8" t="s">
        <v>5867</v>
      </c>
      <c r="E1793" s="8" t="s">
        <v>41</v>
      </c>
      <c r="F1793" s="8" t="s">
        <v>8105</v>
      </c>
      <c r="G1793" s="8" t="s">
        <v>1829</v>
      </c>
      <c r="H1793" s="8">
        <v>1</v>
      </c>
      <c r="I1793" s="8">
        <v>1</v>
      </c>
      <c r="J1793" s="8" t="s">
        <v>8103</v>
      </c>
      <c r="K1793" s="8" t="s">
        <v>384</v>
      </c>
      <c r="L1793" s="9">
        <v>46319</v>
      </c>
      <c r="M1793" s="8" t="s">
        <v>5864</v>
      </c>
      <c r="N1793" s="8" t="s">
        <v>6087</v>
      </c>
    </row>
    <row r="1794" spans="1:14" ht="40" customHeight="1">
      <c r="A1794" s="4" t="s">
        <v>8106</v>
      </c>
      <c r="B1794" s="4" t="s">
        <v>378</v>
      </c>
      <c r="C1794" s="4" t="s">
        <v>379</v>
      </c>
      <c r="D1794" s="4" t="s">
        <v>5867</v>
      </c>
      <c r="E1794" s="4" t="s">
        <v>41</v>
      </c>
      <c r="F1794" s="4" t="s">
        <v>8107</v>
      </c>
      <c r="G1794" s="4" t="s">
        <v>1829</v>
      </c>
      <c r="H1794" s="4">
        <v>1</v>
      </c>
      <c r="I1794" s="4">
        <v>1</v>
      </c>
      <c r="J1794" s="4" t="s">
        <v>8108</v>
      </c>
      <c r="K1794" s="4" t="s">
        <v>384</v>
      </c>
      <c r="L1794" s="6">
        <v>46319</v>
      </c>
      <c r="M1794" s="4" t="s">
        <v>5864</v>
      </c>
      <c r="N1794" s="4" t="s">
        <v>6087</v>
      </c>
    </row>
    <row r="1795" spans="1:14" ht="40" customHeight="1">
      <c r="A1795" s="8" t="s">
        <v>8109</v>
      </c>
      <c r="B1795" s="8" t="s">
        <v>378</v>
      </c>
      <c r="C1795" s="8" t="s">
        <v>379</v>
      </c>
      <c r="D1795" s="8" t="s">
        <v>5867</v>
      </c>
      <c r="E1795" s="8" t="s">
        <v>41</v>
      </c>
      <c r="F1795" s="8" t="s">
        <v>8110</v>
      </c>
      <c r="G1795" s="8" t="s">
        <v>1829</v>
      </c>
      <c r="H1795" s="8">
        <v>1</v>
      </c>
      <c r="I1795" s="8">
        <v>1</v>
      </c>
      <c r="J1795" s="8" t="s">
        <v>8111</v>
      </c>
      <c r="K1795" s="8" t="s">
        <v>384</v>
      </c>
      <c r="L1795" s="9">
        <v>46319</v>
      </c>
      <c r="M1795" s="8" t="s">
        <v>5864</v>
      </c>
      <c r="N1795" s="8" t="s">
        <v>6087</v>
      </c>
    </row>
    <row r="1796" spans="1:14" ht="40" customHeight="1">
      <c r="A1796" s="4" t="s">
        <v>8112</v>
      </c>
      <c r="B1796" s="4" t="s">
        <v>378</v>
      </c>
      <c r="C1796" s="4" t="s">
        <v>379</v>
      </c>
      <c r="D1796" s="4" t="s">
        <v>5867</v>
      </c>
      <c r="E1796" s="4" t="s">
        <v>41</v>
      </c>
      <c r="F1796" s="4" t="s">
        <v>8113</v>
      </c>
      <c r="G1796" s="4" t="s">
        <v>1829</v>
      </c>
      <c r="H1796" s="4">
        <v>1</v>
      </c>
      <c r="I1796" s="4">
        <v>1</v>
      </c>
      <c r="J1796" s="4" t="s">
        <v>8111</v>
      </c>
      <c r="K1796" s="4" t="s">
        <v>384</v>
      </c>
      <c r="L1796" s="6">
        <v>46319</v>
      </c>
      <c r="M1796" s="4" t="s">
        <v>5864</v>
      </c>
      <c r="N1796" s="4" t="s">
        <v>6087</v>
      </c>
    </row>
    <row r="1797" spans="1:14" ht="40" customHeight="1">
      <c r="A1797" s="8" t="s">
        <v>8114</v>
      </c>
      <c r="B1797" s="8" t="s">
        <v>378</v>
      </c>
      <c r="C1797" s="8" t="s">
        <v>379</v>
      </c>
      <c r="D1797" s="8" t="s">
        <v>5867</v>
      </c>
      <c r="E1797" s="8" t="s">
        <v>41</v>
      </c>
      <c r="F1797" s="8" t="s">
        <v>8115</v>
      </c>
      <c r="G1797" s="8" t="s">
        <v>1829</v>
      </c>
      <c r="H1797" s="8">
        <v>1</v>
      </c>
      <c r="I1797" s="8">
        <v>1</v>
      </c>
      <c r="J1797" s="8" t="s">
        <v>8116</v>
      </c>
      <c r="K1797" s="8" t="s">
        <v>384</v>
      </c>
      <c r="L1797" s="9">
        <v>46319</v>
      </c>
      <c r="M1797" s="8" t="s">
        <v>5864</v>
      </c>
      <c r="N1797" s="8" t="s">
        <v>6087</v>
      </c>
    </row>
    <row r="1798" spans="1:14" ht="40" customHeight="1">
      <c r="A1798" s="4" t="s">
        <v>8117</v>
      </c>
      <c r="B1798" s="4" t="s">
        <v>378</v>
      </c>
      <c r="C1798" s="4" t="s">
        <v>379</v>
      </c>
      <c r="D1798" s="4" t="s">
        <v>5867</v>
      </c>
      <c r="E1798" s="4" t="s">
        <v>41</v>
      </c>
      <c r="F1798" s="4" t="s">
        <v>8118</v>
      </c>
      <c r="G1798" s="4" t="s">
        <v>1829</v>
      </c>
      <c r="H1798" s="4">
        <v>1</v>
      </c>
      <c r="I1798" s="4">
        <v>1</v>
      </c>
      <c r="J1798" s="4" t="s">
        <v>8119</v>
      </c>
      <c r="K1798" s="4" t="s">
        <v>384</v>
      </c>
      <c r="L1798" s="6">
        <v>46319</v>
      </c>
      <c r="M1798" s="4" t="s">
        <v>5864</v>
      </c>
      <c r="N1798" s="4" t="s">
        <v>6087</v>
      </c>
    </row>
    <row r="1799" spans="1:14" ht="40" customHeight="1">
      <c r="A1799" s="8" t="s">
        <v>8120</v>
      </c>
      <c r="B1799" s="8" t="s">
        <v>378</v>
      </c>
      <c r="C1799" s="8" t="s">
        <v>379</v>
      </c>
      <c r="D1799" s="8" t="s">
        <v>5867</v>
      </c>
      <c r="E1799" s="8" t="s">
        <v>41</v>
      </c>
      <c r="F1799" s="8" t="s">
        <v>8121</v>
      </c>
      <c r="G1799" s="8" t="s">
        <v>1829</v>
      </c>
      <c r="H1799" s="8">
        <v>1</v>
      </c>
      <c r="I1799" s="8">
        <v>1</v>
      </c>
      <c r="J1799" s="8" t="s">
        <v>8122</v>
      </c>
      <c r="K1799" s="8" t="s">
        <v>384</v>
      </c>
      <c r="L1799" s="9">
        <v>46319</v>
      </c>
      <c r="M1799" s="8" t="s">
        <v>5864</v>
      </c>
      <c r="N1799" s="8" t="s">
        <v>6087</v>
      </c>
    </row>
    <row r="1800" spans="1:14" ht="40" customHeight="1">
      <c r="A1800" s="4" t="s">
        <v>8123</v>
      </c>
      <c r="B1800" s="4" t="s">
        <v>378</v>
      </c>
      <c r="C1800" s="4" t="s">
        <v>379</v>
      </c>
      <c r="D1800" s="4" t="s">
        <v>5867</v>
      </c>
      <c r="E1800" s="4" t="s">
        <v>41</v>
      </c>
      <c r="F1800" s="4" t="s">
        <v>6391</v>
      </c>
      <c r="G1800" s="4" t="s">
        <v>1829</v>
      </c>
      <c r="H1800" s="4">
        <v>1</v>
      </c>
      <c r="I1800" s="4">
        <v>1</v>
      </c>
      <c r="J1800" s="4" t="s">
        <v>8124</v>
      </c>
      <c r="K1800" s="4" t="s">
        <v>384</v>
      </c>
      <c r="L1800" s="6">
        <v>46319</v>
      </c>
      <c r="M1800" s="4" t="s">
        <v>5864</v>
      </c>
      <c r="N1800" s="4" t="s">
        <v>5865</v>
      </c>
    </row>
    <row r="1801" spans="1:14" ht="40" customHeight="1">
      <c r="A1801" s="8" t="s">
        <v>8125</v>
      </c>
      <c r="B1801" s="8" t="s">
        <v>378</v>
      </c>
      <c r="C1801" s="8" t="s">
        <v>379</v>
      </c>
      <c r="D1801" s="8" t="s">
        <v>5867</v>
      </c>
      <c r="E1801" s="8" t="s">
        <v>41</v>
      </c>
      <c r="F1801" s="8" t="s">
        <v>6765</v>
      </c>
      <c r="G1801" s="8" t="s">
        <v>1829</v>
      </c>
      <c r="H1801" s="8">
        <v>1</v>
      </c>
      <c r="I1801" s="8">
        <v>1</v>
      </c>
      <c r="J1801" s="8" t="s">
        <v>8126</v>
      </c>
      <c r="K1801" s="8" t="s">
        <v>384</v>
      </c>
      <c r="L1801" s="9">
        <v>46319</v>
      </c>
      <c r="M1801" s="8" t="s">
        <v>5864</v>
      </c>
      <c r="N1801" s="8" t="s">
        <v>5865</v>
      </c>
    </row>
    <row r="1802" spans="1:14" ht="40" customHeight="1">
      <c r="A1802" s="4" t="s">
        <v>8127</v>
      </c>
      <c r="B1802" s="4" t="s">
        <v>378</v>
      </c>
      <c r="C1802" s="4" t="s">
        <v>379</v>
      </c>
      <c r="D1802" s="4" t="s">
        <v>5867</v>
      </c>
      <c r="E1802" s="4" t="s">
        <v>41</v>
      </c>
      <c r="F1802" s="4" t="s">
        <v>6015</v>
      </c>
      <c r="G1802" s="4" t="s">
        <v>1829</v>
      </c>
      <c r="H1802" s="4">
        <v>1</v>
      </c>
      <c r="I1802" s="4">
        <v>1</v>
      </c>
      <c r="J1802" s="4" t="s">
        <v>8128</v>
      </c>
      <c r="K1802" s="4" t="s">
        <v>384</v>
      </c>
      <c r="L1802" s="6">
        <v>46319</v>
      </c>
      <c r="M1802" s="4" t="s">
        <v>5864</v>
      </c>
      <c r="N1802" s="4" t="s">
        <v>5865</v>
      </c>
    </row>
    <row r="1803" spans="1:14" ht="40" customHeight="1">
      <c r="A1803" s="8" t="s">
        <v>8129</v>
      </c>
      <c r="B1803" s="8" t="s">
        <v>378</v>
      </c>
      <c r="C1803" s="8" t="s">
        <v>379</v>
      </c>
      <c r="D1803" s="8" t="s">
        <v>637</v>
      </c>
      <c r="E1803" s="8" t="s">
        <v>41</v>
      </c>
      <c r="F1803" s="8" t="s">
        <v>926</v>
      </c>
      <c r="G1803" s="8" t="s">
        <v>1829</v>
      </c>
      <c r="H1803" s="8">
        <v>1</v>
      </c>
      <c r="I1803" s="8">
        <v>1</v>
      </c>
      <c r="J1803" s="8" t="s">
        <v>1583</v>
      </c>
      <c r="K1803" s="8" t="s">
        <v>384</v>
      </c>
      <c r="L1803" s="9">
        <v>46319</v>
      </c>
      <c r="M1803" s="8" t="s">
        <v>5864</v>
      </c>
      <c r="N1803" s="8" t="s">
        <v>5870</v>
      </c>
    </row>
    <row r="1804" spans="1:14" ht="40" customHeight="1">
      <c r="A1804" s="4" t="s">
        <v>8130</v>
      </c>
      <c r="B1804" s="4" t="s">
        <v>378</v>
      </c>
      <c r="C1804" s="4" t="s">
        <v>379</v>
      </c>
      <c r="D1804" s="4" t="s">
        <v>637</v>
      </c>
      <c r="E1804" s="4" t="s">
        <v>41</v>
      </c>
      <c r="F1804" s="4" t="s">
        <v>931</v>
      </c>
      <c r="G1804" s="4" t="s">
        <v>1829</v>
      </c>
      <c r="H1804" s="4">
        <v>1</v>
      </c>
      <c r="I1804" s="4">
        <v>1</v>
      </c>
      <c r="J1804" s="4" t="s">
        <v>1831</v>
      </c>
      <c r="K1804" s="4" t="s">
        <v>384</v>
      </c>
      <c r="L1804" s="6">
        <v>46319</v>
      </c>
      <c r="M1804" s="4" t="s">
        <v>5864</v>
      </c>
      <c r="N1804" s="4" t="s">
        <v>5870</v>
      </c>
    </row>
    <row r="1805" spans="1:14" ht="40" customHeight="1">
      <c r="A1805" s="8" t="s">
        <v>8131</v>
      </c>
      <c r="B1805" s="8" t="s">
        <v>378</v>
      </c>
      <c r="C1805" s="8" t="s">
        <v>379</v>
      </c>
      <c r="D1805" s="8" t="s">
        <v>637</v>
      </c>
      <c r="E1805" s="8" t="s">
        <v>41</v>
      </c>
      <c r="F1805" s="8" t="s">
        <v>935</v>
      </c>
      <c r="G1805" s="8" t="s">
        <v>1829</v>
      </c>
      <c r="H1805" s="8">
        <v>1</v>
      </c>
      <c r="I1805" s="8">
        <v>1</v>
      </c>
      <c r="J1805" s="8" t="s">
        <v>1834</v>
      </c>
      <c r="K1805" s="8" t="s">
        <v>384</v>
      </c>
      <c r="L1805" s="9">
        <v>46319</v>
      </c>
      <c r="M1805" s="8" t="s">
        <v>5864</v>
      </c>
      <c r="N1805" s="8" t="s">
        <v>5870</v>
      </c>
    </row>
    <row r="1806" spans="1:14" ht="54" customHeight="1">
      <c r="A1806" s="4" t="s">
        <v>8132</v>
      </c>
      <c r="B1806" s="4" t="s">
        <v>378</v>
      </c>
      <c r="C1806" s="4" t="s">
        <v>379</v>
      </c>
      <c r="D1806" s="4" t="s">
        <v>637</v>
      </c>
      <c r="E1806" s="4" t="s">
        <v>41</v>
      </c>
      <c r="F1806" s="4" t="s">
        <v>988</v>
      </c>
      <c r="G1806" s="4" t="s">
        <v>1829</v>
      </c>
      <c r="H1806" s="4">
        <v>1</v>
      </c>
      <c r="I1806" s="4">
        <v>1</v>
      </c>
      <c r="J1806" s="4" t="s">
        <v>1837</v>
      </c>
      <c r="K1806" s="4" t="s">
        <v>384</v>
      </c>
      <c r="L1806" s="6">
        <v>46319</v>
      </c>
      <c r="M1806" s="4" t="s">
        <v>5864</v>
      </c>
      <c r="N1806" s="4" t="s">
        <v>5865</v>
      </c>
    </row>
    <row r="1807" spans="1:14" ht="54" customHeight="1">
      <c r="A1807" s="8" t="s">
        <v>8133</v>
      </c>
      <c r="B1807" s="8" t="s">
        <v>378</v>
      </c>
      <c r="C1807" s="8" t="s">
        <v>379</v>
      </c>
      <c r="D1807" s="8" t="s">
        <v>637</v>
      </c>
      <c r="E1807" s="8" t="s">
        <v>41</v>
      </c>
      <c r="F1807" s="8" t="s">
        <v>992</v>
      </c>
      <c r="G1807" s="8" t="s">
        <v>1829</v>
      </c>
      <c r="H1807" s="8">
        <v>1</v>
      </c>
      <c r="I1807" s="8">
        <v>1</v>
      </c>
      <c r="J1807" s="8" t="s">
        <v>1840</v>
      </c>
      <c r="K1807" s="8" t="s">
        <v>384</v>
      </c>
      <c r="L1807" s="9">
        <v>46319</v>
      </c>
      <c r="M1807" s="8" t="s">
        <v>5864</v>
      </c>
      <c r="N1807" s="8" t="s">
        <v>5865</v>
      </c>
    </row>
    <row r="1808" spans="1:14" ht="68" customHeight="1">
      <c r="A1808" s="4" t="s">
        <v>8134</v>
      </c>
      <c r="B1808" s="4" t="s">
        <v>378</v>
      </c>
      <c r="C1808" s="4" t="s">
        <v>379</v>
      </c>
      <c r="D1808" s="4" t="s">
        <v>637</v>
      </c>
      <c r="E1808" s="4" t="s">
        <v>41</v>
      </c>
      <c r="F1808" s="4" t="s">
        <v>996</v>
      </c>
      <c r="G1808" s="4" t="s">
        <v>1829</v>
      </c>
      <c r="H1808" s="4">
        <v>1</v>
      </c>
      <c r="I1808" s="4">
        <v>1</v>
      </c>
      <c r="J1808" s="4" t="s">
        <v>1843</v>
      </c>
      <c r="K1808" s="4" t="s">
        <v>384</v>
      </c>
      <c r="L1808" s="6">
        <v>46319</v>
      </c>
      <c r="M1808" s="4" t="s">
        <v>5864</v>
      </c>
      <c r="N1808" s="4" t="s">
        <v>5865</v>
      </c>
    </row>
    <row r="1809" spans="1:14" ht="40" customHeight="1">
      <c r="A1809" s="8" t="s">
        <v>8135</v>
      </c>
      <c r="B1809" s="8" t="s">
        <v>378</v>
      </c>
      <c r="C1809" s="8" t="s">
        <v>379</v>
      </c>
      <c r="D1809" s="8" t="s">
        <v>637</v>
      </c>
      <c r="E1809" s="8" t="s">
        <v>41</v>
      </c>
      <c r="F1809" s="8" t="s">
        <v>1000</v>
      </c>
      <c r="G1809" s="8" t="s">
        <v>1829</v>
      </c>
      <c r="H1809" s="8">
        <v>1</v>
      </c>
      <c r="I1809" s="8">
        <v>1</v>
      </c>
      <c r="J1809" s="8" t="s">
        <v>1846</v>
      </c>
      <c r="K1809" s="8" t="s">
        <v>384</v>
      </c>
      <c r="L1809" s="9">
        <v>46319</v>
      </c>
      <c r="M1809" s="8" t="s">
        <v>5864</v>
      </c>
      <c r="N1809" s="8" t="s">
        <v>5865</v>
      </c>
    </row>
    <row r="1810" spans="1:14" ht="40" customHeight="1">
      <c r="A1810" s="4" t="s">
        <v>8136</v>
      </c>
      <c r="B1810" s="4" t="s">
        <v>378</v>
      </c>
      <c r="C1810" s="4" t="s">
        <v>379</v>
      </c>
      <c r="D1810" s="4" t="s">
        <v>637</v>
      </c>
      <c r="E1810" s="4" t="s">
        <v>41</v>
      </c>
      <c r="F1810" s="4" t="s">
        <v>1210</v>
      </c>
      <c r="G1810" s="4" t="s">
        <v>1829</v>
      </c>
      <c r="H1810" s="4">
        <v>1</v>
      </c>
      <c r="I1810" s="4">
        <v>1</v>
      </c>
      <c r="J1810" s="4" t="s">
        <v>1849</v>
      </c>
      <c r="K1810" s="4" t="s">
        <v>384</v>
      </c>
      <c r="L1810" s="6">
        <v>46319</v>
      </c>
      <c r="M1810" s="4" t="s">
        <v>5864</v>
      </c>
      <c r="N1810" s="4" t="s">
        <v>5865</v>
      </c>
    </row>
    <row r="1811" spans="1:14" ht="40" customHeight="1">
      <c r="A1811" s="8" t="s">
        <v>8137</v>
      </c>
      <c r="B1811" s="8" t="s">
        <v>378</v>
      </c>
      <c r="C1811" s="8" t="s">
        <v>379</v>
      </c>
      <c r="D1811" s="8" t="s">
        <v>914</v>
      </c>
      <c r="E1811" s="8" t="s">
        <v>41</v>
      </c>
      <c r="F1811" s="8" t="s">
        <v>1023</v>
      </c>
      <c r="G1811" s="8" t="s">
        <v>1829</v>
      </c>
      <c r="H1811" s="8">
        <v>1</v>
      </c>
      <c r="I1811" s="8">
        <v>1</v>
      </c>
      <c r="J1811" s="8" t="s">
        <v>1852</v>
      </c>
      <c r="K1811" s="8" t="s">
        <v>384</v>
      </c>
      <c r="L1811" s="9">
        <v>46319</v>
      </c>
      <c r="M1811" s="8" t="s">
        <v>5864</v>
      </c>
      <c r="N1811" s="8" t="s">
        <v>5865</v>
      </c>
    </row>
    <row r="1812" spans="1:14" ht="40" customHeight="1">
      <c r="A1812" s="4" t="s">
        <v>5449</v>
      </c>
      <c r="B1812" s="4" t="s">
        <v>378</v>
      </c>
      <c r="C1812" s="4" t="s">
        <v>379</v>
      </c>
      <c r="D1812" s="4" t="s">
        <v>7</v>
      </c>
      <c r="E1812" s="4" t="s">
        <v>41</v>
      </c>
      <c r="F1812" s="4" t="s">
        <v>6212</v>
      </c>
      <c r="G1812" s="4" t="s">
        <v>1829</v>
      </c>
      <c r="H1812" s="4">
        <v>1</v>
      </c>
      <c r="I1812" s="4">
        <v>1</v>
      </c>
      <c r="J1812" s="4" t="s">
        <v>5450</v>
      </c>
      <c r="K1812" s="4" t="s">
        <v>384</v>
      </c>
      <c r="L1812" s="6">
        <v>46319</v>
      </c>
      <c r="M1812" s="4" t="s">
        <v>5864</v>
      </c>
      <c r="N1812" s="4" t="s">
        <v>5870</v>
      </c>
    </row>
    <row r="1813" spans="1:14" ht="40" customHeight="1">
      <c r="A1813" s="8" t="s">
        <v>5451</v>
      </c>
      <c r="B1813" s="8" t="s">
        <v>378</v>
      </c>
      <c r="C1813" s="8" t="s">
        <v>379</v>
      </c>
      <c r="D1813" s="8" t="s">
        <v>7</v>
      </c>
      <c r="E1813" s="8" t="s">
        <v>41</v>
      </c>
      <c r="F1813" s="8" t="s">
        <v>6213</v>
      </c>
      <c r="G1813" s="8" t="s">
        <v>1829</v>
      </c>
      <c r="H1813" s="8">
        <v>1</v>
      </c>
      <c r="I1813" s="8">
        <v>1</v>
      </c>
      <c r="J1813" s="8" t="s">
        <v>5452</v>
      </c>
      <c r="K1813" s="8" t="s">
        <v>384</v>
      </c>
      <c r="L1813" s="9">
        <v>46319</v>
      </c>
      <c r="M1813" s="8" t="s">
        <v>5864</v>
      </c>
      <c r="N1813" s="8" t="s">
        <v>5870</v>
      </c>
    </row>
    <row r="1814" spans="1:14" ht="40" customHeight="1">
      <c r="A1814" s="4" t="s">
        <v>5453</v>
      </c>
      <c r="B1814" s="4" t="s">
        <v>378</v>
      </c>
      <c r="C1814" s="4" t="s">
        <v>379</v>
      </c>
      <c r="D1814" s="4" t="s">
        <v>7</v>
      </c>
      <c r="E1814" s="4" t="s">
        <v>41</v>
      </c>
      <c r="F1814" s="4" t="s">
        <v>6214</v>
      </c>
      <c r="G1814" s="4" t="s">
        <v>1829</v>
      </c>
      <c r="H1814" s="4">
        <v>1</v>
      </c>
      <c r="I1814" s="4">
        <v>1</v>
      </c>
      <c r="J1814" s="4" t="s">
        <v>5454</v>
      </c>
      <c r="K1814" s="4" t="s">
        <v>384</v>
      </c>
      <c r="L1814" s="6">
        <v>46319</v>
      </c>
      <c r="M1814" s="4" t="s">
        <v>5864</v>
      </c>
      <c r="N1814" s="4" t="s">
        <v>5870</v>
      </c>
    </row>
    <row r="1815" spans="1:14" ht="40" customHeight="1">
      <c r="A1815" s="8" t="s">
        <v>5455</v>
      </c>
      <c r="B1815" s="8" t="s">
        <v>378</v>
      </c>
      <c r="C1815" s="8" t="s">
        <v>379</v>
      </c>
      <c r="D1815" s="8" t="s">
        <v>7</v>
      </c>
      <c r="E1815" s="8" t="s">
        <v>41</v>
      </c>
      <c r="F1815" s="8" t="s">
        <v>6215</v>
      </c>
      <c r="G1815" s="8" t="s">
        <v>1829</v>
      </c>
      <c r="H1815" s="8">
        <v>1</v>
      </c>
      <c r="I1815" s="8">
        <v>1</v>
      </c>
      <c r="J1815" s="8" t="s">
        <v>5456</v>
      </c>
      <c r="K1815" s="8" t="s">
        <v>384</v>
      </c>
      <c r="L1815" s="9">
        <v>46319</v>
      </c>
      <c r="M1815" s="8" t="s">
        <v>5864</v>
      </c>
      <c r="N1815" s="8" t="s">
        <v>5870</v>
      </c>
    </row>
    <row r="1816" spans="1:14" ht="40" customHeight="1">
      <c r="A1816" s="4" t="s">
        <v>5457</v>
      </c>
      <c r="B1816" s="4" t="s">
        <v>378</v>
      </c>
      <c r="C1816" s="4" t="s">
        <v>379</v>
      </c>
      <c r="D1816" s="4" t="s">
        <v>7</v>
      </c>
      <c r="E1816" s="4" t="s">
        <v>41</v>
      </c>
      <c r="F1816" s="4" t="s">
        <v>6216</v>
      </c>
      <c r="G1816" s="4" t="s">
        <v>1829</v>
      </c>
      <c r="H1816" s="4">
        <v>1</v>
      </c>
      <c r="I1816" s="4">
        <v>1</v>
      </c>
      <c r="J1816" s="4" t="s">
        <v>5458</v>
      </c>
      <c r="K1816" s="4" t="s">
        <v>384</v>
      </c>
      <c r="L1816" s="6">
        <v>46319</v>
      </c>
      <c r="M1816" s="4" t="s">
        <v>5864</v>
      </c>
      <c r="N1816" s="4" t="s">
        <v>5870</v>
      </c>
    </row>
    <row r="1817" spans="1:14" ht="40" customHeight="1">
      <c r="A1817" s="8" t="s">
        <v>5459</v>
      </c>
      <c r="B1817" s="8" t="s">
        <v>378</v>
      </c>
      <c r="C1817" s="8" t="s">
        <v>379</v>
      </c>
      <c r="D1817" s="8" t="s">
        <v>7</v>
      </c>
      <c r="E1817" s="8" t="s">
        <v>41</v>
      </c>
      <c r="F1817" s="8" t="s">
        <v>6284</v>
      </c>
      <c r="G1817" s="8" t="s">
        <v>1829</v>
      </c>
      <c r="H1817" s="8">
        <v>1</v>
      </c>
      <c r="I1817" s="8">
        <v>1</v>
      </c>
      <c r="J1817" s="8" t="s">
        <v>5460</v>
      </c>
      <c r="K1817" s="8" t="s">
        <v>384</v>
      </c>
      <c r="L1817" s="9">
        <v>46319</v>
      </c>
      <c r="M1817" s="8" t="s">
        <v>5864</v>
      </c>
      <c r="N1817" s="8" t="s">
        <v>5870</v>
      </c>
    </row>
    <row r="1818" spans="1:14" ht="40" customHeight="1">
      <c r="A1818" s="4" t="s">
        <v>5461</v>
      </c>
      <c r="B1818" s="4" t="s">
        <v>378</v>
      </c>
      <c r="C1818" s="4" t="s">
        <v>379</v>
      </c>
      <c r="D1818" s="4" t="s">
        <v>7</v>
      </c>
      <c r="E1818" s="4" t="s">
        <v>41</v>
      </c>
      <c r="F1818" s="4" t="s">
        <v>6285</v>
      </c>
      <c r="G1818" s="4" t="s">
        <v>1829</v>
      </c>
      <c r="H1818" s="4">
        <v>1</v>
      </c>
      <c r="I1818" s="4">
        <v>1</v>
      </c>
      <c r="J1818" s="4" t="s">
        <v>5462</v>
      </c>
      <c r="K1818" s="4" t="s">
        <v>384</v>
      </c>
      <c r="L1818" s="6">
        <v>46319</v>
      </c>
      <c r="M1818" s="4" t="s">
        <v>5864</v>
      </c>
      <c r="N1818" s="4" t="s">
        <v>5870</v>
      </c>
    </row>
    <row r="1819" spans="1:14" ht="40" customHeight="1">
      <c r="A1819" s="8" t="s">
        <v>5463</v>
      </c>
      <c r="B1819" s="8" t="s">
        <v>378</v>
      </c>
      <c r="C1819" s="8" t="s">
        <v>379</v>
      </c>
      <c r="D1819" s="8" t="s">
        <v>7</v>
      </c>
      <c r="E1819" s="8" t="s">
        <v>41</v>
      </c>
      <c r="F1819" s="8" t="s">
        <v>6834</v>
      </c>
      <c r="G1819" s="8" t="s">
        <v>1829</v>
      </c>
      <c r="H1819" s="8">
        <v>1</v>
      </c>
      <c r="I1819" s="8">
        <v>1</v>
      </c>
      <c r="J1819" s="8" t="s">
        <v>5464</v>
      </c>
      <c r="K1819" s="8" t="s">
        <v>384</v>
      </c>
      <c r="L1819" s="9">
        <v>46319</v>
      </c>
      <c r="M1819" s="8" t="s">
        <v>5864</v>
      </c>
      <c r="N1819" s="8" t="s">
        <v>5865</v>
      </c>
    </row>
    <row r="1820" spans="1:14" ht="54" customHeight="1">
      <c r="A1820" s="4" t="s">
        <v>4468</v>
      </c>
      <c r="B1820" s="4" t="s">
        <v>378</v>
      </c>
      <c r="C1820" s="4" t="s">
        <v>379</v>
      </c>
      <c r="D1820" s="4" t="s">
        <v>5879</v>
      </c>
      <c r="E1820" s="4" t="s">
        <v>41</v>
      </c>
      <c r="F1820" s="4" t="s">
        <v>4214</v>
      </c>
      <c r="G1820" s="4" t="s">
        <v>1829</v>
      </c>
      <c r="H1820" s="4">
        <v>1</v>
      </c>
      <c r="I1820" s="4">
        <v>1</v>
      </c>
      <c r="J1820" s="4" t="s">
        <v>4469</v>
      </c>
      <c r="K1820" s="4" t="s">
        <v>384</v>
      </c>
      <c r="L1820" s="6">
        <v>46319</v>
      </c>
      <c r="M1820" s="4" t="s">
        <v>5864</v>
      </c>
      <c r="N1820" s="4" t="s">
        <v>5870</v>
      </c>
    </row>
    <row r="1821" spans="1:14" ht="40" customHeight="1">
      <c r="A1821" s="8" t="s">
        <v>4470</v>
      </c>
      <c r="B1821" s="8" t="s">
        <v>378</v>
      </c>
      <c r="C1821" s="8" t="s">
        <v>379</v>
      </c>
      <c r="D1821" s="8" t="s">
        <v>5879</v>
      </c>
      <c r="E1821" s="8" t="s">
        <v>41</v>
      </c>
      <c r="F1821" s="8" t="s">
        <v>4472</v>
      </c>
      <c r="G1821" s="8" t="s">
        <v>1829</v>
      </c>
      <c r="H1821" s="8">
        <v>1</v>
      </c>
      <c r="I1821" s="8">
        <v>1</v>
      </c>
      <c r="J1821" s="8" t="s">
        <v>4471</v>
      </c>
      <c r="K1821" s="8" t="s">
        <v>384</v>
      </c>
      <c r="L1821" s="9">
        <v>46319</v>
      </c>
      <c r="M1821" s="8" t="s">
        <v>5864</v>
      </c>
      <c r="N1821" s="8" t="s">
        <v>5870</v>
      </c>
    </row>
    <row r="1822" spans="1:14" ht="40" customHeight="1">
      <c r="A1822" s="4" t="s">
        <v>4473</v>
      </c>
      <c r="B1822" s="4" t="s">
        <v>378</v>
      </c>
      <c r="C1822" s="4" t="s">
        <v>379</v>
      </c>
      <c r="D1822" s="4" t="s">
        <v>5879</v>
      </c>
      <c r="E1822" s="4" t="s">
        <v>41</v>
      </c>
      <c r="F1822" s="4" t="s">
        <v>3485</v>
      </c>
      <c r="G1822" s="4" t="s">
        <v>1829</v>
      </c>
      <c r="H1822" s="4">
        <v>1</v>
      </c>
      <c r="I1822" s="4">
        <v>1</v>
      </c>
      <c r="J1822" s="4" t="s">
        <v>4474</v>
      </c>
      <c r="K1822" s="4" t="s">
        <v>384</v>
      </c>
      <c r="L1822" s="6">
        <v>46319</v>
      </c>
      <c r="M1822" s="4" t="s">
        <v>5864</v>
      </c>
      <c r="N1822" s="4" t="s">
        <v>5865</v>
      </c>
    </row>
    <row r="1823" spans="1:14" ht="40" customHeight="1">
      <c r="A1823" s="8" t="s">
        <v>4475</v>
      </c>
      <c r="B1823" s="8" t="s">
        <v>378</v>
      </c>
      <c r="C1823" s="8" t="s">
        <v>379</v>
      </c>
      <c r="D1823" s="8" t="s">
        <v>5879</v>
      </c>
      <c r="E1823" s="8" t="s">
        <v>41</v>
      </c>
      <c r="F1823" s="8" t="s">
        <v>4231</v>
      </c>
      <c r="G1823" s="8" t="s">
        <v>1829</v>
      </c>
      <c r="H1823" s="8">
        <v>1</v>
      </c>
      <c r="I1823" s="8">
        <v>1</v>
      </c>
      <c r="J1823" s="8" t="s">
        <v>4476</v>
      </c>
      <c r="K1823" s="8" t="s">
        <v>384</v>
      </c>
      <c r="L1823" s="9">
        <v>46319</v>
      </c>
      <c r="M1823" s="8" t="s">
        <v>5864</v>
      </c>
      <c r="N1823" s="8" t="s">
        <v>5870</v>
      </c>
    </row>
    <row r="1824" spans="1:14" ht="40" customHeight="1">
      <c r="A1824" s="4" t="s">
        <v>4477</v>
      </c>
      <c r="B1824" s="4" t="s">
        <v>378</v>
      </c>
      <c r="C1824" s="4" t="s">
        <v>379</v>
      </c>
      <c r="D1824" s="4" t="s">
        <v>5879</v>
      </c>
      <c r="E1824" s="4" t="s">
        <v>41</v>
      </c>
      <c r="F1824" s="4" t="s">
        <v>4479</v>
      </c>
      <c r="G1824" s="4" t="s">
        <v>1829</v>
      </c>
      <c r="H1824" s="4">
        <v>1</v>
      </c>
      <c r="I1824" s="4">
        <v>1</v>
      </c>
      <c r="J1824" s="4" t="s">
        <v>4478</v>
      </c>
      <c r="K1824" s="4" t="s">
        <v>384</v>
      </c>
      <c r="L1824" s="6">
        <v>46319</v>
      </c>
      <c r="M1824" s="4" t="s">
        <v>5864</v>
      </c>
      <c r="N1824" s="4" t="s">
        <v>5870</v>
      </c>
    </row>
    <row r="1825" spans="1:14" ht="40" customHeight="1">
      <c r="A1825" s="8" t="s">
        <v>4480</v>
      </c>
      <c r="B1825" s="8" t="s">
        <v>378</v>
      </c>
      <c r="C1825" s="8" t="s">
        <v>379</v>
      </c>
      <c r="D1825" s="8" t="s">
        <v>5879</v>
      </c>
      <c r="E1825" s="8" t="s">
        <v>41</v>
      </c>
      <c r="F1825" s="8" t="s">
        <v>4482</v>
      </c>
      <c r="G1825" s="8" t="s">
        <v>1829</v>
      </c>
      <c r="H1825" s="8">
        <v>1</v>
      </c>
      <c r="I1825" s="8">
        <v>1</v>
      </c>
      <c r="J1825" s="8" t="s">
        <v>4481</v>
      </c>
      <c r="K1825" s="8" t="s">
        <v>384</v>
      </c>
      <c r="L1825" s="9">
        <v>46319</v>
      </c>
      <c r="M1825" s="8" t="s">
        <v>5864</v>
      </c>
      <c r="N1825" s="8" t="s">
        <v>5870</v>
      </c>
    </row>
    <row r="1826" spans="1:14" ht="54" customHeight="1">
      <c r="A1826" s="4" t="s">
        <v>8138</v>
      </c>
      <c r="B1826" s="4" t="s">
        <v>378</v>
      </c>
      <c r="C1826" s="4" t="s">
        <v>379</v>
      </c>
      <c r="D1826" s="4" t="s">
        <v>2969</v>
      </c>
      <c r="E1826" s="4" t="s">
        <v>41</v>
      </c>
      <c r="F1826" s="4" t="s">
        <v>5881</v>
      </c>
      <c r="G1826" s="4" t="s">
        <v>1829</v>
      </c>
      <c r="H1826" s="4">
        <v>1</v>
      </c>
      <c r="I1826" s="4">
        <v>1</v>
      </c>
      <c r="J1826" s="4" t="s">
        <v>8139</v>
      </c>
      <c r="K1826" s="4" t="s">
        <v>384</v>
      </c>
      <c r="L1826" s="6">
        <v>46319</v>
      </c>
      <c r="M1826" s="4" t="s">
        <v>5864</v>
      </c>
      <c r="N1826" s="4" t="s">
        <v>5883</v>
      </c>
    </row>
    <row r="1827" spans="1:14" ht="54" customHeight="1">
      <c r="A1827" s="8" t="s">
        <v>8140</v>
      </c>
      <c r="B1827" s="8" t="s">
        <v>378</v>
      </c>
      <c r="C1827" s="8" t="s">
        <v>379</v>
      </c>
      <c r="D1827" s="8" t="s">
        <v>2969</v>
      </c>
      <c r="E1827" s="8" t="s">
        <v>41</v>
      </c>
      <c r="F1827" s="8" t="s">
        <v>5885</v>
      </c>
      <c r="G1827" s="8" t="s">
        <v>1829</v>
      </c>
      <c r="H1827" s="8">
        <v>1</v>
      </c>
      <c r="I1827" s="8">
        <v>1</v>
      </c>
      <c r="J1827" s="8" t="s">
        <v>8141</v>
      </c>
      <c r="K1827" s="8" t="s">
        <v>384</v>
      </c>
      <c r="L1827" s="9">
        <v>46319</v>
      </c>
      <c r="M1827" s="8" t="s">
        <v>5864</v>
      </c>
      <c r="N1827" s="8" t="s">
        <v>5883</v>
      </c>
    </row>
    <row r="1828" spans="1:14" ht="68" customHeight="1">
      <c r="A1828" s="4" t="s">
        <v>8142</v>
      </c>
      <c r="B1828" s="4" t="s">
        <v>378</v>
      </c>
      <c r="C1828" s="4" t="s">
        <v>379</v>
      </c>
      <c r="D1828" s="4" t="s">
        <v>2969</v>
      </c>
      <c r="E1828" s="4" t="s">
        <v>41</v>
      </c>
      <c r="F1828" s="4" t="s">
        <v>5888</v>
      </c>
      <c r="G1828" s="4" t="s">
        <v>1829</v>
      </c>
      <c r="H1828" s="4">
        <v>1</v>
      </c>
      <c r="I1828" s="4">
        <v>1</v>
      </c>
      <c r="J1828" s="4" t="s">
        <v>8143</v>
      </c>
      <c r="K1828" s="4" t="s">
        <v>384</v>
      </c>
      <c r="L1828" s="6">
        <v>46319</v>
      </c>
      <c r="M1828" s="4" t="s">
        <v>5864</v>
      </c>
      <c r="N1828" s="4" t="s">
        <v>5883</v>
      </c>
    </row>
    <row r="1829" spans="1:14" ht="96" customHeight="1">
      <c r="A1829" s="8" t="s">
        <v>8144</v>
      </c>
      <c r="B1829" s="8" t="s">
        <v>378</v>
      </c>
      <c r="C1829" s="8" t="s">
        <v>379</v>
      </c>
      <c r="D1829" s="8" t="s">
        <v>2969</v>
      </c>
      <c r="E1829" s="8" t="s">
        <v>41</v>
      </c>
      <c r="F1829" s="8" t="s">
        <v>5891</v>
      </c>
      <c r="G1829" s="8" t="s">
        <v>1829</v>
      </c>
      <c r="H1829" s="8">
        <v>1</v>
      </c>
      <c r="I1829" s="8">
        <v>1</v>
      </c>
      <c r="J1829" s="8" t="s">
        <v>8145</v>
      </c>
      <c r="K1829" s="8" t="s">
        <v>384</v>
      </c>
      <c r="L1829" s="9">
        <v>46319</v>
      </c>
      <c r="M1829" s="8" t="s">
        <v>5864</v>
      </c>
      <c r="N1829" s="8" t="s">
        <v>5883</v>
      </c>
    </row>
    <row r="1830" spans="1:14" ht="68" customHeight="1">
      <c r="A1830" s="4" t="s">
        <v>8146</v>
      </c>
      <c r="B1830" s="4" t="s">
        <v>378</v>
      </c>
      <c r="C1830" s="4" t="s">
        <v>379</v>
      </c>
      <c r="D1830" s="4" t="s">
        <v>2969</v>
      </c>
      <c r="E1830" s="4" t="s">
        <v>41</v>
      </c>
      <c r="F1830" s="4" t="s">
        <v>5894</v>
      </c>
      <c r="G1830" s="4" t="s">
        <v>1829</v>
      </c>
      <c r="H1830" s="4">
        <v>1</v>
      </c>
      <c r="I1830" s="4">
        <v>1</v>
      </c>
      <c r="J1830" s="4" t="s">
        <v>8147</v>
      </c>
      <c r="K1830" s="4" t="s">
        <v>384</v>
      </c>
      <c r="L1830" s="6">
        <v>46319</v>
      </c>
      <c r="M1830" s="4" t="s">
        <v>5864</v>
      </c>
      <c r="N1830" s="4" t="s">
        <v>5883</v>
      </c>
    </row>
    <row r="1831" spans="1:14" ht="54" customHeight="1">
      <c r="A1831" s="8" t="s">
        <v>8148</v>
      </c>
      <c r="B1831" s="8" t="s">
        <v>378</v>
      </c>
      <c r="C1831" s="8" t="s">
        <v>379</v>
      </c>
      <c r="D1831" s="8" t="s">
        <v>2969</v>
      </c>
      <c r="E1831" s="8" t="s">
        <v>41</v>
      </c>
      <c r="F1831" s="8" t="s">
        <v>5897</v>
      </c>
      <c r="G1831" s="8" t="s">
        <v>1829</v>
      </c>
      <c r="H1831" s="8">
        <v>1</v>
      </c>
      <c r="I1831" s="8">
        <v>1</v>
      </c>
      <c r="J1831" s="8" t="s">
        <v>8149</v>
      </c>
      <c r="K1831" s="8" t="s">
        <v>384</v>
      </c>
      <c r="L1831" s="9">
        <v>46319</v>
      </c>
      <c r="M1831" s="8" t="s">
        <v>5864</v>
      </c>
      <c r="N1831" s="8" t="s">
        <v>5883</v>
      </c>
    </row>
    <row r="1832" spans="1:14" ht="124" customHeight="1">
      <c r="A1832" s="4" t="s">
        <v>8150</v>
      </c>
      <c r="B1832" s="4" t="s">
        <v>378</v>
      </c>
      <c r="C1832" s="4" t="s">
        <v>379</v>
      </c>
      <c r="D1832" s="4" t="s">
        <v>2969</v>
      </c>
      <c r="E1832" s="4" t="s">
        <v>41</v>
      </c>
      <c r="F1832" s="4" t="s">
        <v>5900</v>
      </c>
      <c r="G1832" s="4" t="s">
        <v>1829</v>
      </c>
      <c r="H1832" s="4">
        <v>1</v>
      </c>
      <c r="I1832" s="4">
        <v>1</v>
      </c>
      <c r="J1832" s="4" t="s">
        <v>8151</v>
      </c>
      <c r="K1832" s="4" t="s">
        <v>384</v>
      </c>
      <c r="L1832" s="6">
        <v>46319</v>
      </c>
      <c r="M1832" s="4" t="s">
        <v>5864</v>
      </c>
      <c r="N1832" s="4" t="s">
        <v>5883</v>
      </c>
    </row>
    <row r="1833" spans="1:14" ht="138" customHeight="1">
      <c r="A1833" s="8" t="s">
        <v>8152</v>
      </c>
      <c r="B1833" s="8" t="s">
        <v>378</v>
      </c>
      <c r="C1833" s="8" t="s">
        <v>379</v>
      </c>
      <c r="D1833" s="8" t="s">
        <v>2969</v>
      </c>
      <c r="E1833" s="8" t="s">
        <v>41</v>
      </c>
      <c r="F1833" s="8" t="s">
        <v>5903</v>
      </c>
      <c r="G1833" s="8" t="s">
        <v>1829</v>
      </c>
      <c r="H1833" s="8">
        <v>1</v>
      </c>
      <c r="I1833" s="8">
        <v>1</v>
      </c>
      <c r="J1833" s="8" t="s">
        <v>8153</v>
      </c>
      <c r="K1833" s="8" t="s">
        <v>384</v>
      </c>
      <c r="L1833" s="9">
        <v>46319</v>
      </c>
      <c r="M1833" s="8" t="s">
        <v>5864</v>
      </c>
      <c r="N1833" s="8" t="s">
        <v>5883</v>
      </c>
    </row>
    <row r="1834" spans="1:14" ht="82" customHeight="1">
      <c r="A1834" s="4" t="s">
        <v>8154</v>
      </c>
      <c r="B1834" s="4" t="s">
        <v>387</v>
      </c>
      <c r="C1834" s="4" t="s">
        <v>388</v>
      </c>
      <c r="D1834" s="4" t="s">
        <v>5861</v>
      </c>
      <c r="E1834" s="4" t="s">
        <v>41</v>
      </c>
      <c r="F1834" s="4" t="s">
        <v>5862</v>
      </c>
      <c r="G1834" s="4" t="s">
        <v>1857</v>
      </c>
      <c r="H1834" s="4">
        <v>1</v>
      </c>
      <c r="I1834" s="4">
        <v>1</v>
      </c>
      <c r="J1834" s="4" t="s">
        <v>8155</v>
      </c>
      <c r="K1834" s="4" t="s">
        <v>391</v>
      </c>
      <c r="L1834" s="6">
        <v>46319</v>
      </c>
      <c r="M1834" s="4" t="s">
        <v>5864</v>
      </c>
      <c r="N1834" s="4" t="s">
        <v>5865</v>
      </c>
    </row>
    <row r="1835" spans="1:14" ht="40" customHeight="1">
      <c r="A1835" s="8" t="s">
        <v>8156</v>
      </c>
      <c r="B1835" s="8" t="s">
        <v>387</v>
      </c>
      <c r="C1835" s="8" t="s">
        <v>388</v>
      </c>
      <c r="D1835" s="8" t="s">
        <v>5867</v>
      </c>
      <c r="E1835" s="8" t="s">
        <v>41</v>
      </c>
      <c r="F1835" s="8" t="s">
        <v>5868</v>
      </c>
      <c r="G1835" s="8" t="s">
        <v>1857</v>
      </c>
      <c r="H1835" s="8">
        <v>1</v>
      </c>
      <c r="I1835" s="8">
        <v>1</v>
      </c>
      <c r="J1835" s="8" t="s">
        <v>8157</v>
      </c>
      <c r="K1835" s="8" t="s">
        <v>391</v>
      </c>
      <c r="L1835" s="9">
        <v>46319</v>
      </c>
      <c r="M1835" s="8" t="s">
        <v>5864</v>
      </c>
      <c r="N1835" s="8" t="s">
        <v>5870</v>
      </c>
    </row>
    <row r="1836" spans="1:14" ht="40" customHeight="1">
      <c r="A1836" s="4" t="s">
        <v>8158</v>
      </c>
      <c r="B1836" s="4" t="s">
        <v>387</v>
      </c>
      <c r="C1836" s="4" t="s">
        <v>388</v>
      </c>
      <c r="D1836" s="4" t="s">
        <v>5867</v>
      </c>
      <c r="E1836" s="4" t="s">
        <v>41</v>
      </c>
      <c r="F1836" s="4" t="s">
        <v>5872</v>
      </c>
      <c r="G1836" s="4" t="s">
        <v>1857</v>
      </c>
      <c r="H1836" s="4">
        <v>1</v>
      </c>
      <c r="I1836" s="4">
        <v>1</v>
      </c>
      <c r="J1836" s="4" t="s">
        <v>8159</v>
      </c>
      <c r="K1836" s="4" t="s">
        <v>391</v>
      </c>
      <c r="L1836" s="6">
        <v>46319</v>
      </c>
      <c r="M1836" s="4" t="s">
        <v>5864</v>
      </c>
      <c r="N1836" s="4" t="s">
        <v>5870</v>
      </c>
    </row>
    <row r="1837" spans="1:14" ht="40" customHeight="1">
      <c r="A1837" s="8" t="s">
        <v>8160</v>
      </c>
      <c r="B1837" s="8" t="s">
        <v>387</v>
      </c>
      <c r="C1837" s="8" t="s">
        <v>388</v>
      </c>
      <c r="D1837" s="8" t="s">
        <v>637</v>
      </c>
      <c r="E1837" s="8" t="s">
        <v>41</v>
      </c>
      <c r="F1837" s="8" t="s">
        <v>920</v>
      </c>
      <c r="G1837" s="8" t="s">
        <v>1857</v>
      </c>
      <c r="H1837" s="8">
        <v>1</v>
      </c>
      <c r="I1837" s="8">
        <v>1</v>
      </c>
      <c r="J1837" s="8" t="s">
        <v>1855</v>
      </c>
      <c r="K1837" s="8" t="s">
        <v>391</v>
      </c>
      <c r="L1837" s="9">
        <v>46319</v>
      </c>
      <c r="M1837" s="8" t="s">
        <v>5864</v>
      </c>
      <c r="N1837" s="8" t="s">
        <v>5865</v>
      </c>
    </row>
    <row r="1838" spans="1:14" ht="40" customHeight="1">
      <c r="A1838" s="4" t="s">
        <v>8161</v>
      </c>
      <c r="B1838" s="4" t="s">
        <v>387</v>
      </c>
      <c r="C1838" s="4" t="s">
        <v>388</v>
      </c>
      <c r="D1838" s="4" t="s">
        <v>637</v>
      </c>
      <c r="E1838" s="4" t="s">
        <v>41</v>
      </c>
      <c r="F1838" s="4" t="s">
        <v>1055</v>
      </c>
      <c r="G1838" s="4" t="s">
        <v>1857</v>
      </c>
      <c r="H1838" s="4">
        <v>1</v>
      </c>
      <c r="I1838" s="4">
        <v>1</v>
      </c>
      <c r="J1838" s="4" t="s">
        <v>1859</v>
      </c>
      <c r="K1838" s="4" t="s">
        <v>391</v>
      </c>
      <c r="L1838" s="6">
        <v>46319</v>
      </c>
      <c r="M1838" s="4" t="s">
        <v>5864</v>
      </c>
      <c r="N1838" s="4" t="s">
        <v>5870</v>
      </c>
    </row>
    <row r="1839" spans="1:14" ht="40" customHeight="1">
      <c r="A1839" s="8" t="s">
        <v>8162</v>
      </c>
      <c r="B1839" s="8" t="s">
        <v>387</v>
      </c>
      <c r="C1839" s="8" t="s">
        <v>388</v>
      </c>
      <c r="D1839" s="8" t="s">
        <v>637</v>
      </c>
      <c r="E1839" s="8" t="s">
        <v>41</v>
      </c>
      <c r="F1839" s="8" t="s">
        <v>1059</v>
      </c>
      <c r="G1839" s="8" t="s">
        <v>1857</v>
      </c>
      <c r="H1839" s="8">
        <v>1</v>
      </c>
      <c r="I1839" s="8">
        <v>1</v>
      </c>
      <c r="J1839" s="8" t="s">
        <v>1862</v>
      </c>
      <c r="K1839" s="8" t="s">
        <v>391</v>
      </c>
      <c r="L1839" s="9">
        <v>46319</v>
      </c>
      <c r="M1839" s="8" t="s">
        <v>5864</v>
      </c>
      <c r="N1839" s="8" t="s">
        <v>5870</v>
      </c>
    </row>
    <row r="1840" spans="1:14" ht="40" customHeight="1">
      <c r="A1840" s="4" t="s">
        <v>8163</v>
      </c>
      <c r="B1840" s="4" t="s">
        <v>387</v>
      </c>
      <c r="C1840" s="4" t="s">
        <v>388</v>
      </c>
      <c r="D1840" s="4" t="s">
        <v>637</v>
      </c>
      <c r="E1840" s="4" t="s">
        <v>41</v>
      </c>
      <c r="F1840" s="4" t="s">
        <v>1323</v>
      </c>
      <c r="G1840" s="4" t="s">
        <v>1857</v>
      </c>
      <c r="H1840" s="4">
        <v>1</v>
      </c>
      <c r="I1840" s="4">
        <v>1</v>
      </c>
      <c r="J1840" s="4" t="s">
        <v>1865</v>
      </c>
      <c r="K1840" s="4" t="s">
        <v>391</v>
      </c>
      <c r="L1840" s="6">
        <v>46319</v>
      </c>
      <c r="M1840" s="4" t="s">
        <v>5864</v>
      </c>
      <c r="N1840" s="4" t="s">
        <v>5870</v>
      </c>
    </row>
    <row r="1841" spans="1:14" ht="40" customHeight="1">
      <c r="A1841" s="8" t="s">
        <v>8164</v>
      </c>
      <c r="B1841" s="8" t="s">
        <v>387</v>
      </c>
      <c r="C1841" s="8" t="s">
        <v>388</v>
      </c>
      <c r="D1841" s="8" t="s">
        <v>637</v>
      </c>
      <c r="E1841" s="8" t="s">
        <v>41</v>
      </c>
      <c r="F1841" s="8" t="s">
        <v>1870</v>
      </c>
      <c r="G1841" s="8" t="s">
        <v>1857</v>
      </c>
      <c r="H1841" s="8">
        <v>1</v>
      </c>
      <c r="I1841" s="8">
        <v>1</v>
      </c>
      <c r="J1841" s="8" t="s">
        <v>1868</v>
      </c>
      <c r="K1841" s="8" t="s">
        <v>391</v>
      </c>
      <c r="L1841" s="9">
        <v>46319</v>
      </c>
      <c r="M1841" s="8" t="s">
        <v>5864</v>
      </c>
      <c r="N1841" s="8" t="s">
        <v>5870</v>
      </c>
    </row>
    <row r="1842" spans="1:14" ht="40" customHeight="1">
      <c r="A1842" s="4" t="s">
        <v>8165</v>
      </c>
      <c r="B1842" s="4" t="s">
        <v>387</v>
      </c>
      <c r="C1842" s="4" t="s">
        <v>388</v>
      </c>
      <c r="D1842" s="4" t="s">
        <v>637</v>
      </c>
      <c r="E1842" s="4" t="s">
        <v>41</v>
      </c>
      <c r="F1842" s="4" t="s">
        <v>1874</v>
      </c>
      <c r="G1842" s="4" t="s">
        <v>1857</v>
      </c>
      <c r="H1842" s="4">
        <v>1</v>
      </c>
      <c r="I1842" s="4">
        <v>1</v>
      </c>
      <c r="J1842" s="4" t="s">
        <v>1872</v>
      </c>
      <c r="K1842" s="4" t="s">
        <v>391</v>
      </c>
      <c r="L1842" s="6">
        <v>46319</v>
      </c>
      <c r="M1842" s="4" t="s">
        <v>5864</v>
      </c>
      <c r="N1842" s="4" t="s">
        <v>5870</v>
      </c>
    </row>
    <row r="1843" spans="1:14" ht="40" customHeight="1">
      <c r="A1843" s="8" t="s">
        <v>8166</v>
      </c>
      <c r="B1843" s="8" t="s">
        <v>387</v>
      </c>
      <c r="C1843" s="8" t="s">
        <v>388</v>
      </c>
      <c r="D1843" s="8" t="s">
        <v>637</v>
      </c>
      <c r="E1843" s="8" t="s">
        <v>41</v>
      </c>
      <c r="F1843" s="8" t="s">
        <v>1878</v>
      </c>
      <c r="G1843" s="8" t="s">
        <v>1857</v>
      </c>
      <c r="H1843" s="8">
        <v>1</v>
      </c>
      <c r="I1843" s="8">
        <v>1</v>
      </c>
      <c r="J1843" s="8" t="s">
        <v>1876</v>
      </c>
      <c r="K1843" s="8" t="s">
        <v>391</v>
      </c>
      <c r="L1843" s="9">
        <v>46319</v>
      </c>
      <c r="M1843" s="8" t="s">
        <v>5864</v>
      </c>
      <c r="N1843" s="8" t="s">
        <v>5870</v>
      </c>
    </row>
    <row r="1844" spans="1:14" ht="40" customHeight="1">
      <c r="A1844" s="4" t="s">
        <v>5465</v>
      </c>
      <c r="B1844" s="4" t="s">
        <v>387</v>
      </c>
      <c r="C1844" s="4" t="s">
        <v>388</v>
      </c>
      <c r="D1844" s="4" t="s">
        <v>7</v>
      </c>
      <c r="E1844" s="4" t="s">
        <v>41</v>
      </c>
      <c r="F1844" s="4" t="s">
        <v>6212</v>
      </c>
      <c r="G1844" s="4" t="s">
        <v>1857</v>
      </c>
      <c r="H1844" s="4">
        <v>1</v>
      </c>
      <c r="I1844" s="4">
        <v>1</v>
      </c>
      <c r="J1844" s="4" t="s">
        <v>5466</v>
      </c>
      <c r="K1844" s="4" t="s">
        <v>391</v>
      </c>
      <c r="L1844" s="6">
        <v>46319</v>
      </c>
      <c r="M1844" s="4" t="s">
        <v>5864</v>
      </c>
      <c r="N1844" s="4" t="s">
        <v>5870</v>
      </c>
    </row>
    <row r="1845" spans="1:14" ht="40" customHeight="1">
      <c r="A1845" s="8" t="s">
        <v>5467</v>
      </c>
      <c r="B1845" s="8" t="s">
        <v>387</v>
      </c>
      <c r="C1845" s="8" t="s">
        <v>388</v>
      </c>
      <c r="D1845" s="8" t="s">
        <v>7</v>
      </c>
      <c r="E1845" s="8" t="s">
        <v>41</v>
      </c>
      <c r="F1845" s="8" t="s">
        <v>6213</v>
      </c>
      <c r="G1845" s="8" t="s">
        <v>1857</v>
      </c>
      <c r="H1845" s="8">
        <v>1</v>
      </c>
      <c r="I1845" s="8">
        <v>1</v>
      </c>
      <c r="J1845" s="8" t="s">
        <v>5468</v>
      </c>
      <c r="K1845" s="8" t="s">
        <v>391</v>
      </c>
      <c r="L1845" s="9">
        <v>46319</v>
      </c>
      <c r="M1845" s="8" t="s">
        <v>5864</v>
      </c>
      <c r="N1845" s="8" t="s">
        <v>5870</v>
      </c>
    </row>
    <row r="1846" spans="1:14" ht="54" customHeight="1">
      <c r="A1846" s="4" t="s">
        <v>5469</v>
      </c>
      <c r="B1846" s="4" t="s">
        <v>387</v>
      </c>
      <c r="C1846" s="4" t="s">
        <v>388</v>
      </c>
      <c r="D1846" s="4" t="s">
        <v>7</v>
      </c>
      <c r="E1846" s="4" t="s">
        <v>41</v>
      </c>
      <c r="F1846" s="4" t="s">
        <v>6214</v>
      </c>
      <c r="G1846" s="4" t="s">
        <v>1857</v>
      </c>
      <c r="H1846" s="4">
        <v>1</v>
      </c>
      <c r="I1846" s="4">
        <v>1</v>
      </c>
      <c r="J1846" s="4" t="s">
        <v>4967</v>
      </c>
      <c r="K1846" s="4" t="s">
        <v>391</v>
      </c>
      <c r="L1846" s="6">
        <v>46319</v>
      </c>
      <c r="M1846" s="4" t="s">
        <v>5864</v>
      </c>
      <c r="N1846" s="4" t="s">
        <v>5870</v>
      </c>
    </row>
    <row r="1847" spans="1:14" ht="40" customHeight="1">
      <c r="A1847" s="8" t="s">
        <v>5470</v>
      </c>
      <c r="B1847" s="8" t="s">
        <v>387</v>
      </c>
      <c r="C1847" s="8" t="s">
        <v>388</v>
      </c>
      <c r="D1847" s="8" t="s">
        <v>7</v>
      </c>
      <c r="E1847" s="8" t="s">
        <v>41</v>
      </c>
      <c r="F1847" s="8" t="s">
        <v>6215</v>
      </c>
      <c r="G1847" s="8" t="s">
        <v>1857</v>
      </c>
      <c r="H1847" s="8">
        <v>1</v>
      </c>
      <c r="I1847" s="8">
        <v>1</v>
      </c>
      <c r="J1847" s="8" t="s">
        <v>5471</v>
      </c>
      <c r="K1847" s="8" t="s">
        <v>391</v>
      </c>
      <c r="L1847" s="9">
        <v>46319</v>
      </c>
      <c r="M1847" s="8" t="s">
        <v>5864</v>
      </c>
      <c r="N1847" s="8" t="s">
        <v>5870</v>
      </c>
    </row>
    <row r="1848" spans="1:14" ht="40" customHeight="1">
      <c r="A1848" s="4" t="s">
        <v>5472</v>
      </c>
      <c r="B1848" s="4" t="s">
        <v>387</v>
      </c>
      <c r="C1848" s="4" t="s">
        <v>388</v>
      </c>
      <c r="D1848" s="4" t="s">
        <v>7</v>
      </c>
      <c r="E1848" s="4" t="s">
        <v>41</v>
      </c>
      <c r="F1848" s="4" t="s">
        <v>6216</v>
      </c>
      <c r="G1848" s="4" t="s">
        <v>1857</v>
      </c>
      <c r="H1848" s="4">
        <v>1</v>
      </c>
      <c r="I1848" s="4">
        <v>1</v>
      </c>
      <c r="J1848" s="4" t="s">
        <v>5473</v>
      </c>
      <c r="K1848" s="4" t="s">
        <v>391</v>
      </c>
      <c r="L1848" s="6">
        <v>46319</v>
      </c>
      <c r="M1848" s="4" t="s">
        <v>5864</v>
      </c>
      <c r="N1848" s="4" t="s">
        <v>5870</v>
      </c>
    </row>
    <row r="1849" spans="1:14" ht="40" customHeight="1">
      <c r="A1849" s="8" t="s">
        <v>4483</v>
      </c>
      <c r="B1849" s="8" t="s">
        <v>387</v>
      </c>
      <c r="C1849" s="8" t="s">
        <v>388</v>
      </c>
      <c r="D1849" s="8" t="s">
        <v>5879</v>
      </c>
      <c r="E1849" s="8" t="s">
        <v>41</v>
      </c>
      <c r="F1849" s="8" t="s">
        <v>3463</v>
      </c>
      <c r="G1849" s="8" t="s">
        <v>1857</v>
      </c>
      <c r="H1849" s="8">
        <v>1</v>
      </c>
      <c r="I1849" s="8">
        <v>1</v>
      </c>
      <c r="J1849" s="8" t="s">
        <v>3650</v>
      </c>
      <c r="K1849" s="8" t="s">
        <v>391</v>
      </c>
      <c r="L1849" s="9">
        <v>46319</v>
      </c>
      <c r="M1849" s="8" t="s">
        <v>5864</v>
      </c>
      <c r="N1849" s="8" t="s">
        <v>5870</v>
      </c>
    </row>
    <row r="1850" spans="1:14" ht="40" customHeight="1">
      <c r="A1850" s="4" t="s">
        <v>4484</v>
      </c>
      <c r="B1850" s="4" t="s">
        <v>387</v>
      </c>
      <c r="C1850" s="4" t="s">
        <v>388</v>
      </c>
      <c r="D1850" s="4" t="s">
        <v>5879</v>
      </c>
      <c r="E1850" s="4" t="s">
        <v>41</v>
      </c>
      <c r="F1850" s="4" t="s">
        <v>3485</v>
      </c>
      <c r="G1850" s="4" t="s">
        <v>1857</v>
      </c>
      <c r="H1850" s="4">
        <v>1</v>
      </c>
      <c r="I1850" s="4">
        <v>1</v>
      </c>
      <c r="J1850" s="4" t="s">
        <v>3652</v>
      </c>
      <c r="K1850" s="4" t="s">
        <v>391</v>
      </c>
      <c r="L1850" s="6">
        <v>46319</v>
      </c>
      <c r="M1850" s="4" t="s">
        <v>5864</v>
      </c>
      <c r="N1850" s="4" t="s">
        <v>5870</v>
      </c>
    </row>
    <row r="1851" spans="1:14" ht="40" customHeight="1">
      <c r="A1851" s="8" t="s">
        <v>4485</v>
      </c>
      <c r="B1851" s="8" t="s">
        <v>387</v>
      </c>
      <c r="C1851" s="8" t="s">
        <v>388</v>
      </c>
      <c r="D1851" s="8" t="s">
        <v>5879</v>
      </c>
      <c r="E1851" s="8" t="s">
        <v>41</v>
      </c>
      <c r="F1851" s="8" t="s">
        <v>3655</v>
      </c>
      <c r="G1851" s="8" t="s">
        <v>1857</v>
      </c>
      <c r="H1851" s="8">
        <v>1</v>
      </c>
      <c r="I1851" s="8">
        <v>1</v>
      </c>
      <c r="J1851" s="8" t="s">
        <v>3654</v>
      </c>
      <c r="K1851" s="8" t="s">
        <v>391</v>
      </c>
      <c r="L1851" s="9">
        <v>46319</v>
      </c>
      <c r="M1851" s="8" t="s">
        <v>5864</v>
      </c>
      <c r="N1851" s="8" t="s">
        <v>5870</v>
      </c>
    </row>
    <row r="1852" spans="1:14" ht="40" customHeight="1">
      <c r="A1852" s="4" t="s">
        <v>4486</v>
      </c>
      <c r="B1852" s="4" t="s">
        <v>387</v>
      </c>
      <c r="C1852" s="4" t="s">
        <v>388</v>
      </c>
      <c r="D1852" s="4" t="s">
        <v>5879</v>
      </c>
      <c r="E1852" s="4" t="s">
        <v>41</v>
      </c>
      <c r="F1852" s="4" t="s">
        <v>3494</v>
      </c>
      <c r="G1852" s="4" t="s">
        <v>1857</v>
      </c>
      <c r="H1852" s="4">
        <v>1</v>
      </c>
      <c r="I1852" s="4">
        <v>1</v>
      </c>
      <c r="J1852" s="4" t="s">
        <v>3657</v>
      </c>
      <c r="K1852" s="4" t="s">
        <v>391</v>
      </c>
      <c r="L1852" s="6">
        <v>46319</v>
      </c>
      <c r="M1852" s="4" t="s">
        <v>5864</v>
      </c>
      <c r="N1852" s="4" t="s">
        <v>5870</v>
      </c>
    </row>
    <row r="1853" spans="1:14" ht="40" customHeight="1">
      <c r="A1853" s="8" t="s">
        <v>4487</v>
      </c>
      <c r="B1853" s="8" t="s">
        <v>387</v>
      </c>
      <c r="C1853" s="8" t="s">
        <v>388</v>
      </c>
      <c r="D1853" s="8" t="s">
        <v>5879</v>
      </c>
      <c r="E1853" s="8" t="s">
        <v>41</v>
      </c>
      <c r="F1853" s="8" t="s">
        <v>3497</v>
      </c>
      <c r="G1853" s="8" t="s">
        <v>1857</v>
      </c>
      <c r="H1853" s="8">
        <v>1</v>
      </c>
      <c r="I1853" s="8">
        <v>1</v>
      </c>
      <c r="J1853" s="8" t="s">
        <v>3659</v>
      </c>
      <c r="K1853" s="8" t="s">
        <v>391</v>
      </c>
      <c r="L1853" s="9">
        <v>46319</v>
      </c>
      <c r="M1853" s="8" t="s">
        <v>5864</v>
      </c>
      <c r="N1853" s="8" t="s">
        <v>5870</v>
      </c>
    </row>
    <row r="1854" spans="1:14" ht="40" customHeight="1">
      <c r="A1854" s="4" t="s">
        <v>4488</v>
      </c>
      <c r="B1854" s="4" t="s">
        <v>387</v>
      </c>
      <c r="C1854" s="4" t="s">
        <v>388</v>
      </c>
      <c r="D1854" s="4" t="s">
        <v>5879</v>
      </c>
      <c r="E1854" s="4" t="s">
        <v>41</v>
      </c>
      <c r="F1854" s="4" t="s">
        <v>3588</v>
      </c>
      <c r="G1854" s="4" t="s">
        <v>1857</v>
      </c>
      <c r="H1854" s="4">
        <v>1</v>
      </c>
      <c r="I1854" s="4">
        <v>1</v>
      </c>
      <c r="J1854" s="4" t="s">
        <v>3661</v>
      </c>
      <c r="K1854" s="4" t="s">
        <v>391</v>
      </c>
      <c r="L1854" s="6">
        <v>46319</v>
      </c>
      <c r="M1854" s="4" t="s">
        <v>5864</v>
      </c>
      <c r="N1854" s="4" t="s">
        <v>5870</v>
      </c>
    </row>
    <row r="1855" spans="1:14" ht="40" customHeight="1">
      <c r="A1855" s="8" t="s">
        <v>4489</v>
      </c>
      <c r="B1855" s="8" t="s">
        <v>387</v>
      </c>
      <c r="C1855" s="8" t="s">
        <v>388</v>
      </c>
      <c r="D1855" s="8" t="s">
        <v>5879</v>
      </c>
      <c r="E1855" s="8" t="s">
        <v>41</v>
      </c>
      <c r="F1855" s="8" t="s">
        <v>3664</v>
      </c>
      <c r="G1855" s="8" t="s">
        <v>1857</v>
      </c>
      <c r="H1855" s="8">
        <v>1</v>
      </c>
      <c r="I1855" s="8">
        <v>1</v>
      </c>
      <c r="J1855" s="8" t="s">
        <v>3663</v>
      </c>
      <c r="K1855" s="8" t="s">
        <v>391</v>
      </c>
      <c r="L1855" s="9">
        <v>46319</v>
      </c>
      <c r="M1855" s="8" t="s">
        <v>5864</v>
      </c>
      <c r="N1855" s="8" t="s">
        <v>5870</v>
      </c>
    </row>
    <row r="1856" spans="1:14" ht="40" customHeight="1">
      <c r="A1856" s="4" t="s">
        <v>4490</v>
      </c>
      <c r="B1856" s="4" t="s">
        <v>387</v>
      </c>
      <c r="C1856" s="4" t="s">
        <v>388</v>
      </c>
      <c r="D1856" s="4" t="s">
        <v>5879</v>
      </c>
      <c r="E1856" s="4" t="s">
        <v>41</v>
      </c>
      <c r="F1856" s="4" t="s">
        <v>3667</v>
      </c>
      <c r="G1856" s="4" t="s">
        <v>1857</v>
      </c>
      <c r="H1856" s="4">
        <v>1</v>
      </c>
      <c r="I1856" s="4">
        <v>1</v>
      </c>
      <c r="J1856" s="4" t="s">
        <v>3666</v>
      </c>
      <c r="K1856" s="4" t="s">
        <v>391</v>
      </c>
      <c r="L1856" s="6">
        <v>46319</v>
      </c>
      <c r="M1856" s="4" t="s">
        <v>5864</v>
      </c>
      <c r="N1856" s="4" t="s">
        <v>5870</v>
      </c>
    </row>
    <row r="1857" spans="1:14" ht="54" customHeight="1">
      <c r="A1857" s="8" t="s">
        <v>4491</v>
      </c>
      <c r="B1857" s="8" t="s">
        <v>387</v>
      </c>
      <c r="C1857" s="8" t="s">
        <v>388</v>
      </c>
      <c r="D1857" s="8" t="s">
        <v>5879</v>
      </c>
      <c r="E1857" s="8" t="s">
        <v>41</v>
      </c>
      <c r="F1857" s="8" t="s">
        <v>3670</v>
      </c>
      <c r="G1857" s="8" t="s">
        <v>1857</v>
      </c>
      <c r="H1857" s="8">
        <v>1</v>
      </c>
      <c r="I1857" s="8">
        <v>1</v>
      </c>
      <c r="J1857" s="8" t="s">
        <v>3669</v>
      </c>
      <c r="K1857" s="8" t="s">
        <v>391</v>
      </c>
      <c r="L1857" s="9">
        <v>46319</v>
      </c>
      <c r="M1857" s="8" t="s">
        <v>5864</v>
      </c>
      <c r="N1857" s="8" t="s">
        <v>5870</v>
      </c>
    </row>
    <row r="1858" spans="1:14" ht="54" customHeight="1">
      <c r="A1858" s="4" t="s">
        <v>4492</v>
      </c>
      <c r="B1858" s="4" t="s">
        <v>387</v>
      </c>
      <c r="C1858" s="4" t="s">
        <v>388</v>
      </c>
      <c r="D1858" s="4" t="s">
        <v>5879</v>
      </c>
      <c r="E1858" s="4" t="s">
        <v>41</v>
      </c>
      <c r="F1858" s="4" t="s">
        <v>3673</v>
      </c>
      <c r="G1858" s="4" t="s">
        <v>1857</v>
      </c>
      <c r="H1858" s="4">
        <v>1</v>
      </c>
      <c r="I1858" s="4">
        <v>1</v>
      </c>
      <c r="J1858" s="4" t="s">
        <v>3672</v>
      </c>
      <c r="K1858" s="4" t="s">
        <v>391</v>
      </c>
      <c r="L1858" s="6">
        <v>46319</v>
      </c>
      <c r="M1858" s="4" t="s">
        <v>5864</v>
      </c>
      <c r="N1858" s="4" t="s">
        <v>5870</v>
      </c>
    </row>
    <row r="1859" spans="1:14" ht="54" customHeight="1">
      <c r="A1859" s="8" t="s">
        <v>4493</v>
      </c>
      <c r="B1859" s="8" t="s">
        <v>387</v>
      </c>
      <c r="C1859" s="8" t="s">
        <v>388</v>
      </c>
      <c r="D1859" s="8" t="s">
        <v>5879</v>
      </c>
      <c r="E1859" s="8" t="s">
        <v>41</v>
      </c>
      <c r="F1859" s="8" t="s">
        <v>3676</v>
      </c>
      <c r="G1859" s="8" t="s">
        <v>1857</v>
      </c>
      <c r="H1859" s="8">
        <v>1</v>
      </c>
      <c r="I1859" s="8">
        <v>1</v>
      </c>
      <c r="J1859" s="8" t="s">
        <v>3675</v>
      </c>
      <c r="K1859" s="8" t="s">
        <v>391</v>
      </c>
      <c r="L1859" s="9">
        <v>46319</v>
      </c>
      <c r="M1859" s="8" t="s">
        <v>5864</v>
      </c>
      <c r="N1859" s="8" t="s">
        <v>5870</v>
      </c>
    </row>
    <row r="1860" spans="1:14" ht="40" customHeight="1">
      <c r="A1860" s="4" t="s">
        <v>4494</v>
      </c>
      <c r="B1860" s="4" t="s">
        <v>387</v>
      </c>
      <c r="C1860" s="4" t="s">
        <v>388</v>
      </c>
      <c r="D1860" s="4" t="s">
        <v>5879</v>
      </c>
      <c r="E1860" s="4" t="s">
        <v>41</v>
      </c>
      <c r="F1860" s="4" t="s">
        <v>3679</v>
      </c>
      <c r="G1860" s="4" t="s">
        <v>1857</v>
      </c>
      <c r="H1860" s="4">
        <v>1</v>
      </c>
      <c r="I1860" s="4">
        <v>1</v>
      </c>
      <c r="J1860" s="4" t="s">
        <v>3678</v>
      </c>
      <c r="K1860" s="4" t="s">
        <v>391</v>
      </c>
      <c r="L1860" s="6">
        <v>46319</v>
      </c>
      <c r="M1860" s="4" t="s">
        <v>5864</v>
      </c>
      <c r="N1860" s="4" t="s">
        <v>5870</v>
      </c>
    </row>
    <row r="1861" spans="1:14" ht="54" customHeight="1">
      <c r="A1861" s="8" t="s">
        <v>4495</v>
      </c>
      <c r="B1861" s="8" t="s">
        <v>387</v>
      </c>
      <c r="C1861" s="8" t="s">
        <v>388</v>
      </c>
      <c r="D1861" s="8" t="s">
        <v>5879</v>
      </c>
      <c r="E1861" s="8" t="s">
        <v>41</v>
      </c>
      <c r="F1861" s="8" t="s">
        <v>3682</v>
      </c>
      <c r="G1861" s="8" t="s">
        <v>1857</v>
      </c>
      <c r="H1861" s="8">
        <v>1</v>
      </c>
      <c r="I1861" s="8">
        <v>1</v>
      </c>
      <c r="J1861" s="8" t="s">
        <v>3681</v>
      </c>
      <c r="K1861" s="8" t="s">
        <v>391</v>
      </c>
      <c r="L1861" s="9">
        <v>46319</v>
      </c>
      <c r="M1861" s="8" t="s">
        <v>5864</v>
      </c>
      <c r="N1861" s="8" t="s">
        <v>5870</v>
      </c>
    </row>
    <row r="1862" spans="1:14" ht="40" customHeight="1">
      <c r="A1862" s="4" t="s">
        <v>4496</v>
      </c>
      <c r="B1862" s="4" t="s">
        <v>387</v>
      </c>
      <c r="C1862" s="4" t="s">
        <v>388</v>
      </c>
      <c r="D1862" s="4" t="s">
        <v>5879</v>
      </c>
      <c r="E1862" s="4" t="s">
        <v>41</v>
      </c>
      <c r="F1862" s="4" t="s">
        <v>3685</v>
      </c>
      <c r="G1862" s="4" t="s">
        <v>1857</v>
      </c>
      <c r="H1862" s="4">
        <v>1</v>
      </c>
      <c r="I1862" s="4">
        <v>1</v>
      </c>
      <c r="J1862" s="4" t="s">
        <v>3684</v>
      </c>
      <c r="K1862" s="4" t="s">
        <v>391</v>
      </c>
      <c r="L1862" s="6">
        <v>46319</v>
      </c>
      <c r="M1862" s="4" t="s">
        <v>5864</v>
      </c>
      <c r="N1862" s="4" t="s">
        <v>5870</v>
      </c>
    </row>
    <row r="1863" spans="1:14" ht="40" customHeight="1">
      <c r="A1863" s="8" t="s">
        <v>4497</v>
      </c>
      <c r="B1863" s="8" t="s">
        <v>387</v>
      </c>
      <c r="C1863" s="8" t="s">
        <v>388</v>
      </c>
      <c r="D1863" s="8" t="s">
        <v>5879</v>
      </c>
      <c r="E1863" s="8" t="s">
        <v>41</v>
      </c>
      <c r="F1863" s="8" t="s">
        <v>3688</v>
      </c>
      <c r="G1863" s="8" t="s">
        <v>1857</v>
      </c>
      <c r="H1863" s="8">
        <v>1</v>
      </c>
      <c r="I1863" s="8">
        <v>1</v>
      </c>
      <c r="J1863" s="8" t="s">
        <v>3687</v>
      </c>
      <c r="K1863" s="8" t="s">
        <v>391</v>
      </c>
      <c r="L1863" s="9">
        <v>46319</v>
      </c>
      <c r="M1863" s="8" t="s">
        <v>5864</v>
      </c>
      <c r="N1863" s="8" t="s">
        <v>5870</v>
      </c>
    </row>
    <row r="1864" spans="1:14" ht="54" customHeight="1">
      <c r="A1864" s="4" t="s">
        <v>8167</v>
      </c>
      <c r="B1864" s="4" t="s">
        <v>387</v>
      </c>
      <c r="C1864" s="4" t="s">
        <v>388</v>
      </c>
      <c r="D1864" s="4" t="s">
        <v>2969</v>
      </c>
      <c r="E1864" s="4" t="s">
        <v>41</v>
      </c>
      <c r="F1864" s="4" t="s">
        <v>5881</v>
      </c>
      <c r="G1864" s="4" t="s">
        <v>1857</v>
      </c>
      <c r="H1864" s="4">
        <v>1</v>
      </c>
      <c r="I1864" s="4">
        <v>1</v>
      </c>
      <c r="J1864" s="4" t="s">
        <v>8168</v>
      </c>
      <c r="K1864" s="4" t="s">
        <v>391</v>
      </c>
      <c r="L1864" s="6">
        <v>46319</v>
      </c>
      <c r="M1864" s="4" t="s">
        <v>5864</v>
      </c>
      <c r="N1864" s="4" t="s">
        <v>5883</v>
      </c>
    </row>
    <row r="1865" spans="1:14" ht="68" customHeight="1">
      <c r="A1865" s="8" t="s">
        <v>8169</v>
      </c>
      <c r="B1865" s="8" t="s">
        <v>387</v>
      </c>
      <c r="C1865" s="8" t="s">
        <v>388</v>
      </c>
      <c r="D1865" s="8" t="s">
        <v>2969</v>
      </c>
      <c r="E1865" s="8" t="s">
        <v>41</v>
      </c>
      <c r="F1865" s="8" t="s">
        <v>5885</v>
      </c>
      <c r="G1865" s="8" t="s">
        <v>1857</v>
      </c>
      <c r="H1865" s="8">
        <v>1</v>
      </c>
      <c r="I1865" s="8">
        <v>1</v>
      </c>
      <c r="J1865" s="8" t="s">
        <v>8170</v>
      </c>
      <c r="K1865" s="8" t="s">
        <v>391</v>
      </c>
      <c r="L1865" s="9">
        <v>46319</v>
      </c>
      <c r="M1865" s="8" t="s">
        <v>5864</v>
      </c>
      <c r="N1865" s="8" t="s">
        <v>5883</v>
      </c>
    </row>
    <row r="1866" spans="1:14" ht="40" customHeight="1">
      <c r="A1866" s="4" t="s">
        <v>8171</v>
      </c>
      <c r="B1866" s="4" t="s">
        <v>387</v>
      </c>
      <c r="C1866" s="4" t="s">
        <v>388</v>
      </c>
      <c r="D1866" s="4" t="s">
        <v>2969</v>
      </c>
      <c r="E1866" s="4" t="s">
        <v>41</v>
      </c>
      <c r="F1866" s="4" t="s">
        <v>5888</v>
      </c>
      <c r="G1866" s="4" t="s">
        <v>1857</v>
      </c>
      <c r="H1866" s="4">
        <v>1</v>
      </c>
      <c r="I1866" s="4">
        <v>1</v>
      </c>
      <c r="J1866" s="4" t="s">
        <v>8172</v>
      </c>
      <c r="K1866" s="4" t="s">
        <v>391</v>
      </c>
      <c r="L1866" s="6">
        <v>46319</v>
      </c>
      <c r="M1866" s="4" t="s">
        <v>5864</v>
      </c>
      <c r="N1866" s="4" t="s">
        <v>5883</v>
      </c>
    </row>
    <row r="1867" spans="1:14" ht="40" customHeight="1">
      <c r="A1867" s="8" t="s">
        <v>8173</v>
      </c>
      <c r="B1867" s="8" t="s">
        <v>387</v>
      </c>
      <c r="C1867" s="8" t="s">
        <v>388</v>
      </c>
      <c r="D1867" s="8" t="s">
        <v>2969</v>
      </c>
      <c r="E1867" s="8" t="s">
        <v>41</v>
      </c>
      <c r="F1867" s="8" t="s">
        <v>5891</v>
      </c>
      <c r="G1867" s="8" t="s">
        <v>1857</v>
      </c>
      <c r="H1867" s="8">
        <v>1</v>
      </c>
      <c r="I1867" s="8">
        <v>1</v>
      </c>
      <c r="J1867" s="8" t="s">
        <v>8174</v>
      </c>
      <c r="K1867" s="8" t="s">
        <v>391</v>
      </c>
      <c r="L1867" s="9">
        <v>46319</v>
      </c>
      <c r="M1867" s="8" t="s">
        <v>5864</v>
      </c>
      <c r="N1867" s="8" t="s">
        <v>5883</v>
      </c>
    </row>
    <row r="1868" spans="1:14" ht="82" customHeight="1">
      <c r="A1868" s="4" t="s">
        <v>8175</v>
      </c>
      <c r="B1868" s="4" t="s">
        <v>387</v>
      </c>
      <c r="C1868" s="4" t="s">
        <v>388</v>
      </c>
      <c r="D1868" s="4" t="s">
        <v>2969</v>
      </c>
      <c r="E1868" s="4" t="s">
        <v>41</v>
      </c>
      <c r="F1868" s="4" t="s">
        <v>5894</v>
      </c>
      <c r="G1868" s="4" t="s">
        <v>1857</v>
      </c>
      <c r="H1868" s="4">
        <v>1</v>
      </c>
      <c r="I1868" s="4">
        <v>1</v>
      </c>
      <c r="J1868" s="4" t="s">
        <v>8176</v>
      </c>
      <c r="K1868" s="4" t="s">
        <v>391</v>
      </c>
      <c r="L1868" s="6">
        <v>46319</v>
      </c>
      <c r="M1868" s="4" t="s">
        <v>5864</v>
      </c>
      <c r="N1868" s="4" t="s">
        <v>5883</v>
      </c>
    </row>
    <row r="1869" spans="1:14" ht="40" customHeight="1">
      <c r="A1869" s="8" t="s">
        <v>8177</v>
      </c>
      <c r="B1869" s="8" t="s">
        <v>387</v>
      </c>
      <c r="C1869" s="8" t="s">
        <v>388</v>
      </c>
      <c r="D1869" s="8" t="s">
        <v>2969</v>
      </c>
      <c r="E1869" s="8" t="s">
        <v>41</v>
      </c>
      <c r="F1869" s="8" t="s">
        <v>5897</v>
      </c>
      <c r="G1869" s="8" t="s">
        <v>1857</v>
      </c>
      <c r="H1869" s="8">
        <v>1</v>
      </c>
      <c r="I1869" s="8">
        <v>1</v>
      </c>
      <c r="J1869" s="8" t="s">
        <v>8178</v>
      </c>
      <c r="K1869" s="8" t="s">
        <v>391</v>
      </c>
      <c r="L1869" s="9">
        <v>46319</v>
      </c>
      <c r="M1869" s="8" t="s">
        <v>5864</v>
      </c>
      <c r="N1869" s="8" t="s">
        <v>5883</v>
      </c>
    </row>
    <row r="1870" spans="1:14" ht="82" customHeight="1">
      <c r="A1870" s="4" t="s">
        <v>8179</v>
      </c>
      <c r="B1870" s="4" t="s">
        <v>394</v>
      </c>
      <c r="C1870" s="4" t="s">
        <v>395</v>
      </c>
      <c r="D1870" s="4" t="s">
        <v>5861</v>
      </c>
      <c r="E1870" s="4" t="s">
        <v>41</v>
      </c>
      <c r="F1870" s="4" t="s">
        <v>5862</v>
      </c>
      <c r="G1870" s="4" t="s">
        <v>1883</v>
      </c>
      <c r="H1870" s="4">
        <v>1</v>
      </c>
      <c r="I1870" s="4">
        <v>1</v>
      </c>
      <c r="J1870" s="4" t="s">
        <v>8180</v>
      </c>
      <c r="K1870" s="4" t="s">
        <v>399</v>
      </c>
      <c r="L1870" s="6">
        <v>46319</v>
      </c>
      <c r="M1870" s="4" t="s">
        <v>5864</v>
      </c>
      <c r="N1870" s="4" t="s">
        <v>5865</v>
      </c>
    </row>
    <row r="1871" spans="1:14" ht="54" customHeight="1">
      <c r="A1871" s="8" t="s">
        <v>8181</v>
      </c>
      <c r="B1871" s="8" t="s">
        <v>394</v>
      </c>
      <c r="C1871" s="8" t="s">
        <v>395</v>
      </c>
      <c r="D1871" s="8" t="s">
        <v>5861</v>
      </c>
      <c r="E1871" s="8" t="s">
        <v>41</v>
      </c>
      <c r="F1871" s="8" t="s">
        <v>6085</v>
      </c>
      <c r="G1871" s="8" t="s">
        <v>1883</v>
      </c>
      <c r="H1871" s="8">
        <v>1</v>
      </c>
      <c r="I1871" s="8">
        <v>1</v>
      </c>
      <c r="J1871" s="8" t="s">
        <v>8182</v>
      </c>
      <c r="K1871" s="8" t="s">
        <v>399</v>
      </c>
      <c r="L1871" s="9">
        <v>46319</v>
      </c>
      <c r="M1871" s="8" t="s">
        <v>5864</v>
      </c>
      <c r="N1871" s="8" t="s">
        <v>6087</v>
      </c>
    </row>
    <row r="1872" spans="1:14" ht="54" customHeight="1">
      <c r="A1872" s="4" t="s">
        <v>8183</v>
      </c>
      <c r="B1872" s="4" t="s">
        <v>394</v>
      </c>
      <c r="C1872" s="4" t="s">
        <v>395</v>
      </c>
      <c r="D1872" s="4" t="s">
        <v>5861</v>
      </c>
      <c r="E1872" s="4" t="s">
        <v>41</v>
      </c>
      <c r="F1872" s="4" t="s">
        <v>7626</v>
      </c>
      <c r="G1872" s="4" t="s">
        <v>1883</v>
      </c>
      <c r="H1872" s="4">
        <v>1</v>
      </c>
      <c r="I1872" s="4">
        <v>1</v>
      </c>
      <c r="J1872" s="4" t="s">
        <v>8184</v>
      </c>
      <c r="K1872" s="4" t="s">
        <v>399</v>
      </c>
      <c r="L1872" s="6">
        <v>46319</v>
      </c>
      <c r="M1872" s="4" t="s">
        <v>5864</v>
      </c>
      <c r="N1872" s="4" t="s">
        <v>6087</v>
      </c>
    </row>
    <row r="1873" spans="1:14" ht="54" customHeight="1">
      <c r="A1873" s="8" t="s">
        <v>8185</v>
      </c>
      <c r="B1873" s="8" t="s">
        <v>394</v>
      </c>
      <c r="C1873" s="8" t="s">
        <v>395</v>
      </c>
      <c r="D1873" s="8" t="s">
        <v>5861</v>
      </c>
      <c r="E1873" s="8" t="s">
        <v>41</v>
      </c>
      <c r="F1873" s="8" t="s">
        <v>6092</v>
      </c>
      <c r="G1873" s="8" t="s">
        <v>1883</v>
      </c>
      <c r="H1873" s="8">
        <v>1</v>
      </c>
      <c r="I1873" s="8">
        <v>1</v>
      </c>
      <c r="J1873" s="8" t="s">
        <v>8186</v>
      </c>
      <c r="K1873" s="8" t="s">
        <v>399</v>
      </c>
      <c r="L1873" s="9">
        <v>46319</v>
      </c>
      <c r="M1873" s="8" t="s">
        <v>5864</v>
      </c>
      <c r="N1873" s="8" t="s">
        <v>5870</v>
      </c>
    </row>
    <row r="1874" spans="1:14" ht="54" customHeight="1">
      <c r="A1874" s="4" t="s">
        <v>8187</v>
      </c>
      <c r="B1874" s="4" t="s">
        <v>394</v>
      </c>
      <c r="C1874" s="4" t="s">
        <v>395</v>
      </c>
      <c r="D1874" s="4" t="s">
        <v>5861</v>
      </c>
      <c r="E1874" s="4" t="s">
        <v>41</v>
      </c>
      <c r="F1874" s="4" t="s">
        <v>6473</v>
      </c>
      <c r="G1874" s="4" t="s">
        <v>1883</v>
      </c>
      <c r="H1874" s="4">
        <v>1</v>
      </c>
      <c r="I1874" s="4">
        <v>1</v>
      </c>
      <c r="J1874" s="4" t="s">
        <v>8188</v>
      </c>
      <c r="K1874" s="4" t="s">
        <v>399</v>
      </c>
      <c r="L1874" s="6">
        <v>46319</v>
      </c>
      <c r="M1874" s="4" t="s">
        <v>5864</v>
      </c>
      <c r="N1874" s="4" t="s">
        <v>5870</v>
      </c>
    </row>
    <row r="1875" spans="1:14" ht="54" customHeight="1">
      <c r="A1875" s="8" t="s">
        <v>8189</v>
      </c>
      <c r="B1875" s="8" t="s">
        <v>394</v>
      </c>
      <c r="C1875" s="8" t="s">
        <v>395</v>
      </c>
      <c r="D1875" s="8" t="s">
        <v>5861</v>
      </c>
      <c r="E1875" s="8" t="s">
        <v>41</v>
      </c>
      <c r="F1875" s="8" t="s">
        <v>6476</v>
      </c>
      <c r="G1875" s="8" t="s">
        <v>1883</v>
      </c>
      <c r="H1875" s="8">
        <v>1</v>
      </c>
      <c r="I1875" s="8">
        <v>1</v>
      </c>
      <c r="J1875" s="8" t="s">
        <v>8190</v>
      </c>
      <c r="K1875" s="8" t="s">
        <v>399</v>
      </c>
      <c r="L1875" s="9">
        <v>46319</v>
      </c>
      <c r="M1875" s="8" t="s">
        <v>5864</v>
      </c>
      <c r="N1875" s="8" t="s">
        <v>5870</v>
      </c>
    </row>
    <row r="1876" spans="1:14" ht="54" customHeight="1">
      <c r="A1876" s="4" t="s">
        <v>8191</v>
      </c>
      <c r="B1876" s="4" t="s">
        <v>394</v>
      </c>
      <c r="C1876" s="4" t="s">
        <v>395</v>
      </c>
      <c r="D1876" s="4" t="s">
        <v>5861</v>
      </c>
      <c r="E1876" s="4" t="s">
        <v>41</v>
      </c>
      <c r="F1876" s="4" t="s">
        <v>6479</v>
      </c>
      <c r="G1876" s="4" t="s">
        <v>1883</v>
      </c>
      <c r="H1876" s="4">
        <v>1</v>
      </c>
      <c r="I1876" s="4">
        <v>1</v>
      </c>
      <c r="J1876" s="4" t="s">
        <v>8192</v>
      </c>
      <c r="K1876" s="4" t="s">
        <v>399</v>
      </c>
      <c r="L1876" s="6">
        <v>46319</v>
      </c>
      <c r="M1876" s="4" t="s">
        <v>5864</v>
      </c>
      <c r="N1876" s="4" t="s">
        <v>5870</v>
      </c>
    </row>
    <row r="1877" spans="1:14" ht="54" customHeight="1">
      <c r="A1877" s="8" t="s">
        <v>8193</v>
      </c>
      <c r="B1877" s="8" t="s">
        <v>394</v>
      </c>
      <c r="C1877" s="8" t="s">
        <v>395</v>
      </c>
      <c r="D1877" s="8" t="s">
        <v>5861</v>
      </c>
      <c r="E1877" s="8" t="s">
        <v>41</v>
      </c>
      <c r="F1877" s="8" t="s">
        <v>8194</v>
      </c>
      <c r="G1877" s="8" t="s">
        <v>1883</v>
      </c>
      <c r="H1877" s="8">
        <v>1</v>
      </c>
      <c r="I1877" s="8">
        <v>1</v>
      </c>
      <c r="J1877" s="8" t="s">
        <v>8195</v>
      </c>
      <c r="K1877" s="8" t="s">
        <v>399</v>
      </c>
      <c r="L1877" s="9">
        <v>46319</v>
      </c>
      <c r="M1877" s="8" t="s">
        <v>5864</v>
      </c>
      <c r="N1877" s="8" t="s">
        <v>5870</v>
      </c>
    </row>
    <row r="1878" spans="1:14" ht="54" customHeight="1">
      <c r="A1878" s="4" t="s">
        <v>8196</v>
      </c>
      <c r="B1878" s="4" t="s">
        <v>394</v>
      </c>
      <c r="C1878" s="4" t="s">
        <v>395</v>
      </c>
      <c r="D1878" s="4" t="s">
        <v>5867</v>
      </c>
      <c r="E1878" s="4" t="s">
        <v>41</v>
      </c>
      <c r="F1878" s="4" t="s">
        <v>6248</v>
      </c>
      <c r="G1878" s="4" t="s">
        <v>1883</v>
      </c>
      <c r="H1878" s="4">
        <v>1</v>
      </c>
      <c r="I1878" s="4">
        <v>1</v>
      </c>
      <c r="J1878" s="4" t="s">
        <v>8197</v>
      </c>
      <c r="K1878" s="4" t="s">
        <v>399</v>
      </c>
      <c r="L1878" s="6">
        <v>46319</v>
      </c>
      <c r="M1878" s="4" t="s">
        <v>5864</v>
      </c>
      <c r="N1878" s="4" t="s">
        <v>5865</v>
      </c>
    </row>
    <row r="1879" spans="1:14" ht="54" customHeight="1">
      <c r="A1879" s="8" t="s">
        <v>8198</v>
      </c>
      <c r="B1879" s="8" t="s">
        <v>394</v>
      </c>
      <c r="C1879" s="8" t="s">
        <v>395</v>
      </c>
      <c r="D1879" s="8" t="s">
        <v>5867</v>
      </c>
      <c r="E1879" s="8" t="s">
        <v>41</v>
      </c>
      <c r="F1879" s="8" t="s">
        <v>6142</v>
      </c>
      <c r="G1879" s="8" t="s">
        <v>1883</v>
      </c>
      <c r="H1879" s="8">
        <v>1</v>
      </c>
      <c r="I1879" s="8">
        <v>1</v>
      </c>
      <c r="J1879" s="8" t="s">
        <v>8199</v>
      </c>
      <c r="K1879" s="8" t="s">
        <v>399</v>
      </c>
      <c r="L1879" s="9">
        <v>46319</v>
      </c>
      <c r="M1879" s="8" t="s">
        <v>5864</v>
      </c>
      <c r="N1879" s="8" t="s">
        <v>5865</v>
      </c>
    </row>
    <row r="1880" spans="1:14" ht="54" customHeight="1">
      <c r="A1880" s="4" t="s">
        <v>8200</v>
      </c>
      <c r="B1880" s="4" t="s">
        <v>394</v>
      </c>
      <c r="C1880" s="4" t="s">
        <v>395</v>
      </c>
      <c r="D1880" s="4" t="s">
        <v>5867</v>
      </c>
      <c r="E1880" s="4" t="s">
        <v>41</v>
      </c>
      <c r="F1880" s="4" t="s">
        <v>6006</v>
      </c>
      <c r="G1880" s="4" t="s">
        <v>1883</v>
      </c>
      <c r="H1880" s="4">
        <v>1</v>
      </c>
      <c r="I1880" s="4">
        <v>1</v>
      </c>
      <c r="J1880" s="4" t="s">
        <v>8201</v>
      </c>
      <c r="K1880" s="4" t="s">
        <v>399</v>
      </c>
      <c r="L1880" s="6">
        <v>46319</v>
      </c>
      <c r="M1880" s="4" t="s">
        <v>5864</v>
      </c>
      <c r="N1880" s="4" t="s">
        <v>6087</v>
      </c>
    </row>
    <row r="1881" spans="1:14" ht="68" customHeight="1">
      <c r="A1881" s="8" t="s">
        <v>8202</v>
      </c>
      <c r="B1881" s="8" t="s">
        <v>394</v>
      </c>
      <c r="C1881" s="8" t="s">
        <v>395</v>
      </c>
      <c r="D1881" s="8" t="s">
        <v>5867</v>
      </c>
      <c r="E1881" s="8" t="s">
        <v>41</v>
      </c>
      <c r="F1881" s="8" t="s">
        <v>6765</v>
      </c>
      <c r="G1881" s="8" t="s">
        <v>1883</v>
      </c>
      <c r="H1881" s="8">
        <v>1</v>
      </c>
      <c r="I1881" s="8">
        <v>1</v>
      </c>
      <c r="J1881" s="8" t="s">
        <v>8203</v>
      </c>
      <c r="K1881" s="8" t="s">
        <v>399</v>
      </c>
      <c r="L1881" s="9">
        <v>46319</v>
      </c>
      <c r="M1881" s="8" t="s">
        <v>5864</v>
      </c>
      <c r="N1881" s="8" t="s">
        <v>5865</v>
      </c>
    </row>
    <row r="1882" spans="1:14" ht="54" customHeight="1">
      <c r="A1882" s="4" t="s">
        <v>8204</v>
      </c>
      <c r="B1882" s="4" t="s">
        <v>394</v>
      </c>
      <c r="C1882" s="4" t="s">
        <v>395</v>
      </c>
      <c r="D1882" s="4" t="s">
        <v>5867</v>
      </c>
      <c r="E1882" s="4" t="s">
        <v>41</v>
      </c>
      <c r="F1882" s="4" t="s">
        <v>6394</v>
      </c>
      <c r="G1882" s="4" t="s">
        <v>1883</v>
      </c>
      <c r="H1882" s="4">
        <v>1</v>
      </c>
      <c r="I1882" s="4">
        <v>1</v>
      </c>
      <c r="J1882" s="4" t="s">
        <v>8205</v>
      </c>
      <c r="K1882" s="4" t="s">
        <v>399</v>
      </c>
      <c r="L1882" s="6">
        <v>46319</v>
      </c>
      <c r="M1882" s="4" t="s">
        <v>5864</v>
      </c>
      <c r="N1882" s="4" t="s">
        <v>5865</v>
      </c>
    </row>
    <row r="1883" spans="1:14" ht="54" customHeight="1">
      <c r="A1883" s="8" t="s">
        <v>8206</v>
      </c>
      <c r="B1883" s="8" t="s">
        <v>394</v>
      </c>
      <c r="C1883" s="8" t="s">
        <v>395</v>
      </c>
      <c r="D1883" s="8" t="s">
        <v>5867</v>
      </c>
      <c r="E1883" s="8" t="s">
        <v>41</v>
      </c>
      <c r="F1883" s="8" t="s">
        <v>6774</v>
      </c>
      <c r="G1883" s="8" t="s">
        <v>1883</v>
      </c>
      <c r="H1883" s="8">
        <v>1</v>
      </c>
      <c r="I1883" s="8">
        <v>1</v>
      </c>
      <c r="J1883" s="8" t="s">
        <v>8207</v>
      </c>
      <c r="K1883" s="8" t="s">
        <v>399</v>
      </c>
      <c r="L1883" s="9">
        <v>46319</v>
      </c>
      <c r="M1883" s="8" t="s">
        <v>5864</v>
      </c>
      <c r="N1883" s="8" t="s">
        <v>5865</v>
      </c>
    </row>
    <row r="1884" spans="1:14" ht="54" customHeight="1">
      <c r="A1884" s="4" t="s">
        <v>8208</v>
      </c>
      <c r="B1884" s="4" t="s">
        <v>394</v>
      </c>
      <c r="C1884" s="4" t="s">
        <v>395</v>
      </c>
      <c r="D1884" s="4" t="s">
        <v>5867</v>
      </c>
      <c r="E1884" s="4" t="s">
        <v>41</v>
      </c>
      <c r="F1884" s="4" t="s">
        <v>7381</v>
      </c>
      <c r="G1884" s="4" t="s">
        <v>1883</v>
      </c>
      <c r="H1884" s="4">
        <v>1</v>
      </c>
      <c r="I1884" s="4">
        <v>1</v>
      </c>
      <c r="J1884" s="4" t="s">
        <v>8209</v>
      </c>
      <c r="K1884" s="4" t="s">
        <v>399</v>
      </c>
      <c r="L1884" s="6">
        <v>46319</v>
      </c>
      <c r="M1884" s="4" t="s">
        <v>5864</v>
      </c>
      <c r="N1884" s="4" t="s">
        <v>5865</v>
      </c>
    </row>
    <row r="1885" spans="1:14" ht="54" customHeight="1">
      <c r="A1885" s="8" t="s">
        <v>8210</v>
      </c>
      <c r="B1885" s="8" t="s">
        <v>394</v>
      </c>
      <c r="C1885" s="8" t="s">
        <v>395</v>
      </c>
      <c r="D1885" s="8" t="s">
        <v>5867</v>
      </c>
      <c r="E1885" s="8" t="s">
        <v>41</v>
      </c>
      <c r="F1885" s="8" t="s">
        <v>7449</v>
      </c>
      <c r="G1885" s="8" t="s">
        <v>1883</v>
      </c>
      <c r="H1885" s="8">
        <v>1</v>
      </c>
      <c r="I1885" s="8">
        <v>1</v>
      </c>
      <c r="J1885" s="8" t="s">
        <v>8211</v>
      </c>
      <c r="K1885" s="8" t="s">
        <v>399</v>
      </c>
      <c r="L1885" s="9">
        <v>46319</v>
      </c>
      <c r="M1885" s="8" t="s">
        <v>5864</v>
      </c>
      <c r="N1885" s="8" t="s">
        <v>5865</v>
      </c>
    </row>
    <row r="1886" spans="1:14" ht="96" customHeight="1">
      <c r="A1886" s="4" t="s">
        <v>8212</v>
      </c>
      <c r="B1886" s="4" t="s">
        <v>394</v>
      </c>
      <c r="C1886" s="4" t="s">
        <v>395</v>
      </c>
      <c r="D1886" s="4" t="s">
        <v>5867</v>
      </c>
      <c r="E1886" s="4" t="s">
        <v>41</v>
      </c>
      <c r="F1886" s="4" t="s">
        <v>7453</v>
      </c>
      <c r="G1886" s="4" t="s">
        <v>1883</v>
      </c>
      <c r="H1886" s="4">
        <v>1</v>
      </c>
      <c r="I1886" s="4">
        <v>1</v>
      </c>
      <c r="J1886" s="4" t="s">
        <v>8213</v>
      </c>
      <c r="K1886" s="4" t="s">
        <v>399</v>
      </c>
      <c r="L1886" s="6">
        <v>46319</v>
      </c>
      <c r="M1886" s="4" t="s">
        <v>5864</v>
      </c>
      <c r="N1886" s="4" t="s">
        <v>5865</v>
      </c>
    </row>
    <row r="1887" spans="1:14" ht="54" customHeight="1">
      <c r="A1887" s="8" t="s">
        <v>8214</v>
      </c>
      <c r="B1887" s="8" t="s">
        <v>394</v>
      </c>
      <c r="C1887" s="8" t="s">
        <v>395</v>
      </c>
      <c r="D1887" s="8" t="s">
        <v>5867</v>
      </c>
      <c r="E1887" s="8" t="s">
        <v>41</v>
      </c>
      <c r="F1887" s="8" t="s">
        <v>6897</v>
      </c>
      <c r="G1887" s="8" t="s">
        <v>1883</v>
      </c>
      <c r="H1887" s="8">
        <v>1</v>
      </c>
      <c r="I1887" s="8">
        <v>1</v>
      </c>
      <c r="J1887" s="8" t="s">
        <v>8215</v>
      </c>
      <c r="K1887" s="8" t="s">
        <v>399</v>
      </c>
      <c r="L1887" s="9">
        <v>46319</v>
      </c>
      <c r="M1887" s="8" t="s">
        <v>5864</v>
      </c>
      <c r="N1887" s="8" t="s">
        <v>6087</v>
      </c>
    </row>
    <row r="1888" spans="1:14" ht="54" customHeight="1">
      <c r="A1888" s="4" t="s">
        <v>8216</v>
      </c>
      <c r="B1888" s="4" t="s">
        <v>394</v>
      </c>
      <c r="C1888" s="4" t="s">
        <v>395</v>
      </c>
      <c r="D1888" s="4" t="s">
        <v>5867</v>
      </c>
      <c r="E1888" s="4" t="s">
        <v>41</v>
      </c>
      <c r="F1888" s="4" t="s">
        <v>8217</v>
      </c>
      <c r="G1888" s="4" t="s">
        <v>1883</v>
      </c>
      <c r="H1888" s="4">
        <v>1</v>
      </c>
      <c r="I1888" s="4">
        <v>1</v>
      </c>
      <c r="J1888" s="4" t="s">
        <v>8218</v>
      </c>
      <c r="K1888" s="4" t="s">
        <v>399</v>
      </c>
      <c r="L1888" s="6">
        <v>46319</v>
      </c>
      <c r="M1888" s="4" t="s">
        <v>5864</v>
      </c>
      <c r="N1888" s="4" t="s">
        <v>5870</v>
      </c>
    </row>
    <row r="1889" spans="1:14" ht="54" customHeight="1">
      <c r="A1889" s="8" t="s">
        <v>8219</v>
      </c>
      <c r="B1889" s="8" t="s">
        <v>394</v>
      </c>
      <c r="C1889" s="8" t="s">
        <v>395</v>
      </c>
      <c r="D1889" s="8" t="s">
        <v>5867</v>
      </c>
      <c r="E1889" s="8" t="s">
        <v>41</v>
      </c>
      <c r="F1889" s="8" t="s">
        <v>8220</v>
      </c>
      <c r="G1889" s="8" t="s">
        <v>1883</v>
      </c>
      <c r="H1889" s="8">
        <v>1</v>
      </c>
      <c r="I1889" s="8">
        <v>1</v>
      </c>
      <c r="J1889" s="8" t="s">
        <v>8221</v>
      </c>
      <c r="K1889" s="8" t="s">
        <v>399</v>
      </c>
      <c r="L1889" s="9">
        <v>46319</v>
      </c>
      <c r="M1889" s="8" t="s">
        <v>5864</v>
      </c>
      <c r="N1889" s="8" t="s">
        <v>5870</v>
      </c>
    </row>
    <row r="1890" spans="1:14" ht="54" customHeight="1">
      <c r="A1890" s="4" t="s">
        <v>8222</v>
      </c>
      <c r="B1890" s="4" t="s">
        <v>394</v>
      </c>
      <c r="C1890" s="4" t="s">
        <v>395</v>
      </c>
      <c r="D1890" s="4" t="s">
        <v>5867</v>
      </c>
      <c r="E1890" s="4" t="s">
        <v>41</v>
      </c>
      <c r="F1890" s="4" t="s">
        <v>8223</v>
      </c>
      <c r="G1890" s="4" t="s">
        <v>1883</v>
      </c>
      <c r="H1890" s="4">
        <v>1</v>
      </c>
      <c r="I1890" s="4">
        <v>1</v>
      </c>
      <c r="J1890" s="4" t="s">
        <v>8224</v>
      </c>
      <c r="K1890" s="4" t="s">
        <v>399</v>
      </c>
      <c r="L1890" s="6">
        <v>46319</v>
      </c>
      <c r="M1890" s="4" t="s">
        <v>5864</v>
      </c>
      <c r="N1890" s="4" t="s">
        <v>5870</v>
      </c>
    </row>
    <row r="1891" spans="1:14" ht="54" customHeight="1">
      <c r="A1891" s="8" t="s">
        <v>8225</v>
      </c>
      <c r="B1891" s="8" t="s">
        <v>394</v>
      </c>
      <c r="C1891" s="8" t="s">
        <v>395</v>
      </c>
      <c r="D1891" s="8" t="s">
        <v>5867</v>
      </c>
      <c r="E1891" s="8" t="s">
        <v>41</v>
      </c>
      <c r="F1891" s="8" t="s">
        <v>8226</v>
      </c>
      <c r="G1891" s="8" t="s">
        <v>1883</v>
      </c>
      <c r="H1891" s="8">
        <v>1</v>
      </c>
      <c r="I1891" s="8">
        <v>1</v>
      </c>
      <c r="J1891" s="8" t="s">
        <v>8227</v>
      </c>
      <c r="K1891" s="8" t="s">
        <v>399</v>
      </c>
      <c r="L1891" s="9">
        <v>46319</v>
      </c>
      <c r="M1891" s="8" t="s">
        <v>5864</v>
      </c>
      <c r="N1891" s="8" t="s">
        <v>5870</v>
      </c>
    </row>
    <row r="1892" spans="1:14" ht="54" customHeight="1">
      <c r="A1892" s="4" t="s">
        <v>8228</v>
      </c>
      <c r="B1892" s="4" t="s">
        <v>394</v>
      </c>
      <c r="C1892" s="4" t="s">
        <v>395</v>
      </c>
      <c r="D1892" s="4" t="s">
        <v>5867</v>
      </c>
      <c r="E1892" s="4" t="s">
        <v>41</v>
      </c>
      <c r="F1892" s="4" t="s">
        <v>8229</v>
      </c>
      <c r="G1892" s="4" t="s">
        <v>1883</v>
      </c>
      <c r="H1892" s="4">
        <v>1</v>
      </c>
      <c r="I1892" s="4">
        <v>1</v>
      </c>
      <c r="J1892" s="4" t="s">
        <v>8230</v>
      </c>
      <c r="K1892" s="4" t="s">
        <v>399</v>
      </c>
      <c r="L1892" s="6">
        <v>46319</v>
      </c>
      <c r="M1892" s="4" t="s">
        <v>5864</v>
      </c>
      <c r="N1892" s="4" t="s">
        <v>6087</v>
      </c>
    </row>
    <row r="1893" spans="1:14" ht="152" customHeight="1">
      <c r="A1893" s="8" t="s">
        <v>8231</v>
      </c>
      <c r="B1893" s="8" t="s">
        <v>394</v>
      </c>
      <c r="C1893" s="8" t="s">
        <v>395</v>
      </c>
      <c r="D1893" s="8" t="s">
        <v>5867</v>
      </c>
      <c r="E1893" s="8" t="s">
        <v>41</v>
      </c>
      <c r="F1893" s="8" t="s">
        <v>7473</v>
      </c>
      <c r="G1893" s="8" t="s">
        <v>1883</v>
      </c>
      <c r="H1893" s="8">
        <v>1</v>
      </c>
      <c r="I1893" s="8">
        <v>1</v>
      </c>
      <c r="J1893" s="8" t="s">
        <v>8232</v>
      </c>
      <c r="K1893" s="8" t="s">
        <v>399</v>
      </c>
      <c r="L1893" s="9">
        <v>46319</v>
      </c>
      <c r="M1893" s="8" t="s">
        <v>5864</v>
      </c>
      <c r="N1893" s="8" t="s">
        <v>5865</v>
      </c>
    </row>
    <row r="1894" spans="1:14" ht="68" customHeight="1">
      <c r="A1894" s="4" t="s">
        <v>8233</v>
      </c>
      <c r="B1894" s="4" t="s">
        <v>394</v>
      </c>
      <c r="C1894" s="4" t="s">
        <v>395</v>
      </c>
      <c r="D1894" s="4" t="s">
        <v>637</v>
      </c>
      <c r="E1894" s="4" t="s">
        <v>41</v>
      </c>
      <c r="F1894" s="4" t="s">
        <v>904</v>
      </c>
      <c r="G1894" s="4" t="s">
        <v>1883</v>
      </c>
      <c r="H1894" s="4">
        <v>1</v>
      </c>
      <c r="I1894" s="4">
        <v>1</v>
      </c>
      <c r="J1894" s="4" t="s">
        <v>1881</v>
      </c>
      <c r="K1894" s="4" t="s">
        <v>399</v>
      </c>
      <c r="L1894" s="6">
        <v>46319</v>
      </c>
      <c r="M1894" s="4" t="s">
        <v>5864</v>
      </c>
      <c r="N1894" s="4" t="s">
        <v>5870</v>
      </c>
    </row>
    <row r="1895" spans="1:14" ht="54" customHeight="1">
      <c r="A1895" s="8" t="s">
        <v>8234</v>
      </c>
      <c r="B1895" s="8" t="s">
        <v>394</v>
      </c>
      <c r="C1895" s="8" t="s">
        <v>395</v>
      </c>
      <c r="D1895" s="8" t="s">
        <v>637</v>
      </c>
      <c r="E1895" s="8" t="s">
        <v>41</v>
      </c>
      <c r="F1895" s="8" t="s">
        <v>912</v>
      </c>
      <c r="G1895" s="8" t="s">
        <v>1883</v>
      </c>
      <c r="H1895" s="8">
        <v>1</v>
      </c>
      <c r="I1895" s="8">
        <v>1</v>
      </c>
      <c r="J1895" s="8" t="s">
        <v>1885</v>
      </c>
      <c r="K1895" s="8" t="s">
        <v>399</v>
      </c>
      <c r="L1895" s="9">
        <v>46319</v>
      </c>
      <c r="M1895" s="8" t="s">
        <v>5864</v>
      </c>
      <c r="N1895" s="8" t="s">
        <v>5870</v>
      </c>
    </row>
    <row r="1896" spans="1:14" ht="54" customHeight="1">
      <c r="A1896" s="4" t="s">
        <v>8235</v>
      </c>
      <c r="B1896" s="4" t="s">
        <v>394</v>
      </c>
      <c r="C1896" s="4" t="s">
        <v>395</v>
      </c>
      <c r="D1896" s="4" t="s">
        <v>637</v>
      </c>
      <c r="E1896" s="4" t="s">
        <v>41</v>
      </c>
      <c r="F1896" s="4" t="s">
        <v>1015</v>
      </c>
      <c r="G1896" s="4" t="s">
        <v>1883</v>
      </c>
      <c r="H1896" s="4">
        <v>1</v>
      </c>
      <c r="I1896" s="4">
        <v>1</v>
      </c>
      <c r="J1896" s="4" t="s">
        <v>1888</v>
      </c>
      <c r="K1896" s="4" t="s">
        <v>399</v>
      </c>
      <c r="L1896" s="6">
        <v>46319</v>
      </c>
      <c r="M1896" s="4" t="s">
        <v>5864</v>
      </c>
      <c r="N1896" s="4" t="s">
        <v>5870</v>
      </c>
    </row>
    <row r="1897" spans="1:14" ht="54" customHeight="1">
      <c r="A1897" s="8" t="s">
        <v>5474</v>
      </c>
      <c r="B1897" s="8" t="s">
        <v>394</v>
      </c>
      <c r="C1897" s="8" t="s">
        <v>395</v>
      </c>
      <c r="D1897" s="8" t="s">
        <v>7</v>
      </c>
      <c r="E1897" s="8" t="s">
        <v>41</v>
      </c>
      <c r="F1897" s="8" t="s">
        <v>6212</v>
      </c>
      <c r="G1897" s="8" t="s">
        <v>1883</v>
      </c>
      <c r="H1897" s="8">
        <v>1</v>
      </c>
      <c r="I1897" s="8">
        <v>1</v>
      </c>
      <c r="J1897" s="8" t="s">
        <v>4969</v>
      </c>
      <c r="K1897" s="8" t="s">
        <v>399</v>
      </c>
      <c r="L1897" s="9">
        <v>46319</v>
      </c>
      <c r="M1897" s="8" t="s">
        <v>5864</v>
      </c>
      <c r="N1897" s="8" t="s">
        <v>5870</v>
      </c>
    </row>
    <row r="1898" spans="1:14" ht="54" customHeight="1">
      <c r="A1898" s="4" t="s">
        <v>5475</v>
      </c>
      <c r="B1898" s="4" t="s">
        <v>394</v>
      </c>
      <c r="C1898" s="4" t="s">
        <v>395</v>
      </c>
      <c r="D1898" s="4" t="s">
        <v>7</v>
      </c>
      <c r="E1898" s="4" t="s">
        <v>41</v>
      </c>
      <c r="F1898" s="4" t="s">
        <v>6213</v>
      </c>
      <c r="G1898" s="4" t="s">
        <v>1883</v>
      </c>
      <c r="H1898" s="4">
        <v>1</v>
      </c>
      <c r="I1898" s="4">
        <v>1</v>
      </c>
      <c r="J1898" s="4" t="s">
        <v>4971</v>
      </c>
      <c r="K1898" s="4" t="s">
        <v>399</v>
      </c>
      <c r="L1898" s="6">
        <v>46319</v>
      </c>
      <c r="M1898" s="4" t="s">
        <v>5864</v>
      </c>
      <c r="N1898" s="4" t="s">
        <v>5870</v>
      </c>
    </row>
    <row r="1899" spans="1:14" ht="54" customHeight="1">
      <c r="A1899" s="8" t="s">
        <v>5476</v>
      </c>
      <c r="B1899" s="8" t="s">
        <v>394</v>
      </c>
      <c r="C1899" s="8" t="s">
        <v>395</v>
      </c>
      <c r="D1899" s="8" t="s">
        <v>7</v>
      </c>
      <c r="E1899" s="8" t="s">
        <v>41</v>
      </c>
      <c r="F1899" s="8" t="s">
        <v>6214</v>
      </c>
      <c r="G1899" s="8" t="s">
        <v>1883</v>
      </c>
      <c r="H1899" s="8">
        <v>1</v>
      </c>
      <c r="I1899" s="8">
        <v>1</v>
      </c>
      <c r="J1899" s="8" t="s">
        <v>5477</v>
      </c>
      <c r="K1899" s="8" t="s">
        <v>399</v>
      </c>
      <c r="L1899" s="9">
        <v>46319</v>
      </c>
      <c r="M1899" s="8" t="s">
        <v>5864</v>
      </c>
      <c r="N1899" s="8" t="s">
        <v>5870</v>
      </c>
    </row>
    <row r="1900" spans="1:14" ht="54" customHeight="1">
      <c r="A1900" s="4" t="s">
        <v>5478</v>
      </c>
      <c r="B1900" s="4" t="s">
        <v>394</v>
      </c>
      <c r="C1900" s="4" t="s">
        <v>395</v>
      </c>
      <c r="D1900" s="4" t="s">
        <v>7</v>
      </c>
      <c r="E1900" s="4" t="s">
        <v>41</v>
      </c>
      <c r="F1900" s="4" t="s">
        <v>6215</v>
      </c>
      <c r="G1900" s="4" t="s">
        <v>1883</v>
      </c>
      <c r="H1900" s="4">
        <v>1</v>
      </c>
      <c r="I1900" s="4">
        <v>1</v>
      </c>
      <c r="J1900" s="4" t="s">
        <v>5479</v>
      </c>
      <c r="K1900" s="4" t="s">
        <v>399</v>
      </c>
      <c r="L1900" s="6">
        <v>46319</v>
      </c>
      <c r="M1900" s="4" t="s">
        <v>5864</v>
      </c>
      <c r="N1900" s="4" t="s">
        <v>5870</v>
      </c>
    </row>
    <row r="1901" spans="1:14" ht="54" customHeight="1">
      <c r="A1901" s="8" t="s">
        <v>5480</v>
      </c>
      <c r="B1901" s="8" t="s">
        <v>394</v>
      </c>
      <c r="C1901" s="8" t="s">
        <v>395</v>
      </c>
      <c r="D1901" s="8" t="s">
        <v>7</v>
      </c>
      <c r="E1901" s="8" t="s">
        <v>41</v>
      </c>
      <c r="F1901" s="8" t="s">
        <v>6216</v>
      </c>
      <c r="G1901" s="8" t="s">
        <v>1883</v>
      </c>
      <c r="H1901" s="8">
        <v>1</v>
      </c>
      <c r="I1901" s="8">
        <v>1</v>
      </c>
      <c r="J1901" s="8" t="s">
        <v>4975</v>
      </c>
      <c r="K1901" s="8" t="s">
        <v>399</v>
      </c>
      <c r="L1901" s="9">
        <v>46319</v>
      </c>
      <c r="M1901" s="8" t="s">
        <v>5864</v>
      </c>
      <c r="N1901" s="8" t="s">
        <v>5870</v>
      </c>
    </row>
    <row r="1902" spans="1:14" ht="54" customHeight="1">
      <c r="A1902" s="4" t="s">
        <v>5481</v>
      </c>
      <c r="B1902" s="4" t="s">
        <v>394</v>
      </c>
      <c r="C1902" s="4" t="s">
        <v>395</v>
      </c>
      <c r="D1902" s="4" t="s">
        <v>7</v>
      </c>
      <c r="E1902" s="4" t="s">
        <v>41</v>
      </c>
      <c r="F1902" s="4" t="s">
        <v>6284</v>
      </c>
      <c r="G1902" s="4" t="s">
        <v>1883</v>
      </c>
      <c r="H1902" s="4">
        <v>1</v>
      </c>
      <c r="I1902" s="4">
        <v>1</v>
      </c>
      <c r="J1902" s="4" t="s">
        <v>5482</v>
      </c>
      <c r="K1902" s="4" t="s">
        <v>399</v>
      </c>
      <c r="L1902" s="6">
        <v>46319</v>
      </c>
      <c r="M1902" s="4" t="s">
        <v>5864</v>
      </c>
      <c r="N1902" s="4" t="s">
        <v>5870</v>
      </c>
    </row>
    <row r="1903" spans="1:14" ht="54" customHeight="1">
      <c r="A1903" s="8" t="s">
        <v>5483</v>
      </c>
      <c r="B1903" s="8" t="s">
        <v>394</v>
      </c>
      <c r="C1903" s="8" t="s">
        <v>395</v>
      </c>
      <c r="D1903" s="8" t="s">
        <v>7</v>
      </c>
      <c r="E1903" s="8" t="s">
        <v>41</v>
      </c>
      <c r="F1903" s="8" t="s">
        <v>6285</v>
      </c>
      <c r="G1903" s="8" t="s">
        <v>1883</v>
      </c>
      <c r="H1903" s="8">
        <v>1</v>
      </c>
      <c r="I1903" s="8">
        <v>1</v>
      </c>
      <c r="J1903" s="8" t="s">
        <v>5484</v>
      </c>
      <c r="K1903" s="8" t="s">
        <v>399</v>
      </c>
      <c r="L1903" s="9">
        <v>46319</v>
      </c>
      <c r="M1903" s="8" t="s">
        <v>5864</v>
      </c>
      <c r="N1903" s="8" t="s">
        <v>5870</v>
      </c>
    </row>
    <row r="1904" spans="1:14" ht="54" customHeight="1">
      <c r="A1904" s="4" t="s">
        <v>5485</v>
      </c>
      <c r="B1904" s="4" t="s">
        <v>394</v>
      </c>
      <c r="C1904" s="4" t="s">
        <v>395</v>
      </c>
      <c r="D1904" s="4" t="s">
        <v>7</v>
      </c>
      <c r="E1904" s="4" t="s">
        <v>41</v>
      </c>
      <c r="F1904" s="4" t="s">
        <v>6286</v>
      </c>
      <c r="G1904" s="4" t="s">
        <v>1883</v>
      </c>
      <c r="H1904" s="4">
        <v>1</v>
      </c>
      <c r="I1904" s="4">
        <v>1</v>
      </c>
      <c r="J1904" s="4" t="s">
        <v>5486</v>
      </c>
      <c r="K1904" s="4" t="s">
        <v>399</v>
      </c>
      <c r="L1904" s="6">
        <v>46319</v>
      </c>
      <c r="M1904" s="4" t="s">
        <v>5864</v>
      </c>
      <c r="N1904" s="4" t="s">
        <v>5870</v>
      </c>
    </row>
    <row r="1905" spans="1:14" ht="54" customHeight="1">
      <c r="A1905" s="8" t="s">
        <v>4498</v>
      </c>
      <c r="B1905" s="8" t="s">
        <v>394</v>
      </c>
      <c r="C1905" s="8" t="s">
        <v>395</v>
      </c>
      <c r="D1905" s="8" t="s">
        <v>5879</v>
      </c>
      <c r="E1905" s="8" t="s">
        <v>41</v>
      </c>
      <c r="F1905" s="8" t="s">
        <v>3449</v>
      </c>
      <c r="G1905" s="8" t="s">
        <v>1883</v>
      </c>
      <c r="H1905" s="8">
        <v>1</v>
      </c>
      <c r="I1905" s="8">
        <v>1</v>
      </c>
      <c r="J1905" s="8" t="s">
        <v>4499</v>
      </c>
      <c r="K1905" s="8" t="s">
        <v>399</v>
      </c>
      <c r="L1905" s="9">
        <v>46319</v>
      </c>
      <c r="M1905" s="8" t="s">
        <v>5864</v>
      </c>
      <c r="N1905" s="8" t="s">
        <v>5865</v>
      </c>
    </row>
    <row r="1906" spans="1:14" ht="54" customHeight="1">
      <c r="A1906" s="4" t="s">
        <v>4500</v>
      </c>
      <c r="B1906" s="4" t="s">
        <v>394</v>
      </c>
      <c r="C1906" s="4" t="s">
        <v>395</v>
      </c>
      <c r="D1906" s="4" t="s">
        <v>5879</v>
      </c>
      <c r="E1906" s="4" t="s">
        <v>4501</v>
      </c>
      <c r="F1906" s="4" t="s">
        <v>3469</v>
      </c>
      <c r="G1906" s="4" t="s">
        <v>1883</v>
      </c>
      <c r="H1906" s="4">
        <v>1</v>
      </c>
      <c r="I1906" s="4">
        <v>1</v>
      </c>
      <c r="J1906" s="4" t="s">
        <v>4501</v>
      </c>
      <c r="K1906" s="4" t="s">
        <v>399</v>
      </c>
      <c r="L1906" s="6">
        <v>46319</v>
      </c>
      <c r="M1906" s="4" t="s">
        <v>5864</v>
      </c>
      <c r="N1906" s="4" t="s">
        <v>5865</v>
      </c>
    </row>
    <row r="1907" spans="1:14" ht="54" customHeight="1">
      <c r="A1907" s="8" t="s">
        <v>4502</v>
      </c>
      <c r="B1907" s="8" t="s">
        <v>394</v>
      </c>
      <c r="C1907" s="8" t="s">
        <v>395</v>
      </c>
      <c r="D1907" s="8" t="s">
        <v>5879</v>
      </c>
      <c r="E1907" s="8" t="s">
        <v>4501</v>
      </c>
      <c r="F1907" s="8" t="s">
        <v>3530</v>
      </c>
      <c r="G1907" s="8" t="s">
        <v>1883</v>
      </c>
      <c r="H1907" s="8">
        <v>1</v>
      </c>
      <c r="I1907" s="8">
        <v>1</v>
      </c>
      <c r="J1907" s="8" t="s">
        <v>4503</v>
      </c>
      <c r="K1907" s="8" t="s">
        <v>399</v>
      </c>
      <c r="L1907" s="9">
        <v>46319</v>
      </c>
      <c r="M1907" s="8" t="s">
        <v>5864</v>
      </c>
      <c r="N1907" s="8" t="s">
        <v>6087</v>
      </c>
    </row>
    <row r="1908" spans="1:14" ht="54" customHeight="1">
      <c r="A1908" s="4" t="s">
        <v>4504</v>
      </c>
      <c r="B1908" s="4" t="s">
        <v>394</v>
      </c>
      <c r="C1908" s="4" t="s">
        <v>395</v>
      </c>
      <c r="D1908" s="4" t="s">
        <v>5879</v>
      </c>
      <c r="E1908" s="4" t="s">
        <v>4501</v>
      </c>
      <c r="F1908" s="4" t="s">
        <v>4011</v>
      </c>
      <c r="G1908" s="4" t="s">
        <v>1883</v>
      </c>
      <c r="H1908" s="4">
        <v>1</v>
      </c>
      <c r="I1908" s="4">
        <v>1</v>
      </c>
      <c r="J1908" s="4" t="s">
        <v>4505</v>
      </c>
      <c r="K1908" s="4" t="s">
        <v>399</v>
      </c>
      <c r="L1908" s="6">
        <v>46319</v>
      </c>
      <c r="M1908" s="4" t="s">
        <v>5864</v>
      </c>
      <c r="N1908" s="4" t="s">
        <v>6087</v>
      </c>
    </row>
    <row r="1909" spans="1:14" ht="54" customHeight="1">
      <c r="A1909" s="8" t="s">
        <v>4506</v>
      </c>
      <c r="B1909" s="8" t="s">
        <v>394</v>
      </c>
      <c r="C1909" s="8" t="s">
        <v>395</v>
      </c>
      <c r="D1909" s="8" t="s">
        <v>5879</v>
      </c>
      <c r="E1909" s="8" t="s">
        <v>4501</v>
      </c>
      <c r="F1909" s="8" t="s">
        <v>3541</v>
      </c>
      <c r="G1909" s="8" t="s">
        <v>1883</v>
      </c>
      <c r="H1909" s="8">
        <v>1</v>
      </c>
      <c r="I1909" s="8">
        <v>1</v>
      </c>
      <c r="J1909" s="8" t="s">
        <v>4507</v>
      </c>
      <c r="K1909" s="8" t="s">
        <v>399</v>
      </c>
      <c r="L1909" s="9">
        <v>46319</v>
      </c>
      <c r="M1909" s="8" t="s">
        <v>5864</v>
      </c>
      <c r="N1909" s="8" t="s">
        <v>6087</v>
      </c>
    </row>
    <row r="1910" spans="1:14" ht="54" customHeight="1">
      <c r="A1910" s="4" t="s">
        <v>4508</v>
      </c>
      <c r="B1910" s="4" t="s">
        <v>394</v>
      </c>
      <c r="C1910" s="4" t="s">
        <v>395</v>
      </c>
      <c r="D1910" s="4" t="s">
        <v>5879</v>
      </c>
      <c r="E1910" s="4" t="s">
        <v>4501</v>
      </c>
      <c r="F1910" s="4" t="s">
        <v>4338</v>
      </c>
      <c r="G1910" s="4" t="s">
        <v>1883</v>
      </c>
      <c r="H1910" s="4">
        <v>1</v>
      </c>
      <c r="I1910" s="4">
        <v>1</v>
      </c>
      <c r="J1910" s="4" t="s">
        <v>4509</v>
      </c>
      <c r="K1910" s="4" t="s">
        <v>399</v>
      </c>
      <c r="L1910" s="6">
        <v>46319</v>
      </c>
      <c r="M1910" s="4" t="s">
        <v>5864</v>
      </c>
      <c r="N1910" s="4" t="s">
        <v>6087</v>
      </c>
    </row>
    <row r="1911" spans="1:14" ht="54" customHeight="1">
      <c r="A1911" s="8" t="s">
        <v>4510</v>
      </c>
      <c r="B1911" s="8" t="s">
        <v>394</v>
      </c>
      <c r="C1911" s="8" t="s">
        <v>395</v>
      </c>
      <c r="D1911" s="8" t="s">
        <v>5879</v>
      </c>
      <c r="E1911" s="8" t="s">
        <v>4501</v>
      </c>
      <c r="F1911" s="8" t="s">
        <v>3576</v>
      </c>
      <c r="G1911" s="8" t="s">
        <v>1883</v>
      </c>
      <c r="H1911" s="8">
        <v>1</v>
      </c>
      <c r="I1911" s="8">
        <v>1</v>
      </c>
      <c r="J1911" s="8" t="s">
        <v>4511</v>
      </c>
      <c r="K1911" s="8" t="s">
        <v>399</v>
      </c>
      <c r="L1911" s="9">
        <v>46319</v>
      </c>
      <c r="M1911" s="8" t="s">
        <v>5864</v>
      </c>
      <c r="N1911" s="8" t="s">
        <v>6087</v>
      </c>
    </row>
    <row r="1912" spans="1:14" ht="54" customHeight="1">
      <c r="A1912" s="4" t="s">
        <v>4512</v>
      </c>
      <c r="B1912" s="4" t="s">
        <v>394</v>
      </c>
      <c r="C1912" s="4" t="s">
        <v>395</v>
      </c>
      <c r="D1912" s="4" t="s">
        <v>5879</v>
      </c>
      <c r="E1912" s="4" t="s">
        <v>4501</v>
      </c>
      <c r="F1912" s="4" t="s">
        <v>4347</v>
      </c>
      <c r="G1912" s="4" t="s">
        <v>1883</v>
      </c>
      <c r="H1912" s="4">
        <v>1</v>
      </c>
      <c r="I1912" s="4">
        <v>1</v>
      </c>
      <c r="J1912" s="4" t="s">
        <v>4513</v>
      </c>
      <c r="K1912" s="4" t="s">
        <v>399</v>
      </c>
      <c r="L1912" s="6">
        <v>46319</v>
      </c>
      <c r="M1912" s="4" t="s">
        <v>5864</v>
      </c>
      <c r="N1912" s="4" t="s">
        <v>6087</v>
      </c>
    </row>
    <row r="1913" spans="1:14" ht="54" customHeight="1">
      <c r="A1913" s="8" t="s">
        <v>8236</v>
      </c>
      <c r="B1913" s="8" t="s">
        <v>394</v>
      </c>
      <c r="C1913" s="8" t="s">
        <v>395</v>
      </c>
      <c r="D1913" s="8" t="s">
        <v>2969</v>
      </c>
      <c r="E1913" s="8" t="s">
        <v>41</v>
      </c>
      <c r="F1913" s="8" t="s">
        <v>5881</v>
      </c>
      <c r="G1913" s="8" t="s">
        <v>1883</v>
      </c>
      <c r="H1913" s="8">
        <v>1</v>
      </c>
      <c r="I1913" s="8">
        <v>1</v>
      </c>
      <c r="J1913" s="8" t="s">
        <v>8237</v>
      </c>
      <c r="K1913" s="8" t="s">
        <v>399</v>
      </c>
      <c r="L1913" s="9">
        <v>46319</v>
      </c>
      <c r="M1913" s="8" t="s">
        <v>5864</v>
      </c>
      <c r="N1913" s="8" t="s">
        <v>5883</v>
      </c>
    </row>
    <row r="1914" spans="1:14" ht="82" customHeight="1">
      <c r="A1914" s="4" t="s">
        <v>8238</v>
      </c>
      <c r="B1914" s="4" t="s">
        <v>394</v>
      </c>
      <c r="C1914" s="4" t="s">
        <v>395</v>
      </c>
      <c r="D1914" s="4" t="s">
        <v>2969</v>
      </c>
      <c r="E1914" s="4" t="s">
        <v>41</v>
      </c>
      <c r="F1914" s="4" t="s">
        <v>5885</v>
      </c>
      <c r="G1914" s="4" t="s">
        <v>1883</v>
      </c>
      <c r="H1914" s="4">
        <v>1</v>
      </c>
      <c r="I1914" s="4">
        <v>1</v>
      </c>
      <c r="J1914" s="4" t="s">
        <v>8239</v>
      </c>
      <c r="K1914" s="4" t="s">
        <v>399</v>
      </c>
      <c r="L1914" s="6">
        <v>46319</v>
      </c>
      <c r="M1914" s="4" t="s">
        <v>5864</v>
      </c>
      <c r="N1914" s="4" t="s">
        <v>5883</v>
      </c>
    </row>
    <row r="1915" spans="1:14" ht="96" customHeight="1">
      <c r="A1915" s="8" t="s">
        <v>8240</v>
      </c>
      <c r="B1915" s="8" t="s">
        <v>394</v>
      </c>
      <c r="C1915" s="8" t="s">
        <v>395</v>
      </c>
      <c r="D1915" s="8" t="s">
        <v>2969</v>
      </c>
      <c r="E1915" s="8" t="s">
        <v>41</v>
      </c>
      <c r="F1915" s="8" t="s">
        <v>5888</v>
      </c>
      <c r="G1915" s="8" t="s">
        <v>1883</v>
      </c>
      <c r="H1915" s="8">
        <v>1</v>
      </c>
      <c r="I1915" s="8">
        <v>1</v>
      </c>
      <c r="J1915" s="8" t="s">
        <v>8241</v>
      </c>
      <c r="K1915" s="8" t="s">
        <v>399</v>
      </c>
      <c r="L1915" s="9">
        <v>46319</v>
      </c>
      <c r="M1915" s="8" t="s">
        <v>5864</v>
      </c>
      <c r="N1915" s="8" t="s">
        <v>5883</v>
      </c>
    </row>
    <row r="1916" spans="1:14" ht="82" customHeight="1">
      <c r="A1916" s="4" t="s">
        <v>8242</v>
      </c>
      <c r="B1916" s="4" t="s">
        <v>394</v>
      </c>
      <c r="C1916" s="4" t="s">
        <v>395</v>
      </c>
      <c r="D1916" s="4" t="s">
        <v>2969</v>
      </c>
      <c r="E1916" s="4" t="s">
        <v>41</v>
      </c>
      <c r="F1916" s="4" t="s">
        <v>5891</v>
      </c>
      <c r="G1916" s="4" t="s">
        <v>1883</v>
      </c>
      <c r="H1916" s="4">
        <v>1</v>
      </c>
      <c r="I1916" s="4">
        <v>1</v>
      </c>
      <c r="J1916" s="4" t="s">
        <v>8243</v>
      </c>
      <c r="K1916" s="4" t="s">
        <v>399</v>
      </c>
      <c r="L1916" s="6">
        <v>46319</v>
      </c>
      <c r="M1916" s="4" t="s">
        <v>5864</v>
      </c>
      <c r="N1916" s="4" t="s">
        <v>5883</v>
      </c>
    </row>
    <row r="1917" spans="1:14" ht="82" customHeight="1">
      <c r="A1917" s="8" t="s">
        <v>8244</v>
      </c>
      <c r="B1917" s="8" t="s">
        <v>394</v>
      </c>
      <c r="C1917" s="8" t="s">
        <v>395</v>
      </c>
      <c r="D1917" s="8" t="s">
        <v>2969</v>
      </c>
      <c r="E1917" s="8" t="s">
        <v>41</v>
      </c>
      <c r="F1917" s="8" t="s">
        <v>5894</v>
      </c>
      <c r="G1917" s="8" t="s">
        <v>1883</v>
      </c>
      <c r="H1917" s="8">
        <v>1</v>
      </c>
      <c r="I1917" s="8">
        <v>1</v>
      </c>
      <c r="J1917" s="8" t="s">
        <v>8245</v>
      </c>
      <c r="K1917" s="8" t="s">
        <v>399</v>
      </c>
      <c r="L1917" s="9">
        <v>46319</v>
      </c>
      <c r="M1917" s="8" t="s">
        <v>5864</v>
      </c>
      <c r="N1917" s="8" t="s">
        <v>5883</v>
      </c>
    </row>
    <row r="1918" spans="1:14" ht="68" customHeight="1">
      <c r="A1918" s="4" t="s">
        <v>8246</v>
      </c>
      <c r="B1918" s="4" t="s">
        <v>394</v>
      </c>
      <c r="C1918" s="4" t="s">
        <v>395</v>
      </c>
      <c r="D1918" s="4" t="s">
        <v>2969</v>
      </c>
      <c r="E1918" s="4" t="s">
        <v>41</v>
      </c>
      <c r="F1918" s="4" t="s">
        <v>5897</v>
      </c>
      <c r="G1918" s="4" t="s">
        <v>1883</v>
      </c>
      <c r="H1918" s="4">
        <v>1</v>
      </c>
      <c r="I1918" s="4">
        <v>1</v>
      </c>
      <c r="J1918" s="4" t="s">
        <v>8247</v>
      </c>
      <c r="K1918" s="4" t="s">
        <v>399</v>
      </c>
      <c r="L1918" s="6">
        <v>46319</v>
      </c>
      <c r="M1918" s="4" t="s">
        <v>5864</v>
      </c>
      <c r="N1918" s="4" t="s">
        <v>5883</v>
      </c>
    </row>
    <row r="1919" spans="1:14" ht="82" customHeight="1">
      <c r="A1919" s="8" t="s">
        <v>8248</v>
      </c>
      <c r="B1919" s="8" t="s">
        <v>394</v>
      </c>
      <c r="C1919" s="8" t="s">
        <v>395</v>
      </c>
      <c r="D1919" s="8" t="s">
        <v>2969</v>
      </c>
      <c r="E1919" s="8" t="s">
        <v>41</v>
      </c>
      <c r="F1919" s="8" t="s">
        <v>5900</v>
      </c>
      <c r="G1919" s="8" t="s">
        <v>1883</v>
      </c>
      <c r="H1919" s="8">
        <v>1</v>
      </c>
      <c r="I1919" s="8">
        <v>1</v>
      </c>
      <c r="J1919" s="8" t="s">
        <v>8249</v>
      </c>
      <c r="K1919" s="8" t="s">
        <v>399</v>
      </c>
      <c r="L1919" s="9">
        <v>46319</v>
      </c>
      <c r="M1919" s="8" t="s">
        <v>5864</v>
      </c>
      <c r="N1919" s="8" t="s">
        <v>5883</v>
      </c>
    </row>
    <row r="1920" spans="1:14" ht="82" customHeight="1">
      <c r="A1920" s="4" t="s">
        <v>8250</v>
      </c>
      <c r="B1920" s="4" t="s">
        <v>394</v>
      </c>
      <c r="C1920" s="4" t="s">
        <v>395</v>
      </c>
      <c r="D1920" s="4" t="s">
        <v>2969</v>
      </c>
      <c r="E1920" s="4" t="s">
        <v>41</v>
      </c>
      <c r="F1920" s="4" t="s">
        <v>5903</v>
      </c>
      <c r="G1920" s="4" t="s">
        <v>1883</v>
      </c>
      <c r="H1920" s="4">
        <v>1</v>
      </c>
      <c r="I1920" s="4">
        <v>1</v>
      </c>
      <c r="J1920" s="4" t="s">
        <v>8251</v>
      </c>
      <c r="K1920" s="4" t="s">
        <v>399</v>
      </c>
      <c r="L1920" s="6">
        <v>46319</v>
      </c>
      <c r="M1920" s="4" t="s">
        <v>5864</v>
      </c>
      <c r="N1920" s="4" t="s">
        <v>5883</v>
      </c>
    </row>
    <row r="1921" spans="1:14" ht="96" customHeight="1">
      <c r="A1921" s="8" t="s">
        <v>8252</v>
      </c>
      <c r="B1921" s="8" t="s">
        <v>402</v>
      </c>
      <c r="C1921" s="8" t="s">
        <v>403</v>
      </c>
      <c r="D1921" s="8" t="s">
        <v>5861</v>
      </c>
      <c r="E1921" s="8" t="s">
        <v>41</v>
      </c>
      <c r="F1921" s="8" t="s">
        <v>5994</v>
      </c>
      <c r="G1921" s="8" t="s">
        <v>1894</v>
      </c>
      <c r="H1921" s="8">
        <v>1</v>
      </c>
      <c r="I1921" s="8">
        <v>1</v>
      </c>
      <c r="J1921" s="8" t="s">
        <v>8253</v>
      </c>
      <c r="K1921" s="8" t="s">
        <v>408</v>
      </c>
      <c r="L1921" s="9">
        <v>46319</v>
      </c>
      <c r="M1921" s="8" t="s">
        <v>5864</v>
      </c>
      <c r="N1921" s="8" t="s">
        <v>5865</v>
      </c>
    </row>
    <row r="1922" spans="1:14" ht="54" customHeight="1">
      <c r="A1922" s="4" t="s">
        <v>8254</v>
      </c>
      <c r="B1922" s="4" t="s">
        <v>402</v>
      </c>
      <c r="C1922" s="4" t="s">
        <v>403</v>
      </c>
      <c r="D1922" s="4" t="s">
        <v>5861</v>
      </c>
      <c r="E1922" s="4" t="s">
        <v>41</v>
      </c>
      <c r="F1922" s="4" t="s">
        <v>5997</v>
      </c>
      <c r="G1922" s="4" t="s">
        <v>1894</v>
      </c>
      <c r="H1922" s="4">
        <v>1</v>
      </c>
      <c r="I1922" s="4">
        <v>1</v>
      </c>
      <c r="J1922" s="4" t="s">
        <v>8255</v>
      </c>
      <c r="K1922" s="4" t="s">
        <v>408</v>
      </c>
      <c r="L1922" s="6">
        <v>46319</v>
      </c>
      <c r="M1922" s="4" t="s">
        <v>5864</v>
      </c>
      <c r="N1922" s="4" t="s">
        <v>5865</v>
      </c>
    </row>
    <row r="1923" spans="1:14" ht="40" customHeight="1">
      <c r="A1923" s="8" t="s">
        <v>8256</v>
      </c>
      <c r="B1923" s="8" t="s">
        <v>402</v>
      </c>
      <c r="C1923" s="8" t="s">
        <v>403</v>
      </c>
      <c r="D1923" s="8" t="s">
        <v>5861</v>
      </c>
      <c r="E1923" s="8" t="s">
        <v>8257</v>
      </c>
      <c r="F1923" s="8" t="s">
        <v>7848</v>
      </c>
      <c r="G1923" s="8" t="s">
        <v>1894</v>
      </c>
      <c r="H1923" s="8">
        <v>1</v>
      </c>
      <c r="I1923" s="8">
        <v>1</v>
      </c>
      <c r="J1923" s="8" t="s">
        <v>8257</v>
      </c>
      <c r="K1923" s="8" t="s">
        <v>408</v>
      </c>
      <c r="L1923" s="9">
        <v>46319</v>
      </c>
      <c r="M1923" s="8" t="s">
        <v>5864</v>
      </c>
      <c r="N1923" s="8" t="s">
        <v>5865</v>
      </c>
    </row>
    <row r="1924" spans="1:14" ht="54" customHeight="1">
      <c r="A1924" s="4" t="s">
        <v>8258</v>
      </c>
      <c r="B1924" s="4" t="s">
        <v>402</v>
      </c>
      <c r="C1924" s="4" t="s">
        <v>403</v>
      </c>
      <c r="D1924" s="4" t="s">
        <v>5861</v>
      </c>
      <c r="E1924" s="4" t="s">
        <v>8257</v>
      </c>
      <c r="F1924" s="4" t="s">
        <v>7851</v>
      </c>
      <c r="G1924" s="4" t="s">
        <v>1894</v>
      </c>
      <c r="H1924" s="4">
        <v>1</v>
      </c>
      <c r="I1924" s="4">
        <v>1</v>
      </c>
      <c r="J1924" s="4" t="s">
        <v>8259</v>
      </c>
      <c r="K1924" s="4" t="s">
        <v>408</v>
      </c>
      <c r="L1924" s="6">
        <v>46319</v>
      </c>
      <c r="M1924" s="4" t="s">
        <v>5864</v>
      </c>
      <c r="N1924" s="4" t="s">
        <v>5870</v>
      </c>
    </row>
    <row r="1925" spans="1:14" ht="40" customHeight="1">
      <c r="A1925" s="8" t="s">
        <v>8260</v>
      </c>
      <c r="B1925" s="8" t="s">
        <v>402</v>
      </c>
      <c r="C1925" s="8" t="s">
        <v>403</v>
      </c>
      <c r="D1925" s="8" t="s">
        <v>5861</v>
      </c>
      <c r="E1925" s="8" t="s">
        <v>8257</v>
      </c>
      <c r="F1925" s="8" t="s">
        <v>8261</v>
      </c>
      <c r="G1925" s="8" t="s">
        <v>1894</v>
      </c>
      <c r="H1925" s="8">
        <v>1</v>
      </c>
      <c r="I1925" s="8">
        <v>1</v>
      </c>
      <c r="J1925" s="8" t="s">
        <v>8262</v>
      </c>
      <c r="K1925" s="8" t="s">
        <v>408</v>
      </c>
      <c r="L1925" s="9">
        <v>46319</v>
      </c>
      <c r="M1925" s="8" t="s">
        <v>5864</v>
      </c>
      <c r="N1925" s="8" t="s">
        <v>5870</v>
      </c>
    </row>
    <row r="1926" spans="1:14" ht="40" customHeight="1">
      <c r="A1926" s="4" t="s">
        <v>8263</v>
      </c>
      <c r="B1926" s="4" t="s">
        <v>402</v>
      </c>
      <c r="C1926" s="4" t="s">
        <v>403</v>
      </c>
      <c r="D1926" s="4" t="s">
        <v>5861</v>
      </c>
      <c r="E1926" s="4" t="s">
        <v>8264</v>
      </c>
      <c r="F1926" s="4" t="s">
        <v>7786</v>
      </c>
      <c r="G1926" s="4" t="s">
        <v>1894</v>
      </c>
      <c r="H1926" s="4">
        <v>1</v>
      </c>
      <c r="I1926" s="4">
        <v>1</v>
      </c>
      <c r="J1926" s="4" t="s">
        <v>8264</v>
      </c>
      <c r="K1926" s="4" t="s">
        <v>408</v>
      </c>
      <c r="L1926" s="6">
        <v>46319</v>
      </c>
      <c r="M1926" s="4" t="s">
        <v>5864</v>
      </c>
      <c r="N1926" s="4" t="s">
        <v>5865</v>
      </c>
    </row>
    <row r="1927" spans="1:14" ht="82" customHeight="1">
      <c r="A1927" s="8" t="s">
        <v>8265</v>
      </c>
      <c r="B1927" s="8" t="s">
        <v>402</v>
      </c>
      <c r="C1927" s="8" t="s">
        <v>403</v>
      </c>
      <c r="D1927" s="8" t="s">
        <v>5861</v>
      </c>
      <c r="E1927" s="8" t="s">
        <v>8264</v>
      </c>
      <c r="F1927" s="8" t="s">
        <v>7789</v>
      </c>
      <c r="G1927" s="8" t="s">
        <v>1894</v>
      </c>
      <c r="H1927" s="8">
        <v>1</v>
      </c>
      <c r="I1927" s="8">
        <v>1</v>
      </c>
      <c r="J1927" s="8" t="s">
        <v>8266</v>
      </c>
      <c r="K1927" s="8" t="s">
        <v>408</v>
      </c>
      <c r="L1927" s="9">
        <v>46319</v>
      </c>
      <c r="M1927" s="8" t="s">
        <v>5864</v>
      </c>
      <c r="N1927" s="8" t="s">
        <v>5865</v>
      </c>
    </row>
    <row r="1928" spans="1:14" ht="40" customHeight="1">
      <c r="A1928" s="4" t="s">
        <v>8267</v>
      </c>
      <c r="B1928" s="4" t="s">
        <v>402</v>
      </c>
      <c r="C1928" s="4" t="s">
        <v>403</v>
      </c>
      <c r="D1928" s="4" t="s">
        <v>5867</v>
      </c>
      <c r="E1928" s="4" t="s">
        <v>41</v>
      </c>
      <c r="F1928" s="4" t="s">
        <v>6111</v>
      </c>
      <c r="G1928" s="4" t="s">
        <v>1894</v>
      </c>
      <c r="H1928" s="4">
        <v>1</v>
      </c>
      <c r="I1928" s="4">
        <v>1</v>
      </c>
      <c r="J1928" s="4" t="s">
        <v>8268</v>
      </c>
      <c r="K1928" s="4" t="s">
        <v>408</v>
      </c>
      <c r="L1928" s="6">
        <v>46319</v>
      </c>
      <c r="M1928" s="4" t="s">
        <v>5864</v>
      </c>
      <c r="N1928" s="4" t="s">
        <v>5870</v>
      </c>
    </row>
    <row r="1929" spans="1:14" ht="54" customHeight="1">
      <c r="A1929" s="8" t="s">
        <v>8269</v>
      </c>
      <c r="B1929" s="8" t="s">
        <v>402</v>
      </c>
      <c r="C1929" s="8" t="s">
        <v>403</v>
      </c>
      <c r="D1929" s="8" t="s">
        <v>5867</v>
      </c>
      <c r="E1929" s="8" t="s">
        <v>41</v>
      </c>
      <c r="F1929" s="8" t="s">
        <v>7858</v>
      </c>
      <c r="G1929" s="8" t="s">
        <v>1894</v>
      </c>
      <c r="H1929" s="8">
        <v>1</v>
      </c>
      <c r="I1929" s="8">
        <v>1</v>
      </c>
      <c r="J1929" s="8" t="s">
        <v>8270</v>
      </c>
      <c r="K1929" s="8" t="s">
        <v>408</v>
      </c>
      <c r="L1929" s="9">
        <v>46319</v>
      </c>
      <c r="M1929" s="8" t="s">
        <v>5864</v>
      </c>
      <c r="N1929" s="8" t="s">
        <v>5870</v>
      </c>
    </row>
    <row r="1930" spans="1:14" ht="40" customHeight="1">
      <c r="A1930" s="4" t="s">
        <v>8271</v>
      </c>
      <c r="B1930" s="4" t="s">
        <v>402</v>
      </c>
      <c r="C1930" s="4" t="s">
        <v>403</v>
      </c>
      <c r="D1930" s="4" t="s">
        <v>5867</v>
      </c>
      <c r="E1930" s="4" t="s">
        <v>41</v>
      </c>
      <c r="F1930" s="4" t="s">
        <v>5872</v>
      </c>
      <c r="G1930" s="4" t="s">
        <v>1894</v>
      </c>
      <c r="H1930" s="4">
        <v>1</v>
      </c>
      <c r="I1930" s="4">
        <v>1</v>
      </c>
      <c r="J1930" s="4" t="s">
        <v>8272</v>
      </c>
      <c r="K1930" s="4" t="s">
        <v>408</v>
      </c>
      <c r="L1930" s="6">
        <v>46319</v>
      </c>
      <c r="M1930" s="4" t="s">
        <v>5864</v>
      </c>
      <c r="N1930" s="4" t="s">
        <v>5865</v>
      </c>
    </row>
    <row r="1931" spans="1:14" ht="40" customHeight="1">
      <c r="A1931" s="8" t="s">
        <v>8273</v>
      </c>
      <c r="B1931" s="8" t="s">
        <v>402</v>
      </c>
      <c r="C1931" s="8" t="s">
        <v>403</v>
      </c>
      <c r="D1931" s="8" t="s">
        <v>5867</v>
      </c>
      <c r="E1931" s="8" t="s">
        <v>41</v>
      </c>
      <c r="F1931" s="8" t="s">
        <v>5875</v>
      </c>
      <c r="G1931" s="8" t="s">
        <v>1894</v>
      </c>
      <c r="H1931" s="8">
        <v>1</v>
      </c>
      <c r="I1931" s="8">
        <v>1</v>
      </c>
      <c r="J1931" s="8" t="s">
        <v>8274</v>
      </c>
      <c r="K1931" s="8" t="s">
        <v>408</v>
      </c>
      <c r="L1931" s="9">
        <v>46319</v>
      </c>
      <c r="M1931" s="8" t="s">
        <v>5864</v>
      </c>
      <c r="N1931" s="8" t="s">
        <v>5865</v>
      </c>
    </row>
    <row r="1932" spans="1:14" ht="54" customHeight="1">
      <c r="A1932" s="4" t="s">
        <v>8275</v>
      </c>
      <c r="B1932" s="4" t="s">
        <v>402</v>
      </c>
      <c r="C1932" s="4" t="s">
        <v>403</v>
      </c>
      <c r="D1932" s="4" t="s">
        <v>5867</v>
      </c>
      <c r="E1932" s="4" t="s">
        <v>41</v>
      </c>
      <c r="F1932" s="4" t="s">
        <v>6118</v>
      </c>
      <c r="G1932" s="4" t="s">
        <v>1894</v>
      </c>
      <c r="H1932" s="4">
        <v>1</v>
      </c>
      <c r="I1932" s="4">
        <v>1</v>
      </c>
      <c r="J1932" s="4" t="s">
        <v>8276</v>
      </c>
      <c r="K1932" s="4" t="s">
        <v>408</v>
      </c>
      <c r="L1932" s="6">
        <v>46319</v>
      </c>
      <c r="M1932" s="4" t="s">
        <v>5864</v>
      </c>
      <c r="N1932" s="4" t="s">
        <v>5865</v>
      </c>
    </row>
    <row r="1933" spans="1:14" ht="54" customHeight="1">
      <c r="A1933" s="8" t="s">
        <v>8277</v>
      </c>
      <c r="B1933" s="8" t="s">
        <v>402</v>
      </c>
      <c r="C1933" s="8" t="s">
        <v>403</v>
      </c>
      <c r="D1933" s="8" t="s">
        <v>5867</v>
      </c>
      <c r="E1933" s="8" t="s">
        <v>41</v>
      </c>
      <c r="F1933" s="8" t="s">
        <v>6121</v>
      </c>
      <c r="G1933" s="8" t="s">
        <v>1894</v>
      </c>
      <c r="H1933" s="8">
        <v>1</v>
      </c>
      <c r="I1933" s="8">
        <v>1</v>
      </c>
      <c r="J1933" s="8" t="s">
        <v>8278</v>
      </c>
      <c r="K1933" s="8" t="s">
        <v>408</v>
      </c>
      <c r="L1933" s="9">
        <v>46319</v>
      </c>
      <c r="M1933" s="8" t="s">
        <v>5864</v>
      </c>
      <c r="N1933" s="8" t="s">
        <v>5865</v>
      </c>
    </row>
    <row r="1934" spans="1:14" ht="40" customHeight="1">
      <c r="A1934" s="4" t="s">
        <v>8279</v>
      </c>
      <c r="B1934" s="4" t="s">
        <v>402</v>
      </c>
      <c r="C1934" s="4" t="s">
        <v>403</v>
      </c>
      <c r="D1934" s="4" t="s">
        <v>5867</v>
      </c>
      <c r="E1934" s="4" t="s">
        <v>41</v>
      </c>
      <c r="F1934" s="4" t="s">
        <v>6124</v>
      </c>
      <c r="G1934" s="4" t="s">
        <v>1894</v>
      </c>
      <c r="H1934" s="4">
        <v>1</v>
      </c>
      <c r="I1934" s="4">
        <v>1</v>
      </c>
      <c r="J1934" s="4" t="s">
        <v>8280</v>
      </c>
      <c r="K1934" s="4" t="s">
        <v>408</v>
      </c>
      <c r="L1934" s="6">
        <v>46319</v>
      </c>
      <c r="M1934" s="4" t="s">
        <v>5864</v>
      </c>
      <c r="N1934" s="4" t="s">
        <v>5865</v>
      </c>
    </row>
    <row r="1935" spans="1:14" ht="82" customHeight="1">
      <c r="A1935" s="8" t="s">
        <v>8281</v>
      </c>
      <c r="B1935" s="8" t="s">
        <v>402</v>
      </c>
      <c r="C1935" s="8" t="s">
        <v>403</v>
      </c>
      <c r="D1935" s="8" t="s">
        <v>5867</v>
      </c>
      <c r="E1935" s="8" t="s">
        <v>41</v>
      </c>
      <c r="F1935" s="8" t="s">
        <v>7580</v>
      </c>
      <c r="G1935" s="8" t="s">
        <v>1894</v>
      </c>
      <c r="H1935" s="8">
        <v>1</v>
      </c>
      <c r="I1935" s="8">
        <v>1</v>
      </c>
      <c r="J1935" s="8" t="s">
        <v>8282</v>
      </c>
      <c r="K1935" s="8" t="s">
        <v>408</v>
      </c>
      <c r="L1935" s="9">
        <v>46319</v>
      </c>
      <c r="M1935" s="8" t="s">
        <v>5864</v>
      </c>
      <c r="N1935" s="8" t="s">
        <v>5865</v>
      </c>
    </row>
    <row r="1936" spans="1:14" ht="40" customHeight="1">
      <c r="A1936" s="4" t="s">
        <v>8283</v>
      </c>
      <c r="B1936" s="4" t="s">
        <v>402</v>
      </c>
      <c r="C1936" s="4" t="s">
        <v>403</v>
      </c>
      <c r="D1936" s="4" t="s">
        <v>637</v>
      </c>
      <c r="E1936" s="4" t="s">
        <v>41</v>
      </c>
      <c r="F1936" s="4" t="s">
        <v>926</v>
      </c>
      <c r="G1936" s="4" t="s">
        <v>1894</v>
      </c>
      <c r="H1936" s="4">
        <v>1</v>
      </c>
      <c r="I1936" s="4">
        <v>1</v>
      </c>
      <c r="J1936" s="4" t="s">
        <v>1892</v>
      </c>
      <c r="K1936" s="4" t="s">
        <v>408</v>
      </c>
      <c r="L1936" s="6">
        <v>46319</v>
      </c>
      <c r="M1936" s="4" t="s">
        <v>5864</v>
      </c>
      <c r="N1936" s="4" t="s">
        <v>5870</v>
      </c>
    </row>
    <row r="1937" spans="1:14" ht="40" customHeight="1">
      <c r="A1937" s="8" t="s">
        <v>8284</v>
      </c>
      <c r="B1937" s="8" t="s">
        <v>402</v>
      </c>
      <c r="C1937" s="8" t="s">
        <v>403</v>
      </c>
      <c r="D1937" s="8" t="s">
        <v>637</v>
      </c>
      <c r="E1937" s="8" t="s">
        <v>41</v>
      </c>
      <c r="F1937" s="8" t="s">
        <v>931</v>
      </c>
      <c r="G1937" s="8" t="s">
        <v>1894</v>
      </c>
      <c r="H1937" s="8">
        <v>1</v>
      </c>
      <c r="I1937" s="8">
        <v>1</v>
      </c>
      <c r="J1937" s="8" t="s">
        <v>1896</v>
      </c>
      <c r="K1937" s="8" t="s">
        <v>408</v>
      </c>
      <c r="L1937" s="9">
        <v>46319</v>
      </c>
      <c r="M1937" s="8" t="s">
        <v>5864</v>
      </c>
      <c r="N1937" s="8" t="s">
        <v>5870</v>
      </c>
    </row>
    <row r="1938" spans="1:14" ht="68" customHeight="1">
      <c r="A1938" s="4" t="s">
        <v>8285</v>
      </c>
      <c r="B1938" s="4" t="s">
        <v>402</v>
      </c>
      <c r="C1938" s="4" t="s">
        <v>403</v>
      </c>
      <c r="D1938" s="4" t="s">
        <v>637</v>
      </c>
      <c r="E1938" s="4" t="s">
        <v>41</v>
      </c>
      <c r="F1938" s="4" t="s">
        <v>935</v>
      </c>
      <c r="G1938" s="4" t="s">
        <v>1894</v>
      </c>
      <c r="H1938" s="4">
        <v>1</v>
      </c>
      <c r="I1938" s="4">
        <v>1</v>
      </c>
      <c r="J1938" s="4" t="s">
        <v>1899</v>
      </c>
      <c r="K1938" s="4" t="s">
        <v>408</v>
      </c>
      <c r="L1938" s="6">
        <v>46319</v>
      </c>
      <c r="M1938" s="4" t="s">
        <v>5864</v>
      </c>
      <c r="N1938" s="4" t="s">
        <v>5870</v>
      </c>
    </row>
    <row r="1939" spans="1:14" ht="40" customHeight="1">
      <c r="A1939" s="8" t="s">
        <v>8286</v>
      </c>
      <c r="B1939" s="8" t="s">
        <v>402</v>
      </c>
      <c r="C1939" s="8" t="s">
        <v>403</v>
      </c>
      <c r="D1939" s="8" t="s">
        <v>637</v>
      </c>
      <c r="E1939" s="8" t="s">
        <v>41</v>
      </c>
      <c r="F1939" s="8" t="s">
        <v>939</v>
      </c>
      <c r="G1939" s="8" t="s">
        <v>1894</v>
      </c>
      <c r="H1939" s="8">
        <v>1</v>
      </c>
      <c r="I1939" s="8">
        <v>1</v>
      </c>
      <c r="J1939" s="8" t="s">
        <v>1902</v>
      </c>
      <c r="K1939" s="8" t="s">
        <v>408</v>
      </c>
      <c r="L1939" s="9">
        <v>46319</v>
      </c>
      <c r="M1939" s="8" t="s">
        <v>5864</v>
      </c>
      <c r="N1939" s="8" t="s">
        <v>5870</v>
      </c>
    </row>
    <row r="1940" spans="1:14" ht="54" customHeight="1">
      <c r="A1940" s="4" t="s">
        <v>8287</v>
      </c>
      <c r="B1940" s="4" t="s">
        <v>402</v>
      </c>
      <c r="C1940" s="4" t="s">
        <v>403</v>
      </c>
      <c r="D1940" s="4" t="s">
        <v>637</v>
      </c>
      <c r="E1940" s="4" t="s">
        <v>41</v>
      </c>
      <c r="F1940" s="4" t="s">
        <v>943</v>
      </c>
      <c r="G1940" s="4" t="s">
        <v>1894</v>
      </c>
      <c r="H1940" s="4">
        <v>1</v>
      </c>
      <c r="I1940" s="4">
        <v>1</v>
      </c>
      <c r="J1940" s="4" t="s">
        <v>1905</v>
      </c>
      <c r="K1940" s="4" t="s">
        <v>408</v>
      </c>
      <c r="L1940" s="6">
        <v>46319</v>
      </c>
      <c r="M1940" s="4" t="s">
        <v>5864</v>
      </c>
      <c r="N1940" s="4" t="s">
        <v>5870</v>
      </c>
    </row>
    <row r="1941" spans="1:14" ht="40" customHeight="1">
      <c r="A1941" s="8" t="s">
        <v>8288</v>
      </c>
      <c r="B1941" s="8" t="s">
        <v>402</v>
      </c>
      <c r="C1941" s="8" t="s">
        <v>403</v>
      </c>
      <c r="D1941" s="8" t="s">
        <v>637</v>
      </c>
      <c r="E1941" s="8" t="s">
        <v>41</v>
      </c>
      <c r="F1941" s="8" t="s">
        <v>947</v>
      </c>
      <c r="G1941" s="8" t="s">
        <v>1894</v>
      </c>
      <c r="H1941" s="8">
        <v>1</v>
      </c>
      <c r="I1941" s="8">
        <v>1</v>
      </c>
      <c r="J1941" s="8" t="s">
        <v>1908</v>
      </c>
      <c r="K1941" s="8" t="s">
        <v>408</v>
      </c>
      <c r="L1941" s="9">
        <v>46319</v>
      </c>
      <c r="M1941" s="8" t="s">
        <v>5864</v>
      </c>
      <c r="N1941" s="8" t="s">
        <v>5870</v>
      </c>
    </row>
    <row r="1942" spans="1:14" ht="40" customHeight="1">
      <c r="A1942" s="4" t="s">
        <v>5487</v>
      </c>
      <c r="B1942" s="4" t="s">
        <v>402</v>
      </c>
      <c r="C1942" s="4" t="s">
        <v>403</v>
      </c>
      <c r="D1942" s="4" t="s">
        <v>7</v>
      </c>
      <c r="E1942" s="4" t="s">
        <v>41</v>
      </c>
      <c r="F1942" s="4" t="s">
        <v>6054</v>
      </c>
      <c r="G1942" s="4" t="s">
        <v>1894</v>
      </c>
      <c r="H1942" s="4">
        <v>1</v>
      </c>
      <c r="I1942" s="4">
        <v>1</v>
      </c>
      <c r="J1942" s="4" t="s">
        <v>5488</v>
      </c>
      <c r="K1942" s="4" t="s">
        <v>408</v>
      </c>
      <c r="L1942" s="6">
        <v>46319</v>
      </c>
      <c r="M1942" s="4" t="s">
        <v>5864</v>
      </c>
      <c r="N1942" s="4" t="s">
        <v>5870</v>
      </c>
    </row>
    <row r="1943" spans="1:14" ht="96" customHeight="1">
      <c r="A1943" s="8" t="s">
        <v>5489</v>
      </c>
      <c r="B1943" s="8" t="s">
        <v>402</v>
      </c>
      <c r="C1943" s="8" t="s">
        <v>403</v>
      </c>
      <c r="D1943" s="8" t="s">
        <v>7</v>
      </c>
      <c r="E1943" s="8" t="s">
        <v>41</v>
      </c>
      <c r="F1943" s="8" t="s">
        <v>6055</v>
      </c>
      <c r="G1943" s="8" t="s">
        <v>1894</v>
      </c>
      <c r="H1943" s="8">
        <v>1</v>
      </c>
      <c r="I1943" s="8">
        <v>1</v>
      </c>
      <c r="J1943" s="8" t="s">
        <v>5490</v>
      </c>
      <c r="K1943" s="8" t="s">
        <v>408</v>
      </c>
      <c r="L1943" s="9">
        <v>46319</v>
      </c>
      <c r="M1943" s="8" t="s">
        <v>5864</v>
      </c>
      <c r="N1943" s="8" t="s">
        <v>5870</v>
      </c>
    </row>
    <row r="1944" spans="1:14" ht="96" customHeight="1">
      <c r="A1944" s="4" t="s">
        <v>5491</v>
      </c>
      <c r="B1944" s="4" t="s">
        <v>402</v>
      </c>
      <c r="C1944" s="4" t="s">
        <v>403</v>
      </c>
      <c r="D1944" s="4" t="s">
        <v>7</v>
      </c>
      <c r="E1944" s="4" t="s">
        <v>41</v>
      </c>
      <c r="F1944" s="4" t="s">
        <v>8289</v>
      </c>
      <c r="G1944" s="4" t="s">
        <v>1894</v>
      </c>
      <c r="H1944" s="4">
        <v>1</v>
      </c>
      <c r="I1944" s="4">
        <v>1</v>
      </c>
      <c r="J1944" s="4" t="s">
        <v>5492</v>
      </c>
      <c r="K1944" s="4" t="s">
        <v>408</v>
      </c>
      <c r="L1944" s="6">
        <v>46319</v>
      </c>
      <c r="M1944" s="4" t="s">
        <v>5864</v>
      </c>
      <c r="N1944" s="4" t="s">
        <v>5870</v>
      </c>
    </row>
    <row r="1945" spans="1:14" ht="40" customHeight="1">
      <c r="A1945" s="8" t="s">
        <v>5493</v>
      </c>
      <c r="B1945" s="8" t="s">
        <v>402</v>
      </c>
      <c r="C1945" s="8" t="s">
        <v>403</v>
      </c>
      <c r="D1945" s="8" t="s">
        <v>7</v>
      </c>
      <c r="E1945" s="8" t="s">
        <v>41</v>
      </c>
      <c r="F1945" s="8" t="s">
        <v>8290</v>
      </c>
      <c r="G1945" s="8" t="s">
        <v>1894</v>
      </c>
      <c r="H1945" s="8">
        <v>1</v>
      </c>
      <c r="I1945" s="8">
        <v>1</v>
      </c>
      <c r="J1945" s="8" t="s">
        <v>5494</v>
      </c>
      <c r="K1945" s="8" t="s">
        <v>408</v>
      </c>
      <c r="L1945" s="9">
        <v>46319</v>
      </c>
      <c r="M1945" s="8" t="s">
        <v>5864</v>
      </c>
      <c r="N1945" s="8" t="s">
        <v>5870</v>
      </c>
    </row>
    <row r="1946" spans="1:14" ht="40" customHeight="1">
      <c r="A1946" s="4" t="s">
        <v>5495</v>
      </c>
      <c r="B1946" s="4" t="s">
        <v>402</v>
      </c>
      <c r="C1946" s="4" t="s">
        <v>403</v>
      </c>
      <c r="D1946" s="4" t="s">
        <v>7</v>
      </c>
      <c r="E1946" s="4" t="s">
        <v>41</v>
      </c>
      <c r="F1946" s="4" t="s">
        <v>8291</v>
      </c>
      <c r="G1946" s="4" t="s">
        <v>1894</v>
      </c>
      <c r="H1946" s="4">
        <v>1</v>
      </c>
      <c r="I1946" s="4">
        <v>1</v>
      </c>
      <c r="J1946" s="4" t="s">
        <v>5496</v>
      </c>
      <c r="K1946" s="4" t="s">
        <v>408</v>
      </c>
      <c r="L1946" s="6">
        <v>46319</v>
      </c>
      <c r="M1946" s="4" t="s">
        <v>5864</v>
      </c>
      <c r="N1946" s="4" t="s">
        <v>5870</v>
      </c>
    </row>
    <row r="1947" spans="1:14" ht="54" customHeight="1">
      <c r="A1947" s="8" t="s">
        <v>5497</v>
      </c>
      <c r="B1947" s="8" t="s">
        <v>402</v>
      </c>
      <c r="C1947" s="8" t="s">
        <v>403</v>
      </c>
      <c r="D1947" s="8" t="s">
        <v>7</v>
      </c>
      <c r="E1947" s="8" t="s">
        <v>41</v>
      </c>
      <c r="F1947" s="8" t="s">
        <v>8292</v>
      </c>
      <c r="G1947" s="8" t="s">
        <v>1894</v>
      </c>
      <c r="H1947" s="8">
        <v>1</v>
      </c>
      <c r="I1947" s="8">
        <v>1</v>
      </c>
      <c r="J1947" s="8" t="s">
        <v>5498</v>
      </c>
      <c r="K1947" s="8" t="s">
        <v>408</v>
      </c>
      <c r="L1947" s="9">
        <v>46319</v>
      </c>
      <c r="M1947" s="8" t="s">
        <v>5864</v>
      </c>
      <c r="N1947" s="8" t="s">
        <v>5870</v>
      </c>
    </row>
    <row r="1948" spans="1:14" ht="40" customHeight="1">
      <c r="A1948" s="4" t="s">
        <v>5499</v>
      </c>
      <c r="B1948" s="4" t="s">
        <v>402</v>
      </c>
      <c r="C1948" s="4" t="s">
        <v>403</v>
      </c>
      <c r="D1948" s="4" t="s">
        <v>7</v>
      </c>
      <c r="E1948" s="4" t="s">
        <v>41</v>
      </c>
      <c r="F1948" s="4" t="s">
        <v>8293</v>
      </c>
      <c r="G1948" s="4" t="s">
        <v>1894</v>
      </c>
      <c r="H1948" s="4">
        <v>1</v>
      </c>
      <c r="I1948" s="4">
        <v>1</v>
      </c>
      <c r="J1948" s="4" t="s">
        <v>5500</v>
      </c>
      <c r="K1948" s="4" t="s">
        <v>408</v>
      </c>
      <c r="L1948" s="6">
        <v>46319</v>
      </c>
      <c r="M1948" s="4" t="s">
        <v>5864</v>
      </c>
      <c r="N1948" s="4" t="s">
        <v>5870</v>
      </c>
    </row>
    <row r="1949" spans="1:14" ht="40" customHeight="1">
      <c r="A1949" s="8" t="s">
        <v>5501</v>
      </c>
      <c r="B1949" s="8" t="s">
        <v>402</v>
      </c>
      <c r="C1949" s="8" t="s">
        <v>403</v>
      </c>
      <c r="D1949" s="8" t="s">
        <v>7</v>
      </c>
      <c r="E1949" s="8" t="s">
        <v>41</v>
      </c>
      <c r="F1949" s="8" t="s">
        <v>8294</v>
      </c>
      <c r="G1949" s="8" t="s">
        <v>1894</v>
      </c>
      <c r="H1949" s="8">
        <v>1</v>
      </c>
      <c r="I1949" s="8">
        <v>1</v>
      </c>
      <c r="J1949" s="8" t="s">
        <v>5502</v>
      </c>
      <c r="K1949" s="8" t="s">
        <v>408</v>
      </c>
      <c r="L1949" s="9">
        <v>46319</v>
      </c>
      <c r="M1949" s="8" t="s">
        <v>5864</v>
      </c>
      <c r="N1949" s="8" t="s">
        <v>5870</v>
      </c>
    </row>
    <row r="1950" spans="1:14" ht="40" customHeight="1">
      <c r="A1950" s="4" t="s">
        <v>5503</v>
      </c>
      <c r="B1950" s="4" t="s">
        <v>402</v>
      </c>
      <c r="C1950" s="4" t="s">
        <v>403</v>
      </c>
      <c r="D1950" s="4" t="s">
        <v>7</v>
      </c>
      <c r="E1950" s="4" t="s">
        <v>5504</v>
      </c>
      <c r="F1950" s="4" t="s">
        <v>6834</v>
      </c>
      <c r="G1950" s="4" t="s">
        <v>1894</v>
      </c>
      <c r="H1950" s="4">
        <v>1</v>
      </c>
      <c r="I1950" s="4">
        <v>1</v>
      </c>
      <c r="J1950" s="4" t="s">
        <v>5504</v>
      </c>
      <c r="K1950" s="4" t="s">
        <v>408</v>
      </c>
      <c r="L1950" s="6">
        <v>46319</v>
      </c>
      <c r="M1950" s="4" t="s">
        <v>5864</v>
      </c>
      <c r="N1950" s="4" t="s">
        <v>5865</v>
      </c>
    </row>
    <row r="1951" spans="1:14" ht="40" customHeight="1">
      <c r="A1951" s="8" t="s">
        <v>5505</v>
      </c>
      <c r="B1951" s="8" t="s">
        <v>402</v>
      </c>
      <c r="C1951" s="8" t="s">
        <v>403</v>
      </c>
      <c r="D1951" s="8" t="s">
        <v>7</v>
      </c>
      <c r="E1951" s="8" t="s">
        <v>5504</v>
      </c>
      <c r="F1951" s="8" t="s">
        <v>8295</v>
      </c>
      <c r="G1951" s="8" t="s">
        <v>1894</v>
      </c>
      <c r="H1951" s="8">
        <v>1</v>
      </c>
      <c r="I1951" s="8">
        <v>1</v>
      </c>
      <c r="J1951" s="8" t="s">
        <v>5506</v>
      </c>
      <c r="K1951" s="8" t="s">
        <v>408</v>
      </c>
      <c r="L1951" s="9">
        <v>46319</v>
      </c>
      <c r="M1951" s="8" t="s">
        <v>5864</v>
      </c>
      <c r="N1951" s="8" t="s">
        <v>5870</v>
      </c>
    </row>
    <row r="1952" spans="1:14" ht="40" customHeight="1">
      <c r="A1952" s="4" t="s">
        <v>5507</v>
      </c>
      <c r="B1952" s="4" t="s">
        <v>402</v>
      </c>
      <c r="C1952" s="4" t="s">
        <v>403</v>
      </c>
      <c r="D1952" s="4" t="s">
        <v>7</v>
      </c>
      <c r="E1952" s="4" t="s">
        <v>5504</v>
      </c>
      <c r="F1952" s="4" t="s">
        <v>8296</v>
      </c>
      <c r="G1952" s="4" t="s">
        <v>1894</v>
      </c>
      <c r="H1952" s="4">
        <v>1</v>
      </c>
      <c r="I1952" s="4">
        <v>1</v>
      </c>
      <c r="J1952" s="4" t="s">
        <v>5508</v>
      </c>
      <c r="K1952" s="4" t="s">
        <v>408</v>
      </c>
      <c r="L1952" s="6">
        <v>46319</v>
      </c>
      <c r="M1952" s="4" t="s">
        <v>5864</v>
      </c>
      <c r="N1952" s="4" t="s">
        <v>5870</v>
      </c>
    </row>
    <row r="1953" spans="1:14" ht="40" customHeight="1">
      <c r="A1953" s="8" t="s">
        <v>5509</v>
      </c>
      <c r="B1953" s="8" t="s">
        <v>402</v>
      </c>
      <c r="C1953" s="8" t="s">
        <v>403</v>
      </c>
      <c r="D1953" s="8" t="s">
        <v>7</v>
      </c>
      <c r="E1953" s="8" t="s">
        <v>5504</v>
      </c>
      <c r="F1953" s="8" t="s">
        <v>8297</v>
      </c>
      <c r="G1953" s="8" t="s">
        <v>1894</v>
      </c>
      <c r="H1953" s="8">
        <v>1</v>
      </c>
      <c r="I1953" s="8">
        <v>1</v>
      </c>
      <c r="J1953" s="8" t="s">
        <v>5510</v>
      </c>
      <c r="K1953" s="8" t="s">
        <v>408</v>
      </c>
      <c r="L1953" s="9">
        <v>46319</v>
      </c>
      <c r="M1953" s="8" t="s">
        <v>5864</v>
      </c>
      <c r="N1953" s="8" t="s">
        <v>5870</v>
      </c>
    </row>
    <row r="1954" spans="1:14" ht="40" customHeight="1">
      <c r="A1954" s="4" t="s">
        <v>5511</v>
      </c>
      <c r="B1954" s="4" t="s">
        <v>402</v>
      </c>
      <c r="C1954" s="4" t="s">
        <v>403</v>
      </c>
      <c r="D1954" s="4" t="s">
        <v>7</v>
      </c>
      <c r="E1954" s="4" t="s">
        <v>5504</v>
      </c>
      <c r="F1954" s="4" t="s">
        <v>8298</v>
      </c>
      <c r="G1954" s="4" t="s">
        <v>1894</v>
      </c>
      <c r="H1954" s="4">
        <v>1</v>
      </c>
      <c r="I1954" s="4">
        <v>1</v>
      </c>
      <c r="J1954" s="4" t="s">
        <v>5512</v>
      </c>
      <c r="K1954" s="4" t="s">
        <v>408</v>
      </c>
      <c r="L1954" s="6">
        <v>46319</v>
      </c>
      <c r="M1954" s="4" t="s">
        <v>5864</v>
      </c>
      <c r="N1954" s="4" t="s">
        <v>5870</v>
      </c>
    </row>
    <row r="1955" spans="1:14" ht="40" customHeight="1">
      <c r="A1955" s="8" t="s">
        <v>5513</v>
      </c>
      <c r="B1955" s="8" t="s">
        <v>402</v>
      </c>
      <c r="C1955" s="8" t="s">
        <v>403</v>
      </c>
      <c r="D1955" s="8" t="s">
        <v>7</v>
      </c>
      <c r="E1955" s="8" t="s">
        <v>5504</v>
      </c>
      <c r="F1955" s="8" t="s">
        <v>8299</v>
      </c>
      <c r="G1955" s="8" t="s">
        <v>1894</v>
      </c>
      <c r="H1955" s="8">
        <v>1</v>
      </c>
      <c r="I1955" s="8">
        <v>1</v>
      </c>
      <c r="J1955" s="8" t="s">
        <v>5514</v>
      </c>
      <c r="K1955" s="8" t="s">
        <v>408</v>
      </c>
      <c r="L1955" s="9">
        <v>46319</v>
      </c>
      <c r="M1955" s="8" t="s">
        <v>5864</v>
      </c>
      <c r="N1955" s="8" t="s">
        <v>5870</v>
      </c>
    </row>
    <row r="1956" spans="1:14" ht="40" customHeight="1">
      <c r="A1956" s="4" t="s">
        <v>5515</v>
      </c>
      <c r="B1956" s="4" t="s">
        <v>402</v>
      </c>
      <c r="C1956" s="4" t="s">
        <v>403</v>
      </c>
      <c r="D1956" s="4" t="s">
        <v>7</v>
      </c>
      <c r="E1956" s="4" t="s">
        <v>5504</v>
      </c>
      <c r="F1956" s="4" t="s">
        <v>8300</v>
      </c>
      <c r="G1956" s="4" t="s">
        <v>1894</v>
      </c>
      <c r="H1956" s="4">
        <v>1</v>
      </c>
      <c r="I1956" s="4">
        <v>1</v>
      </c>
      <c r="J1956" s="4" t="s">
        <v>5516</v>
      </c>
      <c r="K1956" s="4" t="s">
        <v>408</v>
      </c>
      <c r="L1956" s="6">
        <v>46319</v>
      </c>
      <c r="M1956" s="4" t="s">
        <v>5864</v>
      </c>
      <c r="N1956" s="4" t="s">
        <v>5870</v>
      </c>
    </row>
    <row r="1957" spans="1:14" ht="40" customHeight="1">
      <c r="A1957" s="8" t="s">
        <v>5517</v>
      </c>
      <c r="B1957" s="8" t="s">
        <v>402</v>
      </c>
      <c r="C1957" s="8" t="s">
        <v>403</v>
      </c>
      <c r="D1957" s="8" t="s">
        <v>7</v>
      </c>
      <c r="E1957" s="8" t="s">
        <v>5504</v>
      </c>
      <c r="F1957" s="8" t="s">
        <v>8301</v>
      </c>
      <c r="G1957" s="8" t="s">
        <v>1894</v>
      </c>
      <c r="H1957" s="8">
        <v>1</v>
      </c>
      <c r="I1957" s="8">
        <v>1</v>
      </c>
      <c r="J1957" s="8" t="s">
        <v>5518</v>
      </c>
      <c r="K1957" s="8" t="s">
        <v>408</v>
      </c>
      <c r="L1957" s="9">
        <v>46319</v>
      </c>
      <c r="M1957" s="8" t="s">
        <v>5864</v>
      </c>
      <c r="N1957" s="8" t="s">
        <v>5870</v>
      </c>
    </row>
    <row r="1958" spans="1:14" ht="40" customHeight="1">
      <c r="A1958" s="4" t="s">
        <v>5519</v>
      </c>
      <c r="B1958" s="4" t="s">
        <v>402</v>
      </c>
      <c r="C1958" s="4" t="s">
        <v>403</v>
      </c>
      <c r="D1958" s="4" t="s">
        <v>7</v>
      </c>
      <c r="E1958" s="4" t="s">
        <v>5504</v>
      </c>
      <c r="F1958" s="4" t="s">
        <v>8302</v>
      </c>
      <c r="G1958" s="4" t="s">
        <v>1894</v>
      </c>
      <c r="H1958" s="4">
        <v>1</v>
      </c>
      <c r="I1958" s="4">
        <v>1</v>
      </c>
      <c r="J1958" s="4" t="s">
        <v>5520</v>
      </c>
      <c r="K1958" s="4" t="s">
        <v>408</v>
      </c>
      <c r="L1958" s="6">
        <v>46319</v>
      </c>
      <c r="M1958" s="4" t="s">
        <v>5864</v>
      </c>
      <c r="N1958" s="4" t="s">
        <v>5870</v>
      </c>
    </row>
    <row r="1959" spans="1:14" ht="40" customHeight="1">
      <c r="A1959" s="8" t="s">
        <v>5521</v>
      </c>
      <c r="B1959" s="8" t="s">
        <v>402</v>
      </c>
      <c r="C1959" s="8" t="s">
        <v>403</v>
      </c>
      <c r="D1959" s="8" t="s">
        <v>7</v>
      </c>
      <c r="E1959" s="8" t="s">
        <v>5504</v>
      </c>
      <c r="F1959" s="8" t="s">
        <v>8303</v>
      </c>
      <c r="G1959" s="8" t="s">
        <v>1894</v>
      </c>
      <c r="H1959" s="8">
        <v>1</v>
      </c>
      <c r="I1959" s="8">
        <v>1</v>
      </c>
      <c r="J1959" s="8" t="s">
        <v>5522</v>
      </c>
      <c r="K1959" s="8" t="s">
        <v>408</v>
      </c>
      <c r="L1959" s="9">
        <v>46319</v>
      </c>
      <c r="M1959" s="8" t="s">
        <v>5864</v>
      </c>
      <c r="N1959" s="8" t="s">
        <v>5870</v>
      </c>
    </row>
    <row r="1960" spans="1:14" ht="40" customHeight="1">
      <c r="A1960" s="4" t="s">
        <v>4514</v>
      </c>
      <c r="B1960" s="4" t="s">
        <v>402</v>
      </c>
      <c r="C1960" s="4" t="s">
        <v>403</v>
      </c>
      <c r="D1960" s="4" t="s">
        <v>5879</v>
      </c>
      <c r="E1960" s="4" t="s">
        <v>4515</v>
      </c>
      <c r="F1960" s="4" t="s">
        <v>3463</v>
      </c>
      <c r="G1960" s="4" t="s">
        <v>1894</v>
      </c>
      <c r="H1960" s="4">
        <v>1</v>
      </c>
      <c r="I1960" s="4">
        <v>1</v>
      </c>
      <c r="J1960" s="4" t="s">
        <v>4515</v>
      </c>
      <c r="K1960" s="4" t="s">
        <v>408</v>
      </c>
      <c r="L1960" s="6">
        <v>46319</v>
      </c>
      <c r="M1960" s="4" t="s">
        <v>5864</v>
      </c>
      <c r="N1960" s="4" t="s">
        <v>5865</v>
      </c>
    </row>
    <row r="1961" spans="1:14" ht="54" customHeight="1">
      <c r="A1961" s="8" t="s">
        <v>4516</v>
      </c>
      <c r="B1961" s="8" t="s">
        <v>402</v>
      </c>
      <c r="C1961" s="8" t="s">
        <v>403</v>
      </c>
      <c r="D1961" s="8" t="s">
        <v>5879</v>
      </c>
      <c r="E1961" s="8" t="s">
        <v>4515</v>
      </c>
      <c r="F1961" s="8" t="s">
        <v>3454</v>
      </c>
      <c r="G1961" s="8" t="s">
        <v>1894</v>
      </c>
      <c r="H1961" s="8">
        <v>1</v>
      </c>
      <c r="I1961" s="8">
        <v>1</v>
      </c>
      <c r="J1961" s="8" t="s">
        <v>4517</v>
      </c>
      <c r="K1961" s="8" t="s">
        <v>408</v>
      </c>
      <c r="L1961" s="9">
        <v>46319</v>
      </c>
      <c r="M1961" s="8" t="s">
        <v>5864</v>
      </c>
      <c r="N1961" s="8" t="s">
        <v>5865</v>
      </c>
    </row>
    <row r="1962" spans="1:14" ht="40" customHeight="1">
      <c r="A1962" s="4" t="s">
        <v>4518</v>
      </c>
      <c r="B1962" s="4" t="s">
        <v>402</v>
      </c>
      <c r="C1962" s="4" t="s">
        <v>403</v>
      </c>
      <c r="D1962" s="4" t="s">
        <v>5879</v>
      </c>
      <c r="E1962" s="4" t="s">
        <v>4519</v>
      </c>
      <c r="F1962" s="4" t="s">
        <v>3519</v>
      </c>
      <c r="G1962" s="4" t="s">
        <v>1894</v>
      </c>
      <c r="H1962" s="4">
        <v>1</v>
      </c>
      <c r="I1962" s="4">
        <v>1</v>
      </c>
      <c r="J1962" s="4" t="s">
        <v>4519</v>
      </c>
      <c r="K1962" s="4" t="s">
        <v>408</v>
      </c>
      <c r="L1962" s="6">
        <v>46319</v>
      </c>
      <c r="M1962" s="4" t="s">
        <v>5864</v>
      </c>
      <c r="N1962" s="4" t="s">
        <v>5865</v>
      </c>
    </row>
    <row r="1963" spans="1:14" ht="68" customHeight="1">
      <c r="A1963" s="8" t="s">
        <v>4520</v>
      </c>
      <c r="B1963" s="8" t="s">
        <v>402</v>
      </c>
      <c r="C1963" s="8" t="s">
        <v>403</v>
      </c>
      <c r="D1963" s="8" t="s">
        <v>5879</v>
      </c>
      <c r="E1963" s="8" t="s">
        <v>4519</v>
      </c>
      <c r="F1963" s="8" t="s">
        <v>3522</v>
      </c>
      <c r="G1963" s="8" t="s">
        <v>1894</v>
      </c>
      <c r="H1963" s="8">
        <v>1</v>
      </c>
      <c r="I1963" s="8">
        <v>1</v>
      </c>
      <c r="J1963" s="8" t="s">
        <v>4521</v>
      </c>
      <c r="K1963" s="8" t="s">
        <v>408</v>
      </c>
      <c r="L1963" s="9">
        <v>46319</v>
      </c>
      <c r="M1963" s="8" t="s">
        <v>5864</v>
      </c>
      <c r="N1963" s="8" t="s">
        <v>5865</v>
      </c>
    </row>
    <row r="1964" spans="1:14" ht="54" customHeight="1">
      <c r="A1964" s="4" t="s">
        <v>4522</v>
      </c>
      <c r="B1964" s="4" t="s">
        <v>402</v>
      </c>
      <c r="C1964" s="4" t="s">
        <v>403</v>
      </c>
      <c r="D1964" s="4" t="s">
        <v>5879</v>
      </c>
      <c r="E1964" s="4" t="s">
        <v>4519</v>
      </c>
      <c r="F1964" s="4" t="s">
        <v>3525</v>
      </c>
      <c r="G1964" s="4" t="s">
        <v>1894</v>
      </c>
      <c r="H1964" s="4">
        <v>1</v>
      </c>
      <c r="I1964" s="4">
        <v>1</v>
      </c>
      <c r="J1964" s="4" t="s">
        <v>4523</v>
      </c>
      <c r="K1964" s="4" t="s">
        <v>408</v>
      </c>
      <c r="L1964" s="6">
        <v>46319</v>
      </c>
      <c r="M1964" s="4" t="s">
        <v>5864</v>
      </c>
      <c r="N1964" s="4" t="s">
        <v>5865</v>
      </c>
    </row>
    <row r="1965" spans="1:14" ht="68" customHeight="1">
      <c r="A1965" s="8" t="s">
        <v>4524</v>
      </c>
      <c r="B1965" s="8" t="s">
        <v>402</v>
      </c>
      <c r="C1965" s="8" t="s">
        <v>403</v>
      </c>
      <c r="D1965" s="8" t="s">
        <v>5879</v>
      </c>
      <c r="E1965" s="8" t="s">
        <v>4519</v>
      </c>
      <c r="F1965" s="8" t="s">
        <v>4377</v>
      </c>
      <c r="G1965" s="8" t="s">
        <v>1894</v>
      </c>
      <c r="H1965" s="8">
        <v>1</v>
      </c>
      <c r="I1965" s="8">
        <v>1</v>
      </c>
      <c r="J1965" s="8" t="s">
        <v>4525</v>
      </c>
      <c r="K1965" s="8" t="s">
        <v>408</v>
      </c>
      <c r="L1965" s="9">
        <v>46319</v>
      </c>
      <c r="M1965" s="8" t="s">
        <v>5864</v>
      </c>
      <c r="N1965" s="8" t="s">
        <v>5865</v>
      </c>
    </row>
    <row r="1966" spans="1:14" ht="68" customHeight="1">
      <c r="A1966" s="4" t="s">
        <v>4526</v>
      </c>
      <c r="B1966" s="4" t="s">
        <v>402</v>
      </c>
      <c r="C1966" s="4" t="s">
        <v>403</v>
      </c>
      <c r="D1966" s="4" t="s">
        <v>5879</v>
      </c>
      <c r="E1966" s="4" t="s">
        <v>4519</v>
      </c>
      <c r="F1966" s="4" t="s">
        <v>4380</v>
      </c>
      <c r="G1966" s="4" t="s">
        <v>1894</v>
      </c>
      <c r="H1966" s="4">
        <v>1</v>
      </c>
      <c r="I1966" s="4">
        <v>1</v>
      </c>
      <c r="J1966" s="4" t="s">
        <v>4527</v>
      </c>
      <c r="K1966" s="4" t="s">
        <v>408</v>
      </c>
      <c r="L1966" s="6">
        <v>46319</v>
      </c>
      <c r="M1966" s="4" t="s">
        <v>5864</v>
      </c>
      <c r="N1966" s="4" t="s">
        <v>5865</v>
      </c>
    </row>
    <row r="1967" spans="1:14" ht="40" customHeight="1">
      <c r="A1967" s="8" t="s">
        <v>4528</v>
      </c>
      <c r="B1967" s="8" t="s">
        <v>402</v>
      </c>
      <c r="C1967" s="8" t="s">
        <v>403</v>
      </c>
      <c r="D1967" s="8" t="s">
        <v>5879</v>
      </c>
      <c r="E1967" s="8" t="s">
        <v>4529</v>
      </c>
      <c r="F1967" s="8" t="s">
        <v>4383</v>
      </c>
      <c r="G1967" s="8" t="s">
        <v>1894</v>
      </c>
      <c r="H1967" s="8">
        <v>1</v>
      </c>
      <c r="I1967" s="8">
        <v>1</v>
      </c>
      <c r="J1967" s="8" t="s">
        <v>4529</v>
      </c>
      <c r="K1967" s="8" t="s">
        <v>408</v>
      </c>
      <c r="L1967" s="9">
        <v>46319</v>
      </c>
      <c r="M1967" s="8" t="s">
        <v>5864</v>
      </c>
      <c r="N1967" s="8" t="s">
        <v>5865</v>
      </c>
    </row>
    <row r="1968" spans="1:14" ht="124" customHeight="1">
      <c r="A1968" s="4" t="s">
        <v>4530</v>
      </c>
      <c r="B1968" s="4" t="s">
        <v>402</v>
      </c>
      <c r="C1968" s="4" t="s">
        <v>403</v>
      </c>
      <c r="D1968" s="4" t="s">
        <v>5879</v>
      </c>
      <c r="E1968" s="4" t="s">
        <v>4529</v>
      </c>
      <c r="F1968" s="4" t="s">
        <v>4386</v>
      </c>
      <c r="G1968" s="4" t="s">
        <v>1894</v>
      </c>
      <c r="H1968" s="4">
        <v>1</v>
      </c>
      <c r="I1968" s="4">
        <v>1</v>
      </c>
      <c r="J1968" s="4" t="s">
        <v>4531</v>
      </c>
      <c r="K1968" s="4" t="s">
        <v>408</v>
      </c>
      <c r="L1968" s="6">
        <v>46319</v>
      </c>
      <c r="M1968" s="4" t="s">
        <v>5864</v>
      </c>
      <c r="N1968" s="4" t="s">
        <v>5865</v>
      </c>
    </row>
    <row r="1969" spans="1:14" ht="96" customHeight="1">
      <c r="A1969" s="8" t="s">
        <v>4532</v>
      </c>
      <c r="B1969" s="8" t="s">
        <v>402</v>
      </c>
      <c r="C1969" s="8" t="s">
        <v>403</v>
      </c>
      <c r="D1969" s="8" t="s">
        <v>5879</v>
      </c>
      <c r="E1969" s="8" t="s">
        <v>4529</v>
      </c>
      <c r="F1969" s="8" t="s">
        <v>4534</v>
      </c>
      <c r="G1969" s="8" t="s">
        <v>1894</v>
      </c>
      <c r="H1969" s="8">
        <v>1</v>
      </c>
      <c r="I1969" s="8">
        <v>1</v>
      </c>
      <c r="J1969" s="8" t="s">
        <v>4533</v>
      </c>
      <c r="K1969" s="8" t="s">
        <v>408</v>
      </c>
      <c r="L1969" s="9">
        <v>46319</v>
      </c>
      <c r="M1969" s="8" t="s">
        <v>5864</v>
      </c>
      <c r="N1969" s="8" t="s">
        <v>5870</v>
      </c>
    </row>
    <row r="1970" spans="1:14" ht="110" customHeight="1">
      <c r="A1970" s="4" t="s">
        <v>4535</v>
      </c>
      <c r="B1970" s="4" t="s">
        <v>402</v>
      </c>
      <c r="C1970" s="4" t="s">
        <v>403</v>
      </c>
      <c r="D1970" s="4" t="s">
        <v>5879</v>
      </c>
      <c r="E1970" s="4" t="s">
        <v>4529</v>
      </c>
      <c r="F1970" s="4" t="s">
        <v>4537</v>
      </c>
      <c r="G1970" s="4" t="s">
        <v>1894</v>
      </c>
      <c r="H1970" s="4">
        <v>1</v>
      </c>
      <c r="I1970" s="4">
        <v>1</v>
      </c>
      <c r="J1970" s="4" t="s">
        <v>4536</v>
      </c>
      <c r="K1970" s="4" t="s">
        <v>408</v>
      </c>
      <c r="L1970" s="6">
        <v>46319</v>
      </c>
      <c r="M1970" s="4" t="s">
        <v>5864</v>
      </c>
      <c r="N1970" s="4" t="s">
        <v>5870</v>
      </c>
    </row>
    <row r="1971" spans="1:14" ht="40" customHeight="1">
      <c r="A1971" s="8" t="s">
        <v>4538</v>
      </c>
      <c r="B1971" s="8" t="s">
        <v>402</v>
      </c>
      <c r="C1971" s="8" t="s">
        <v>403</v>
      </c>
      <c r="D1971" s="8" t="s">
        <v>5879</v>
      </c>
      <c r="E1971" s="8" t="s">
        <v>4539</v>
      </c>
      <c r="F1971" s="8" t="s">
        <v>4540</v>
      </c>
      <c r="G1971" s="8" t="s">
        <v>1894</v>
      </c>
      <c r="H1971" s="8">
        <v>1</v>
      </c>
      <c r="I1971" s="8">
        <v>1</v>
      </c>
      <c r="J1971" s="8" t="s">
        <v>4539</v>
      </c>
      <c r="K1971" s="8" t="s">
        <v>408</v>
      </c>
      <c r="L1971" s="9">
        <v>46319</v>
      </c>
      <c r="M1971" s="8" t="s">
        <v>5864</v>
      </c>
      <c r="N1971" s="8" t="s">
        <v>5865</v>
      </c>
    </row>
    <row r="1972" spans="1:14" ht="68" customHeight="1">
      <c r="A1972" s="4" t="s">
        <v>4541</v>
      </c>
      <c r="B1972" s="4" t="s">
        <v>402</v>
      </c>
      <c r="C1972" s="4" t="s">
        <v>403</v>
      </c>
      <c r="D1972" s="4" t="s">
        <v>5879</v>
      </c>
      <c r="E1972" s="4" t="s">
        <v>4539</v>
      </c>
      <c r="F1972" s="4" t="s">
        <v>4395</v>
      </c>
      <c r="G1972" s="4" t="s">
        <v>1894</v>
      </c>
      <c r="H1972" s="4">
        <v>1</v>
      </c>
      <c r="I1972" s="4">
        <v>1</v>
      </c>
      <c r="J1972" s="4" t="s">
        <v>4542</v>
      </c>
      <c r="K1972" s="4" t="s">
        <v>408</v>
      </c>
      <c r="L1972" s="6">
        <v>46319</v>
      </c>
      <c r="M1972" s="4" t="s">
        <v>5864</v>
      </c>
      <c r="N1972" s="4" t="s">
        <v>5865</v>
      </c>
    </row>
    <row r="1973" spans="1:14" ht="40" customHeight="1">
      <c r="A1973" s="8" t="s">
        <v>4543</v>
      </c>
      <c r="B1973" s="8" t="s">
        <v>402</v>
      </c>
      <c r="C1973" s="8" t="s">
        <v>403</v>
      </c>
      <c r="D1973" s="8" t="s">
        <v>5879</v>
      </c>
      <c r="E1973" s="8" t="s">
        <v>4544</v>
      </c>
      <c r="F1973" s="8" t="s">
        <v>4545</v>
      </c>
      <c r="G1973" s="8" t="s">
        <v>1894</v>
      </c>
      <c r="H1973" s="8">
        <v>1</v>
      </c>
      <c r="I1973" s="8">
        <v>1</v>
      </c>
      <c r="J1973" s="8" t="s">
        <v>4544</v>
      </c>
      <c r="K1973" s="8" t="s">
        <v>408</v>
      </c>
      <c r="L1973" s="9">
        <v>46319</v>
      </c>
      <c r="M1973" s="8" t="s">
        <v>5864</v>
      </c>
      <c r="N1973" s="8" t="s">
        <v>5865</v>
      </c>
    </row>
    <row r="1974" spans="1:14" ht="96" customHeight="1">
      <c r="A1974" s="4" t="s">
        <v>4546</v>
      </c>
      <c r="B1974" s="4" t="s">
        <v>402</v>
      </c>
      <c r="C1974" s="4" t="s">
        <v>403</v>
      </c>
      <c r="D1974" s="4" t="s">
        <v>5879</v>
      </c>
      <c r="E1974" s="4" t="s">
        <v>4544</v>
      </c>
      <c r="F1974" s="4" t="s">
        <v>4548</v>
      </c>
      <c r="G1974" s="4" t="s">
        <v>1894</v>
      </c>
      <c r="H1974" s="4">
        <v>1</v>
      </c>
      <c r="I1974" s="4">
        <v>1</v>
      </c>
      <c r="J1974" s="4" t="s">
        <v>4547</v>
      </c>
      <c r="K1974" s="4" t="s">
        <v>408</v>
      </c>
      <c r="L1974" s="6">
        <v>46319</v>
      </c>
      <c r="M1974" s="4" t="s">
        <v>5864</v>
      </c>
      <c r="N1974" s="4" t="s">
        <v>5865</v>
      </c>
    </row>
    <row r="1975" spans="1:14" ht="54" customHeight="1">
      <c r="A1975" s="8" t="s">
        <v>4549</v>
      </c>
      <c r="B1975" s="8" t="s">
        <v>402</v>
      </c>
      <c r="C1975" s="8" t="s">
        <v>403</v>
      </c>
      <c r="D1975" s="8" t="s">
        <v>5879</v>
      </c>
      <c r="E1975" s="8" t="s">
        <v>4544</v>
      </c>
      <c r="F1975" s="8" t="s">
        <v>4406</v>
      </c>
      <c r="G1975" s="8" t="s">
        <v>1894</v>
      </c>
      <c r="H1975" s="8">
        <v>1</v>
      </c>
      <c r="I1975" s="8">
        <v>1</v>
      </c>
      <c r="J1975" s="8" t="s">
        <v>4550</v>
      </c>
      <c r="K1975" s="8" t="s">
        <v>408</v>
      </c>
      <c r="L1975" s="9">
        <v>46319</v>
      </c>
      <c r="M1975" s="8" t="s">
        <v>5864</v>
      </c>
      <c r="N1975" s="8" t="s">
        <v>5865</v>
      </c>
    </row>
    <row r="1976" spans="1:14" ht="40" customHeight="1">
      <c r="A1976" s="4" t="s">
        <v>4551</v>
      </c>
      <c r="B1976" s="4" t="s">
        <v>402</v>
      </c>
      <c r="C1976" s="4" t="s">
        <v>403</v>
      </c>
      <c r="D1976" s="4" t="s">
        <v>5879</v>
      </c>
      <c r="E1976" s="4" t="s">
        <v>4552</v>
      </c>
      <c r="F1976" s="4" t="s">
        <v>4553</v>
      </c>
      <c r="G1976" s="4" t="s">
        <v>1894</v>
      </c>
      <c r="H1976" s="4">
        <v>1</v>
      </c>
      <c r="I1976" s="4">
        <v>1</v>
      </c>
      <c r="J1976" s="4" t="s">
        <v>4552</v>
      </c>
      <c r="K1976" s="4" t="s">
        <v>408</v>
      </c>
      <c r="L1976" s="6">
        <v>46319</v>
      </c>
      <c r="M1976" s="4" t="s">
        <v>5864</v>
      </c>
      <c r="N1976" s="4" t="s">
        <v>5865</v>
      </c>
    </row>
    <row r="1977" spans="1:14" ht="40" customHeight="1">
      <c r="A1977" s="8" t="s">
        <v>4554</v>
      </c>
      <c r="B1977" s="8" t="s">
        <v>402</v>
      </c>
      <c r="C1977" s="8" t="s">
        <v>403</v>
      </c>
      <c r="D1977" s="8" t="s">
        <v>5879</v>
      </c>
      <c r="E1977" s="8" t="s">
        <v>4552</v>
      </c>
      <c r="F1977" s="8" t="s">
        <v>4556</v>
      </c>
      <c r="G1977" s="8" t="s">
        <v>1894</v>
      </c>
      <c r="H1977" s="8">
        <v>1</v>
      </c>
      <c r="I1977" s="8">
        <v>1</v>
      </c>
      <c r="J1977" s="8" t="s">
        <v>4555</v>
      </c>
      <c r="K1977" s="8" t="s">
        <v>408</v>
      </c>
      <c r="L1977" s="9">
        <v>46319</v>
      </c>
      <c r="M1977" s="8" t="s">
        <v>5864</v>
      </c>
      <c r="N1977" s="8" t="s">
        <v>5870</v>
      </c>
    </row>
    <row r="1978" spans="1:14" ht="40" customHeight="1">
      <c r="A1978" s="4" t="s">
        <v>4557</v>
      </c>
      <c r="B1978" s="4" t="s">
        <v>402</v>
      </c>
      <c r="C1978" s="4" t="s">
        <v>403</v>
      </c>
      <c r="D1978" s="4" t="s">
        <v>5879</v>
      </c>
      <c r="E1978" s="4" t="s">
        <v>4552</v>
      </c>
      <c r="F1978" s="4" t="s">
        <v>4559</v>
      </c>
      <c r="G1978" s="4" t="s">
        <v>1894</v>
      </c>
      <c r="H1978" s="4">
        <v>1</v>
      </c>
      <c r="I1978" s="4">
        <v>1</v>
      </c>
      <c r="J1978" s="4" t="s">
        <v>4558</v>
      </c>
      <c r="K1978" s="4" t="s">
        <v>408</v>
      </c>
      <c r="L1978" s="6">
        <v>46319</v>
      </c>
      <c r="M1978" s="4" t="s">
        <v>5864</v>
      </c>
      <c r="N1978" s="4" t="s">
        <v>5870</v>
      </c>
    </row>
    <row r="1979" spans="1:14" ht="40" customHeight="1">
      <c r="A1979" s="8" t="s">
        <v>4560</v>
      </c>
      <c r="B1979" s="8" t="s">
        <v>402</v>
      </c>
      <c r="C1979" s="8" t="s">
        <v>403</v>
      </c>
      <c r="D1979" s="8" t="s">
        <v>5879</v>
      </c>
      <c r="E1979" s="8" t="s">
        <v>4552</v>
      </c>
      <c r="F1979" s="8" t="s">
        <v>4562</v>
      </c>
      <c r="G1979" s="8" t="s">
        <v>1894</v>
      </c>
      <c r="H1979" s="8">
        <v>1</v>
      </c>
      <c r="I1979" s="8">
        <v>1</v>
      </c>
      <c r="J1979" s="8" t="s">
        <v>4561</v>
      </c>
      <c r="K1979" s="8" t="s">
        <v>408</v>
      </c>
      <c r="L1979" s="9">
        <v>46319</v>
      </c>
      <c r="M1979" s="8" t="s">
        <v>5864</v>
      </c>
      <c r="N1979" s="8" t="s">
        <v>5870</v>
      </c>
    </row>
    <row r="1980" spans="1:14" ht="82" customHeight="1">
      <c r="A1980" s="4" t="s">
        <v>4563</v>
      </c>
      <c r="B1980" s="4" t="s">
        <v>402</v>
      </c>
      <c r="C1980" s="4" t="s">
        <v>403</v>
      </c>
      <c r="D1980" s="4" t="s">
        <v>5879</v>
      </c>
      <c r="E1980" s="4" t="s">
        <v>41</v>
      </c>
      <c r="F1980" s="4" t="s">
        <v>4565</v>
      </c>
      <c r="G1980" s="4" t="s">
        <v>1894</v>
      </c>
      <c r="H1980" s="4">
        <v>1</v>
      </c>
      <c r="I1980" s="4">
        <v>1</v>
      </c>
      <c r="J1980" s="4" t="s">
        <v>4564</v>
      </c>
      <c r="K1980" s="4" t="s">
        <v>408</v>
      </c>
      <c r="L1980" s="6">
        <v>46319</v>
      </c>
      <c r="M1980" s="4" t="s">
        <v>5864</v>
      </c>
      <c r="N1980" s="4" t="s">
        <v>5870</v>
      </c>
    </row>
    <row r="1981" spans="1:14" ht="54" customHeight="1">
      <c r="A1981" s="8" t="s">
        <v>4566</v>
      </c>
      <c r="B1981" s="8" t="s">
        <v>402</v>
      </c>
      <c r="C1981" s="8" t="s">
        <v>403</v>
      </c>
      <c r="D1981" s="8" t="s">
        <v>5879</v>
      </c>
      <c r="E1981" s="8" t="s">
        <v>41</v>
      </c>
      <c r="F1981" s="8" t="s">
        <v>4568</v>
      </c>
      <c r="G1981" s="8" t="s">
        <v>1894</v>
      </c>
      <c r="H1981" s="8">
        <v>1</v>
      </c>
      <c r="I1981" s="8">
        <v>1</v>
      </c>
      <c r="J1981" s="8" t="s">
        <v>4567</v>
      </c>
      <c r="K1981" s="8" t="s">
        <v>408</v>
      </c>
      <c r="L1981" s="9">
        <v>46319</v>
      </c>
      <c r="M1981" s="8" t="s">
        <v>5864</v>
      </c>
      <c r="N1981" s="8" t="s">
        <v>5870</v>
      </c>
    </row>
    <row r="1982" spans="1:14" ht="82" customHeight="1">
      <c r="A1982" s="4" t="s">
        <v>8304</v>
      </c>
      <c r="B1982" s="4" t="s">
        <v>402</v>
      </c>
      <c r="C1982" s="4" t="s">
        <v>403</v>
      </c>
      <c r="D1982" s="4" t="s">
        <v>2969</v>
      </c>
      <c r="E1982" s="4" t="s">
        <v>41</v>
      </c>
      <c r="F1982" s="4" t="s">
        <v>5881</v>
      </c>
      <c r="G1982" s="4" t="s">
        <v>1894</v>
      </c>
      <c r="H1982" s="4">
        <v>1</v>
      </c>
      <c r="I1982" s="4">
        <v>1</v>
      </c>
      <c r="J1982" s="4" t="s">
        <v>8305</v>
      </c>
      <c r="K1982" s="4" t="s">
        <v>408</v>
      </c>
      <c r="L1982" s="6">
        <v>46319</v>
      </c>
      <c r="M1982" s="4" t="s">
        <v>5864</v>
      </c>
      <c r="N1982" s="4" t="s">
        <v>5883</v>
      </c>
    </row>
    <row r="1983" spans="1:14" ht="40" customHeight="1">
      <c r="A1983" s="8" t="s">
        <v>8306</v>
      </c>
      <c r="B1983" s="8" t="s">
        <v>402</v>
      </c>
      <c r="C1983" s="8" t="s">
        <v>403</v>
      </c>
      <c r="D1983" s="8" t="s">
        <v>2969</v>
      </c>
      <c r="E1983" s="8" t="s">
        <v>41</v>
      </c>
      <c r="F1983" s="8" t="s">
        <v>5885</v>
      </c>
      <c r="G1983" s="8" t="s">
        <v>1894</v>
      </c>
      <c r="H1983" s="8">
        <v>1</v>
      </c>
      <c r="I1983" s="8">
        <v>1</v>
      </c>
      <c r="J1983" s="8" t="s">
        <v>8307</v>
      </c>
      <c r="K1983" s="8" t="s">
        <v>408</v>
      </c>
      <c r="L1983" s="9">
        <v>46319</v>
      </c>
      <c r="M1983" s="8" t="s">
        <v>5864</v>
      </c>
      <c r="N1983" s="8" t="s">
        <v>5883</v>
      </c>
    </row>
    <row r="1984" spans="1:14" ht="40" customHeight="1">
      <c r="A1984" s="4" t="s">
        <v>8308</v>
      </c>
      <c r="B1984" s="4" t="s">
        <v>402</v>
      </c>
      <c r="C1984" s="4" t="s">
        <v>403</v>
      </c>
      <c r="D1984" s="4" t="s">
        <v>2969</v>
      </c>
      <c r="E1984" s="4" t="s">
        <v>41</v>
      </c>
      <c r="F1984" s="4" t="s">
        <v>5888</v>
      </c>
      <c r="G1984" s="4" t="s">
        <v>1894</v>
      </c>
      <c r="H1984" s="4">
        <v>1</v>
      </c>
      <c r="I1984" s="4">
        <v>1</v>
      </c>
      <c r="J1984" s="4" t="s">
        <v>8309</v>
      </c>
      <c r="K1984" s="4" t="s">
        <v>408</v>
      </c>
      <c r="L1984" s="6">
        <v>46319</v>
      </c>
      <c r="M1984" s="4" t="s">
        <v>5864</v>
      </c>
      <c r="N1984" s="4" t="s">
        <v>5883</v>
      </c>
    </row>
    <row r="1985" spans="1:14" ht="54" customHeight="1">
      <c r="A1985" s="8" t="s">
        <v>8310</v>
      </c>
      <c r="B1985" s="8" t="s">
        <v>402</v>
      </c>
      <c r="C1985" s="8" t="s">
        <v>403</v>
      </c>
      <c r="D1985" s="8" t="s">
        <v>2969</v>
      </c>
      <c r="E1985" s="8" t="s">
        <v>41</v>
      </c>
      <c r="F1985" s="8" t="s">
        <v>5891</v>
      </c>
      <c r="G1985" s="8" t="s">
        <v>1894</v>
      </c>
      <c r="H1985" s="8">
        <v>1</v>
      </c>
      <c r="I1985" s="8">
        <v>1</v>
      </c>
      <c r="J1985" s="8" t="s">
        <v>8311</v>
      </c>
      <c r="K1985" s="8" t="s">
        <v>408</v>
      </c>
      <c r="L1985" s="9">
        <v>46319</v>
      </c>
      <c r="M1985" s="8" t="s">
        <v>5864</v>
      </c>
      <c r="N1985" s="8" t="s">
        <v>5883</v>
      </c>
    </row>
    <row r="1986" spans="1:14" ht="54" customHeight="1">
      <c r="A1986" s="4" t="s">
        <v>8312</v>
      </c>
      <c r="B1986" s="4" t="s">
        <v>402</v>
      </c>
      <c r="C1986" s="4" t="s">
        <v>403</v>
      </c>
      <c r="D1986" s="4" t="s">
        <v>2969</v>
      </c>
      <c r="E1986" s="4" t="s">
        <v>41</v>
      </c>
      <c r="F1986" s="4" t="s">
        <v>5894</v>
      </c>
      <c r="G1986" s="4" t="s">
        <v>1894</v>
      </c>
      <c r="H1986" s="4">
        <v>1</v>
      </c>
      <c r="I1986" s="4">
        <v>1</v>
      </c>
      <c r="J1986" s="4" t="s">
        <v>8313</v>
      </c>
      <c r="K1986" s="4" t="s">
        <v>408</v>
      </c>
      <c r="L1986" s="6">
        <v>46319</v>
      </c>
      <c r="M1986" s="4" t="s">
        <v>5864</v>
      </c>
      <c r="N1986" s="4" t="s">
        <v>5883</v>
      </c>
    </row>
    <row r="1987" spans="1:14" ht="40" customHeight="1">
      <c r="A1987" s="8" t="s">
        <v>8314</v>
      </c>
      <c r="B1987" s="8" t="s">
        <v>402</v>
      </c>
      <c r="C1987" s="8" t="s">
        <v>403</v>
      </c>
      <c r="D1987" s="8" t="s">
        <v>2969</v>
      </c>
      <c r="E1987" s="8" t="s">
        <v>41</v>
      </c>
      <c r="F1987" s="8" t="s">
        <v>5897</v>
      </c>
      <c r="G1987" s="8" t="s">
        <v>1894</v>
      </c>
      <c r="H1987" s="8">
        <v>1</v>
      </c>
      <c r="I1987" s="8">
        <v>1</v>
      </c>
      <c r="J1987" s="8" t="s">
        <v>8315</v>
      </c>
      <c r="K1987" s="8" t="s">
        <v>408</v>
      </c>
      <c r="L1987" s="9">
        <v>46319</v>
      </c>
      <c r="M1987" s="8" t="s">
        <v>5864</v>
      </c>
      <c r="N1987" s="8" t="s">
        <v>5883</v>
      </c>
    </row>
    <row r="1988" spans="1:14" ht="54" customHeight="1">
      <c r="A1988" s="4" t="s">
        <v>8316</v>
      </c>
      <c r="B1988" s="4" t="s">
        <v>402</v>
      </c>
      <c r="C1988" s="4" t="s">
        <v>403</v>
      </c>
      <c r="D1988" s="4" t="s">
        <v>2969</v>
      </c>
      <c r="E1988" s="4" t="s">
        <v>41</v>
      </c>
      <c r="F1988" s="4" t="s">
        <v>5900</v>
      </c>
      <c r="G1988" s="4" t="s">
        <v>1894</v>
      </c>
      <c r="H1988" s="4">
        <v>1</v>
      </c>
      <c r="I1988" s="4">
        <v>1</v>
      </c>
      <c r="J1988" s="4" t="s">
        <v>8317</v>
      </c>
      <c r="K1988" s="4" t="s">
        <v>408</v>
      </c>
      <c r="L1988" s="6">
        <v>46319</v>
      </c>
      <c r="M1988" s="4" t="s">
        <v>5864</v>
      </c>
      <c r="N1988" s="4" t="s">
        <v>5883</v>
      </c>
    </row>
    <row r="1989" spans="1:14" ht="68" customHeight="1">
      <c r="A1989" s="8" t="s">
        <v>8318</v>
      </c>
      <c r="B1989" s="8" t="s">
        <v>402</v>
      </c>
      <c r="C1989" s="8" t="s">
        <v>403</v>
      </c>
      <c r="D1989" s="8" t="s">
        <v>2969</v>
      </c>
      <c r="E1989" s="8" t="s">
        <v>41</v>
      </c>
      <c r="F1989" s="8" t="s">
        <v>5903</v>
      </c>
      <c r="G1989" s="8" t="s">
        <v>1894</v>
      </c>
      <c r="H1989" s="8">
        <v>1</v>
      </c>
      <c r="I1989" s="8">
        <v>1</v>
      </c>
      <c r="J1989" s="8" t="s">
        <v>8319</v>
      </c>
      <c r="K1989" s="8" t="s">
        <v>408</v>
      </c>
      <c r="L1989" s="9">
        <v>46319</v>
      </c>
      <c r="M1989" s="8" t="s">
        <v>5864</v>
      </c>
      <c r="N1989" s="8" t="s">
        <v>5883</v>
      </c>
    </row>
    <row r="1990" spans="1:14" ht="54" customHeight="1">
      <c r="A1990" s="4" t="s">
        <v>8320</v>
      </c>
      <c r="B1990" s="4" t="s">
        <v>402</v>
      </c>
      <c r="C1990" s="4" t="s">
        <v>403</v>
      </c>
      <c r="D1990" s="4" t="s">
        <v>2969</v>
      </c>
      <c r="E1990" s="4" t="s">
        <v>41</v>
      </c>
      <c r="F1990" s="4" t="s">
        <v>5906</v>
      </c>
      <c r="G1990" s="4" t="s">
        <v>1894</v>
      </c>
      <c r="H1990" s="4">
        <v>1</v>
      </c>
      <c r="I1990" s="4">
        <v>1</v>
      </c>
      <c r="J1990" s="4" t="s">
        <v>8321</v>
      </c>
      <c r="K1990" s="4" t="s">
        <v>408</v>
      </c>
      <c r="L1990" s="6">
        <v>46319</v>
      </c>
      <c r="M1990" s="4" t="s">
        <v>5864</v>
      </c>
      <c r="N1990" s="4" t="s">
        <v>5883</v>
      </c>
    </row>
    <row r="1991" spans="1:14" ht="68" customHeight="1">
      <c r="A1991" s="8" t="s">
        <v>8322</v>
      </c>
      <c r="B1991" s="8" t="s">
        <v>402</v>
      </c>
      <c r="C1991" s="8" t="s">
        <v>403</v>
      </c>
      <c r="D1991" s="8" t="s">
        <v>2969</v>
      </c>
      <c r="E1991" s="8" t="s">
        <v>41</v>
      </c>
      <c r="F1991" s="8" t="s">
        <v>5909</v>
      </c>
      <c r="G1991" s="8" t="s">
        <v>1894</v>
      </c>
      <c r="H1991" s="8">
        <v>1</v>
      </c>
      <c r="I1991" s="8">
        <v>1</v>
      </c>
      <c r="J1991" s="8" t="s">
        <v>8323</v>
      </c>
      <c r="K1991" s="8" t="s">
        <v>408</v>
      </c>
      <c r="L1991" s="9">
        <v>46319</v>
      </c>
      <c r="M1991" s="8" t="s">
        <v>5864</v>
      </c>
      <c r="N1991" s="8" t="s">
        <v>5883</v>
      </c>
    </row>
    <row r="1992" spans="1:14" ht="96" customHeight="1">
      <c r="A1992" s="4" t="s">
        <v>8324</v>
      </c>
      <c r="B1992" s="4" t="s">
        <v>402</v>
      </c>
      <c r="C1992" s="4" t="s">
        <v>403</v>
      </c>
      <c r="D1992" s="4" t="s">
        <v>2969</v>
      </c>
      <c r="E1992" s="4" t="s">
        <v>41</v>
      </c>
      <c r="F1992" s="4" t="s">
        <v>5912</v>
      </c>
      <c r="G1992" s="4" t="s">
        <v>1894</v>
      </c>
      <c r="H1992" s="4">
        <v>1</v>
      </c>
      <c r="I1992" s="4">
        <v>1</v>
      </c>
      <c r="J1992" s="4" t="s">
        <v>8325</v>
      </c>
      <c r="K1992" s="4" t="s">
        <v>408</v>
      </c>
      <c r="L1992" s="6">
        <v>46319</v>
      </c>
      <c r="M1992" s="4" t="s">
        <v>5864</v>
      </c>
      <c r="N1992" s="4" t="s">
        <v>5883</v>
      </c>
    </row>
    <row r="1993" spans="1:14" ht="68" customHeight="1">
      <c r="A1993" s="8" t="s">
        <v>8326</v>
      </c>
      <c r="B1993" s="8" t="s">
        <v>402</v>
      </c>
      <c r="C1993" s="8" t="s">
        <v>403</v>
      </c>
      <c r="D1993" s="8" t="s">
        <v>2969</v>
      </c>
      <c r="E1993" s="8" t="s">
        <v>41</v>
      </c>
      <c r="F1993" s="8" t="s">
        <v>5973</v>
      </c>
      <c r="G1993" s="8" t="s">
        <v>1894</v>
      </c>
      <c r="H1993" s="8">
        <v>1</v>
      </c>
      <c r="I1993" s="8">
        <v>1</v>
      </c>
      <c r="J1993" s="8" t="s">
        <v>8327</v>
      </c>
      <c r="K1993" s="8" t="s">
        <v>408</v>
      </c>
      <c r="L1993" s="9">
        <v>46319</v>
      </c>
      <c r="M1993" s="8" t="s">
        <v>5864</v>
      </c>
      <c r="N1993" s="8" t="s">
        <v>5883</v>
      </c>
    </row>
    <row r="1994" spans="1:14" ht="82" customHeight="1">
      <c r="A1994" s="4" t="s">
        <v>8328</v>
      </c>
      <c r="B1994" s="4" t="s">
        <v>411</v>
      </c>
      <c r="C1994" s="4" t="s">
        <v>412</v>
      </c>
      <c r="D1994" s="4" t="s">
        <v>5861</v>
      </c>
      <c r="E1994" s="4" t="s">
        <v>41</v>
      </c>
      <c r="F1994" s="4" t="s">
        <v>5862</v>
      </c>
      <c r="G1994" s="4" t="s">
        <v>1914</v>
      </c>
      <c r="H1994" s="4">
        <v>1</v>
      </c>
      <c r="I1994" s="4">
        <v>1</v>
      </c>
      <c r="J1994" s="4" t="s">
        <v>8329</v>
      </c>
      <c r="K1994" s="4" t="s">
        <v>416</v>
      </c>
      <c r="L1994" s="6">
        <v>46319</v>
      </c>
      <c r="M1994" s="4" t="s">
        <v>5864</v>
      </c>
      <c r="N1994" s="4" t="s">
        <v>5865</v>
      </c>
    </row>
    <row r="1995" spans="1:14" ht="54" customHeight="1">
      <c r="A1995" s="8" t="s">
        <v>8330</v>
      </c>
      <c r="B1995" s="8" t="s">
        <v>411</v>
      </c>
      <c r="C1995" s="8" t="s">
        <v>412</v>
      </c>
      <c r="D1995" s="8" t="s">
        <v>5867</v>
      </c>
      <c r="E1995" s="8" t="s">
        <v>8331</v>
      </c>
      <c r="F1995" s="8" t="s">
        <v>6248</v>
      </c>
      <c r="G1995" s="8" t="s">
        <v>1914</v>
      </c>
      <c r="H1995" s="8">
        <v>1</v>
      </c>
      <c r="I1995" s="8">
        <v>1</v>
      </c>
      <c r="J1995" s="8" t="s">
        <v>8331</v>
      </c>
      <c r="K1995" s="8" t="s">
        <v>416</v>
      </c>
      <c r="L1995" s="9">
        <v>46319</v>
      </c>
      <c r="M1995" s="8" t="s">
        <v>5864</v>
      </c>
      <c r="N1995" s="8" t="s">
        <v>5865</v>
      </c>
    </row>
    <row r="1996" spans="1:14" ht="54" customHeight="1">
      <c r="A1996" s="4" t="s">
        <v>8332</v>
      </c>
      <c r="B1996" s="4" t="s">
        <v>411</v>
      </c>
      <c r="C1996" s="4" t="s">
        <v>412</v>
      </c>
      <c r="D1996" s="4" t="s">
        <v>5867</v>
      </c>
      <c r="E1996" s="4" t="s">
        <v>8331</v>
      </c>
      <c r="F1996" s="4" t="s">
        <v>6142</v>
      </c>
      <c r="G1996" s="4" t="s">
        <v>1914</v>
      </c>
      <c r="H1996" s="4">
        <v>1</v>
      </c>
      <c r="I1996" s="4">
        <v>1</v>
      </c>
      <c r="J1996" s="4" t="s">
        <v>8333</v>
      </c>
      <c r="K1996" s="4" t="s">
        <v>416</v>
      </c>
      <c r="L1996" s="6">
        <v>46319</v>
      </c>
      <c r="M1996" s="4" t="s">
        <v>5864</v>
      </c>
      <c r="N1996" s="4" t="s">
        <v>5865</v>
      </c>
    </row>
    <row r="1997" spans="1:14" ht="54" customHeight="1">
      <c r="A1997" s="8" t="s">
        <v>8334</v>
      </c>
      <c r="B1997" s="8" t="s">
        <v>411</v>
      </c>
      <c r="C1997" s="8" t="s">
        <v>412</v>
      </c>
      <c r="D1997" s="8" t="s">
        <v>5867</v>
      </c>
      <c r="E1997" s="8" t="s">
        <v>8331</v>
      </c>
      <c r="F1997" s="8" t="s">
        <v>6391</v>
      </c>
      <c r="G1997" s="8" t="s">
        <v>1914</v>
      </c>
      <c r="H1997" s="8">
        <v>1</v>
      </c>
      <c r="I1997" s="8">
        <v>1</v>
      </c>
      <c r="J1997" s="8" t="s">
        <v>8335</v>
      </c>
      <c r="K1997" s="8" t="s">
        <v>416</v>
      </c>
      <c r="L1997" s="9">
        <v>46319</v>
      </c>
      <c r="M1997" s="8" t="s">
        <v>5864</v>
      </c>
      <c r="N1997" s="8" t="s">
        <v>5865</v>
      </c>
    </row>
    <row r="1998" spans="1:14" ht="54" customHeight="1">
      <c r="A1998" s="4" t="s">
        <v>8336</v>
      </c>
      <c r="B1998" s="4" t="s">
        <v>411</v>
      </c>
      <c r="C1998" s="4" t="s">
        <v>412</v>
      </c>
      <c r="D1998" s="4" t="s">
        <v>5867</v>
      </c>
      <c r="E1998" s="4" t="s">
        <v>8331</v>
      </c>
      <c r="F1998" s="4" t="s">
        <v>6765</v>
      </c>
      <c r="G1998" s="4" t="s">
        <v>1914</v>
      </c>
      <c r="H1998" s="4">
        <v>1</v>
      </c>
      <c r="I1998" s="4">
        <v>1</v>
      </c>
      <c r="J1998" s="4" t="s">
        <v>8337</v>
      </c>
      <c r="K1998" s="4" t="s">
        <v>416</v>
      </c>
      <c r="L1998" s="6">
        <v>46319</v>
      </c>
      <c r="M1998" s="4" t="s">
        <v>5864</v>
      </c>
      <c r="N1998" s="4" t="s">
        <v>5865</v>
      </c>
    </row>
    <row r="1999" spans="1:14" ht="54" customHeight="1">
      <c r="A1999" s="8" t="s">
        <v>8338</v>
      </c>
      <c r="B1999" s="8" t="s">
        <v>411</v>
      </c>
      <c r="C1999" s="8" t="s">
        <v>412</v>
      </c>
      <c r="D1999" s="8" t="s">
        <v>5867</v>
      </c>
      <c r="E1999" s="8" t="s">
        <v>8331</v>
      </c>
      <c r="F1999" s="8" t="s">
        <v>6394</v>
      </c>
      <c r="G1999" s="8" t="s">
        <v>1914</v>
      </c>
      <c r="H1999" s="8">
        <v>1</v>
      </c>
      <c r="I1999" s="8">
        <v>1</v>
      </c>
      <c r="J1999" s="8" t="s">
        <v>8339</v>
      </c>
      <c r="K1999" s="8" t="s">
        <v>416</v>
      </c>
      <c r="L1999" s="9">
        <v>46319</v>
      </c>
      <c r="M1999" s="8" t="s">
        <v>5864</v>
      </c>
      <c r="N1999" s="8" t="s">
        <v>5865</v>
      </c>
    </row>
    <row r="2000" spans="1:14" ht="54" customHeight="1">
      <c r="A2000" s="4" t="s">
        <v>8340</v>
      </c>
      <c r="B2000" s="4" t="s">
        <v>411</v>
      </c>
      <c r="C2000" s="4" t="s">
        <v>412</v>
      </c>
      <c r="D2000" s="4" t="s">
        <v>5867</v>
      </c>
      <c r="E2000" s="4" t="s">
        <v>8331</v>
      </c>
      <c r="F2000" s="4" t="s">
        <v>6774</v>
      </c>
      <c r="G2000" s="4" t="s">
        <v>1914</v>
      </c>
      <c r="H2000" s="4">
        <v>1</v>
      </c>
      <c r="I2000" s="4">
        <v>1</v>
      </c>
      <c r="J2000" s="4" t="s">
        <v>8341</v>
      </c>
      <c r="K2000" s="4" t="s">
        <v>416</v>
      </c>
      <c r="L2000" s="6">
        <v>46319</v>
      </c>
      <c r="M2000" s="4" t="s">
        <v>5864</v>
      </c>
      <c r="N2000" s="4" t="s">
        <v>5865</v>
      </c>
    </row>
    <row r="2001" spans="1:14" ht="54" customHeight="1">
      <c r="A2001" s="8" t="s">
        <v>8342</v>
      </c>
      <c r="B2001" s="8" t="s">
        <v>411</v>
      </c>
      <c r="C2001" s="8" t="s">
        <v>412</v>
      </c>
      <c r="D2001" s="8" t="s">
        <v>5867</v>
      </c>
      <c r="E2001" s="8" t="s">
        <v>8343</v>
      </c>
      <c r="F2001" s="8" t="s">
        <v>7449</v>
      </c>
      <c r="G2001" s="8" t="s">
        <v>1914</v>
      </c>
      <c r="H2001" s="8">
        <v>1</v>
      </c>
      <c r="I2001" s="8">
        <v>1</v>
      </c>
      <c r="J2001" s="8" t="s">
        <v>8343</v>
      </c>
      <c r="K2001" s="8" t="s">
        <v>416</v>
      </c>
      <c r="L2001" s="9">
        <v>46319</v>
      </c>
      <c r="M2001" s="8" t="s">
        <v>5864</v>
      </c>
      <c r="N2001" s="8" t="s">
        <v>5865</v>
      </c>
    </row>
    <row r="2002" spans="1:14" ht="54" customHeight="1">
      <c r="A2002" s="4" t="s">
        <v>8344</v>
      </c>
      <c r="B2002" s="4" t="s">
        <v>411</v>
      </c>
      <c r="C2002" s="4" t="s">
        <v>412</v>
      </c>
      <c r="D2002" s="4" t="s">
        <v>5867</v>
      </c>
      <c r="E2002" s="4" t="s">
        <v>8343</v>
      </c>
      <c r="F2002" s="4" t="s">
        <v>7453</v>
      </c>
      <c r="G2002" s="4" t="s">
        <v>1914</v>
      </c>
      <c r="H2002" s="4">
        <v>1</v>
      </c>
      <c r="I2002" s="4">
        <v>1</v>
      </c>
      <c r="J2002" s="4" t="s">
        <v>8333</v>
      </c>
      <c r="K2002" s="4" t="s">
        <v>416</v>
      </c>
      <c r="L2002" s="6">
        <v>46319</v>
      </c>
      <c r="M2002" s="4" t="s">
        <v>5864</v>
      </c>
      <c r="N2002" s="4" t="s">
        <v>5865</v>
      </c>
    </row>
    <row r="2003" spans="1:14" ht="54" customHeight="1">
      <c r="A2003" s="8" t="s">
        <v>8345</v>
      </c>
      <c r="B2003" s="8" t="s">
        <v>411</v>
      </c>
      <c r="C2003" s="8" t="s">
        <v>412</v>
      </c>
      <c r="D2003" s="8" t="s">
        <v>5867</v>
      </c>
      <c r="E2003" s="8" t="s">
        <v>8343</v>
      </c>
      <c r="F2003" s="8" t="s">
        <v>7455</v>
      </c>
      <c r="G2003" s="8" t="s">
        <v>1914</v>
      </c>
      <c r="H2003" s="8">
        <v>1</v>
      </c>
      <c r="I2003" s="8">
        <v>1</v>
      </c>
      <c r="J2003" s="8" t="s">
        <v>8335</v>
      </c>
      <c r="K2003" s="8" t="s">
        <v>416</v>
      </c>
      <c r="L2003" s="9">
        <v>46319</v>
      </c>
      <c r="M2003" s="8" t="s">
        <v>5864</v>
      </c>
      <c r="N2003" s="8" t="s">
        <v>5865</v>
      </c>
    </row>
    <row r="2004" spans="1:14" ht="54" customHeight="1">
      <c r="A2004" s="4" t="s">
        <v>8346</v>
      </c>
      <c r="B2004" s="4" t="s">
        <v>411</v>
      </c>
      <c r="C2004" s="4" t="s">
        <v>412</v>
      </c>
      <c r="D2004" s="4" t="s">
        <v>5867</v>
      </c>
      <c r="E2004" s="4" t="s">
        <v>8343</v>
      </c>
      <c r="F2004" s="4" t="s">
        <v>7459</v>
      </c>
      <c r="G2004" s="4" t="s">
        <v>1914</v>
      </c>
      <c r="H2004" s="4">
        <v>1</v>
      </c>
      <c r="I2004" s="4">
        <v>1</v>
      </c>
      <c r="J2004" s="4" t="s">
        <v>8337</v>
      </c>
      <c r="K2004" s="4" t="s">
        <v>416</v>
      </c>
      <c r="L2004" s="6">
        <v>46319</v>
      </c>
      <c r="M2004" s="4" t="s">
        <v>5864</v>
      </c>
      <c r="N2004" s="4" t="s">
        <v>5865</v>
      </c>
    </row>
    <row r="2005" spans="1:14" ht="54" customHeight="1">
      <c r="A2005" s="8" t="s">
        <v>8347</v>
      </c>
      <c r="B2005" s="8" t="s">
        <v>411</v>
      </c>
      <c r="C2005" s="8" t="s">
        <v>412</v>
      </c>
      <c r="D2005" s="8" t="s">
        <v>5867</v>
      </c>
      <c r="E2005" s="8" t="s">
        <v>8343</v>
      </c>
      <c r="F2005" s="8" t="s">
        <v>7461</v>
      </c>
      <c r="G2005" s="8" t="s">
        <v>1914</v>
      </c>
      <c r="H2005" s="8">
        <v>1</v>
      </c>
      <c r="I2005" s="8">
        <v>1</v>
      </c>
      <c r="J2005" s="8" t="s">
        <v>8339</v>
      </c>
      <c r="K2005" s="8" t="s">
        <v>416</v>
      </c>
      <c r="L2005" s="9">
        <v>46319</v>
      </c>
      <c r="M2005" s="8" t="s">
        <v>5864</v>
      </c>
      <c r="N2005" s="8" t="s">
        <v>5865</v>
      </c>
    </row>
    <row r="2006" spans="1:14" ht="54" customHeight="1">
      <c r="A2006" s="4" t="s">
        <v>8348</v>
      </c>
      <c r="B2006" s="4" t="s">
        <v>411</v>
      </c>
      <c r="C2006" s="4" t="s">
        <v>412</v>
      </c>
      <c r="D2006" s="4" t="s">
        <v>5867</v>
      </c>
      <c r="E2006" s="4" t="s">
        <v>8343</v>
      </c>
      <c r="F2006" s="4" t="s">
        <v>7465</v>
      </c>
      <c r="G2006" s="4" t="s">
        <v>1914</v>
      </c>
      <c r="H2006" s="4">
        <v>1</v>
      </c>
      <c r="I2006" s="4">
        <v>1</v>
      </c>
      <c r="J2006" s="4" t="s">
        <v>8349</v>
      </c>
      <c r="K2006" s="4" t="s">
        <v>416</v>
      </c>
      <c r="L2006" s="6">
        <v>46319</v>
      </c>
      <c r="M2006" s="4" t="s">
        <v>5864</v>
      </c>
      <c r="N2006" s="4" t="s">
        <v>5865</v>
      </c>
    </row>
    <row r="2007" spans="1:14" ht="54" customHeight="1">
      <c r="A2007" s="8" t="s">
        <v>8350</v>
      </c>
      <c r="B2007" s="8" t="s">
        <v>411</v>
      </c>
      <c r="C2007" s="8" t="s">
        <v>412</v>
      </c>
      <c r="D2007" s="8" t="s">
        <v>5867</v>
      </c>
      <c r="E2007" s="8" t="s">
        <v>8351</v>
      </c>
      <c r="F2007" s="8" t="s">
        <v>7471</v>
      </c>
      <c r="G2007" s="8" t="s">
        <v>1914</v>
      </c>
      <c r="H2007" s="8">
        <v>1</v>
      </c>
      <c r="I2007" s="8">
        <v>1</v>
      </c>
      <c r="J2007" s="8" t="s">
        <v>8351</v>
      </c>
      <c r="K2007" s="8" t="s">
        <v>416</v>
      </c>
      <c r="L2007" s="9">
        <v>46319</v>
      </c>
      <c r="M2007" s="8" t="s">
        <v>5864</v>
      </c>
      <c r="N2007" s="8" t="s">
        <v>5865</v>
      </c>
    </row>
    <row r="2008" spans="1:14" ht="54" customHeight="1">
      <c r="A2008" s="4" t="s">
        <v>8352</v>
      </c>
      <c r="B2008" s="4" t="s">
        <v>411</v>
      </c>
      <c r="C2008" s="4" t="s">
        <v>412</v>
      </c>
      <c r="D2008" s="4" t="s">
        <v>5867</v>
      </c>
      <c r="E2008" s="4" t="s">
        <v>8351</v>
      </c>
      <c r="F2008" s="4" t="s">
        <v>7473</v>
      </c>
      <c r="G2008" s="4" t="s">
        <v>1914</v>
      </c>
      <c r="H2008" s="4">
        <v>1</v>
      </c>
      <c r="I2008" s="4">
        <v>1</v>
      </c>
      <c r="J2008" s="4" t="s">
        <v>8353</v>
      </c>
      <c r="K2008" s="4" t="s">
        <v>416</v>
      </c>
      <c r="L2008" s="6">
        <v>46319</v>
      </c>
      <c r="M2008" s="4" t="s">
        <v>5864</v>
      </c>
      <c r="N2008" s="4" t="s">
        <v>5865</v>
      </c>
    </row>
    <row r="2009" spans="1:14" ht="54" customHeight="1">
      <c r="A2009" s="8" t="s">
        <v>8354</v>
      </c>
      <c r="B2009" s="8" t="s">
        <v>411</v>
      </c>
      <c r="C2009" s="8" t="s">
        <v>412</v>
      </c>
      <c r="D2009" s="8" t="s">
        <v>5867</v>
      </c>
      <c r="E2009" s="8" t="s">
        <v>8351</v>
      </c>
      <c r="F2009" s="8" t="s">
        <v>8355</v>
      </c>
      <c r="G2009" s="8" t="s">
        <v>1914</v>
      </c>
      <c r="H2009" s="8">
        <v>1</v>
      </c>
      <c r="I2009" s="8">
        <v>1</v>
      </c>
      <c r="J2009" s="8" t="s">
        <v>8335</v>
      </c>
      <c r="K2009" s="8" t="s">
        <v>416</v>
      </c>
      <c r="L2009" s="9">
        <v>46319</v>
      </c>
      <c r="M2009" s="8" t="s">
        <v>5864</v>
      </c>
      <c r="N2009" s="8" t="s">
        <v>5865</v>
      </c>
    </row>
    <row r="2010" spans="1:14" ht="54" customHeight="1">
      <c r="A2010" s="4" t="s">
        <v>8356</v>
      </c>
      <c r="B2010" s="4" t="s">
        <v>411</v>
      </c>
      <c r="C2010" s="4" t="s">
        <v>412</v>
      </c>
      <c r="D2010" s="4" t="s">
        <v>5867</v>
      </c>
      <c r="E2010" s="4" t="s">
        <v>8351</v>
      </c>
      <c r="F2010" s="4" t="s">
        <v>8357</v>
      </c>
      <c r="G2010" s="4" t="s">
        <v>1914</v>
      </c>
      <c r="H2010" s="4">
        <v>1</v>
      </c>
      <c r="I2010" s="4">
        <v>1</v>
      </c>
      <c r="J2010" s="4" t="s">
        <v>8337</v>
      </c>
      <c r="K2010" s="4" t="s">
        <v>416</v>
      </c>
      <c r="L2010" s="6">
        <v>46319</v>
      </c>
      <c r="M2010" s="4" t="s">
        <v>5864</v>
      </c>
      <c r="N2010" s="4" t="s">
        <v>5865</v>
      </c>
    </row>
    <row r="2011" spans="1:14" ht="54" customHeight="1">
      <c r="A2011" s="8" t="s">
        <v>8358</v>
      </c>
      <c r="B2011" s="8" t="s">
        <v>411</v>
      </c>
      <c r="C2011" s="8" t="s">
        <v>412</v>
      </c>
      <c r="D2011" s="8" t="s">
        <v>5867</v>
      </c>
      <c r="E2011" s="8" t="s">
        <v>8351</v>
      </c>
      <c r="F2011" s="8" t="s">
        <v>8359</v>
      </c>
      <c r="G2011" s="8" t="s">
        <v>1914</v>
      </c>
      <c r="H2011" s="8">
        <v>1</v>
      </c>
      <c r="I2011" s="8">
        <v>1</v>
      </c>
      <c r="J2011" s="8" t="s">
        <v>8339</v>
      </c>
      <c r="K2011" s="8" t="s">
        <v>416</v>
      </c>
      <c r="L2011" s="9">
        <v>46319</v>
      </c>
      <c r="M2011" s="8" t="s">
        <v>5864</v>
      </c>
      <c r="N2011" s="8" t="s">
        <v>5865</v>
      </c>
    </row>
    <row r="2012" spans="1:14" ht="54" customHeight="1">
      <c r="A2012" s="4" t="s">
        <v>8360</v>
      </c>
      <c r="B2012" s="4" t="s">
        <v>411</v>
      </c>
      <c r="C2012" s="4" t="s">
        <v>412</v>
      </c>
      <c r="D2012" s="4" t="s">
        <v>5867</v>
      </c>
      <c r="E2012" s="4" t="s">
        <v>8351</v>
      </c>
      <c r="F2012" s="4" t="s">
        <v>7486</v>
      </c>
      <c r="G2012" s="4" t="s">
        <v>1914</v>
      </c>
      <c r="H2012" s="4">
        <v>1</v>
      </c>
      <c r="I2012" s="4">
        <v>1</v>
      </c>
      <c r="J2012" s="4" t="s">
        <v>8361</v>
      </c>
      <c r="K2012" s="4" t="s">
        <v>416</v>
      </c>
      <c r="L2012" s="6">
        <v>46319</v>
      </c>
      <c r="M2012" s="4" t="s">
        <v>5864</v>
      </c>
      <c r="N2012" s="4" t="s">
        <v>5865</v>
      </c>
    </row>
    <row r="2013" spans="1:14" ht="54" customHeight="1">
      <c r="A2013" s="8" t="s">
        <v>8362</v>
      </c>
      <c r="B2013" s="8" t="s">
        <v>411</v>
      </c>
      <c r="C2013" s="8" t="s">
        <v>412</v>
      </c>
      <c r="D2013" s="8" t="s">
        <v>5867</v>
      </c>
      <c r="E2013" s="8" t="s">
        <v>8363</v>
      </c>
      <c r="F2013" s="8" t="s">
        <v>7495</v>
      </c>
      <c r="G2013" s="8" t="s">
        <v>1914</v>
      </c>
      <c r="H2013" s="8">
        <v>1</v>
      </c>
      <c r="I2013" s="8">
        <v>1</v>
      </c>
      <c r="J2013" s="8" t="s">
        <v>8363</v>
      </c>
      <c r="K2013" s="8" t="s">
        <v>416</v>
      </c>
      <c r="L2013" s="9">
        <v>46319</v>
      </c>
      <c r="M2013" s="8" t="s">
        <v>5864</v>
      </c>
      <c r="N2013" s="8" t="s">
        <v>5865</v>
      </c>
    </row>
    <row r="2014" spans="1:14" ht="54" customHeight="1">
      <c r="A2014" s="4" t="s">
        <v>8364</v>
      </c>
      <c r="B2014" s="4" t="s">
        <v>411</v>
      </c>
      <c r="C2014" s="4" t="s">
        <v>412</v>
      </c>
      <c r="D2014" s="4" t="s">
        <v>5867</v>
      </c>
      <c r="E2014" s="4" t="s">
        <v>8363</v>
      </c>
      <c r="F2014" s="4" t="s">
        <v>8365</v>
      </c>
      <c r="G2014" s="4" t="s">
        <v>1914</v>
      </c>
      <c r="H2014" s="4">
        <v>1</v>
      </c>
      <c r="I2014" s="4">
        <v>1</v>
      </c>
      <c r="J2014" s="4" t="s">
        <v>8366</v>
      </c>
      <c r="K2014" s="4" t="s">
        <v>416</v>
      </c>
      <c r="L2014" s="6">
        <v>46319</v>
      </c>
      <c r="M2014" s="4" t="s">
        <v>5864</v>
      </c>
      <c r="N2014" s="4" t="s">
        <v>5865</v>
      </c>
    </row>
    <row r="2015" spans="1:14" ht="54" customHeight="1">
      <c r="A2015" s="8" t="s">
        <v>8367</v>
      </c>
      <c r="B2015" s="8" t="s">
        <v>411</v>
      </c>
      <c r="C2015" s="8" t="s">
        <v>412</v>
      </c>
      <c r="D2015" s="8" t="s">
        <v>5867</v>
      </c>
      <c r="E2015" s="8" t="s">
        <v>8363</v>
      </c>
      <c r="F2015" s="8" t="s">
        <v>8368</v>
      </c>
      <c r="G2015" s="8" t="s">
        <v>1914</v>
      </c>
      <c r="H2015" s="8">
        <v>1</v>
      </c>
      <c r="I2015" s="8">
        <v>1</v>
      </c>
      <c r="J2015" s="8" t="s">
        <v>8335</v>
      </c>
      <c r="K2015" s="8" t="s">
        <v>416</v>
      </c>
      <c r="L2015" s="9">
        <v>46319</v>
      </c>
      <c r="M2015" s="8" t="s">
        <v>5864</v>
      </c>
      <c r="N2015" s="8" t="s">
        <v>5865</v>
      </c>
    </row>
    <row r="2016" spans="1:14" ht="54" customHeight="1">
      <c r="A2016" s="4" t="s">
        <v>8369</v>
      </c>
      <c r="B2016" s="4" t="s">
        <v>411</v>
      </c>
      <c r="C2016" s="4" t="s">
        <v>412</v>
      </c>
      <c r="D2016" s="4" t="s">
        <v>5867</v>
      </c>
      <c r="E2016" s="4" t="s">
        <v>8363</v>
      </c>
      <c r="F2016" s="4" t="s">
        <v>8370</v>
      </c>
      <c r="G2016" s="4" t="s">
        <v>1914</v>
      </c>
      <c r="H2016" s="4">
        <v>1</v>
      </c>
      <c r="I2016" s="4">
        <v>1</v>
      </c>
      <c r="J2016" s="4" t="s">
        <v>8337</v>
      </c>
      <c r="K2016" s="4" t="s">
        <v>416</v>
      </c>
      <c r="L2016" s="6">
        <v>46319</v>
      </c>
      <c r="M2016" s="4" t="s">
        <v>5864</v>
      </c>
      <c r="N2016" s="4" t="s">
        <v>5865</v>
      </c>
    </row>
    <row r="2017" spans="1:14" ht="54" customHeight="1">
      <c r="A2017" s="8" t="s">
        <v>8371</v>
      </c>
      <c r="B2017" s="8" t="s">
        <v>411</v>
      </c>
      <c r="C2017" s="8" t="s">
        <v>412</v>
      </c>
      <c r="D2017" s="8" t="s">
        <v>5867</v>
      </c>
      <c r="E2017" s="8" t="s">
        <v>8363</v>
      </c>
      <c r="F2017" s="8" t="s">
        <v>8372</v>
      </c>
      <c r="G2017" s="8" t="s">
        <v>1914</v>
      </c>
      <c r="H2017" s="8">
        <v>1</v>
      </c>
      <c r="I2017" s="8">
        <v>1</v>
      </c>
      <c r="J2017" s="8" t="s">
        <v>8339</v>
      </c>
      <c r="K2017" s="8" t="s">
        <v>416</v>
      </c>
      <c r="L2017" s="9">
        <v>46319</v>
      </c>
      <c r="M2017" s="8" t="s">
        <v>5864</v>
      </c>
      <c r="N2017" s="8" t="s">
        <v>5865</v>
      </c>
    </row>
    <row r="2018" spans="1:14" ht="54" customHeight="1">
      <c r="A2018" s="4" t="s">
        <v>8373</v>
      </c>
      <c r="B2018" s="4" t="s">
        <v>411</v>
      </c>
      <c r="C2018" s="4" t="s">
        <v>412</v>
      </c>
      <c r="D2018" s="4" t="s">
        <v>5867</v>
      </c>
      <c r="E2018" s="4" t="s">
        <v>8363</v>
      </c>
      <c r="F2018" s="4" t="s">
        <v>8374</v>
      </c>
      <c r="G2018" s="4" t="s">
        <v>1914</v>
      </c>
      <c r="H2018" s="4">
        <v>1</v>
      </c>
      <c r="I2018" s="4">
        <v>1</v>
      </c>
      <c r="J2018" s="4" t="s">
        <v>8375</v>
      </c>
      <c r="K2018" s="4" t="s">
        <v>416</v>
      </c>
      <c r="L2018" s="6">
        <v>46319</v>
      </c>
      <c r="M2018" s="4" t="s">
        <v>5864</v>
      </c>
      <c r="N2018" s="4" t="s">
        <v>5865</v>
      </c>
    </row>
    <row r="2019" spans="1:14" ht="54" customHeight="1">
      <c r="A2019" s="8" t="s">
        <v>8376</v>
      </c>
      <c r="B2019" s="8" t="s">
        <v>411</v>
      </c>
      <c r="C2019" s="8" t="s">
        <v>412</v>
      </c>
      <c r="D2019" s="8" t="s">
        <v>5867</v>
      </c>
      <c r="E2019" s="8" t="s">
        <v>8377</v>
      </c>
      <c r="F2019" s="8" t="s">
        <v>8378</v>
      </c>
      <c r="G2019" s="8" t="s">
        <v>1914</v>
      </c>
      <c r="H2019" s="8">
        <v>1</v>
      </c>
      <c r="I2019" s="8">
        <v>1</v>
      </c>
      <c r="J2019" s="8" t="s">
        <v>8377</v>
      </c>
      <c r="K2019" s="8" t="s">
        <v>416</v>
      </c>
      <c r="L2019" s="9">
        <v>46319</v>
      </c>
      <c r="M2019" s="8" t="s">
        <v>5864</v>
      </c>
      <c r="N2019" s="8" t="s">
        <v>5865</v>
      </c>
    </row>
    <row r="2020" spans="1:14" ht="54" customHeight="1">
      <c r="A2020" s="4" t="s">
        <v>8379</v>
      </c>
      <c r="B2020" s="4" t="s">
        <v>411</v>
      </c>
      <c r="C2020" s="4" t="s">
        <v>412</v>
      </c>
      <c r="D2020" s="4" t="s">
        <v>5867</v>
      </c>
      <c r="E2020" s="4" t="s">
        <v>8377</v>
      </c>
      <c r="F2020" s="4" t="s">
        <v>8380</v>
      </c>
      <c r="G2020" s="4" t="s">
        <v>1914</v>
      </c>
      <c r="H2020" s="4">
        <v>1</v>
      </c>
      <c r="I2020" s="4">
        <v>1</v>
      </c>
      <c r="J2020" s="4" t="s">
        <v>8381</v>
      </c>
      <c r="K2020" s="4" t="s">
        <v>416</v>
      </c>
      <c r="L2020" s="6">
        <v>46319</v>
      </c>
      <c r="M2020" s="4" t="s">
        <v>5864</v>
      </c>
      <c r="N2020" s="4" t="s">
        <v>5865</v>
      </c>
    </row>
    <row r="2021" spans="1:14" ht="54" customHeight="1">
      <c r="A2021" s="8" t="s">
        <v>8382</v>
      </c>
      <c r="B2021" s="8" t="s">
        <v>411</v>
      </c>
      <c r="C2021" s="8" t="s">
        <v>412</v>
      </c>
      <c r="D2021" s="8" t="s">
        <v>5867</v>
      </c>
      <c r="E2021" s="8" t="s">
        <v>8377</v>
      </c>
      <c r="F2021" s="8" t="s">
        <v>8383</v>
      </c>
      <c r="G2021" s="8" t="s">
        <v>1914</v>
      </c>
      <c r="H2021" s="8">
        <v>1</v>
      </c>
      <c r="I2021" s="8">
        <v>1</v>
      </c>
      <c r="J2021" s="8" t="s">
        <v>8337</v>
      </c>
      <c r="K2021" s="8" t="s">
        <v>416</v>
      </c>
      <c r="L2021" s="9">
        <v>46319</v>
      </c>
      <c r="M2021" s="8" t="s">
        <v>5864</v>
      </c>
      <c r="N2021" s="8" t="s">
        <v>5865</v>
      </c>
    </row>
    <row r="2022" spans="1:14" ht="54" customHeight="1">
      <c r="A2022" s="4" t="s">
        <v>8384</v>
      </c>
      <c r="B2022" s="4" t="s">
        <v>411</v>
      </c>
      <c r="C2022" s="4" t="s">
        <v>412</v>
      </c>
      <c r="D2022" s="4" t="s">
        <v>5867</v>
      </c>
      <c r="E2022" s="4" t="s">
        <v>8377</v>
      </c>
      <c r="F2022" s="4" t="s">
        <v>8385</v>
      </c>
      <c r="G2022" s="4" t="s">
        <v>1914</v>
      </c>
      <c r="H2022" s="4">
        <v>1</v>
      </c>
      <c r="I2022" s="4">
        <v>1</v>
      </c>
      <c r="J2022" s="4" t="s">
        <v>8339</v>
      </c>
      <c r="K2022" s="4" t="s">
        <v>416</v>
      </c>
      <c r="L2022" s="6">
        <v>46319</v>
      </c>
      <c r="M2022" s="4" t="s">
        <v>5864</v>
      </c>
      <c r="N2022" s="4" t="s">
        <v>5865</v>
      </c>
    </row>
    <row r="2023" spans="1:14" ht="54" customHeight="1">
      <c r="A2023" s="8" t="s">
        <v>8386</v>
      </c>
      <c r="B2023" s="8" t="s">
        <v>411</v>
      </c>
      <c r="C2023" s="8" t="s">
        <v>412</v>
      </c>
      <c r="D2023" s="8" t="s">
        <v>5867</v>
      </c>
      <c r="E2023" s="8" t="s">
        <v>8377</v>
      </c>
      <c r="F2023" s="8" t="s">
        <v>8387</v>
      </c>
      <c r="G2023" s="8" t="s">
        <v>1914</v>
      </c>
      <c r="H2023" s="8">
        <v>1</v>
      </c>
      <c r="I2023" s="8">
        <v>1</v>
      </c>
      <c r="J2023" s="8" t="s">
        <v>8388</v>
      </c>
      <c r="K2023" s="8" t="s">
        <v>416</v>
      </c>
      <c r="L2023" s="9">
        <v>46319</v>
      </c>
      <c r="M2023" s="8" t="s">
        <v>5864</v>
      </c>
      <c r="N2023" s="8" t="s">
        <v>5865</v>
      </c>
    </row>
    <row r="2024" spans="1:14" ht="54" customHeight="1">
      <c r="A2024" s="4" t="s">
        <v>8389</v>
      </c>
      <c r="B2024" s="4" t="s">
        <v>411</v>
      </c>
      <c r="C2024" s="4" t="s">
        <v>412</v>
      </c>
      <c r="D2024" s="4" t="s">
        <v>5867</v>
      </c>
      <c r="E2024" s="4" t="s">
        <v>8377</v>
      </c>
      <c r="F2024" s="4" t="s">
        <v>8390</v>
      </c>
      <c r="G2024" s="4" t="s">
        <v>1914</v>
      </c>
      <c r="H2024" s="4">
        <v>1</v>
      </c>
      <c r="I2024" s="4">
        <v>1</v>
      </c>
      <c r="J2024" s="4" t="s">
        <v>8391</v>
      </c>
      <c r="K2024" s="4" t="s">
        <v>416</v>
      </c>
      <c r="L2024" s="6">
        <v>46319</v>
      </c>
      <c r="M2024" s="4" t="s">
        <v>5864</v>
      </c>
      <c r="N2024" s="4" t="s">
        <v>5865</v>
      </c>
    </row>
    <row r="2025" spans="1:14" ht="54" customHeight="1">
      <c r="A2025" s="8" t="s">
        <v>8392</v>
      </c>
      <c r="B2025" s="8" t="s">
        <v>411</v>
      </c>
      <c r="C2025" s="8" t="s">
        <v>412</v>
      </c>
      <c r="D2025" s="8" t="s">
        <v>5867</v>
      </c>
      <c r="E2025" s="8" t="s">
        <v>8377</v>
      </c>
      <c r="F2025" s="8" t="s">
        <v>8393</v>
      </c>
      <c r="G2025" s="8" t="s">
        <v>1914</v>
      </c>
      <c r="H2025" s="8">
        <v>1</v>
      </c>
      <c r="I2025" s="8">
        <v>1</v>
      </c>
      <c r="J2025" s="8" t="s">
        <v>8394</v>
      </c>
      <c r="K2025" s="8" t="s">
        <v>416</v>
      </c>
      <c r="L2025" s="9">
        <v>46319</v>
      </c>
      <c r="M2025" s="8" t="s">
        <v>5864</v>
      </c>
      <c r="N2025" s="8" t="s">
        <v>5865</v>
      </c>
    </row>
    <row r="2026" spans="1:14" ht="54" customHeight="1">
      <c r="A2026" s="4" t="s">
        <v>8395</v>
      </c>
      <c r="B2026" s="4" t="s">
        <v>411</v>
      </c>
      <c r="C2026" s="4" t="s">
        <v>412</v>
      </c>
      <c r="D2026" s="4" t="s">
        <v>5867</v>
      </c>
      <c r="E2026" s="4" t="s">
        <v>8377</v>
      </c>
      <c r="F2026" s="4" t="s">
        <v>8396</v>
      </c>
      <c r="G2026" s="4" t="s">
        <v>1914</v>
      </c>
      <c r="H2026" s="4">
        <v>1</v>
      </c>
      <c r="I2026" s="4">
        <v>1</v>
      </c>
      <c r="J2026" s="4" t="s">
        <v>8397</v>
      </c>
      <c r="K2026" s="4" t="s">
        <v>416</v>
      </c>
      <c r="L2026" s="6">
        <v>46319</v>
      </c>
      <c r="M2026" s="4" t="s">
        <v>5864</v>
      </c>
      <c r="N2026" s="4" t="s">
        <v>5865</v>
      </c>
    </row>
    <row r="2027" spans="1:14" ht="68" customHeight="1">
      <c r="A2027" s="8" t="s">
        <v>8398</v>
      </c>
      <c r="B2027" s="8" t="s">
        <v>411</v>
      </c>
      <c r="C2027" s="8" t="s">
        <v>412</v>
      </c>
      <c r="D2027" s="8" t="s">
        <v>637</v>
      </c>
      <c r="E2027" s="8" t="s">
        <v>41</v>
      </c>
      <c r="F2027" s="8" t="s">
        <v>920</v>
      </c>
      <c r="G2027" s="8" t="s">
        <v>1914</v>
      </c>
      <c r="H2027" s="8">
        <v>1</v>
      </c>
      <c r="I2027" s="8">
        <v>1</v>
      </c>
      <c r="J2027" s="8" t="s">
        <v>1912</v>
      </c>
      <c r="K2027" s="8" t="s">
        <v>416</v>
      </c>
      <c r="L2027" s="9">
        <v>46319</v>
      </c>
      <c r="M2027" s="8" t="s">
        <v>5864</v>
      </c>
      <c r="N2027" s="8" t="s">
        <v>5865</v>
      </c>
    </row>
    <row r="2028" spans="1:14" ht="54" customHeight="1">
      <c r="A2028" s="4" t="s">
        <v>8399</v>
      </c>
      <c r="B2028" s="4" t="s">
        <v>411</v>
      </c>
      <c r="C2028" s="4" t="s">
        <v>412</v>
      </c>
      <c r="D2028" s="4" t="s">
        <v>637</v>
      </c>
      <c r="E2028" s="4" t="s">
        <v>41</v>
      </c>
      <c r="F2028" s="4" t="s">
        <v>988</v>
      </c>
      <c r="G2028" s="4" t="s">
        <v>1914</v>
      </c>
      <c r="H2028" s="4">
        <v>1</v>
      </c>
      <c r="I2028" s="4">
        <v>1</v>
      </c>
      <c r="J2028" s="4" t="s">
        <v>1916</v>
      </c>
      <c r="K2028" s="4" t="s">
        <v>416</v>
      </c>
      <c r="L2028" s="6">
        <v>46319</v>
      </c>
      <c r="M2028" s="4" t="s">
        <v>5864</v>
      </c>
      <c r="N2028" s="4" t="s">
        <v>5870</v>
      </c>
    </row>
    <row r="2029" spans="1:14" ht="54" customHeight="1">
      <c r="A2029" s="8" t="s">
        <v>8400</v>
      </c>
      <c r="B2029" s="8" t="s">
        <v>411</v>
      </c>
      <c r="C2029" s="8" t="s">
        <v>412</v>
      </c>
      <c r="D2029" s="8" t="s">
        <v>637</v>
      </c>
      <c r="E2029" s="8" t="s">
        <v>41</v>
      </c>
      <c r="F2029" s="8" t="s">
        <v>992</v>
      </c>
      <c r="G2029" s="8" t="s">
        <v>1914</v>
      </c>
      <c r="H2029" s="8">
        <v>1</v>
      </c>
      <c r="I2029" s="8">
        <v>1</v>
      </c>
      <c r="J2029" s="8" t="s">
        <v>1919</v>
      </c>
      <c r="K2029" s="8" t="s">
        <v>416</v>
      </c>
      <c r="L2029" s="9">
        <v>46319</v>
      </c>
      <c r="M2029" s="8" t="s">
        <v>5864</v>
      </c>
      <c r="N2029" s="8" t="s">
        <v>5870</v>
      </c>
    </row>
    <row r="2030" spans="1:14" ht="54" customHeight="1">
      <c r="A2030" s="4" t="s">
        <v>8401</v>
      </c>
      <c r="B2030" s="4" t="s">
        <v>411</v>
      </c>
      <c r="C2030" s="4" t="s">
        <v>412</v>
      </c>
      <c r="D2030" s="4" t="s">
        <v>637</v>
      </c>
      <c r="E2030" s="4" t="s">
        <v>41</v>
      </c>
      <c r="F2030" s="4" t="s">
        <v>996</v>
      </c>
      <c r="G2030" s="4" t="s">
        <v>1914</v>
      </c>
      <c r="H2030" s="4">
        <v>1</v>
      </c>
      <c r="I2030" s="4">
        <v>1</v>
      </c>
      <c r="J2030" s="4" t="s">
        <v>1922</v>
      </c>
      <c r="K2030" s="4" t="s">
        <v>416</v>
      </c>
      <c r="L2030" s="6">
        <v>46319</v>
      </c>
      <c r="M2030" s="4" t="s">
        <v>5864</v>
      </c>
      <c r="N2030" s="4" t="s">
        <v>5870</v>
      </c>
    </row>
    <row r="2031" spans="1:14" ht="54" customHeight="1">
      <c r="A2031" s="8" t="s">
        <v>8402</v>
      </c>
      <c r="B2031" s="8" t="s">
        <v>411</v>
      </c>
      <c r="C2031" s="8" t="s">
        <v>412</v>
      </c>
      <c r="D2031" s="8" t="s">
        <v>637</v>
      </c>
      <c r="E2031" s="8" t="s">
        <v>41</v>
      </c>
      <c r="F2031" s="8" t="s">
        <v>1000</v>
      </c>
      <c r="G2031" s="8" t="s">
        <v>1914</v>
      </c>
      <c r="H2031" s="8">
        <v>1</v>
      </c>
      <c r="I2031" s="8">
        <v>1</v>
      </c>
      <c r="J2031" s="8" t="s">
        <v>1925</v>
      </c>
      <c r="K2031" s="8" t="s">
        <v>416</v>
      </c>
      <c r="L2031" s="9">
        <v>46319</v>
      </c>
      <c r="M2031" s="8" t="s">
        <v>5864</v>
      </c>
      <c r="N2031" s="8" t="s">
        <v>5870</v>
      </c>
    </row>
    <row r="2032" spans="1:14" ht="54" customHeight="1">
      <c r="A2032" s="4" t="s">
        <v>8403</v>
      </c>
      <c r="B2032" s="4" t="s">
        <v>411</v>
      </c>
      <c r="C2032" s="4" t="s">
        <v>412</v>
      </c>
      <c r="D2032" s="4" t="s">
        <v>637</v>
      </c>
      <c r="E2032" s="4" t="s">
        <v>41</v>
      </c>
      <c r="F2032" s="4" t="s">
        <v>1210</v>
      </c>
      <c r="G2032" s="4" t="s">
        <v>1914</v>
      </c>
      <c r="H2032" s="4">
        <v>1</v>
      </c>
      <c r="I2032" s="4">
        <v>1</v>
      </c>
      <c r="J2032" s="4" t="s">
        <v>1928</v>
      </c>
      <c r="K2032" s="4" t="s">
        <v>416</v>
      </c>
      <c r="L2032" s="6">
        <v>46319</v>
      </c>
      <c r="M2032" s="4" t="s">
        <v>5864</v>
      </c>
      <c r="N2032" s="4" t="s">
        <v>5870</v>
      </c>
    </row>
    <row r="2033" spans="1:14" ht="54" customHeight="1">
      <c r="A2033" s="8" t="s">
        <v>8404</v>
      </c>
      <c r="B2033" s="8" t="s">
        <v>411</v>
      </c>
      <c r="C2033" s="8" t="s">
        <v>412</v>
      </c>
      <c r="D2033" s="8" t="s">
        <v>637</v>
      </c>
      <c r="E2033" s="8" t="s">
        <v>41</v>
      </c>
      <c r="F2033" s="8" t="s">
        <v>1091</v>
      </c>
      <c r="G2033" s="8" t="s">
        <v>1914</v>
      </c>
      <c r="H2033" s="8">
        <v>1</v>
      </c>
      <c r="I2033" s="8">
        <v>1</v>
      </c>
      <c r="J2033" s="8" t="s">
        <v>1931</v>
      </c>
      <c r="K2033" s="8" t="s">
        <v>416</v>
      </c>
      <c r="L2033" s="9">
        <v>46319</v>
      </c>
      <c r="M2033" s="8" t="s">
        <v>5864</v>
      </c>
      <c r="N2033" s="8" t="s">
        <v>5865</v>
      </c>
    </row>
    <row r="2034" spans="1:14" ht="54" customHeight="1">
      <c r="A2034" s="4" t="s">
        <v>8405</v>
      </c>
      <c r="B2034" s="4" t="s">
        <v>411</v>
      </c>
      <c r="C2034" s="4" t="s">
        <v>412</v>
      </c>
      <c r="D2034" s="4" t="s">
        <v>914</v>
      </c>
      <c r="E2034" s="4" t="s">
        <v>1934</v>
      </c>
      <c r="F2034" s="4" t="s">
        <v>1023</v>
      </c>
      <c r="G2034" s="4" t="s">
        <v>1914</v>
      </c>
      <c r="H2034" s="4">
        <v>1</v>
      </c>
      <c r="I2034" s="4">
        <v>1</v>
      </c>
      <c r="J2034" s="4" t="s">
        <v>1934</v>
      </c>
      <c r="K2034" s="4" t="s">
        <v>416</v>
      </c>
      <c r="L2034" s="6">
        <v>46319</v>
      </c>
      <c r="M2034" s="4" t="s">
        <v>5864</v>
      </c>
      <c r="N2034" s="4" t="s">
        <v>5865</v>
      </c>
    </row>
    <row r="2035" spans="1:14" ht="54" customHeight="1">
      <c r="A2035" s="8" t="s">
        <v>8406</v>
      </c>
      <c r="B2035" s="8" t="s">
        <v>411</v>
      </c>
      <c r="C2035" s="8" t="s">
        <v>412</v>
      </c>
      <c r="D2035" s="8" t="s">
        <v>914</v>
      </c>
      <c r="E2035" s="8" t="s">
        <v>1934</v>
      </c>
      <c r="F2035" s="8" t="s">
        <v>1458</v>
      </c>
      <c r="G2035" s="8" t="s">
        <v>1914</v>
      </c>
      <c r="H2035" s="8">
        <v>1</v>
      </c>
      <c r="I2035" s="8">
        <v>1</v>
      </c>
      <c r="J2035" s="8" t="s">
        <v>1937</v>
      </c>
      <c r="K2035" s="8" t="s">
        <v>416</v>
      </c>
      <c r="L2035" s="9">
        <v>46319</v>
      </c>
      <c r="M2035" s="8" t="s">
        <v>5864</v>
      </c>
      <c r="N2035" s="8" t="s">
        <v>5865</v>
      </c>
    </row>
    <row r="2036" spans="1:14" ht="54" customHeight="1">
      <c r="A2036" s="4" t="s">
        <v>8407</v>
      </c>
      <c r="B2036" s="4" t="s">
        <v>411</v>
      </c>
      <c r="C2036" s="4" t="s">
        <v>412</v>
      </c>
      <c r="D2036" s="4" t="s">
        <v>914</v>
      </c>
      <c r="E2036" s="4" t="s">
        <v>1934</v>
      </c>
      <c r="F2036" s="4" t="s">
        <v>1524</v>
      </c>
      <c r="G2036" s="4" t="s">
        <v>1914</v>
      </c>
      <c r="H2036" s="4">
        <v>1</v>
      </c>
      <c r="I2036" s="4">
        <v>1</v>
      </c>
      <c r="J2036" s="4" t="s">
        <v>1940</v>
      </c>
      <c r="K2036" s="4" t="s">
        <v>416</v>
      </c>
      <c r="L2036" s="6">
        <v>46319</v>
      </c>
      <c r="M2036" s="4" t="s">
        <v>5864</v>
      </c>
      <c r="N2036" s="4" t="s">
        <v>5865</v>
      </c>
    </row>
    <row r="2037" spans="1:14" ht="54" customHeight="1">
      <c r="A2037" s="8" t="s">
        <v>8408</v>
      </c>
      <c r="B2037" s="8" t="s">
        <v>411</v>
      </c>
      <c r="C2037" s="8" t="s">
        <v>412</v>
      </c>
      <c r="D2037" s="8" t="s">
        <v>914</v>
      </c>
      <c r="E2037" s="8" t="s">
        <v>1934</v>
      </c>
      <c r="F2037" s="8" t="s">
        <v>1465</v>
      </c>
      <c r="G2037" s="8" t="s">
        <v>1914</v>
      </c>
      <c r="H2037" s="8">
        <v>1</v>
      </c>
      <c r="I2037" s="8">
        <v>1</v>
      </c>
      <c r="J2037" s="8" t="s">
        <v>1943</v>
      </c>
      <c r="K2037" s="8" t="s">
        <v>416</v>
      </c>
      <c r="L2037" s="9">
        <v>46319</v>
      </c>
      <c r="M2037" s="8" t="s">
        <v>5864</v>
      </c>
      <c r="N2037" s="8" t="s">
        <v>5865</v>
      </c>
    </row>
    <row r="2038" spans="1:14" ht="54" customHeight="1">
      <c r="A2038" s="4" t="s">
        <v>8409</v>
      </c>
      <c r="B2038" s="4" t="s">
        <v>411</v>
      </c>
      <c r="C2038" s="4" t="s">
        <v>412</v>
      </c>
      <c r="D2038" s="4" t="s">
        <v>914</v>
      </c>
      <c r="E2038" s="4" t="s">
        <v>1934</v>
      </c>
      <c r="F2038" s="4" t="s">
        <v>1948</v>
      </c>
      <c r="G2038" s="4" t="s">
        <v>1914</v>
      </c>
      <c r="H2038" s="4">
        <v>1</v>
      </c>
      <c r="I2038" s="4">
        <v>1</v>
      </c>
      <c r="J2038" s="4" t="s">
        <v>1946</v>
      </c>
      <c r="K2038" s="4" t="s">
        <v>416</v>
      </c>
      <c r="L2038" s="6">
        <v>46319</v>
      </c>
      <c r="M2038" s="4" t="s">
        <v>5864</v>
      </c>
      <c r="N2038" s="4" t="s">
        <v>5865</v>
      </c>
    </row>
    <row r="2039" spans="1:14" ht="54" customHeight="1">
      <c r="A2039" s="8" t="s">
        <v>8410</v>
      </c>
      <c r="B2039" s="8" t="s">
        <v>411</v>
      </c>
      <c r="C2039" s="8" t="s">
        <v>412</v>
      </c>
      <c r="D2039" s="8" t="s">
        <v>914</v>
      </c>
      <c r="E2039" s="8" t="s">
        <v>1934</v>
      </c>
      <c r="F2039" s="8" t="s">
        <v>1473</v>
      </c>
      <c r="G2039" s="8" t="s">
        <v>1914</v>
      </c>
      <c r="H2039" s="8">
        <v>1</v>
      </c>
      <c r="I2039" s="8">
        <v>1</v>
      </c>
      <c r="J2039" s="8" t="s">
        <v>1950</v>
      </c>
      <c r="K2039" s="8" t="s">
        <v>416</v>
      </c>
      <c r="L2039" s="9">
        <v>46319</v>
      </c>
      <c r="M2039" s="8" t="s">
        <v>5864</v>
      </c>
      <c r="N2039" s="8" t="s">
        <v>5865</v>
      </c>
    </row>
    <row r="2040" spans="1:14" ht="54" customHeight="1">
      <c r="A2040" s="4" t="s">
        <v>5523</v>
      </c>
      <c r="B2040" s="4" t="s">
        <v>411</v>
      </c>
      <c r="C2040" s="4" t="s">
        <v>412</v>
      </c>
      <c r="D2040" s="4" t="s">
        <v>7</v>
      </c>
      <c r="E2040" s="4" t="s">
        <v>5524</v>
      </c>
      <c r="F2040" s="4" t="s">
        <v>6150</v>
      </c>
      <c r="G2040" s="4" t="s">
        <v>1914</v>
      </c>
      <c r="H2040" s="4">
        <v>1</v>
      </c>
      <c r="I2040" s="4">
        <v>1</v>
      </c>
      <c r="J2040" s="4" t="s">
        <v>5524</v>
      </c>
      <c r="K2040" s="4" t="s">
        <v>416</v>
      </c>
      <c r="L2040" s="6">
        <v>46319</v>
      </c>
      <c r="M2040" s="4" t="s">
        <v>5864</v>
      </c>
      <c r="N2040" s="4" t="s">
        <v>5865</v>
      </c>
    </row>
    <row r="2041" spans="1:14" ht="54" customHeight="1">
      <c r="A2041" s="8" t="s">
        <v>5525</v>
      </c>
      <c r="B2041" s="8" t="s">
        <v>411</v>
      </c>
      <c r="C2041" s="8" t="s">
        <v>412</v>
      </c>
      <c r="D2041" s="8" t="s">
        <v>7</v>
      </c>
      <c r="E2041" s="8" t="s">
        <v>5524</v>
      </c>
      <c r="F2041" s="8" t="s">
        <v>6834</v>
      </c>
      <c r="G2041" s="8" t="s">
        <v>1914</v>
      </c>
      <c r="H2041" s="8">
        <v>1</v>
      </c>
      <c r="I2041" s="8">
        <v>1</v>
      </c>
      <c r="J2041" s="8" t="s">
        <v>5526</v>
      </c>
      <c r="K2041" s="8" t="s">
        <v>416</v>
      </c>
      <c r="L2041" s="9">
        <v>46319</v>
      </c>
      <c r="M2041" s="8" t="s">
        <v>5864</v>
      </c>
      <c r="N2041" s="8" t="s">
        <v>5865</v>
      </c>
    </row>
    <row r="2042" spans="1:14" ht="54" customHeight="1">
      <c r="A2042" s="4" t="s">
        <v>5527</v>
      </c>
      <c r="B2042" s="4" t="s">
        <v>411</v>
      </c>
      <c r="C2042" s="4" t="s">
        <v>412</v>
      </c>
      <c r="D2042" s="4" t="s">
        <v>7</v>
      </c>
      <c r="E2042" s="4" t="s">
        <v>5524</v>
      </c>
      <c r="F2042" s="4" t="s">
        <v>7172</v>
      </c>
      <c r="G2042" s="4" t="s">
        <v>1914</v>
      </c>
      <c r="H2042" s="4">
        <v>1</v>
      </c>
      <c r="I2042" s="4">
        <v>1</v>
      </c>
      <c r="J2042" s="4" t="s">
        <v>5528</v>
      </c>
      <c r="K2042" s="4" t="s">
        <v>416</v>
      </c>
      <c r="L2042" s="6">
        <v>46319</v>
      </c>
      <c r="M2042" s="4" t="s">
        <v>5864</v>
      </c>
      <c r="N2042" s="4" t="s">
        <v>5865</v>
      </c>
    </row>
    <row r="2043" spans="1:14" ht="54" customHeight="1">
      <c r="A2043" s="8" t="s">
        <v>5529</v>
      </c>
      <c r="B2043" s="8" t="s">
        <v>411</v>
      </c>
      <c r="C2043" s="8" t="s">
        <v>412</v>
      </c>
      <c r="D2043" s="8" t="s">
        <v>7</v>
      </c>
      <c r="E2043" s="8" t="s">
        <v>5530</v>
      </c>
      <c r="F2043" s="8" t="s">
        <v>7173</v>
      </c>
      <c r="G2043" s="8" t="s">
        <v>1914</v>
      </c>
      <c r="H2043" s="8">
        <v>1</v>
      </c>
      <c r="I2043" s="8">
        <v>1</v>
      </c>
      <c r="J2043" s="8" t="s">
        <v>5530</v>
      </c>
      <c r="K2043" s="8" t="s">
        <v>416</v>
      </c>
      <c r="L2043" s="9">
        <v>46319</v>
      </c>
      <c r="M2043" s="8" t="s">
        <v>5864</v>
      </c>
      <c r="N2043" s="8" t="s">
        <v>5865</v>
      </c>
    </row>
    <row r="2044" spans="1:14" ht="54" customHeight="1">
      <c r="A2044" s="4" t="s">
        <v>5531</v>
      </c>
      <c r="B2044" s="4" t="s">
        <v>411</v>
      </c>
      <c r="C2044" s="4" t="s">
        <v>412</v>
      </c>
      <c r="D2044" s="4" t="s">
        <v>7</v>
      </c>
      <c r="E2044" s="4" t="s">
        <v>5530</v>
      </c>
      <c r="F2044" s="4" t="s">
        <v>7174</v>
      </c>
      <c r="G2044" s="4" t="s">
        <v>1914</v>
      </c>
      <c r="H2044" s="4">
        <v>1</v>
      </c>
      <c r="I2044" s="4">
        <v>1</v>
      </c>
      <c r="J2044" s="4" t="s">
        <v>5532</v>
      </c>
      <c r="K2044" s="4" t="s">
        <v>416</v>
      </c>
      <c r="L2044" s="6">
        <v>46319</v>
      </c>
      <c r="M2044" s="4" t="s">
        <v>5864</v>
      </c>
      <c r="N2044" s="4" t="s">
        <v>5865</v>
      </c>
    </row>
    <row r="2045" spans="1:14" ht="54" customHeight="1">
      <c r="A2045" s="8" t="s">
        <v>5533</v>
      </c>
      <c r="B2045" s="8" t="s">
        <v>411</v>
      </c>
      <c r="C2045" s="8" t="s">
        <v>412</v>
      </c>
      <c r="D2045" s="8" t="s">
        <v>7</v>
      </c>
      <c r="E2045" s="8" t="s">
        <v>5530</v>
      </c>
      <c r="F2045" s="8" t="s">
        <v>6928</v>
      </c>
      <c r="G2045" s="8" t="s">
        <v>1914</v>
      </c>
      <c r="H2045" s="8">
        <v>1</v>
      </c>
      <c r="I2045" s="8">
        <v>1</v>
      </c>
      <c r="J2045" s="8" t="s">
        <v>5534</v>
      </c>
      <c r="K2045" s="8" t="s">
        <v>416</v>
      </c>
      <c r="L2045" s="9">
        <v>46319</v>
      </c>
      <c r="M2045" s="8" t="s">
        <v>5864</v>
      </c>
      <c r="N2045" s="8" t="s">
        <v>5865</v>
      </c>
    </row>
    <row r="2046" spans="1:14" ht="54" customHeight="1">
      <c r="A2046" s="4" t="s">
        <v>5535</v>
      </c>
      <c r="B2046" s="4" t="s">
        <v>411</v>
      </c>
      <c r="C2046" s="4" t="s">
        <v>412</v>
      </c>
      <c r="D2046" s="4" t="s">
        <v>7</v>
      </c>
      <c r="E2046" s="4" t="s">
        <v>5530</v>
      </c>
      <c r="F2046" s="4" t="s">
        <v>7866</v>
      </c>
      <c r="G2046" s="4" t="s">
        <v>1914</v>
      </c>
      <c r="H2046" s="4">
        <v>1</v>
      </c>
      <c r="I2046" s="4">
        <v>1</v>
      </c>
      <c r="J2046" s="4" t="s">
        <v>5536</v>
      </c>
      <c r="K2046" s="4" t="s">
        <v>416</v>
      </c>
      <c r="L2046" s="6">
        <v>46319</v>
      </c>
      <c r="M2046" s="4" t="s">
        <v>5864</v>
      </c>
      <c r="N2046" s="4" t="s">
        <v>5865</v>
      </c>
    </row>
    <row r="2047" spans="1:14" ht="54" customHeight="1">
      <c r="A2047" s="8" t="s">
        <v>5537</v>
      </c>
      <c r="B2047" s="8" t="s">
        <v>411</v>
      </c>
      <c r="C2047" s="8" t="s">
        <v>412</v>
      </c>
      <c r="D2047" s="8" t="s">
        <v>7</v>
      </c>
      <c r="E2047" s="8" t="s">
        <v>5530</v>
      </c>
      <c r="F2047" s="8" t="s">
        <v>6931</v>
      </c>
      <c r="G2047" s="8" t="s">
        <v>1914</v>
      </c>
      <c r="H2047" s="8">
        <v>1</v>
      </c>
      <c r="I2047" s="8">
        <v>1</v>
      </c>
      <c r="J2047" s="8" t="s">
        <v>5538</v>
      </c>
      <c r="K2047" s="8" t="s">
        <v>416</v>
      </c>
      <c r="L2047" s="9">
        <v>46319</v>
      </c>
      <c r="M2047" s="8" t="s">
        <v>5864</v>
      </c>
      <c r="N2047" s="8" t="s">
        <v>5865</v>
      </c>
    </row>
    <row r="2048" spans="1:14" ht="54" customHeight="1">
      <c r="A2048" s="4" t="s">
        <v>5539</v>
      </c>
      <c r="B2048" s="4" t="s">
        <v>411</v>
      </c>
      <c r="C2048" s="4" t="s">
        <v>412</v>
      </c>
      <c r="D2048" s="4" t="s">
        <v>7</v>
      </c>
      <c r="E2048" s="4" t="s">
        <v>5530</v>
      </c>
      <c r="F2048" s="4" t="s">
        <v>7176</v>
      </c>
      <c r="G2048" s="4" t="s">
        <v>1914</v>
      </c>
      <c r="H2048" s="4">
        <v>1</v>
      </c>
      <c r="I2048" s="4">
        <v>1</v>
      </c>
      <c r="J2048" s="4" t="s">
        <v>5540</v>
      </c>
      <c r="K2048" s="4" t="s">
        <v>416</v>
      </c>
      <c r="L2048" s="6">
        <v>46319</v>
      </c>
      <c r="M2048" s="4" t="s">
        <v>5864</v>
      </c>
      <c r="N2048" s="4" t="s">
        <v>5865</v>
      </c>
    </row>
    <row r="2049" spans="1:14" ht="54" customHeight="1">
      <c r="A2049" s="8" t="s">
        <v>4569</v>
      </c>
      <c r="B2049" s="8" t="s">
        <v>411</v>
      </c>
      <c r="C2049" s="8" t="s">
        <v>412</v>
      </c>
      <c r="D2049" s="8" t="s">
        <v>5879</v>
      </c>
      <c r="E2049" s="8" t="s">
        <v>41</v>
      </c>
      <c r="F2049" s="8" t="s">
        <v>3449</v>
      </c>
      <c r="G2049" s="8" t="s">
        <v>1914</v>
      </c>
      <c r="H2049" s="8">
        <v>1</v>
      </c>
      <c r="I2049" s="8">
        <v>1</v>
      </c>
      <c r="J2049" s="8" t="s">
        <v>4570</v>
      </c>
      <c r="K2049" s="8" t="s">
        <v>416</v>
      </c>
      <c r="L2049" s="9">
        <v>46319</v>
      </c>
      <c r="M2049" s="8" t="s">
        <v>5864</v>
      </c>
      <c r="N2049" s="8" t="s">
        <v>5865</v>
      </c>
    </row>
    <row r="2050" spans="1:14" ht="54" customHeight="1">
      <c r="A2050" s="4" t="s">
        <v>4571</v>
      </c>
      <c r="B2050" s="4" t="s">
        <v>411</v>
      </c>
      <c r="C2050" s="4" t="s">
        <v>412</v>
      </c>
      <c r="D2050" s="4" t="s">
        <v>5879</v>
      </c>
      <c r="E2050" s="4" t="s">
        <v>41</v>
      </c>
      <c r="F2050" s="4" t="s">
        <v>3466</v>
      </c>
      <c r="G2050" s="4" t="s">
        <v>1914</v>
      </c>
      <c r="H2050" s="4">
        <v>1</v>
      </c>
      <c r="I2050" s="4">
        <v>1</v>
      </c>
      <c r="J2050" s="4" t="s">
        <v>4572</v>
      </c>
      <c r="K2050" s="4" t="s">
        <v>416</v>
      </c>
      <c r="L2050" s="6">
        <v>46319</v>
      </c>
      <c r="M2050" s="4" t="s">
        <v>5864</v>
      </c>
      <c r="N2050" s="4" t="s">
        <v>5865</v>
      </c>
    </row>
    <row r="2051" spans="1:14" ht="54" customHeight="1">
      <c r="A2051" s="8" t="s">
        <v>4573</v>
      </c>
      <c r="B2051" s="8" t="s">
        <v>411</v>
      </c>
      <c r="C2051" s="8" t="s">
        <v>412</v>
      </c>
      <c r="D2051" s="8" t="s">
        <v>5879</v>
      </c>
      <c r="E2051" s="8" t="s">
        <v>41</v>
      </c>
      <c r="F2051" s="8" t="s">
        <v>3469</v>
      </c>
      <c r="G2051" s="8" t="s">
        <v>1914</v>
      </c>
      <c r="H2051" s="8">
        <v>1</v>
      </c>
      <c r="I2051" s="8">
        <v>1</v>
      </c>
      <c r="J2051" s="8" t="s">
        <v>4574</v>
      </c>
      <c r="K2051" s="8" t="s">
        <v>416</v>
      </c>
      <c r="L2051" s="9">
        <v>46319</v>
      </c>
      <c r="M2051" s="8" t="s">
        <v>5864</v>
      </c>
      <c r="N2051" s="8" t="s">
        <v>5865</v>
      </c>
    </row>
    <row r="2052" spans="1:14" ht="54" customHeight="1">
      <c r="A2052" s="4" t="s">
        <v>4575</v>
      </c>
      <c r="B2052" s="4" t="s">
        <v>411</v>
      </c>
      <c r="C2052" s="4" t="s">
        <v>412</v>
      </c>
      <c r="D2052" s="4" t="s">
        <v>5879</v>
      </c>
      <c r="E2052" s="4" t="s">
        <v>41</v>
      </c>
      <c r="F2052" s="4" t="s">
        <v>3472</v>
      </c>
      <c r="G2052" s="4" t="s">
        <v>1914</v>
      </c>
      <c r="H2052" s="4">
        <v>1</v>
      </c>
      <c r="I2052" s="4">
        <v>1</v>
      </c>
      <c r="J2052" s="4" t="s">
        <v>4576</v>
      </c>
      <c r="K2052" s="4" t="s">
        <v>416</v>
      </c>
      <c r="L2052" s="6">
        <v>46319</v>
      </c>
      <c r="M2052" s="4" t="s">
        <v>5864</v>
      </c>
      <c r="N2052" s="4" t="s">
        <v>5865</v>
      </c>
    </row>
    <row r="2053" spans="1:14" ht="54" customHeight="1">
      <c r="A2053" s="8" t="s">
        <v>4577</v>
      </c>
      <c r="B2053" s="8" t="s">
        <v>411</v>
      </c>
      <c r="C2053" s="8" t="s">
        <v>412</v>
      </c>
      <c r="D2053" s="8" t="s">
        <v>5879</v>
      </c>
      <c r="E2053" s="8" t="s">
        <v>41</v>
      </c>
      <c r="F2053" s="8" t="s">
        <v>3475</v>
      </c>
      <c r="G2053" s="8" t="s">
        <v>1914</v>
      </c>
      <c r="H2053" s="8">
        <v>1</v>
      </c>
      <c r="I2053" s="8">
        <v>1</v>
      </c>
      <c r="J2053" s="8" t="s">
        <v>4578</v>
      </c>
      <c r="K2053" s="8" t="s">
        <v>416</v>
      </c>
      <c r="L2053" s="9">
        <v>46319</v>
      </c>
      <c r="M2053" s="8" t="s">
        <v>5864</v>
      </c>
      <c r="N2053" s="8" t="s">
        <v>5865</v>
      </c>
    </row>
    <row r="2054" spans="1:14" ht="110" customHeight="1">
      <c r="A2054" s="4" t="s">
        <v>8411</v>
      </c>
      <c r="B2054" s="4" t="s">
        <v>411</v>
      </c>
      <c r="C2054" s="4" t="s">
        <v>412</v>
      </c>
      <c r="D2054" s="4" t="s">
        <v>2969</v>
      </c>
      <c r="E2054" s="4" t="s">
        <v>41</v>
      </c>
      <c r="F2054" s="4" t="s">
        <v>5881</v>
      </c>
      <c r="G2054" s="4" t="s">
        <v>1914</v>
      </c>
      <c r="H2054" s="4">
        <v>1</v>
      </c>
      <c r="I2054" s="4">
        <v>1</v>
      </c>
      <c r="J2054" s="4" t="s">
        <v>8412</v>
      </c>
      <c r="K2054" s="4" t="s">
        <v>416</v>
      </c>
      <c r="L2054" s="6">
        <v>46319</v>
      </c>
      <c r="M2054" s="4" t="s">
        <v>5864</v>
      </c>
      <c r="N2054" s="4" t="s">
        <v>5883</v>
      </c>
    </row>
    <row r="2055" spans="1:14" ht="152" customHeight="1">
      <c r="A2055" s="8" t="s">
        <v>8413</v>
      </c>
      <c r="B2055" s="8" t="s">
        <v>411</v>
      </c>
      <c r="C2055" s="8" t="s">
        <v>412</v>
      </c>
      <c r="D2055" s="8" t="s">
        <v>2969</v>
      </c>
      <c r="E2055" s="8" t="s">
        <v>41</v>
      </c>
      <c r="F2055" s="8" t="s">
        <v>5885</v>
      </c>
      <c r="G2055" s="8" t="s">
        <v>1914</v>
      </c>
      <c r="H2055" s="8">
        <v>1</v>
      </c>
      <c r="I2055" s="8">
        <v>1</v>
      </c>
      <c r="J2055" s="8" t="s">
        <v>8414</v>
      </c>
      <c r="K2055" s="8" t="s">
        <v>416</v>
      </c>
      <c r="L2055" s="9">
        <v>46319</v>
      </c>
      <c r="M2055" s="8" t="s">
        <v>5864</v>
      </c>
      <c r="N2055" s="8" t="s">
        <v>5883</v>
      </c>
    </row>
    <row r="2056" spans="1:14" ht="54" customHeight="1">
      <c r="A2056" s="4" t="s">
        <v>8415</v>
      </c>
      <c r="B2056" s="4" t="s">
        <v>411</v>
      </c>
      <c r="C2056" s="4" t="s">
        <v>412</v>
      </c>
      <c r="D2056" s="4" t="s">
        <v>2969</v>
      </c>
      <c r="E2056" s="4" t="s">
        <v>41</v>
      </c>
      <c r="F2056" s="4" t="s">
        <v>5888</v>
      </c>
      <c r="G2056" s="4" t="s">
        <v>1914</v>
      </c>
      <c r="H2056" s="4">
        <v>1</v>
      </c>
      <c r="I2056" s="4">
        <v>1</v>
      </c>
      <c r="J2056" s="4" t="s">
        <v>8416</v>
      </c>
      <c r="K2056" s="4" t="s">
        <v>416</v>
      </c>
      <c r="L2056" s="6">
        <v>46319</v>
      </c>
      <c r="M2056" s="4" t="s">
        <v>5864</v>
      </c>
      <c r="N2056" s="4" t="s">
        <v>5883</v>
      </c>
    </row>
    <row r="2057" spans="1:14" ht="54" customHeight="1">
      <c r="A2057" s="8" t="s">
        <v>8417</v>
      </c>
      <c r="B2057" s="8" t="s">
        <v>411</v>
      </c>
      <c r="C2057" s="8" t="s">
        <v>412</v>
      </c>
      <c r="D2057" s="8" t="s">
        <v>2969</v>
      </c>
      <c r="E2057" s="8" t="s">
        <v>41</v>
      </c>
      <c r="F2057" s="8" t="s">
        <v>5891</v>
      </c>
      <c r="G2057" s="8" t="s">
        <v>1914</v>
      </c>
      <c r="H2057" s="8">
        <v>1</v>
      </c>
      <c r="I2057" s="8">
        <v>1</v>
      </c>
      <c r="J2057" s="8" t="s">
        <v>8418</v>
      </c>
      <c r="K2057" s="8" t="s">
        <v>416</v>
      </c>
      <c r="L2057" s="9">
        <v>46319</v>
      </c>
      <c r="M2057" s="8" t="s">
        <v>5864</v>
      </c>
      <c r="N2057" s="8" t="s">
        <v>5883</v>
      </c>
    </row>
    <row r="2058" spans="1:14" ht="54" customHeight="1">
      <c r="A2058" s="4" t="s">
        <v>8419</v>
      </c>
      <c r="B2058" s="4" t="s">
        <v>411</v>
      </c>
      <c r="C2058" s="4" t="s">
        <v>412</v>
      </c>
      <c r="D2058" s="4" t="s">
        <v>2969</v>
      </c>
      <c r="E2058" s="4" t="s">
        <v>41</v>
      </c>
      <c r="F2058" s="4" t="s">
        <v>5894</v>
      </c>
      <c r="G2058" s="4" t="s">
        <v>1914</v>
      </c>
      <c r="H2058" s="4">
        <v>1</v>
      </c>
      <c r="I2058" s="4">
        <v>1</v>
      </c>
      <c r="J2058" s="4" t="s">
        <v>8420</v>
      </c>
      <c r="K2058" s="4" t="s">
        <v>416</v>
      </c>
      <c r="L2058" s="6">
        <v>46319</v>
      </c>
      <c r="M2058" s="4" t="s">
        <v>5864</v>
      </c>
      <c r="N2058" s="4" t="s">
        <v>5883</v>
      </c>
    </row>
    <row r="2059" spans="1:14" ht="166" customHeight="1">
      <c r="A2059" s="8" t="s">
        <v>8421</v>
      </c>
      <c r="B2059" s="8" t="s">
        <v>411</v>
      </c>
      <c r="C2059" s="8" t="s">
        <v>412</v>
      </c>
      <c r="D2059" s="8" t="s">
        <v>2969</v>
      </c>
      <c r="E2059" s="8" t="s">
        <v>41</v>
      </c>
      <c r="F2059" s="8" t="s">
        <v>5897</v>
      </c>
      <c r="G2059" s="8" t="s">
        <v>1914</v>
      </c>
      <c r="H2059" s="8">
        <v>1</v>
      </c>
      <c r="I2059" s="8">
        <v>1</v>
      </c>
      <c r="J2059" s="8" t="s">
        <v>8422</v>
      </c>
      <c r="K2059" s="8" t="s">
        <v>416</v>
      </c>
      <c r="L2059" s="9">
        <v>46319</v>
      </c>
      <c r="M2059" s="8" t="s">
        <v>5864</v>
      </c>
      <c r="N2059" s="8" t="s">
        <v>5883</v>
      </c>
    </row>
    <row r="2060" spans="1:14" ht="54" customHeight="1">
      <c r="A2060" s="4" t="s">
        <v>8423</v>
      </c>
      <c r="B2060" s="4" t="s">
        <v>411</v>
      </c>
      <c r="C2060" s="4" t="s">
        <v>412</v>
      </c>
      <c r="D2060" s="4" t="s">
        <v>2969</v>
      </c>
      <c r="E2060" s="4" t="s">
        <v>41</v>
      </c>
      <c r="F2060" s="4" t="s">
        <v>5900</v>
      </c>
      <c r="G2060" s="4" t="s">
        <v>1914</v>
      </c>
      <c r="H2060" s="4">
        <v>1</v>
      </c>
      <c r="I2060" s="4">
        <v>1</v>
      </c>
      <c r="J2060" s="4" t="s">
        <v>8424</v>
      </c>
      <c r="K2060" s="4" t="s">
        <v>416</v>
      </c>
      <c r="L2060" s="6">
        <v>46319</v>
      </c>
      <c r="M2060" s="4" t="s">
        <v>5864</v>
      </c>
      <c r="N2060" s="4" t="s">
        <v>5883</v>
      </c>
    </row>
    <row r="2061" spans="1:14" ht="124" customHeight="1">
      <c r="A2061" s="8" t="s">
        <v>8425</v>
      </c>
      <c r="B2061" s="8" t="s">
        <v>411</v>
      </c>
      <c r="C2061" s="8" t="s">
        <v>412</v>
      </c>
      <c r="D2061" s="8" t="s">
        <v>2969</v>
      </c>
      <c r="E2061" s="8" t="s">
        <v>41</v>
      </c>
      <c r="F2061" s="8" t="s">
        <v>5903</v>
      </c>
      <c r="G2061" s="8" t="s">
        <v>1914</v>
      </c>
      <c r="H2061" s="8">
        <v>1</v>
      </c>
      <c r="I2061" s="8">
        <v>1</v>
      </c>
      <c r="J2061" s="8" t="s">
        <v>8426</v>
      </c>
      <c r="K2061" s="8" t="s">
        <v>416</v>
      </c>
      <c r="L2061" s="9">
        <v>46319</v>
      </c>
      <c r="M2061" s="8" t="s">
        <v>5864</v>
      </c>
      <c r="N2061" s="8" t="s">
        <v>5883</v>
      </c>
    </row>
    <row r="2062" spans="1:14" ht="68" customHeight="1">
      <c r="A2062" s="4" t="s">
        <v>8427</v>
      </c>
      <c r="B2062" s="4" t="s">
        <v>411</v>
      </c>
      <c r="C2062" s="4" t="s">
        <v>412</v>
      </c>
      <c r="D2062" s="4" t="s">
        <v>2969</v>
      </c>
      <c r="E2062" s="4" t="s">
        <v>41</v>
      </c>
      <c r="F2062" s="4" t="s">
        <v>5906</v>
      </c>
      <c r="G2062" s="4" t="s">
        <v>1914</v>
      </c>
      <c r="H2062" s="4">
        <v>1</v>
      </c>
      <c r="I2062" s="4">
        <v>1</v>
      </c>
      <c r="J2062" s="4" t="s">
        <v>8428</v>
      </c>
      <c r="K2062" s="4" t="s">
        <v>416</v>
      </c>
      <c r="L2062" s="6">
        <v>46319</v>
      </c>
      <c r="M2062" s="4" t="s">
        <v>5864</v>
      </c>
      <c r="N2062" s="4" t="s">
        <v>5883</v>
      </c>
    </row>
    <row r="2063" spans="1:14" ht="68" customHeight="1">
      <c r="A2063" s="8" t="s">
        <v>8429</v>
      </c>
      <c r="B2063" s="8" t="s">
        <v>411</v>
      </c>
      <c r="C2063" s="8" t="s">
        <v>412</v>
      </c>
      <c r="D2063" s="8" t="s">
        <v>2969</v>
      </c>
      <c r="E2063" s="8" t="s">
        <v>41</v>
      </c>
      <c r="F2063" s="8" t="s">
        <v>5909</v>
      </c>
      <c r="G2063" s="8" t="s">
        <v>1914</v>
      </c>
      <c r="H2063" s="8">
        <v>1</v>
      </c>
      <c r="I2063" s="8">
        <v>1</v>
      </c>
      <c r="J2063" s="8" t="s">
        <v>8430</v>
      </c>
      <c r="K2063" s="8" t="s">
        <v>416</v>
      </c>
      <c r="L2063" s="9">
        <v>46319</v>
      </c>
      <c r="M2063" s="8" t="s">
        <v>5864</v>
      </c>
      <c r="N2063" s="8" t="s">
        <v>5883</v>
      </c>
    </row>
    <row r="2064" spans="1:14" ht="110" customHeight="1">
      <c r="A2064" s="4" t="s">
        <v>8431</v>
      </c>
      <c r="B2064" s="4" t="s">
        <v>411</v>
      </c>
      <c r="C2064" s="4" t="s">
        <v>412</v>
      </c>
      <c r="D2064" s="4" t="s">
        <v>2969</v>
      </c>
      <c r="E2064" s="4" t="s">
        <v>41</v>
      </c>
      <c r="F2064" s="4" t="s">
        <v>5912</v>
      </c>
      <c r="G2064" s="4" t="s">
        <v>1914</v>
      </c>
      <c r="H2064" s="4">
        <v>1</v>
      </c>
      <c r="I2064" s="4">
        <v>1</v>
      </c>
      <c r="J2064" s="4" t="s">
        <v>8432</v>
      </c>
      <c r="K2064" s="4" t="s">
        <v>416</v>
      </c>
      <c r="L2064" s="6">
        <v>46319</v>
      </c>
      <c r="M2064" s="4" t="s">
        <v>5864</v>
      </c>
      <c r="N2064" s="4" t="s">
        <v>5883</v>
      </c>
    </row>
    <row r="2065" spans="1:14" ht="68" customHeight="1">
      <c r="A2065" s="8" t="s">
        <v>8433</v>
      </c>
      <c r="B2065" s="8" t="s">
        <v>419</v>
      </c>
      <c r="C2065" s="8" t="s">
        <v>420</v>
      </c>
      <c r="D2065" s="8" t="s">
        <v>5861</v>
      </c>
      <c r="E2065" s="8" t="s">
        <v>41</v>
      </c>
      <c r="F2065" s="8" t="s">
        <v>5862</v>
      </c>
      <c r="G2065" s="8" t="s">
        <v>1955</v>
      </c>
      <c r="H2065" s="8">
        <v>1</v>
      </c>
      <c r="I2065" s="8">
        <v>1</v>
      </c>
      <c r="J2065" s="8" t="s">
        <v>8434</v>
      </c>
      <c r="K2065" s="8" t="s">
        <v>427</v>
      </c>
      <c r="L2065" s="9">
        <v>46319</v>
      </c>
      <c r="M2065" s="8" t="s">
        <v>5864</v>
      </c>
      <c r="N2065" s="8" t="s">
        <v>5865</v>
      </c>
    </row>
    <row r="2066" spans="1:14" ht="54" customHeight="1">
      <c r="A2066" s="4" t="s">
        <v>8435</v>
      </c>
      <c r="B2066" s="4" t="s">
        <v>419</v>
      </c>
      <c r="C2066" s="4" t="s">
        <v>420</v>
      </c>
      <c r="D2066" s="4" t="s">
        <v>5867</v>
      </c>
      <c r="E2066" s="4" t="s">
        <v>41</v>
      </c>
      <c r="F2066" s="4" t="s">
        <v>5868</v>
      </c>
      <c r="G2066" s="4" t="s">
        <v>1955</v>
      </c>
      <c r="H2066" s="4">
        <v>1</v>
      </c>
      <c r="I2066" s="4">
        <v>1</v>
      </c>
      <c r="J2066" s="4" t="s">
        <v>8436</v>
      </c>
      <c r="K2066" s="4" t="s">
        <v>427</v>
      </c>
      <c r="L2066" s="6">
        <v>46319</v>
      </c>
      <c r="M2066" s="4" t="s">
        <v>5864</v>
      </c>
      <c r="N2066" s="4" t="s">
        <v>5870</v>
      </c>
    </row>
    <row r="2067" spans="1:14" ht="40" customHeight="1">
      <c r="A2067" s="8" t="s">
        <v>8437</v>
      </c>
      <c r="B2067" s="8" t="s">
        <v>419</v>
      </c>
      <c r="C2067" s="8" t="s">
        <v>420</v>
      </c>
      <c r="D2067" s="8" t="s">
        <v>5867</v>
      </c>
      <c r="E2067" s="8" t="s">
        <v>41</v>
      </c>
      <c r="F2067" s="8" t="s">
        <v>5872</v>
      </c>
      <c r="G2067" s="8" t="s">
        <v>1955</v>
      </c>
      <c r="H2067" s="8">
        <v>1</v>
      </c>
      <c r="I2067" s="8">
        <v>1</v>
      </c>
      <c r="J2067" s="8" t="s">
        <v>8438</v>
      </c>
      <c r="K2067" s="8" t="s">
        <v>427</v>
      </c>
      <c r="L2067" s="9">
        <v>46319</v>
      </c>
      <c r="M2067" s="8" t="s">
        <v>5864</v>
      </c>
      <c r="N2067" s="8" t="s">
        <v>5870</v>
      </c>
    </row>
    <row r="2068" spans="1:14" ht="40" customHeight="1">
      <c r="A2068" s="4" t="s">
        <v>8439</v>
      </c>
      <c r="B2068" s="4" t="s">
        <v>419</v>
      </c>
      <c r="C2068" s="4" t="s">
        <v>420</v>
      </c>
      <c r="D2068" s="4" t="s">
        <v>5867</v>
      </c>
      <c r="E2068" s="4" t="s">
        <v>41</v>
      </c>
      <c r="F2068" s="4" t="s">
        <v>5875</v>
      </c>
      <c r="G2068" s="4" t="s">
        <v>1955</v>
      </c>
      <c r="H2068" s="4">
        <v>1</v>
      </c>
      <c r="I2068" s="4">
        <v>1</v>
      </c>
      <c r="J2068" s="4" t="s">
        <v>8440</v>
      </c>
      <c r="K2068" s="4" t="s">
        <v>427</v>
      </c>
      <c r="L2068" s="6">
        <v>46319</v>
      </c>
      <c r="M2068" s="4" t="s">
        <v>5864</v>
      </c>
      <c r="N2068" s="4" t="s">
        <v>5870</v>
      </c>
    </row>
    <row r="2069" spans="1:14" ht="54" customHeight="1">
      <c r="A2069" s="8" t="s">
        <v>8441</v>
      </c>
      <c r="B2069" s="8" t="s">
        <v>419</v>
      </c>
      <c r="C2069" s="8" t="s">
        <v>420</v>
      </c>
      <c r="D2069" s="8" t="s">
        <v>637</v>
      </c>
      <c r="E2069" s="8" t="s">
        <v>41</v>
      </c>
      <c r="F2069" s="8" t="s">
        <v>904</v>
      </c>
      <c r="G2069" s="8" t="s">
        <v>1955</v>
      </c>
      <c r="H2069" s="8">
        <v>1</v>
      </c>
      <c r="I2069" s="8">
        <v>1</v>
      </c>
      <c r="J2069" s="8" t="s">
        <v>1953</v>
      </c>
      <c r="K2069" s="8" t="s">
        <v>427</v>
      </c>
      <c r="L2069" s="9">
        <v>46319</v>
      </c>
      <c r="M2069" s="8" t="s">
        <v>5864</v>
      </c>
      <c r="N2069" s="8" t="s">
        <v>5870</v>
      </c>
    </row>
    <row r="2070" spans="1:14" ht="54" customHeight="1">
      <c r="A2070" s="4" t="s">
        <v>8442</v>
      </c>
      <c r="B2070" s="4" t="s">
        <v>419</v>
      </c>
      <c r="C2070" s="4" t="s">
        <v>420</v>
      </c>
      <c r="D2070" s="4" t="s">
        <v>637</v>
      </c>
      <c r="E2070" s="4" t="s">
        <v>41</v>
      </c>
      <c r="F2070" s="4" t="s">
        <v>912</v>
      </c>
      <c r="G2070" s="4" t="s">
        <v>1955</v>
      </c>
      <c r="H2070" s="4">
        <v>1</v>
      </c>
      <c r="I2070" s="4">
        <v>1</v>
      </c>
      <c r="J2070" s="4" t="s">
        <v>1957</v>
      </c>
      <c r="K2070" s="4" t="s">
        <v>427</v>
      </c>
      <c r="L2070" s="6">
        <v>46319</v>
      </c>
      <c r="M2070" s="4" t="s">
        <v>5864</v>
      </c>
      <c r="N2070" s="4" t="s">
        <v>5870</v>
      </c>
    </row>
    <row r="2071" spans="1:14" ht="54" customHeight="1">
      <c r="A2071" s="8" t="s">
        <v>8443</v>
      </c>
      <c r="B2071" s="8" t="s">
        <v>419</v>
      </c>
      <c r="C2071" s="8" t="s">
        <v>420</v>
      </c>
      <c r="D2071" s="8" t="s">
        <v>637</v>
      </c>
      <c r="E2071" s="8" t="s">
        <v>41</v>
      </c>
      <c r="F2071" s="8" t="s">
        <v>1015</v>
      </c>
      <c r="G2071" s="8" t="s">
        <v>1955</v>
      </c>
      <c r="H2071" s="8">
        <v>1</v>
      </c>
      <c r="I2071" s="8">
        <v>1</v>
      </c>
      <c r="J2071" s="8" t="s">
        <v>1960</v>
      </c>
      <c r="K2071" s="8" t="s">
        <v>427</v>
      </c>
      <c r="L2071" s="9">
        <v>46319</v>
      </c>
      <c r="M2071" s="8" t="s">
        <v>5864</v>
      </c>
      <c r="N2071" s="8" t="s">
        <v>5870</v>
      </c>
    </row>
    <row r="2072" spans="1:14" ht="40" customHeight="1">
      <c r="A2072" s="4" t="s">
        <v>5541</v>
      </c>
      <c r="B2072" s="4" t="s">
        <v>419</v>
      </c>
      <c r="C2072" s="4" t="s">
        <v>420</v>
      </c>
      <c r="D2072" s="4" t="s">
        <v>7</v>
      </c>
      <c r="E2072" s="4" t="s">
        <v>41</v>
      </c>
      <c r="F2072" s="4" t="s">
        <v>6212</v>
      </c>
      <c r="G2072" s="4" t="s">
        <v>1955</v>
      </c>
      <c r="H2072" s="4">
        <v>1</v>
      </c>
      <c r="I2072" s="4">
        <v>1</v>
      </c>
      <c r="J2072" s="4" t="s">
        <v>5542</v>
      </c>
      <c r="K2072" s="4" t="s">
        <v>427</v>
      </c>
      <c r="L2072" s="6">
        <v>46319</v>
      </c>
      <c r="M2072" s="4" t="s">
        <v>5864</v>
      </c>
      <c r="N2072" s="4" t="s">
        <v>5870</v>
      </c>
    </row>
    <row r="2073" spans="1:14" ht="40" customHeight="1">
      <c r="A2073" s="8" t="s">
        <v>5543</v>
      </c>
      <c r="B2073" s="8" t="s">
        <v>419</v>
      </c>
      <c r="C2073" s="8" t="s">
        <v>420</v>
      </c>
      <c r="D2073" s="8" t="s">
        <v>7</v>
      </c>
      <c r="E2073" s="8" t="s">
        <v>41</v>
      </c>
      <c r="F2073" s="8" t="s">
        <v>6213</v>
      </c>
      <c r="G2073" s="8" t="s">
        <v>1955</v>
      </c>
      <c r="H2073" s="8">
        <v>1</v>
      </c>
      <c r="I2073" s="8">
        <v>1</v>
      </c>
      <c r="J2073" s="8" t="s">
        <v>5544</v>
      </c>
      <c r="K2073" s="8" t="s">
        <v>427</v>
      </c>
      <c r="L2073" s="9">
        <v>46319</v>
      </c>
      <c r="M2073" s="8" t="s">
        <v>5864</v>
      </c>
      <c r="N2073" s="8" t="s">
        <v>5870</v>
      </c>
    </row>
    <row r="2074" spans="1:14" ht="68" customHeight="1">
      <c r="A2074" s="4" t="s">
        <v>5545</v>
      </c>
      <c r="B2074" s="4" t="s">
        <v>419</v>
      </c>
      <c r="C2074" s="4" t="s">
        <v>420</v>
      </c>
      <c r="D2074" s="4" t="s">
        <v>7</v>
      </c>
      <c r="E2074" s="4" t="s">
        <v>41</v>
      </c>
      <c r="F2074" s="4" t="s">
        <v>6214</v>
      </c>
      <c r="G2074" s="4" t="s">
        <v>1955</v>
      </c>
      <c r="H2074" s="4">
        <v>1</v>
      </c>
      <c r="I2074" s="4">
        <v>1</v>
      </c>
      <c r="J2074" s="4" t="s">
        <v>5546</v>
      </c>
      <c r="K2074" s="4" t="s">
        <v>427</v>
      </c>
      <c r="L2074" s="6">
        <v>46319</v>
      </c>
      <c r="M2074" s="4" t="s">
        <v>5864</v>
      </c>
      <c r="N2074" s="4" t="s">
        <v>5870</v>
      </c>
    </row>
    <row r="2075" spans="1:14" ht="40" customHeight="1">
      <c r="A2075" s="8" t="s">
        <v>5547</v>
      </c>
      <c r="B2075" s="8" t="s">
        <v>419</v>
      </c>
      <c r="C2075" s="8" t="s">
        <v>420</v>
      </c>
      <c r="D2075" s="8" t="s">
        <v>7</v>
      </c>
      <c r="E2075" s="8" t="s">
        <v>41</v>
      </c>
      <c r="F2075" s="8" t="s">
        <v>6215</v>
      </c>
      <c r="G2075" s="8" t="s">
        <v>1955</v>
      </c>
      <c r="H2075" s="8">
        <v>1</v>
      </c>
      <c r="I2075" s="8">
        <v>1</v>
      </c>
      <c r="J2075" s="8" t="s">
        <v>5548</v>
      </c>
      <c r="K2075" s="8" t="s">
        <v>427</v>
      </c>
      <c r="L2075" s="9">
        <v>46319</v>
      </c>
      <c r="M2075" s="8" t="s">
        <v>5864</v>
      </c>
      <c r="N2075" s="8" t="s">
        <v>5870</v>
      </c>
    </row>
    <row r="2076" spans="1:14" ht="54" customHeight="1">
      <c r="A2076" s="4" t="s">
        <v>5549</v>
      </c>
      <c r="B2076" s="4" t="s">
        <v>419</v>
      </c>
      <c r="C2076" s="4" t="s">
        <v>420</v>
      </c>
      <c r="D2076" s="4" t="s">
        <v>7</v>
      </c>
      <c r="E2076" s="4" t="s">
        <v>41</v>
      </c>
      <c r="F2076" s="4" t="s">
        <v>6216</v>
      </c>
      <c r="G2076" s="4" t="s">
        <v>1955</v>
      </c>
      <c r="H2076" s="4">
        <v>1</v>
      </c>
      <c r="I2076" s="4">
        <v>1</v>
      </c>
      <c r="J2076" s="4" t="s">
        <v>5550</v>
      </c>
      <c r="K2076" s="4" t="s">
        <v>427</v>
      </c>
      <c r="L2076" s="6">
        <v>46319</v>
      </c>
      <c r="M2076" s="4" t="s">
        <v>5864</v>
      </c>
      <c r="N2076" s="4" t="s">
        <v>5870</v>
      </c>
    </row>
    <row r="2077" spans="1:14" ht="40" customHeight="1">
      <c r="A2077" s="8" t="s">
        <v>5551</v>
      </c>
      <c r="B2077" s="8" t="s">
        <v>419</v>
      </c>
      <c r="C2077" s="8" t="s">
        <v>420</v>
      </c>
      <c r="D2077" s="8" t="s">
        <v>7</v>
      </c>
      <c r="E2077" s="8" t="s">
        <v>41</v>
      </c>
      <c r="F2077" s="8" t="s">
        <v>6284</v>
      </c>
      <c r="G2077" s="8" t="s">
        <v>1955</v>
      </c>
      <c r="H2077" s="8">
        <v>1</v>
      </c>
      <c r="I2077" s="8">
        <v>1</v>
      </c>
      <c r="J2077" s="8" t="s">
        <v>5552</v>
      </c>
      <c r="K2077" s="8" t="s">
        <v>427</v>
      </c>
      <c r="L2077" s="9">
        <v>46319</v>
      </c>
      <c r="M2077" s="8" t="s">
        <v>5864</v>
      </c>
      <c r="N2077" s="8" t="s">
        <v>5870</v>
      </c>
    </row>
    <row r="2078" spans="1:14" ht="68" customHeight="1">
      <c r="A2078" s="4" t="s">
        <v>5553</v>
      </c>
      <c r="B2078" s="4" t="s">
        <v>419</v>
      </c>
      <c r="C2078" s="4" t="s">
        <v>420</v>
      </c>
      <c r="D2078" s="4" t="s">
        <v>7</v>
      </c>
      <c r="E2078" s="4" t="s">
        <v>41</v>
      </c>
      <c r="F2078" s="4" t="s">
        <v>6834</v>
      </c>
      <c r="G2078" s="4" t="s">
        <v>1955</v>
      </c>
      <c r="H2078" s="4">
        <v>1</v>
      </c>
      <c r="I2078" s="4">
        <v>1</v>
      </c>
      <c r="J2078" s="4" t="s">
        <v>5554</v>
      </c>
      <c r="K2078" s="4" t="s">
        <v>427</v>
      </c>
      <c r="L2078" s="6">
        <v>46319</v>
      </c>
      <c r="M2078" s="4" t="s">
        <v>5864</v>
      </c>
      <c r="N2078" s="4" t="s">
        <v>5865</v>
      </c>
    </row>
    <row r="2079" spans="1:14" ht="54" customHeight="1">
      <c r="A2079" s="8" t="s">
        <v>4579</v>
      </c>
      <c r="B2079" s="8" t="s">
        <v>419</v>
      </c>
      <c r="C2079" s="8" t="s">
        <v>420</v>
      </c>
      <c r="D2079" s="8" t="s">
        <v>5879</v>
      </c>
      <c r="E2079" s="8" t="s">
        <v>41</v>
      </c>
      <c r="F2079" s="8" t="s">
        <v>3463</v>
      </c>
      <c r="G2079" s="8" t="s">
        <v>1955</v>
      </c>
      <c r="H2079" s="8">
        <v>1</v>
      </c>
      <c r="I2079" s="8">
        <v>1</v>
      </c>
      <c r="J2079" s="8" t="s">
        <v>4580</v>
      </c>
      <c r="K2079" s="8" t="s">
        <v>427</v>
      </c>
      <c r="L2079" s="9">
        <v>46319</v>
      </c>
      <c r="M2079" s="8" t="s">
        <v>5864</v>
      </c>
      <c r="N2079" s="8" t="s">
        <v>5870</v>
      </c>
    </row>
    <row r="2080" spans="1:14" ht="54" customHeight="1">
      <c r="A2080" s="4" t="s">
        <v>4581</v>
      </c>
      <c r="B2080" s="4" t="s">
        <v>419</v>
      </c>
      <c r="C2080" s="4" t="s">
        <v>420</v>
      </c>
      <c r="D2080" s="4" t="s">
        <v>5879</v>
      </c>
      <c r="E2080" s="4" t="s">
        <v>41</v>
      </c>
      <c r="F2080" s="4" t="s">
        <v>3485</v>
      </c>
      <c r="G2080" s="4" t="s">
        <v>1955</v>
      </c>
      <c r="H2080" s="4">
        <v>1</v>
      </c>
      <c r="I2080" s="4">
        <v>1</v>
      </c>
      <c r="J2080" s="4" t="s">
        <v>4582</v>
      </c>
      <c r="K2080" s="4" t="s">
        <v>427</v>
      </c>
      <c r="L2080" s="6">
        <v>46319</v>
      </c>
      <c r="M2080" s="4" t="s">
        <v>5864</v>
      </c>
      <c r="N2080" s="4" t="s">
        <v>5870</v>
      </c>
    </row>
    <row r="2081" spans="1:14" ht="40" customHeight="1">
      <c r="A2081" s="8" t="s">
        <v>4583</v>
      </c>
      <c r="B2081" s="8" t="s">
        <v>419</v>
      </c>
      <c r="C2081" s="8" t="s">
        <v>420</v>
      </c>
      <c r="D2081" s="8" t="s">
        <v>5879</v>
      </c>
      <c r="E2081" s="8" t="s">
        <v>41</v>
      </c>
      <c r="F2081" s="8" t="s">
        <v>3588</v>
      </c>
      <c r="G2081" s="8" t="s">
        <v>1955</v>
      </c>
      <c r="H2081" s="8">
        <v>1</v>
      </c>
      <c r="I2081" s="8">
        <v>1</v>
      </c>
      <c r="J2081" s="8" t="s">
        <v>4584</v>
      </c>
      <c r="K2081" s="8" t="s">
        <v>427</v>
      </c>
      <c r="L2081" s="9">
        <v>46319</v>
      </c>
      <c r="M2081" s="8" t="s">
        <v>5864</v>
      </c>
      <c r="N2081" s="8" t="s">
        <v>6087</v>
      </c>
    </row>
    <row r="2082" spans="1:14" ht="40" customHeight="1">
      <c r="A2082" s="4" t="s">
        <v>4585</v>
      </c>
      <c r="B2082" s="4" t="s">
        <v>419</v>
      </c>
      <c r="C2082" s="4" t="s">
        <v>420</v>
      </c>
      <c r="D2082" s="4" t="s">
        <v>5879</v>
      </c>
      <c r="E2082" s="4" t="s">
        <v>41</v>
      </c>
      <c r="F2082" s="4" t="s">
        <v>3815</v>
      </c>
      <c r="G2082" s="4" t="s">
        <v>1955</v>
      </c>
      <c r="H2082" s="4">
        <v>1</v>
      </c>
      <c r="I2082" s="4">
        <v>1</v>
      </c>
      <c r="J2082" s="4" t="s">
        <v>4586</v>
      </c>
      <c r="K2082" s="4" t="s">
        <v>427</v>
      </c>
      <c r="L2082" s="6">
        <v>46319</v>
      </c>
      <c r="M2082" s="4" t="s">
        <v>5864</v>
      </c>
      <c r="N2082" s="4" t="s">
        <v>5865</v>
      </c>
    </row>
    <row r="2083" spans="1:14" ht="40" customHeight="1">
      <c r="A2083" s="8" t="s">
        <v>4587</v>
      </c>
      <c r="B2083" s="8" t="s">
        <v>419</v>
      </c>
      <c r="C2083" s="8" t="s">
        <v>420</v>
      </c>
      <c r="D2083" s="8" t="s">
        <v>5879</v>
      </c>
      <c r="E2083" s="8" t="s">
        <v>41</v>
      </c>
      <c r="F2083" s="8" t="s">
        <v>3646</v>
      </c>
      <c r="G2083" s="8" t="s">
        <v>1955</v>
      </c>
      <c r="H2083" s="8">
        <v>1</v>
      </c>
      <c r="I2083" s="8">
        <v>1</v>
      </c>
      <c r="J2083" s="8" t="s">
        <v>4588</v>
      </c>
      <c r="K2083" s="8" t="s">
        <v>427</v>
      </c>
      <c r="L2083" s="9">
        <v>46319</v>
      </c>
      <c r="M2083" s="8" t="s">
        <v>5864</v>
      </c>
      <c r="N2083" s="8" t="s">
        <v>6087</v>
      </c>
    </row>
    <row r="2084" spans="1:14" ht="68" customHeight="1">
      <c r="A2084" s="4" t="s">
        <v>4589</v>
      </c>
      <c r="B2084" s="4" t="s">
        <v>419</v>
      </c>
      <c r="C2084" s="4" t="s">
        <v>420</v>
      </c>
      <c r="D2084" s="4" t="s">
        <v>5879</v>
      </c>
      <c r="E2084" s="4" t="s">
        <v>41</v>
      </c>
      <c r="F2084" s="4" t="s">
        <v>3819</v>
      </c>
      <c r="G2084" s="4" t="s">
        <v>1955</v>
      </c>
      <c r="H2084" s="4">
        <v>1</v>
      </c>
      <c r="I2084" s="4">
        <v>1</v>
      </c>
      <c r="J2084" s="4" t="s">
        <v>4590</v>
      </c>
      <c r="K2084" s="4" t="s">
        <v>427</v>
      </c>
      <c r="L2084" s="6">
        <v>46319</v>
      </c>
      <c r="M2084" s="4" t="s">
        <v>5864</v>
      </c>
      <c r="N2084" s="4" t="s">
        <v>5865</v>
      </c>
    </row>
    <row r="2085" spans="1:14" ht="40" customHeight="1">
      <c r="A2085" s="8" t="s">
        <v>4591</v>
      </c>
      <c r="B2085" s="8" t="s">
        <v>419</v>
      </c>
      <c r="C2085" s="8" t="s">
        <v>420</v>
      </c>
      <c r="D2085" s="8" t="s">
        <v>5879</v>
      </c>
      <c r="E2085" s="8" t="s">
        <v>41</v>
      </c>
      <c r="F2085" s="8" t="s">
        <v>4158</v>
      </c>
      <c r="G2085" s="8" t="s">
        <v>1955</v>
      </c>
      <c r="H2085" s="8">
        <v>1</v>
      </c>
      <c r="I2085" s="8">
        <v>1</v>
      </c>
      <c r="J2085" s="8" t="s">
        <v>4592</v>
      </c>
      <c r="K2085" s="8" t="s">
        <v>427</v>
      </c>
      <c r="L2085" s="9">
        <v>46319</v>
      </c>
      <c r="M2085" s="8" t="s">
        <v>5864</v>
      </c>
      <c r="N2085" s="8" t="s">
        <v>6087</v>
      </c>
    </row>
    <row r="2086" spans="1:14" ht="68" customHeight="1">
      <c r="A2086" s="4" t="s">
        <v>4593</v>
      </c>
      <c r="B2086" s="4" t="s">
        <v>419</v>
      </c>
      <c r="C2086" s="4" t="s">
        <v>420</v>
      </c>
      <c r="D2086" s="4" t="s">
        <v>5879</v>
      </c>
      <c r="E2086" s="4" t="s">
        <v>41</v>
      </c>
      <c r="F2086" s="4" t="s">
        <v>4160</v>
      </c>
      <c r="G2086" s="4" t="s">
        <v>1955</v>
      </c>
      <c r="H2086" s="4">
        <v>1</v>
      </c>
      <c r="I2086" s="4">
        <v>1</v>
      </c>
      <c r="J2086" s="4" t="s">
        <v>4594</v>
      </c>
      <c r="K2086" s="4" t="s">
        <v>427</v>
      </c>
      <c r="L2086" s="6">
        <v>46319</v>
      </c>
      <c r="M2086" s="4" t="s">
        <v>5864</v>
      </c>
      <c r="N2086" s="4" t="s">
        <v>5865</v>
      </c>
    </row>
    <row r="2087" spans="1:14" ht="40" customHeight="1">
      <c r="A2087" s="8" t="s">
        <v>4595</v>
      </c>
      <c r="B2087" s="8" t="s">
        <v>419</v>
      </c>
      <c r="C2087" s="8" t="s">
        <v>420</v>
      </c>
      <c r="D2087" s="8" t="s">
        <v>5879</v>
      </c>
      <c r="E2087" s="8" t="s">
        <v>41</v>
      </c>
      <c r="F2087" s="8" t="s">
        <v>4597</v>
      </c>
      <c r="G2087" s="8" t="s">
        <v>1955</v>
      </c>
      <c r="H2087" s="8">
        <v>1</v>
      </c>
      <c r="I2087" s="8">
        <v>1</v>
      </c>
      <c r="J2087" s="8" t="s">
        <v>4596</v>
      </c>
      <c r="K2087" s="8" t="s">
        <v>427</v>
      </c>
      <c r="L2087" s="9">
        <v>46319</v>
      </c>
      <c r="M2087" s="8" t="s">
        <v>5864</v>
      </c>
      <c r="N2087" s="8" t="s">
        <v>6087</v>
      </c>
    </row>
    <row r="2088" spans="1:14" ht="40" customHeight="1">
      <c r="A2088" s="4" t="s">
        <v>4598</v>
      </c>
      <c r="B2088" s="4" t="s">
        <v>419</v>
      </c>
      <c r="C2088" s="4" t="s">
        <v>420</v>
      </c>
      <c r="D2088" s="4" t="s">
        <v>5879</v>
      </c>
      <c r="E2088" s="4" t="s">
        <v>41</v>
      </c>
      <c r="F2088" s="4" t="s">
        <v>4600</v>
      </c>
      <c r="G2088" s="4" t="s">
        <v>1955</v>
      </c>
      <c r="H2088" s="4">
        <v>1</v>
      </c>
      <c r="I2088" s="4">
        <v>1</v>
      </c>
      <c r="J2088" s="4" t="s">
        <v>4599</v>
      </c>
      <c r="K2088" s="4" t="s">
        <v>427</v>
      </c>
      <c r="L2088" s="6">
        <v>46319</v>
      </c>
      <c r="M2088" s="4" t="s">
        <v>5864</v>
      </c>
      <c r="N2088" s="4" t="s">
        <v>5865</v>
      </c>
    </row>
    <row r="2089" spans="1:14" ht="40" customHeight="1">
      <c r="A2089" s="8" t="s">
        <v>4601</v>
      </c>
      <c r="B2089" s="8" t="s">
        <v>419</v>
      </c>
      <c r="C2089" s="8" t="s">
        <v>420</v>
      </c>
      <c r="D2089" s="8" t="s">
        <v>5879</v>
      </c>
      <c r="E2089" s="8" t="s">
        <v>41</v>
      </c>
      <c r="F2089" s="8" t="s">
        <v>4603</v>
      </c>
      <c r="G2089" s="8" t="s">
        <v>1955</v>
      </c>
      <c r="H2089" s="8">
        <v>1</v>
      </c>
      <c r="I2089" s="8">
        <v>1</v>
      </c>
      <c r="J2089" s="8" t="s">
        <v>4602</v>
      </c>
      <c r="K2089" s="8" t="s">
        <v>427</v>
      </c>
      <c r="L2089" s="9">
        <v>46319</v>
      </c>
      <c r="M2089" s="8" t="s">
        <v>5864</v>
      </c>
      <c r="N2089" s="8" t="s">
        <v>6087</v>
      </c>
    </row>
    <row r="2090" spans="1:14" ht="68" customHeight="1">
      <c r="A2090" s="4" t="s">
        <v>4604</v>
      </c>
      <c r="B2090" s="4" t="s">
        <v>419</v>
      </c>
      <c r="C2090" s="4" t="s">
        <v>420</v>
      </c>
      <c r="D2090" s="4" t="s">
        <v>5879</v>
      </c>
      <c r="E2090" s="4" t="s">
        <v>41</v>
      </c>
      <c r="F2090" s="4" t="s">
        <v>4606</v>
      </c>
      <c r="G2090" s="4" t="s">
        <v>1955</v>
      </c>
      <c r="H2090" s="4">
        <v>1</v>
      </c>
      <c r="I2090" s="4">
        <v>1</v>
      </c>
      <c r="J2090" s="4" t="s">
        <v>4605</v>
      </c>
      <c r="K2090" s="4" t="s">
        <v>427</v>
      </c>
      <c r="L2090" s="6">
        <v>46319</v>
      </c>
      <c r="M2090" s="4" t="s">
        <v>5864</v>
      </c>
      <c r="N2090" s="4" t="s">
        <v>5865</v>
      </c>
    </row>
    <row r="2091" spans="1:14" ht="40" customHeight="1">
      <c r="A2091" s="8" t="s">
        <v>4607</v>
      </c>
      <c r="B2091" s="8" t="s">
        <v>419</v>
      </c>
      <c r="C2091" s="8" t="s">
        <v>420</v>
      </c>
      <c r="D2091" s="8" t="s">
        <v>5879</v>
      </c>
      <c r="E2091" s="8" t="s">
        <v>41</v>
      </c>
      <c r="F2091" s="8" t="s">
        <v>4609</v>
      </c>
      <c r="G2091" s="8" t="s">
        <v>1955</v>
      </c>
      <c r="H2091" s="8">
        <v>1</v>
      </c>
      <c r="I2091" s="8">
        <v>1</v>
      </c>
      <c r="J2091" s="8" t="s">
        <v>4608</v>
      </c>
      <c r="K2091" s="8" t="s">
        <v>427</v>
      </c>
      <c r="L2091" s="9">
        <v>46319</v>
      </c>
      <c r="M2091" s="8" t="s">
        <v>5864</v>
      </c>
      <c r="N2091" s="8" t="s">
        <v>6087</v>
      </c>
    </row>
    <row r="2092" spans="1:14" ht="54" customHeight="1">
      <c r="A2092" s="4" t="s">
        <v>4610</v>
      </c>
      <c r="B2092" s="4" t="s">
        <v>419</v>
      </c>
      <c r="C2092" s="4" t="s">
        <v>420</v>
      </c>
      <c r="D2092" s="4" t="s">
        <v>5879</v>
      </c>
      <c r="E2092" s="4" t="s">
        <v>41</v>
      </c>
      <c r="F2092" s="4" t="s">
        <v>4612</v>
      </c>
      <c r="G2092" s="4" t="s">
        <v>1955</v>
      </c>
      <c r="H2092" s="4">
        <v>1</v>
      </c>
      <c r="I2092" s="4">
        <v>1</v>
      </c>
      <c r="J2092" s="4" t="s">
        <v>4611</v>
      </c>
      <c r="K2092" s="4" t="s">
        <v>427</v>
      </c>
      <c r="L2092" s="6">
        <v>46319</v>
      </c>
      <c r="M2092" s="4" t="s">
        <v>5864</v>
      </c>
      <c r="N2092" s="4" t="s">
        <v>5865</v>
      </c>
    </row>
    <row r="2093" spans="1:14" ht="40" customHeight="1">
      <c r="A2093" s="8" t="s">
        <v>4613</v>
      </c>
      <c r="B2093" s="8" t="s">
        <v>419</v>
      </c>
      <c r="C2093" s="8" t="s">
        <v>420</v>
      </c>
      <c r="D2093" s="8" t="s">
        <v>5879</v>
      </c>
      <c r="E2093" s="8" t="s">
        <v>41</v>
      </c>
      <c r="F2093" s="8" t="s">
        <v>4615</v>
      </c>
      <c r="G2093" s="8" t="s">
        <v>1955</v>
      </c>
      <c r="H2093" s="8">
        <v>1</v>
      </c>
      <c r="I2093" s="8">
        <v>1</v>
      </c>
      <c r="J2093" s="8" t="s">
        <v>4614</v>
      </c>
      <c r="K2093" s="8" t="s">
        <v>427</v>
      </c>
      <c r="L2093" s="9">
        <v>46319</v>
      </c>
      <c r="M2093" s="8" t="s">
        <v>5864</v>
      </c>
      <c r="N2093" s="8" t="s">
        <v>6087</v>
      </c>
    </row>
    <row r="2094" spans="1:14" ht="54" customHeight="1">
      <c r="A2094" s="4" t="s">
        <v>4616</v>
      </c>
      <c r="B2094" s="4" t="s">
        <v>419</v>
      </c>
      <c r="C2094" s="4" t="s">
        <v>420</v>
      </c>
      <c r="D2094" s="4" t="s">
        <v>5879</v>
      </c>
      <c r="E2094" s="4" t="s">
        <v>41</v>
      </c>
      <c r="F2094" s="4" t="s">
        <v>3719</v>
      </c>
      <c r="G2094" s="4" t="s">
        <v>1955</v>
      </c>
      <c r="H2094" s="4">
        <v>1</v>
      </c>
      <c r="I2094" s="4">
        <v>1</v>
      </c>
      <c r="J2094" s="4" t="s">
        <v>4617</v>
      </c>
      <c r="K2094" s="4" t="s">
        <v>427</v>
      </c>
      <c r="L2094" s="6">
        <v>46319</v>
      </c>
      <c r="M2094" s="4" t="s">
        <v>5864</v>
      </c>
      <c r="N2094" s="4" t="s">
        <v>5865</v>
      </c>
    </row>
    <row r="2095" spans="1:14" ht="40" customHeight="1">
      <c r="A2095" s="8" t="s">
        <v>4618</v>
      </c>
      <c r="B2095" s="8" t="s">
        <v>419</v>
      </c>
      <c r="C2095" s="8" t="s">
        <v>420</v>
      </c>
      <c r="D2095" s="8" t="s">
        <v>5879</v>
      </c>
      <c r="E2095" s="8" t="s">
        <v>41</v>
      </c>
      <c r="F2095" s="8" t="s">
        <v>4620</v>
      </c>
      <c r="G2095" s="8" t="s">
        <v>1955</v>
      </c>
      <c r="H2095" s="8">
        <v>1</v>
      </c>
      <c r="I2095" s="8">
        <v>1</v>
      </c>
      <c r="J2095" s="8" t="s">
        <v>4619</v>
      </c>
      <c r="K2095" s="8" t="s">
        <v>427</v>
      </c>
      <c r="L2095" s="9">
        <v>46319</v>
      </c>
      <c r="M2095" s="8" t="s">
        <v>5864</v>
      </c>
      <c r="N2095" s="8" t="s">
        <v>6087</v>
      </c>
    </row>
    <row r="2096" spans="1:14" ht="40" customHeight="1">
      <c r="A2096" s="4" t="s">
        <v>4621</v>
      </c>
      <c r="B2096" s="4" t="s">
        <v>419</v>
      </c>
      <c r="C2096" s="4" t="s">
        <v>420</v>
      </c>
      <c r="D2096" s="4" t="s">
        <v>5879</v>
      </c>
      <c r="E2096" s="4" t="s">
        <v>41</v>
      </c>
      <c r="F2096" s="4" t="s">
        <v>3725</v>
      </c>
      <c r="G2096" s="4" t="s">
        <v>1955</v>
      </c>
      <c r="H2096" s="4">
        <v>1</v>
      </c>
      <c r="I2096" s="4">
        <v>1</v>
      </c>
      <c r="J2096" s="4" t="s">
        <v>4622</v>
      </c>
      <c r="K2096" s="4" t="s">
        <v>427</v>
      </c>
      <c r="L2096" s="6">
        <v>46319</v>
      </c>
      <c r="M2096" s="4" t="s">
        <v>5864</v>
      </c>
      <c r="N2096" s="4" t="s">
        <v>5865</v>
      </c>
    </row>
    <row r="2097" spans="1:14" ht="40" customHeight="1">
      <c r="A2097" s="8" t="s">
        <v>4623</v>
      </c>
      <c r="B2097" s="8" t="s">
        <v>419</v>
      </c>
      <c r="C2097" s="8" t="s">
        <v>420</v>
      </c>
      <c r="D2097" s="8" t="s">
        <v>5879</v>
      </c>
      <c r="E2097" s="8" t="s">
        <v>41</v>
      </c>
      <c r="F2097" s="8" t="s">
        <v>4625</v>
      </c>
      <c r="G2097" s="8" t="s">
        <v>1955</v>
      </c>
      <c r="H2097" s="8">
        <v>1</v>
      </c>
      <c r="I2097" s="8">
        <v>1</v>
      </c>
      <c r="J2097" s="8" t="s">
        <v>4624</v>
      </c>
      <c r="K2097" s="8" t="s">
        <v>427</v>
      </c>
      <c r="L2097" s="9">
        <v>46319</v>
      </c>
      <c r="M2097" s="8" t="s">
        <v>5864</v>
      </c>
      <c r="N2097" s="8" t="s">
        <v>6087</v>
      </c>
    </row>
    <row r="2098" spans="1:14" ht="40" customHeight="1">
      <c r="A2098" s="4" t="s">
        <v>4626</v>
      </c>
      <c r="B2098" s="4" t="s">
        <v>419</v>
      </c>
      <c r="C2098" s="4" t="s">
        <v>420</v>
      </c>
      <c r="D2098" s="4" t="s">
        <v>5879</v>
      </c>
      <c r="E2098" s="4" t="s">
        <v>41</v>
      </c>
      <c r="F2098" s="4" t="s">
        <v>4628</v>
      </c>
      <c r="G2098" s="4" t="s">
        <v>1955</v>
      </c>
      <c r="H2098" s="4">
        <v>1</v>
      </c>
      <c r="I2098" s="4">
        <v>1</v>
      </c>
      <c r="J2098" s="4" t="s">
        <v>4627</v>
      </c>
      <c r="K2098" s="4" t="s">
        <v>427</v>
      </c>
      <c r="L2098" s="6">
        <v>46319</v>
      </c>
      <c r="M2098" s="4" t="s">
        <v>5864</v>
      </c>
      <c r="N2098" s="4" t="s">
        <v>5865</v>
      </c>
    </row>
    <row r="2099" spans="1:14" ht="54" customHeight="1">
      <c r="A2099" s="8" t="s">
        <v>8444</v>
      </c>
      <c r="B2099" s="8" t="s">
        <v>419</v>
      </c>
      <c r="C2099" s="8" t="s">
        <v>420</v>
      </c>
      <c r="D2099" s="8" t="s">
        <v>2969</v>
      </c>
      <c r="E2099" s="8" t="s">
        <v>41</v>
      </c>
      <c r="F2099" s="8" t="s">
        <v>5881</v>
      </c>
      <c r="G2099" s="8" t="s">
        <v>1955</v>
      </c>
      <c r="H2099" s="8">
        <v>1</v>
      </c>
      <c r="I2099" s="8">
        <v>1</v>
      </c>
      <c r="J2099" s="8" t="s">
        <v>8445</v>
      </c>
      <c r="K2099" s="8" t="s">
        <v>427</v>
      </c>
      <c r="L2099" s="9">
        <v>46319</v>
      </c>
      <c r="M2099" s="8" t="s">
        <v>5864</v>
      </c>
      <c r="N2099" s="8" t="s">
        <v>5883</v>
      </c>
    </row>
    <row r="2100" spans="1:14" ht="54" customHeight="1">
      <c r="A2100" s="4" t="s">
        <v>8446</v>
      </c>
      <c r="B2100" s="4" t="s">
        <v>419</v>
      </c>
      <c r="C2100" s="4" t="s">
        <v>420</v>
      </c>
      <c r="D2100" s="4" t="s">
        <v>2969</v>
      </c>
      <c r="E2100" s="4" t="s">
        <v>41</v>
      </c>
      <c r="F2100" s="4" t="s">
        <v>5885</v>
      </c>
      <c r="G2100" s="4" t="s">
        <v>1955</v>
      </c>
      <c r="H2100" s="4">
        <v>1</v>
      </c>
      <c r="I2100" s="4">
        <v>1</v>
      </c>
      <c r="J2100" s="4" t="s">
        <v>8447</v>
      </c>
      <c r="K2100" s="4" t="s">
        <v>427</v>
      </c>
      <c r="L2100" s="6">
        <v>46319</v>
      </c>
      <c r="M2100" s="4" t="s">
        <v>5864</v>
      </c>
      <c r="N2100" s="4" t="s">
        <v>5883</v>
      </c>
    </row>
    <row r="2101" spans="1:14" ht="54" customHeight="1">
      <c r="A2101" s="8" t="s">
        <v>8448</v>
      </c>
      <c r="B2101" s="8" t="s">
        <v>419</v>
      </c>
      <c r="C2101" s="8" t="s">
        <v>420</v>
      </c>
      <c r="D2101" s="8" t="s">
        <v>2969</v>
      </c>
      <c r="E2101" s="8" t="s">
        <v>41</v>
      </c>
      <c r="F2101" s="8" t="s">
        <v>5888</v>
      </c>
      <c r="G2101" s="8" t="s">
        <v>1955</v>
      </c>
      <c r="H2101" s="8">
        <v>1</v>
      </c>
      <c r="I2101" s="8">
        <v>1</v>
      </c>
      <c r="J2101" s="8" t="s">
        <v>8449</v>
      </c>
      <c r="K2101" s="8" t="s">
        <v>427</v>
      </c>
      <c r="L2101" s="9">
        <v>46319</v>
      </c>
      <c r="M2101" s="8" t="s">
        <v>5864</v>
      </c>
      <c r="N2101" s="8" t="s">
        <v>5883</v>
      </c>
    </row>
    <row r="2102" spans="1:14" ht="54" customHeight="1">
      <c r="A2102" s="4" t="s">
        <v>8450</v>
      </c>
      <c r="B2102" s="4" t="s">
        <v>419</v>
      </c>
      <c r="C2102" s="4" t="s">
        <v>420</v>
      </c>
      <c r="D2102" s="4" t="s">
        <v>2969</v>
      </c>
      <c r="E2102" s="4" t="s">
        <v>41</v>
      </c>
      <c r="F2102" s="4" t="s">
        <v>5891</v>
      </c>
      <c r="G2102" s="4" t="s">
        <v>1955</v>
      </c>
      <c r="H2102" s="4">
        <v>1</v>
      </c>
      <c r="I2102" s="4">
        <v>1</v>
      </c>
      <c r="J2102" s="4" t="s">
        <v>8451</v>
      </c>
      <c r="K2102" s="4" t="s">
        <v>427</v>
      </c>
      <c r="L2102" s="6">
        <v>46319</v>
      </c>
      <c r="M2102" s="4" t="s">
        <v>5864</v>
      </c>
      <c r="N2102" s="4" t="s">
        <v>5883</v>
      </c>
    </row>
    <row r="2103" spans="1:14" ht="54" customHeight="1">
      <c r="A2103" s="8" t="s">
        <v>8452</v>
      </c>
      <c r="B2103" s="8" t="s">
        <v>419</v>
      </c>
      <c r="C2103" s="8" t="s">
        <v>420</v>
      </c>
      <c r="D2103" s="8" t="s">
        <v>2969</v>
      </c>
      <c r="E2103" s="8" t="s">
        <v>41</v>
      </c>
      <c r="F2103" s="8" t="s">
        <v>5894</v>
      </c>
      <c r="G2103" s="8" t="s">
        <v>1955</v>
      </c>
      <c r="H2103" s="8">
        <v>1</v>
      </c>
      <c r="I2103" s="8">
        <v>1</v>
      </c>
      <c r="J2103" s="8" t="s">
        <v>8453</v>
      </c>
      <c r="K2103" s="8" t="s">
        <v>427</v>
      </c>
      <c r="L2103" s="9">
        <v>46319</v>
      </c>
      <c r="M2103" s="8" t="s">
        <v>5864</v>
      </c>
      <c r="N2103" s="8" t="s">
        <v>5883</v>
      </c>
    </row>
    <row r="2104" spans="1:14" ht="54" customHeight="1">
      <c r="A2104" s="4" t="s">
        <v>8454</v>
      </c>
      <c r="B2104" s="4" t="s">
        <v>419</v>
      </c>
      <c r="C2104" s="4" t="s">
        <v>420</v>
      </c>
      <c r="D2104" s="4" t="s">
        <v>2969</v>
      </c>
      <c r="E2104" s="4" t="s">
        <v>41</v>
      </c>
      <c r="F2104" s="4" t="s">
        <v>5897</v>
      </c>
      <c r="G2104" s="4" t="s">
        <v>1955</v>
      </c>
      <c r="H2104" s="4">
        <v>1</v>
      </c>
      <c r="I2104" s="4">
        <v>1</v>
      </c>
      <c r="J2104" s="4" t="s">
        <v>8455</v>
      </c>
      <c r="K2104" s="4" t="s">
        <v>427</v>
      </c>
      <c r="L2104" s="6">
        <v>46319</v>
      </c>
      <c r="M2104" s="4" t="s">
        <v>5864</v>
      </c>
      <c r="N2104" s="4" t="s">
        <v>5883</v>
      </c>
    </row>
    <row r="2105" spans="1:14" ht="54" customHeight="1">
      <c r="A2105" s="8" t="s">
        <v>8456</v>
      </c>
      <c r="B2105" s="8" t="s">
        <v>419</v>
      </c>
      <c r="C2105" s="8" t="s">
        <v>420</v>
      </c>
      <c r="D2105" s="8" t="s">
        <v>2969</v>
      </c>
      <c r="E2105" s="8" t="s">
        <v>41</v>
      </c>
      <c r="F2105" s="8" t="s">
        <v>5900</v>
      </c>
      <c r="G2105" s="8" t="s">
        <v>1955</v>
      </c>
      <c r="H2105" s="8">
        <v>1</v>
      </c>
      <c r="I2105" s="8">
        <v>1</v>
      </c>
      <c r="J2105" s="8" t="s">
        <v>8457</v>
      </c>
      <c r="K2105" s="8" t="s">
        <v>427</v>
      </c>
      <c r="L2105" s="9">
        <v>46319</v>
      </c>
      <c r="M2105" s="8" t="s">
        <v>5864</v>
      </c>
      <c r="N2105" s="8" t="s">
        <v>5883</v>
      </c>
    </row>
    <row r="2106" spans="1:14" ht="68" customHeight="1">
      <c r="A2106" s="4" t="s">
        <v>8458</v>
      </c>
      <c r="B2106" s="4" t="s">
        <v>419</v>
      </c>
      <c r="C2106" s="4" t="s">
        <v>420</v>
      </c>
      <c r="D2106" s="4" t="s">
        <v>2969</v>
      </c>
      <c r="E2106" s="4" t="s">
        <v>41</v>
      </c>
      <c r="F2106" s="4" t="s">
        <v>5903</v>
      </c>
      <c r="G2106" s="4" t="s">
        <v>1955</v>
      </c>
      <c r="H2106" s="4">
        <v>1</v>
      </c>
      <c r="I2106" s="4">
        <v>1</v>
      </c>
      <c r="J2106" s="4" t="s">
        <v>8459</v>
      </c>
      <c r="K2106" s="4" t="s">
        <v>427</v>
      </c>
      <c r="L2106" s="6">
        <v>46319</v>
      </c>
      <c r="M2106" s="4" t="s">
        <v>5864</v>
      </c>
      <c r="N2106" s="4" t="s">
        <v>5883</v>
      </c>
    </row>
    <row r="2107" spans="1:14" ht="54" customHeight="1">
      <c r="A2107" s="8" t="s">
        <v>8460</v>
      </c>
      <c r="B2107" s="8" t="s">
        <v>419</v>
      </c>
      <c r="C2107" s="8" t="s">
        <v>420</v>
      </c>
      <c r="D2107" s="8" t="s">
        <v>2969</v>
      </c>
      <c r="E2107" s="8" t="s">
        <v>41</v>
      </c>
      <c r="F2107" s="8" t="s">
        <v>5906</v>
      </c>
      <c r="G2107" s="8" t="s">
        <v>1955</v>
      </c>
      <c r="H2107" s="8">
        <v>1</v>
      </c>
      <c r="I2107" s="8">
        <v>1</v>
      </c>
      <c r="J2107" s="8" t="s">
        <v>8461</v>
      </c>
      <c r="K2107" s="8" t="s">
        <v>427</v>
      </c>
      <c r="L2107" s="9">
        <v>46319</v>
      </c>
      <c r="M2107" s="8" t="s">
        <v>5864</v>
      </c>
      <c r="N2107" s="8" t="s">
        <v>5883</v>
      </c>
    </row>
    <row r="2108" spans="1:14" ht="54" customHeight="1">
      <c r="A2108" s="4" t="s">
        <v>8462</v>
      </c>
      <c r="B2108" s="4" t="s">
        <v>419</v>
      </c>
      <c r="C2108" s="4" t="s">
        <v>420</v>
      </c>
      <c r="D2108" s="4" t="s">
        <v>2969</v>
      </c>
      <c r="E2108" s="4" t="s">
        <v>41</v>
      </c>
      <c r="F2108" s="4" t="s">
        <v>5909</v>
      </c>
      <c r="G2108" s="4" t="s">
        <v>1955</v>
      </c>
      <c r="H2108" s="4">
        <v>1</v>
      </c>
      <c r="I2108" s="4">
        <v>1</v>
      </c>
      <c r="J2108" s="4" t="s">
        <v>8463</v>
      </c>
      <c r="K2108" s="4" t="s">
        <v>427</v>
      </c>
      <c r="L2108" s="6">
        <v>46319</v>
      </c>
      <c r="M2108" s="4" t="s">
        <v>5864</v>
      </c>
      <c r="N2108" s="4" t="s">
        <v>5883</v>
      </c>
    </row>
    <row r="2109" spans="1:14" ht="68" customHeight="1">
      <c r="A2109" s="8" t="s">
        <v>8464</v>
      </c>
      <c r="B2109" s="8" t="s">
        <v>419</v>
      </c>
      <c r="C2109" s="8" t="s">
        <v>420</v>
      </c>
      <c r="D2109" s="8" t="s">
        <v>2969</v>
      </c>
      <c r="E2109" s="8" t="s">
        <v>41</v>
      </c>
      <c r="F2109" s="8" t="s">
        <v>5912</v>
      </c>
      <c r="G2109" s="8" t="s">
        <v>1955</v>
      </c>
      <c r="H2109" s="8">
        <v>1</v>
      </c>
      <c r="I2109" s="8">
        <v>1</v>
      </c>
      <c r="J2109" s="8" t="s">
        <v>8465</v>
      </c>
      <c r="K2109" s="8" t="s">
        <v>427</v>
      </c>
      <c r="L2109" s="9">
        <v>46319</v>
      </c>
      <c r="M2109" s="8" t="s">
        <v>5864</v>
      </c>
      <c r="N2109" s="8" t="s">
        <v>5883</v>
      </c>
    </row>
    <row r="2110" spans="1:14" ht="68" customHeight="1">
      <c r="A2110" s="4" t="s">
        <v>8466</v>
      </c>
      <c r="B2110" s="4" t="s">
        <v>419</v>
      </c>
      <c r="C2110" s="4" t="s">
        <v>420</v>
      </c>
      <c r="D2110" s="4" t="s">
        <v>2969</v>
      </c>
      <c r="E2110" s="4" t="s">
        <v>41</v>
      </c>
      <c r="F2110" s="4" t="s">
        <v>5973</v>
      </c>
      <c r="G2110" s="4" t="s">
        <v>1955</v>
      </c>
      <c r="H2110" s="4">
        <v>1</v>
      </c>
      <c r="I2110" s="4">
        <v>1</v>
      </c>
      <c r="J2110" s="4" t="s">
        <v>8467</v>
      </c>
      <c r="K2110" s="4" t="s">
        <v>427</v>
      </c>
      <c r="L2110" s="6">
        <v>46319</v>
      </c>
      <c r="M2110" s="4" t="s">
        <v>5864</v>
      </c>
      <c r="N2110" s="4" t="s">
        <v>5883</v>
      </c>
    </row>
    <row r="2111" spans="1:14" ht="54" customHeight="1">
      <c r="A2111" s="8" t="s">
        <v>8468</v>
      </c>
      <c r="B2111" s="8" t="s">
        <v>419</v>
      </c>
      <c r="C2111" s="8" t="s">
        <v>420</v>
      </c>
      <c r="D2111" s="8" t="s">
        <v>2969</v>
      </c>
      <c r="E2111" s="8" t="s">
        <v>41</v>
      </c>
      <c r="F2111" s="8" t="s">
        <v>5976</v>
      </c>
      <c r="G2111" s="8" t="s">
        <v>1955</v>
      </c>
      <c r="H2111" s="8">
        <v>1</v>
      </c>
      <c r="I2111" s="8">
        <v>1</v>
      </c>
      <c r="J2111" s="8" t="s">
        <v>8469</v>
      </c>
      <c r="K2111" s="8" t="s">
        <v>427</v>
      </c>
      <c r="L2111" s="9">
        <v>46319</v>
      </c>
      <c r="M2111" s="8" t="s">
        <v>5864</v>
      </c>
      <c r="N2111" s="8" t="s">
        <v>5883</v>
      </c>
    </row>
    <row r="2112" spans="1:14" ht="68" customHeight="1">
      <c r="A2112" s="4" t="s">
        <v>8470</v>
      </c>
      <c r="B2112" s="4" t="s">
        <v>419</v>
      </c>
      <c r="C2112" s="4" t="s">
        <v>420</v>
      </c>
      <c r="D2112" s="4" t="s">
        <v>2969</v>
      </c>
      <c r="E2112" s="4" t="s">
        <v>41</v>
      </c>
      <c r="F2112" s="4" t="s">
        <v>5979</v>
      </c>
      <c r="G2112" s="4" t="s">
        <v>1955</v>
      </c>
      <c r="H2112" s="4">
        <v>1</v>
      </c>
      <c r="I2112" s="4">
        <v>1</v>
      </c>
      <c r="J2112" s="4" t="s">
        <v>8471</v>
      </c>
      <c r="K2112" s="4" t="s">
        <v>427</v>
      </c>
      <c r="L2112" s="6">
        <v>46319</v>
      </c>
      <c r="M2112" s="4" t="s">
        <v>5864</v>
      </c>
      <c r="N2112" s="4" t="s">
        <v>5883</v>
      </c>
    </row>
    <row r="2113" spans="1:14" ht="82" customHeight="1">
      <c r="A2113" s="8" t="s">
        <v>8472</v>
      </c>
      <c r="B2113" s="8" t="s">
        <v>430</v>
      </c>
      <c r="C2113" s="8" t="s">
        <v>431</v>
      </c>
      <c r="D2113" s="8" t="s">
        <v>5861</v>
      </c>
      <c r="E2113" s="8" t="s">
        <v>41</v>
      </c>
      <c r="F2113" s="8" t="s">
        <v>5862</v>
      </c>
      <c r="G2113" s="8" t="s">
        <v>1966</v>
      </c>
      <c r="H2113" s="8">
        <v>1</v>
      </c>
      <c r="I2113" s="8">
        <v>1</v>
      </c>
      <c r="J2113" s="8" t="s">
        <v>8473</v>
      </c>
      <c r="K2113" s="8" t="s">
        <v>436</v>
      </c>
      <c r="L2113" s="9">
        <v>46319</v>
      </c>
      <c r="M2113" s="8" t="s">
        <v>5864</v>
      </c>
      <c r="N2113" s="8" t="s">
        <v>5865</v>
      </c>
    </row>
    <row r="2114" spans="1:14" ht="40" customHeight="1">
      <c r="A2114" s="4" t="s">
        <v>8474</v>
      </c>
      <c r="B2114" s="4" t="s">
        <v>430</v>
      </c>
      <c r="C2114" s="4" t="s">
        <v>431</v>
      </c>
      <c r="D2114" s="4" t="s">
        <v>5861</v>
      </c>
      <c r="E2114" s="4" t="s">
        <v>7205</v>
      </c>
      <c r="F2114" s="4" t="s">
        <v>5918</v>
      </c>
      <c r="G2114" s="4" t="s">
        <v>1966</v>
      </c>
      <c r="H2114" s="4">
        <v>1</v>
      </c>
      <c r="I2114" s="4">
        <v>1</v>
      </c>
      <c r="J2114" s="4" t="s">
        <v>7205</v>
      </c>
      <c r="K2114" s="4" t="s">
        <v>436</v>
      </c>
      <c r="L2114" s="6">
        <v>46319</v>
      </c>
      <c r="M2114" s="4" t="s">
        <v>5864</v>
      </c>
      <c r="N2114" s="4" t="s">
        <v>5865</v>
      </c>
    </row>
    <row r="2115" spans="1:14" ht="54" customHeight="1">
      <c r="A2115" s="8" t="s">
        <v>8475</v>
      </c>
      <c r="B2115" s="8" t="s">
        <v>430</v>
      </c>
      <c r="C2115" s="8" t="s">
        <v>431</v>
      </c>
      <c r="D2115" s="8" t="s">
        <v>5861</v>
      </c>
      <c r="E2115" s="8" t="s">
        <v>7205</v>
      </c>
      <c r="F2115" s="8" t="s">
        <v>5920</v>
      </c>
      <c r="G2115" s="8" t="s">
        <v>1966</v>
      </c>
      <c r="H2115" s="8">
        <v>1</v>
      </c>
      <c r="I2115" s="8">
        <v>1</v>
      </c>
      <c r="J2115" s="8" t="s">
        <v>8476</v>
      </c>
      <c r="K2115" s="8" t="s">
        <v>436</v>
      </c>
      <c r="L2115" s="9">
        <v>46319</v>
      </c>
      <c r="M2115" s="8" t="s">
        <v>5864</v>
      </c>
      <c r="N2115" s="8" t="s">
        <v>5865</v>
      </c>
    </row>
    <row r="2116" spans="1:14" ht="54" customHeight="1">
      <c r="A2116" s="4" t="s">
        <v>8477</v>
      </c>
      <c r="B2116" s="4" t="s">
        <v>430</v>
      </c>
      <c r="C2116" s="4" t="s">
        <v>431</v>
      </c>
      <c r="D2116" s="4" t="s">
        <v>5861</v>
      </c>
      <c r="E2116" s="4" t="s">
        <v>7205</v>
      </c>
      <c r="F2116" s="4" t="s">
        <v>5924</v>
      </c>
      <c r="G2116" s="4" t="s">
        <v>1966</v>
      </c>
      <c r="H2116" s="4">
        <v>1</v>
      </c>
      <c r="I2116" s="4">
        <v>1</v>
      </c>
      <c r="J2116" s="4" t="s">
        <v>8478</v>
      </c>
      <c r="K2116" s="4" t="s">
        <v>436</v>
      </c>
      <c r="L2116" s="6">
        <v>46319</v>
      </c>
      <c r="M2116" s="4" t="s">
        <v>5864</v>
      </c>
      <c r="N2116" s="4" t="s">
        <v>5865</v>
      </c>
    </row>
    <row r="2117" spans="1:14" ht="40" customHeight="1">
      <c r="A2117" s="8" t="s">
        <v>8479</v>
      </c>
      <c r="B2117" s="8" t="s">
        <v>430</v>
      </c>
      <c r="C2117" s="8" t="s">
        <v>431</v>
      </c>
      <c r="D2117" s="8" t="s">
        <v>5867</v>
      </c>
      <c r="E2117" s="8" t="s">
        <v>41</v>
      </c>
      <c r="F2117" s="8" t="s">
        <v>5868</v>
      </c>
      <c r="G2117" s="8" t="s">
        <v>1966</v>
      </c>
      <c r="H2117" s="8">
        <v>1</v>
      </c>
      <c r="I2117" s="8">
        <v>1</v>
      </c>
      <c r="J2117" s="8" t="s">
        <v>8480</v>
      </c>
      <c r="K2117" s="8" t="s">
        <v>436</v>
      </c>
      <c r="L2117" s="9">
        <v>46319</v>
      </c>
      <c r="M2117" s="8" t="s">
        <v>5864</v>
      </c>
      <c r="N2117" s="8" t="s">
        <v>6087</v>
      </c>
    </row>
    <row r="2118" spans="1:14" ht="54" customHeight="1">
      <c r="A2118" s="4" t="s">
        <v>8481</v>
      </c>
      <c r="B2118" s="4" t="s">
        <v>430</v>
      </c>
      <c r="C2118" s="4" t="s">
        <v>431</v>
      </c>
      <c r="D2118" s="4" t="s">
        <v>637</v>
      </c>
      <c r="E2118" s="4" t="s">
        <v>41</v>
      </c>
      <c r="F2118" s="4" t="s">
        <v>920</v>
      </c>
      <c r="G2118" s="4" t="s">
        <v>1966</v>
      </c>
      <c r="H2118" s="4">
        <v>1</v>
      </c>
      <c r="I2118" s="4">
        <v>1</v>
      </c>
      <c r="J2118" s="4" t="s">
        <v>1964</v>
      </c>
      <c r="K2118" s="4" t="s">
        <v>436</v>
      </c>
      <c r="L2118" s="6">
        <v>46319</v>
      </c>
      <c r="M2118" s="4" t="s">
        <v>5864</v>
      </c>
      <c r="N2118" s="4" t="s">
        <v>5865</v>
      </c>
    </row>
    <row r="2119" spans="1:14" ht="40" customHeight="1">
      <c r="A2119" s="8" t="s">
        <v>8482</v>
      </c>
      <c r="B2119" s="8" t="s">
        <v>430</v>
      </c>
      <c r="C2119" s="8" t="s">
        <v>431</v>
      </c>
      <c r="D2119" s="8" t="s">
        <v>914</v>
      </c>
      <c r="E2119" s="8" t="s">
        <v>1968</v>
      </c>
      <c r="F2119" s="8" t="s">
        <v>1023</v>
      </c>
      <c r="G2119" s="8" t="s">
        <v>1966</v>
      </c>
      <c r="H2119" s="8">
        <v>1</v>
      </c>
      <c r="I2119" s="8">
        <v>1</v>
      </c>
      <c r="J2119" s="8" t="s">
        <v>1968</v>
      </c>
      <c r="K2119" s="8" t="s">
        <v>436</v>
      </c>
      <c r="L2119" s="9">
        <v>46319</v>
      </c>
      <c r="M2119" s="8" t="s">
        <v>5864</v>
      </c>
      <c r="N2119" s="8" t="s">
        <v>5865</v>
      </c>
    </row>
    <row r="2120" spans="1:14" ht="40" customHeight="1">
      <c r="A2120" s="4" t="s">
        <v>8483</v>
      </c>
      <c r="B2120" s="4" t="s">
        <v>430</v>
      </c>
      <c r="C2120" s="4" t="s">
        <v>431</v>
      </c>
      <c r="D2120" s="4" t="s">
        <v>914</v>
      </c>
      <c r="E2120" s="4" t="s">
        <v>1968</v>
      </c>
      <c r="F2120" s="4" t="s">
        <v>1458</v>
      </c>
      <c r="G2120" s="4" t="s">
        <v>1966</v>
      </c>
      <c r="H2120" s="4">
        <v>1</v>
      </c>
      <c r="I2120" s="4">
        <v>1</v>
      </c>
      <c r="J2120" s="4" t="s">
        <v>1971</v>
      </c>
      <c r="K2120" s="4" t="s">
        <v>436</v>
      </c>
      <c r="L2120" s="6">
        <v>46319</v>
      </c>
      <c r="M2120" s="4" t="s">
        <v>5864</v>
      </c>
      <c r="N2120" s="4" t="s">
        <v>5865</v>
      </c>
    </row>
    <row r="2121" spans="1:14" ht="40" customHeight="1">
      <c r="A2121" s="8" t="s">
        <v>8484</v>
      </c>
      <c r="B2121" s="8" t="s">
        <v>430</v>
      </c>
      <c r="C2121" s="8" t="s">
        <v>431</v>
      </c>
      <c r="D2121" s="8" t="s">
        <v>914</v>
      </c>
      <c r="E2121" s="8" t="s">
        <v>1968</v>
      </c>
      <c r="F2121" s="8" t="s">
        <v>1524</v>
      </c>
      <c r="G2121" s="8" t="s">
        <v>1966</v>
      </c>
      <c r="H2121" s="8">
        <v>1</v>
      </c>
      <c r="I2121" s="8">
        <v>1</v>
      </c>
      <c r="J2121" s="8" t="s">
        <v>1974</v>
      </c>
      <c r="K2121" s="8" t="s">
        <v>436</v>
      </c>
      <c r="L2121" s="9">
        <v>46319</v>
      </c>
      <c r="M2121" s="8" t="s">
        <v>5864</v>
      </c>
      <c r="N2121" s="8" t="s">
        <v>5865</v>
      </c>
    </row>
    <row r="2122" spans="1:14" ht="40" customHeight="1">
      <c r="A2122" s="4" t="s">
        <v>5555</v>
      </c>
      <c r="B2122" s="4" t="s">
        <v>430</v>
      </c>
      <c r="C2122" s="4" t="s">
        <v>431</v>
      </c>
      <c r="D2122" s="4" t="s">
        <v>7</v>
      </c>
      <c r="E2122" s="4" t="s">
        <v>41</v>
      </c>
      <c r="F2122" s="4" t="s">
        <v>6212</v>
      </c>
      <c r="G2122" s="4" t="s">
        <v>1966</v>
      </c>
      <c r="H2122" s="4">
        <v>1</v>
      </c>
      <c r="I2122" s="4">
        <v>1</v>
      </c>
      <c r="J2122" s="4" t="s">
        <v>5556</v>
      </c>
      <c r="K2122" s="4" t="s">
        <v>436</v>
      </c>
      <c r="L2122" s="6">
        <v>46319</v>
      </c>
      <c r="M2122" s="4" t="s">
        <v>5864</v>
      </c>
      <c r="N2122" s="4" t="s">
        <v>5870</v>
      </c>
    </row>
    <row r="2123" spans="1:14" ht="40" customHeight="1">
      <c r="A2123" s="8" t="s">
        <v>5557</v>
      </c>
      <c r="B2123" s="8" t="s">
        <v>430</v>
      </c>
      <c r="C2123" s="8" t="s">
        <v>431</v>
      </c>
      <c r="D2123" s="8" t="s">
        <v>7</v>
      </c>
      <c r="E2123" s="8" t="s">
        <v>41</v>
      </c>
      <c r="F2123" s="8" t="s">
        <v>6213</v>
      </c>
      <c r="G2123" s="8" t="s">
        <v>1966</v>
      </c>
      <c r="H2123" s="8">
        <v>1</v>
      </c>
      <c r="I2123" s="8">
        <v>1</v>
      </c>
      <c r="J2123" s="8" t="s">
        <v>5558</v>
      </c>
      <c r="K2123" s="8" t="s">
        <v>436</v>
      </c>
      <c r="L2123" s="9">
        <v>46319</v>
      </c>
      <c r="M2123" s="8" t="s">
        <v>5864</v>
      </c>
      <c r="N2123" s="8" t="s">
        <v>5870</v>
      </c>
    </row>
    <row r="2124" spans="1:14" ht="40" customHeight="1">
      <c r="A2124" s="4" t="s">
        <v>5559</v>
      </c>
      <c r="B2124" s="4" t="s">
        <v>430</v>
      </c>
      <c r="C2124" s="4" t="s">
        <v>431</v>
      </c>
      <c r="D2124" s="4" t="s">
        <v>7</v>
      </c>
      <c r="E2124" s="4" t="s">
        <v>41</v>
      </c>
      <c r="F2124" s="4" t="s">
        <v>6214</v>
      </c>
      <c r="G2124" s="4" t="s">
        <v>1966</v>
      </c>
      <c r="H2124" s="4">
        <v>1</v>
      </c>
      <c r="I2124" s="4">
        <v>1</v>
      </c>
      <c r="J2124" s="4" t="s">
        <v>5560</v>
      </c>
      <c r="K2124" s="4" t="s">
        <v>436</v>
      </c>
      <c r="L2124" s="6">
        <v>46319</v>
      </c>
      <c r="M2124" s="4" t="s">
        <v>5864</v>
      </c>
      <c r="N2124" s="4" t="s">
        <v>5870</v>
      </c>
    </row>
    <row r="2125" spans="1:14" ht="40" customHeight="1">
      <c r="A2125" s="8" t="s">
        <v>5561</v>
      </c>
      <c r="B2125" s="8" t="s">
        <v>430</v>
      </c>
      <c r="C2125" s="8" t="s">
        <v>431</v>
      </c>
      <c r="D2125" s="8" t="s">
        <v>7</v>
      </c>
      <c r="E2125" s="8" t="s">
        <v>41</v>
      </c>
      <c r="F2125" s="8" t="s">
        <v>6215</v>
      </c>
      <c r="G2125" s="8" t="s">
        <v>1966</v>
      </c>
      <c r="H2125" s="8">
        <v>1</v>
      </c>
      <c r="I2125" s="8">
        <v>1</v>
      </c>
      <c r="J2125" s="8" t="s">
        <v>5562</v>
      </c>
      <c r="K2125" s="8" t="s">
        <v>436</v>
      </c>
      <c r="L2125" s="9">
        <v>46319</v>
      </c>
      <c r="M2125" s="8" t="s">
        <v>5864</v>
      </c>
      <c r="N2125" s="8" t="s">
        <v>5870</v>
      </c>
    </row>
    <row r="2126" spans="1:14" ht="40" customHeight="1">
      <c r="A2126" s="4" t="s">
        <v>5563</v>
      </c>
      <c r="B2126" s="4" t="s">
        <v>430</v>
      </c>
      <c r="C2126" s="4" t="s">
        <v>431</v>
      </c>
      <c r="D2126" s="4" t="s">
        <v>7</v>
      </c>
      <c r="E2126" s="4" t="s">
        <v>41</v>
      </c>
      <c r="F2126" s="4" t="s">
        <v>6216</v>
      </c>
      <c r="G2126" s="4" t="s">
        <v>1966</v>
      </c>
      <c r="H2126" s="4">
        <v>1</v>
      </c>
      <c r="I2126" s="4">
        <v>1</v>
      </c>
      <c r="J2126" s="4" t="s">
        <v>5564</v>
      </c>
      <c r="K2126" s="4" t="s">
        <v>436</v>
      </c>
      <c r="L2126" s="6">
        <v>46319</v>
      </c>
      <c r="M2126" s="4" t="s">
        <v>5864</v>
      </c>
      <c r="N2126" s="4" t="s">
        <v>5870</v>
      </c>
    </row>
    <row r="2127" spans="1:14" ht="40" customHeight="1">
      <c r="A2127" s="8" t="s">
        <v>4629</v>
      </c>
      <c r="B2127" s="8" t="s">
        <v>430</v>
      </c>
      <c r="C2127" s="8" t="s">
        <v>431</v>
      </c>
      <c r="D2127" s="8" t="s">
        <v>5879</v>
      </c>
      <c r="E2127" s="8" t="s">
        <v>2792</v>
      </c>
      <c r="F2127" s="8" t="s">
        <v>3449</v>
      </c>
      <c r="G2127" s="8" t="s">
        <v>1966</v>
      </c>
      <c r="H2127" s="8">
        <v>1</v>
      </c>
      <c r="I2127" s="8">
        <v>1</v>
      </c>
      <c r="J2127" s="8" t="s">
        <v>2792</v>
      </c>
      <c r="K2127" s="8" t="s">
        <v>436</v>
      </c>
      <c r="L2127" s="9">
        <v>46319</v>
      </c>
      <c r="M2127" s="8" t="s">
        <v>5864</v>
      </c>
      <c r="N2127" s="8" t="s">
        <v>5865</v>
      </c>
    </row>
    <row r="2128" spans="1:14" ht="40" customHeight="1">
      <c r="A2128" s="4" t="s">
        <v>4630</v>
      </c>
      <c r="B2128" s="4" t="s">
        <v>430</v>
      </c>
      <c r="C2128" s="4" t="s">
        <v>431</v>
      </c>
      <c r="D2128" s="4" t="s">
        <v>5879</v>
      </c>
      <c r="E2128" s="4" t="s">
        <v>2792</v>
      </c>
      <c r="F2128" s="4" t="s">
        <v>3466</v>
      </c>
      <c r="G2128" s="4" t="s">
        <v>1966</v>
      </c>
      <c r="H2128" s="4">
        <v>1</v>
      </c>
      <c r="I2128" s="4">
        <v>1</v>
      </c>
      <c r="J2128" s="4" t="s">
        <v>3825</v>
      </c>
      <c r="K2128" s="4" t="s">
        <v>436</v>
      </c>
      <c r="L2128" s="6">
        <v>46319</v>
      </c>
      <c r="M2128" s="4" t="s">
        <v>5864</v>
      </c>
      <c r="N2128" s="4" t="s">
        <v>5865</v>
      </c>
    </row>
    <row r="2129" spans="1:14" ht="40" customHeight="1">
      <c r="A2129" s="8" t="s">
        <v>4631</v>
      </c>
      <c r="B2129" s="8" t="s">
        <v>430</v>
      </c>
      <c r="C2129" s="8" t="s">
        <v>431</v>
      </c>
      <c r="D2129" s="8" t="s">
        <v>5879</v>
      </c>
      <c r="E2129" s="8" t="s">
        <v>2792</v>
      </c>
      <c r="F2129" s="8" t="s">
        <v>3469</v>
      </c>
      <c r="G2129" s="8" t="s">
        <v>1966</v>
      </c>
      <c r="H2129" s="8">
        <v>1</v>
      </c>
      <c r="I2129" s="8">
        <v>1</v>
      </c>
      <c r="J2129" s="8" t="s">
        <v>3827</v>
      </c>
      <c r="K2129" s="8" t="s">
        <v>436</v>
      </c>
      <c r="L2129" s="9">
        <v>46319</v>
      </c>
      <c r="M2129" s="8" t="s">
        <v>5864</v>
      </c>
      <c r="N2129" s="8" t="s">
        <v>5865</v>
      </c>
    </row>
    <row r="2130" spans="1:14" ht="40" customHeight="1">
      <c r="A2130" s="4" t="s">
        <v>4632</v>
      </c>
      <c r="B2130" s="4" t="s">
        <v>430</v>
      </c>
      <c r="C2130" s="4" t="s">
        <v>431</v>
      </c>
      <c r="D2130" s="4" t="s">
        <v>5879</v>
      </c>
      <c r="E2130" s="4" t="s">
        <v>2792</v>
      </c>
      <c r="F2130" s="4" t="s">
        <v>3472</v>
      </c>
      <c r="G2130" s="4" t="s">
        <v>1966</v>
      </c>
      <c r="H2130" s="4">
        <v>1</v>
      </c>
      <c r="I2130" s="4">
        <v>1</v>
      </c>
      <c r="J2130" s="4" t="s">
        <v>3829</v>
      </c>
      <c r="K2130" s="4" t="s">
        <v>436</v>
      </c>
      <c r="L2130" s="6">
        <v>46319</v>
      </c>
      <c r="M2130" s="4" t="s">
        <v>5864</v>
      </c>
      <c r="N2130" s="4" t="s">
        <v>5865</v>
      </c>
    </row>
    <row r="2131" spans="1:14" ht="40" customHeight="1">
      <c r="A2131" s="8" t="s">
        <v>4633</v>
      </c>
      <c r="B2131" s="8" t="s">
        <v>430</v>
      </c>
      <c r="C2131" s="8" t="s">
        <v>431</v>
      </c>
      <c r="D2131" s="8" t="s">
        <v>5879</v>
      </c>
      <c r="E2131" s="8" t="s">
        <v>2792</v>
      </c>
      <c r="F2131" s="8" t="s">
        <v>3475</v>
      </c>
      <c r="G2131" s="8" t="s">
        <v>1966</v>
      </c>
      <c r="H2131" s="8">
        <v>1</v>
      </c>
      <c r="I2131" s="8">
        <v>1</v>
      </c>
      <c r="J2131" s="8" t="s">
        <v>3831</v>
      </c>
      <c r="K2131" s="8" t="s">
        <v>436</v>
      </c>
      <c r="L2131" s="9">
        <v>46319</v>
      </c>
      <c r="M2131" s="8" t="s">
        <v>5864</v>
      </c>
      <c r="N2131" s="8" t="s">
        <v>5865</v>
      </c>
    </row>
    <row r="2132" spans="1:14" ht="40" customHeight="1">
      <c r="A2132" s="4" t="s">
        <v>4634</v>
      </c>
      <c r="B2132" s="4" t="s">
        <v>430</v>
      </c>
      <c r="C2132" s="4" t="s">
        <v>431</v>
      </c>
      <c r="D2132" s="4" t="s">
        <v>5879</v>
      </c>
      <c r="E2132" s="4" t="s">
        <v>2792</v>
      </c>
      <c r="F2132" s="4" t="s">
        <v>3478</v>
      </c>
      <c r="G2132" s="4" t="s">
        <v>1966</v>
      </c>
      <c r="H2132" s="4">
        <v>1</v>
      </c>
      <c r="I2132" s="4">
        <v>1</v>
      </c>
      <c r="J2132" s="4" t="s">
        <v>3833</v>
      </c>
      <c r="K2132" s="4" t="s">
        <v>436</v>
      </c>
      <c r="L2132" s="6">
        <v>46319</v>
      </c>
      <c r="M2132" s="4" t="s">
        <v>5864</v>
      </c>
      <c r="N2132" s="4" t="s">
        <v>5865</v>
      </c>
    </row>
    <row r="2133" spans="1:14" ht="40" customHeight="1">
      <c r="A2133" s="8" t="s">
        <v>4635</v>
      </c>
      <c r="B2133" s="8" t="s">
        <v>430</v>
      </c>
      <c r="C2133" s="8" t="s">
        <v>431</v>
      </c>
      <c r="D2133" s="8" t="s">
        <v>5879</v>
      </c>
      <c r="E2133" s="8" t="s">
        <v>2792</v>
      </c>
      <c r="F2133" s="8" t="s">
        <v>3603</v>
      </c>
      <c r="G2133" s="8" t="s">
        <v>1966</v>
      </c>
      <c r="H2133" s="8">
        <v>1</v>
      </c>
      <c r="I2133" s="8">
        <v>1</v>
      </c>
      <c r="J2133" s="8" t="s">
        <v>3835</v>
      </c>
      <c r="K2133" s="8" t="s">
        <v>436</v>
      </c>
      <c r="L2133" s="9">
        <v>46319</v>
      </c>
      <c r="M2133" s="8" t="s">
        <v>5864</v>
      </c>
      <c r="N2133" s="8" t="s">
        <v>5865</v>
      </c>
    </row>
    <row r="2134" spans="1:14" ht="40" customHeight="1">
      <c r="A2134" s="4" t="s">
        <v>4636</v>
      </c>
      <c r="B2134" s="4" t="s">
        <v>430</v>
      </c>
      <c r="C2134" s="4" t="s">
        <v>431</v>
      </c>
      <c r="D2134" s="4" t="s">
        <v>5879</v>
      </c>
      <c r="E2134" s="4" t="s">
        <v>3837</v>
      </c>
      <c r="F2134" s="4" t="s">
        <v>3838</v>
      </c>
      <c r="G2134" s="4" t="s">
        <v>1966</v>
      </c>
      <c r="H2134" s="4">
        <v>1</v>
      </c>
      <c r="I2134" s="4">
        <v>1</v>
      </c>
      <c r="J2134" s="4" t="s">
        <v>3837</v>
      </c>
      <c r="K2134" s="4" t="s">
        <v>436</v>
      </c>
      <c r="L2134" s="6">
        <v>46319</v>
      </c>
      <c r="M2134" s="4" t="s">
        <v>5864</v>
      </c>
      <c r="N2134" s="4" t="s">
        <v>5865</v>
      </c>
    </row>
    <row r="2135" spans="1:14" ht="40" customHeight="1">
      <c r="A2135" s="8" t="s">
        <v>4637</v>
      </c>
      <c r="B2135" s="8" t="s">
        <v>430</v>
      </c>
      <c r="C2135" s="8" t="s">
        <v>431</v>
      </c>
      <c r="D2135" s="8" t="s">
        <v>5879</v>
      </c>
      <c r="E2135" s="8" t="s">
        <v>3837</v>
      </c>
      <c r="F2135" s="8" t="s">
        <v>3608</v>
      </c>
      <c r="G2135" s="8" t="s">
        <v>1966</v>
      </c>
      <c r="H2135" s="8">
        <v>1</v>
      </c>
      <c r="I2135" s="8">
        <v>1</v>
      </c>
      <c r="J2135" s="8" t="s">
        <v>3840</v>
      </c>
      <c r="K2135" s="8" t="s">
        <v>436</v>
      </c>
      <c r="L2135" s="9">
        <v>46319</v>
      </c>
      <c r="M2135" s="8" t="s">
        <v>5864</v>
      </c>
      <c r="N2135" s="8" t="s">
        <v>5865</v>
      </c>
    </row>
    <row r="2136" spans="1:14" ht="40" customHeight="1">
      <c r="A2136" s="4" t="s">
        <v>4638</v>
      </c>
      <c r="B2136" s="4" t="s">
        <v>430</v>
      </c>
      <c r="C2136" s="4" t="s">
        <v>431</v>
      </c>
      <c r="D2136" s="4" t="s">
        <v>5879</v>
      </c>
      <c r="E2136" s="4" t="s">
        <v>3837</v>
      </c>
      <c r="F2136" s="4" t="s">
        <v>3611</v>
      </c>
      <c r="G2136" s="4" t="s">
        <v>1966</v>
      </c>
      <c r="H2136" s="4">
        <v>1</v>
      </c>
      <c r="I2136" s="4">
        <v>1</v>
      </c>
      <c r="J2136" s="4" t="s">
        <v>3842</v>
      </c>
      <c r="K2136" s="4" t="s">
        <v>436</v>
      </c>
      <c r="L2136" s="6">
        <v>46319</v>
      </c>
      <c r="M2136" s="4" t="s">
        <v>5864</v>
      </c>
      <c r="N2136" s="4" t="s">
        <v>5865</v>
      </c>
    </row>
    <row r="2137" spans="1:14" ht="40" customHeight="1">
      <c r="A2137" s="8" t="s">
        <v>4639</v>
      </c>
      <c r="B2137" s="8" t="s">
        <v>430</v>
      </c>
      <c r="C2137" s="8" t="s">
        <v>431</v>
      </c>
      <c r="D2137" s="8" t="s">
        <v>5879</v>
      </c>
      <c r="E2137" s="8" t="s">
        <v>3837</v>
      </c>
      <c r="F2137" s="8" t="s">
        <v>3775</v>
      </c>
      <c r="G2137" s="8" t="s">
        <v>1966</v>
      </c>
      <c r="H2137" s="8">
        <v>1</v>
      </c>
      <c r="I2137" s="8">
        <v>1</v>
      </c>
      <c r="J2137" s="8" t="s">
        <v>3844</v>
      </c>
      <c r="K2137" s="8" t="s">
        <v>436</v>
      </c>
      <c r="L2137" s="9">
        <v>46319</v>
      </c>
      <c r="M2137" s="8" t="s">
        <v>5864</v>
      </c>
      <c r="N2137" s="8" t="s">
        <v>5865</v>
      </c>
    </row>
    <row r="2138" spans="1:14" ht="40" customHeight="1">
      <c r="A2138" s="4" t="s">
        <v>4640</v>
      </c>
      <c r="B2138" s="4" t="s">
        <v>430</v>
      </c>
      <c r="C2138" s="4" t="s">
        <v>431</v>
      </c>
      <c r="D2138" s="4" t="s">
        <v>5879</v>
      </c>
      <c r="E2138" s="4" t="s">
        <v>3837</v>
      </c>
      <c r="F2138" s="4" t="s">
        <v>3847</v>
      </c>
      <c r="G2138" s="4" t="s">
        <v>1966</v>
      </c>
      <c r="H2138" s="4">
        <v>1</v>
      </c>
      <c r="I2138" s="4">
        <v>1</v>
      </c>
      <c r="J2138" s="4" t="s">
        <v>3846</v>
      </c>
      <c r="K2138" s="4" t="s">
        <v>436</v>
      </c>
      <c r="L2138" s="6">
        <v>46319</v>
      </c>
      <c r="M2138" s="4" t="s">
        <v>5864</v>
      </c>
      <c r="N2138" s="4" t="s">
        <v>5865</v>
      </c>
    </row>
    <row r="2139" spans="1:14" ht="54" customHeight="1">
      <c r="A2139" s="8" t="s">
        <v>8485</v>
      </c>
      <c r="B2139" s="8" t="s">
        <v>430</v>
      </c>
      <c r="C2139" s="8" t="s">
        <v>431</v>
      </c>
      <c r="D2139" s="8" t="s">
        <v>2969</v>
      </c>
      <c r="E2139" s="8" t="s">
        <v>41</v>
      </c>
      <c r="F2139" s="8" t="s">
        <v>5881</v>
      </c>
      <c r="G2139" s="8" t="s">
        <v>1966</v>
      </c>
      <c r="H2139" s="8">
        <v>1</v>
      </c>
      <c r="I2139" s="8">
        <v>1</v>
      </c>
      <c r="J2139" s="8" t="s">
        <v>8486</v>
      </c>
      <c r="K2139" s="8" t="s">
        <v>436</v>
      </c>
      <c r="L2139" s="9">
        <v>46319</v>
      </c>
      <c r="M2139" s="8" t="s">
        <v>5864</v>
      </c>
      <c r="N2139" s="8" t="s">
        <v>5883</v>
      </c>
    </row>
    <row r="2140" spans="1:14" ht="54" customHeight="1">
      <c r="A2140" s="4" t="s">
        <v>8487</v>
      </c>
      <c r="B2140" s="4" t="s">
        <v>430</v>
      </c>
      <c r="C2140" s="4" t="s">
        <v>431</v>
      </c>
      <c r="D2140" s="4" t="s">
        <v>2969</v>
      </c>
      <c r="E2140" s="4" t="s">
        <v>41</v>
      </c>
      <c r="F2140" s="4" t="s">
        <v>5885</v>
      </c>
      <c r="G2140" s="4" t="s">
        <v>1966</v>
      </c>
      <c r="H2140" s="4">
        <v>1</v>
      </c>
      <c r="I2140" s="4">
        <v>1</v>
      </c>
      <c r="J2140" s="4" t="s">
        <v>8488</v>
      </c>
      <c r="K2140" s="4" t="s">
        <v>436</v>
      </c>
      <c r="L2140" s="6">
        <v>46319</v>
      </c>
      <c r="M2140" s="4" t="s">
        <v>5864</v>
      </c>
      <c r="N2140" s="4" t="s">
        <v>5883</v>
      </c>
    </row>
    <row r="2141" spans="1:14" ht="54" customHeight="1">
      <c r="A2141" s="8" t="s">
        <v>8489</v>
      </c>
      <c r="B2141" s="8" t="s">
        <v>430</v>
      </c>
      <c r="C2141" s="8" t="s">
        <v>431</v>
      </c>
      <c r="D2141" s="8" t="s">
        <v>2969</v>
      </c>
      <c r="E2141" s="8" t="s">
        <v>41</v>
      </c>
      <c r="F2141" s="8" t="s">
        <v>5888</v>
      </c>
      <c r="G2141" s="8" t="s">
        <v>1966</v>
      </c>
      <c r="H2141" s="8">
        <v>1</v>
      </c>
      <c r="I2141" s="8">
        <v>1</v>
      </c>
      <c r="J2141" s="8" t="s">
        <v>8490</v>
      </c>
      <c r="K2141" s="8" t="s">
        <v>436</v>
      </c>
      <c r="L2141" s="9">
        <v>46319</v>
      </c>
      <c r="M2141" s="8" t="s">
        <v>5864</v>
      </c>
      <c r="N2141" s="8" t="s">
        <v>5883</v>
      </c>
    </row>
    <row r="2142" spans="1:14" ht="54" customHeight="1">
      <c r="A2142" s="4" t="s">
        <v>8491</v>
      </c>
      <c r="B2142" s="4" t="s">
        <v>430</v>
      </c>
      <c r="C2142" s="4" t="s">
        <v>431</v>
      </c>
      <c r="D2142" s="4" t="s">
        <v>2969</v>
      </c>
      <c r="E2142" s="4" t="s">
        <v>41</v>
      </c>
      <c r="F2142" s="4" t="s">
        <v>5891</v>
      </c>
      <c r="G2142" s="4" t="s">
        <v>1966</v>
      </c>
      <c r="H2142" s="4">
        <v>1</v>
      </c>
      <c r="I2142" s="4">
        <v>1</v>
      </c>
      <c r="J2142" s="4" t="s">
        <v>8492</v>
      </c>
      <c r="K2142" s="4" t="s">
        <v>436</v>
      </c>
      <c r="L2142" s="6">
        <v>46319</v>
      </c>
      <c r="M2142" s="4" t="s">
        <v>5864</v>
      </c>
      <c r="N2142" s="4" t="s">
        <v>5883</v>
      </c>
    </row>
    <row r="2143" spans="1:14" ht="54" customHeight="1">
      <c r="A2143" s="8" t="s">
        <v>8493</v>
      </c>
      <c r="B2143" s="8" t="s">
        <v>430</v>
      </c>
      <c r="C2143" s="8" t="s">
        <v>431</v>
      </c>
      <c r="D2143" s="8" t="s">
        <v>2969</v>
      </c>
      <c r="E2143" s="8" t="s">
        <v>41</v>
      </c>
      <c r="F2143" s="8" t="s">
        <v>5894</v>
      </c>
      <c r="G2143" s="8" t="s">
        <v>1966</v>
      </c>
      <c r="H2143" s="8">
        <v>1</v>
      </c>
      <c r="I2143" s="8">
        <v>1</v>
      </c>
      <c r="J2143" s="8" t="s">
        <v>8494</v>
      </c>
      <c r="K2143" s="8" t="s">
        <v>436</v>
      </c>
      <c r="L2143" s="9">
        <v>46319</v>
      </c>
      <c r="M2143" s="8" t="s">
        <v>5864</v>
      </c>
      <c r="N2143" s="8" t="s">
        <v>5883</v>
      </c>
    </row>
    <row r="2144" spans="1:14" ht="54" customHeight="1">
      <c r="A2144" s="4" t="s">
        <v>8495</v>
      </c>
      <c r="B2144" s="4" t="s">
        <v>430</v>
      </c>
      <c r="C2144" s="4" t="s">
        <v>431</v>
      </c>
      <c r="D2144" s="4" t="s">
        <v>2969</v>
      </c>
      <c r="E2144" s="4" t="s">
        <v>41</v>
      </c>
      <c r="F2144" s="4" t="s">
        <v>5897</v>
      </c>
      <c r="G2144" s="4" t="s">
        <v>1966</v>
      </c>
      <c r="H2144" s="4">
        <v>1</v>
      </c>
      <c r="I2144" s="4">
        <v>1</v>
      </c>
      <c r="J2144" s="4" t="s">
        <v>8496</v>
      </c>
      <c r="K2144" s="4" t="s">
        <v>436</v>
      </c>
      <c r="L2144" s="6">
        <v>46319</v>
      </c>
      <c r="M2144" s="4" t="s">
        <v>5864</v>
      </c>
      <c r="N2144" s="4" t="s">
        <v>5883</v>
      </c>
    </row>
    <row r="2145" spans="1:14" ht="40" customHeight="1">
      <c r="A2145" s="8" t="s">
        <v>8497</v>
      </c>
      <c r="B2145" s="8" t="s">
        <v>430</v>
      </c>
      <c r="C2145" s="8" t="s">
        <v>431</v>
      </c>
      <c r="D2145" s="8" t="s">
        <v>2969</v>
      </c>
      <c r="E2145" s="8" t="s">
        <v>41</v>
      </c>
      <c r="F2145" s="8" t="s">
        <v>5900</v>
      </c>
      <c r="G2145" s="8" t="s">
        <v>1966</v>
      </c>
      <c r="H2145" s="8">
        <v>1</v>
      </c>
      <c r="I2145" s="8">
        <v>1</v>
      </c>
      <c r="J2145" s="8" t="s">
        <v>8498</v>
      </c>
      <c r="K2145" s="8" t="s">
        <v>436</v>
      </c>
      <c r="L2145" s="9">
        <v>46319</v>
      </c>
      <c r="M2145" s="8" t="s">
        <v>5864</v>
      </c>
      <c r="N2145" s="8" t="s">
        <v>5883</v>
      </c>
    </row>
    <row r="2146" spans="1:14" ht="40" customHeight="1">
      <c r="A2146" s="4" t="s">
        <v>8499</v>
      </c>
      <c r="B2146" s="4" t="s">
        <v>430</v>
      </c>
      <c r="C2146" s="4" t="s">
        <v>431</v>
      </c>
      <c r="D2146" s="4" t="s">
        <v>2969</v>
      </c>
      <c r="E2146" s="4" t="s">
        <v>41</v>
      </c>
      <c r="F2146" s="4" t="s">
        <v>5903</v>
      </c>
      <c r="G2146" s="4" t="s">
        <v>1966</v>
      </c>
      <c r="H2146" s="4">
        <v>1</v>
      </c>
      <c r="I2146" s="4">
        <v>1</v>
      </c>
      <c r="J2146" s="4" t="s">
        <v>8500</v>
      </c>
      <c r="K2146" s="4" t="s">
        <v>436</v>
      </c>
      <c r="L2146" s="6">
        <v>46319</v>
      </c>
      <c r="M2146" s="4" t="s">
        <v>5864</v>
      </c>
      <c r="N2146" s="4" t="s">
        <v>5883</v>
      </c>
    </row>
    <row r="2147" spans="1:14" ht="54" customHeight="1">
      <c r="A2147" s="8" t="s">
        <v>8501</v>
      </c>
      <c r="B2147" s="8" t="s">
        <v>430</v>
      </c>
      <c r="C2147" s="8" t="s">
        <v>431</v>
      </c>
      <c r="D2147" s="8" t="s">
        <v>2969</v>
      </c>
      <c r="E2147" s="8" t="s">
        <v>41</v>
      </c>
      <c r="F2147" s="8" t="s">
        <v>5906</v>
      </c>
      <c r="G2147" s="8" t="s">
        <v>1966</v>
      </c>
      <c r="H2147" s="8">
        <v>1</v>
      </c>
      <c r="I2147" s="8">
        <v>1</v>
      </c>
      <c r="J2147" s="8" t="s">
        <v>8502</v>
      </c>
      <c r="K2147" s="8" t="s">
        <v>436</v>
      </c>
      <c r="L2147" s="9">
        <v>46319</v>
      </c>
      <c r="M2147" s="8" t="s">
        <v>5864</v>
      </c>
      <c r="N2147" s="8" t="s">
        <v>5883</v>
      </c>
    </row>
    <row r="2148" spans="1:14" ht="54" customHeight="1">
      <c r="A2148" s="4" t="s">
        <v>8503</v>
      </c>
      <c r="B2148" s="4" t="s">
        <v>430</v>
      </c>
      <c r="C2148" s="4" t="s">
        <v>431</v>
      </c>
      <c r="D2148" s="4" t="s">
        <v>2969</v>
      </c>
      <c r="E2148" s="4" t="s">
        <v>41</v>
      </c>
      <c r="F2148" s="4" t="s">
        <v>5909</v>
      </c>
      <c r="G2148" s="4" t="s">
        <v>1966</v>
      </c>
      <c r="H2148" s="4">
        <v>1</v>
      </c>
      <c r="I2148" s="4">
        <v>1</v>
      </c>
      <c r="J2148" s="4" t="s">
        <v>8504</v>
      </c>
      <c r="K2148" s="4" t="s">
        <v>436</v>
      </c>
      <c r="L2148" s="6">
        <v>46319</v>
      </c>
      <c r="M2148" s="4" t="s">
        <v>5864</v>
      </c>
      <c r="N2148" s="4" t="s">
        <v>5883</v>
      </c>
    </row>
    <row r="2149" spans="1:14" ht="54" customHeight="1">
      <c r="A2149" s="8" t="s">
        <v>8505</v>
      </c>
      <c r="B2149" s="8" t="s">
        <v>430</v>
      </c>
      <c r="C2149" s="8" t="s">
        <v>431</v>
      </c>
      <c r="D2149" s="8" t="s">
        <v>2969</v>
      </c>
      <c r="E2149" s="8" t="s">
        <v>41</v>
      </c>
      <c r="F2149" s="8" t="s">
        <v>5912</v>
      </c>
      <c r="G2149" s="8" t="s">
        <v>1966</v>
      </c>
      <c r="H2149" s="8">
        <v>1</v>
      </c>
      <c r="I2149" s="8">
        <v>1</v>
      </c>
      <c r="J2149" s="8" t="s">
        <v>8506</v>
      </c>
      <c r="K2149" s="8" t="s">
        <v>436</v>
      </c>
      <c r="L2149" s="9">
        <v>46319</v>
      </c>
      <c r="M2149" s="8" t="s">
        <v>5864</v>
      </c>
      <c r="N2149" s="8" t="s">
        <v>5883</v>
      </c>
    </row>
    <row r="2150" spans="1:14" ht="82" customHeight="1">
      <c r="A2150" s="4" t="s">
        <v>8507</v>
      </c>
      <c r="B2150" s="4" t="s">
        <v>439</v>
      </c>
      <c r="C2150" s="4" t="s">
        <v>440</v>
      </c>
      <c r="D2150" s="4" t="s">
        <v>5861</v>
      </c>
      <c r="E2150" s="4" t="s">
        <v>41</v>
      </c>
      <c r="F2150" s="4" t="s">
        <v>5862</v>
      </c>
      <c r="G2150" s="4" t="s">
        <v>1979</v>
      </c>
      <c r="H2150" s="4">
        <v>1</v>
      </c>
      <c r="I2150" s="4">
        <v>1</v>
      </c>
      <c r="J2150" s="4" t="s">
        <v>8508</v>
      </c>
      <c r="K2150" s="4" t="s">
        <v>446</v>
      </c>
      <c r="L2150" s="6">
        <v>46319</v>
      </c>
      <c r="M2150" s="4" t="s">
        <v>5864</v>
      </c>
      <c r="N2150" s="4" t="s">
        <v>5865</v>
      </c>
    </row>
    <row r="2151" spans="1:14" ht="40" customHeight="1">
      <c r="A2151" s="8" t="s">
        <v>8509</v>
      </c>
      <c r="B2151" s="8" t="s">
        <v>439</v>
      </c>
      <c r="C2151" s="8" t="s">
        <v>440</v>
      </c>
      <c r="D2151" s="8" t="s">
        <v>5861</v>
      </c>
      <c r="E2151" s="8" t="s">
        <v>41</v>
      </c>
      <c r="F2151" s="8" t="s">
        <v>6089</v>
      </c>
      <c r="G2151" s="8" t="s">
        <v>1979</v>
      </c>
      <c r="H2151" s="8">
        <v>1</v>
      </c>
      <c r="I2151" s="8">
        <v>1</v>
      </c>
      <c r="J2151" s="8" t="s">
        <v>7064</v>
      </c>
      <c r="K2151" s="8" t="s">
        <v>446</v>
      </c>
      <c r="L2151" s="9">
        <v>46319</v>
      </c>
      <c r="M2151" s="8" t="s">
        <v>5864</v>
      </c>
      <c r="N2151" s="8" t="s">
        <v>6087</v>
      </c>
    </row>
    <row r="2152" spans="1:14" ht="40" customHeight="1">
      <c r="A2152" s="4" t="s">
        <v>8510</v>
      </c>
      <c r="B2152" s="4" t="s">
        <v>439</v>
      </c>
      <c r="C2152" s="4" t="s">
        <v>440</v>
      </c>
      <c r="D2152" s="4" t="s">
        <v>5861</v>
      </c>
      <c r="E2152" s="4" t="s">
        <v>41</v>
      </c>
      <c r="F2152" s="4" t="s">
        <v>7626</v>
      </c>
      <c r="G2152" s="4" t="s">
        <v>1979</v>
      </c>
      <c r="H2152" s="4">
        <v>1</v>
      </c>
      <c r="I2152" s="4">
        <v>1</v>
      </c>
      <c r="J2152" s="4" t="s">
        <v>8511</v>
      </c>
      <c r="K2152" s="4" t="s">
        <v>446</v>
      </c>
      <c r="L2152" s="6">
        <v>46319</v>
      </c>
      <c r="M2152" s="4" t="s">
        <v>5864</v>
      </c>
      <c r="N2152" s="4" t="s">
        <v>6087</v>
      </c>
    </row>
    <row r="2153" spans="1:14" ht="40" customHeight="1">
      <c r="A2153" s="8" t="s">
        <v>8512</v>
      </c>
      <c r="B2153" s="8" t="s">
        <v>439</v>
      </c>
      <c r="C2153" s="8" t="s">
        <v>440</v>
      </c>
      <c r="D2153" s="8" t="s">
        <v>5861</v>
      </c>
      <c r="E2153" s="8" t="s">
        <v>41</v>
      </c>
      <c r="F2153" s="8" t="s">
        <v>6092</v>
      </c>
      <c r="G2153" s="8" t="s">
        <v>1979</v>
      </c>
      <c r="H2153" s="8">
        <v>1</v>
      </c>
      <c r="I2153" s="8">
        <v>1</v>
      </c>
      <c r="J2153" s="8" t="s">
        <v>8513</v>
      </c>
      <c r="K2153" s="8" t="s">
        <v>446</v>
      </c>
      <c r="L2153" s="9">
        <v>46319</v>
      </c>
      <c r="M2153" s="8" t="s">
        <v>5864</v>
      </c>
      <c r="N2153" s="8" t="s">
        <v>5870</v>
      </c>
    </row>
    <row r="2154" spans="1:14" ht="40" customHeight="1">
      <c r="A2154" s="4" t="s">
        <v>8514</v>
      </c>
      <c r="B2154" s="4" t="s">
        <v>439</v>
      </c>
      <c r="C2154" s="4" t="s">
        <v>440</v>
      </c>
      <c r="D2154" s="4" t="s">
        <v>5861</v>
      </c>
      <c r="E2154" s="4" t="s">
        <v>41</v>
      </c>
      <c r="F2154" s="4" t="s">
        <v>6473</v>
      </c>
      <c r="G2154" s="4" t="s">
        <v>1979</v>
      </c>
      <c r="H2154" s="4">
        <v>1</v>
      </c>
      <c r="I2154" s="4">
        <v>1</v>
      </c>
      <c r="J2154" s="4" t="s">
        <v>8515</v>
      </c>
      <c r="K2154" s="4" t="s">
        <v>446</v>
      </c>
      <c r="L2154" s="6">
        <v>46319</v>
      </c>
      <c r="M2154" s="4" t="s">
        <v>5864</v>
      </c>
      <c r="N2154" s="4" t="s">
        <v>5870</v>
      </c>
    </row>
    <row r="2155" spans="1:14" ht="40" customHeight="1">
      <c r="A2155" s="8" t="s">
        <v>8516</v>
      </c>
      <c r="B2155" s="8" t="s">
        <v>439</v>
      </c>
      <c r="C2155" s="8" t="s">
        <v>440</v>
      </c>
      <c r="D2155" s="8" t="s">
        <v>5861</v>
      </c>
      <c r="E2155" s="8" t="s">
        <v>41</v>
      </c>
      <c r="F2155" s="8" t="s">
        <v>6476</v>
      </c>
      <c r="G2155" s="8" t="s">
        <v>1979</v>
      </c>
      <c r="H2155" s="8">
        <v>1</v>
      </c>
      <c r="I2155" s="8">
        <v>1</v>
      </c>
      <c r="J2155" s="8" t="s">
        <v>8517</v>
      </c>
      <c r="K2155" s="8" t="s">
        <v>446</v>
      </c>
      <c r="L2155" s="9">
        <v>46319</v>
      </c>
      <c r="M2155" s="8" t="s">
        <v>5864</v>
      </c>
      <c r="N2155" s="8" t="s">
        <v>5870</v>
      </c>
    </row>
    <row r="2156" spans="1:14" ht="40" customHeight="1">
      <c r="A2156" s="4" t="s">
        <v>8518</v>
      </c>
      <c r="B2156" s="4" t="s">
        <v>439</v>
      </c>
      <c r="C2156" s="4" t="s">
        <v>440</v>
      </c>
      <c r="D2156" s="4" t="s">
        <v>5867</v>
      </c>
      <c r="E2156" s="4" t="s">
        <v>8519</v>
      </c>
      <c r="F2156" s="4" t="s">
        <v>6248</v>
      </c>
      <c r="G2156" s="4" t="s">
        <v>1979</v>
      </c>
      <c r="H2156" s="4">
        <v>1</v>
      </c>
      <c r="I2156" s="4">
        <v>1</v>
      </c>
      <c r="J2156" s="4" t="s">
        <v>8519</v>
      </c>
      <c r="K2156" s="4" t="s">
        <v>446</v>
      </c>
      <c r="L2156" s="6">
        <v>46319</v>
      </c>
      <c r="M2156" s="4" t="s">
        <v>5864</v>
      </c>
      <c r="N2156" s="4" t="s">
        <v>5865</v>
      </c>
    </row>
    <row r="2157" spans="1:14" ht="54" customHeight="1">
      <c r="A2157" s="8" t="s">
        <v>8520</v>
      </c>
      <c r="B2157" s="8" t="s">
        <v>439</v>
      </c>
      <c r="C2157" s="8" t="s">
        <v>440</v>
      </c>
      <c r="D2157" s="8" t="s">
        <v>5867</v>
      </c>
      <c r="E2157" s="8" t="s">
        <v>8519</v>
      </c>
      <c r="F2157" s="8" t="s">
        <v>6142</v>
      </c>
      <c r="G2157" s="8" t="s">
        <v>1979</v>
      </c>
      <c r="H2157" s="8">
        <v>1</v>
      </c>
      <c r="I2157" s="8">
        <v>1</v>
      </c>
      <c r="J2157" s="8" t="s">
        <v>8521</v>
      </c>
      <c r="K2157" s="8" t="s">
        <v>446</v>
      </c>
      <c r="L2157" s="9">
        <v>46319</v>
      </c>
      <c r="M2157" s="8" t="s">
        <v>5864</v>
      </c>
      <c r="N2157" s="8" t="s">
        <v>5865</v>
      </c>
    </row>
    <row r="2158" spans="1:14" ht="40" customHeight="1">
      <c r="A2158" s="4" t="s">
        <v>8522</v>
      </c>
      <c r="B2158" s="4" t="s">
        <v>439</v>
      </c>
      <c r="C2158" s="4" t="s">
        <v>440</v>
      </c>
      <c r="D2158" s="4" t="s">
        <v>5867</v>
      </c>
      <c r="E2158" s="4" t="s">
        <v>8519</v>
      </c>
      <c r="F2158" s="4" t="s">
        <v>8523</v>
      </c>
      <c r="G2158" s="4" t="s">
        <v>1979</v>
      </c>
      <c r="H2158" s="4">
        <v>1</v>
      </c>
      <c r="I2158" s="4">
        <v>1</v>
      </c>
      <c r="J2158" s="4" t="s">
        <v>8524</v>
      </c>
      <c r="K2158" s="4" t="s">
        <v>446</v>
      </c>
      <c r="L2158" s="6">
        <v>46319</v>
      </c>
      <c r="M2158" s="4" t="s">
        <v>5864</v>
      </c>
      <c r="N2158" s="4" t="s">
        <v>6087</v>
      </c>
    </row>
    <row r="2159" spans="1:14" ht="40" customHeight="1">
      <c r="A2159" s="8" t="s">
        <v>8525</v>
      </c>
      <c r="B2159" s="8" t="s">
        <v>439</v>
      </c>
      <c r="C2159" s="8" t="s">
        <v>440</v>
      </c>
      <c r="D2159" s="8" t="s">
        <v>5867</v>
      </c>
      <c r="E2159" s="8" t="s">
        <v>8519</v>
      </c>
      <c r="F2159" s="8" t="s">
        <v>8526</v>
      </c>
      <c r="G2159" s="8" t="s">
        <v>1979</v>
      </c>
      <c r="H2159" s="8">
        <v>1</v>
      </c>
      <c r="I2159" s="8">
        <v>1</v>
      </c>
      <c r="J2159" s="8" t="s">
        <v>8527</v>
      </c>
      <c r="K2159" s="8" t="s">
        <v>446</v>
      </c>
      <c r="L2159" s="9">
        <v>46319</v>
      </c>
      <c r="M2159" s="8" t="s">
        <v>5864</v>
      </c>
      <c r="N2159" s="8" t="s">
        <v>6087</v>
      </c>
    </row>
    <row r="2160" spans="1:14" ht="40" customHeight="1">
      <c r="A2160" s="4" t="s">
        <v>8528</v>
      </c>
      <c r="B2160" s="4" t="s">
        <v>439</v>
      </c>
      <c r="C2160" s="4" t="s">
        <v>440</v>
      </c>
      <c r="D2160" s="4" t="s">
        <v>5867</v>
      </c>
      <c r="E2160" s="4" t="s">
        <v>8519</v>
      </c>
      <c r="F2160" s="4" t="s">
        <v>8529</v>
      </c>
      <c r="G2160" s="4" t="s">
        <v>1979</v>
      </c>
      <c r="H2160" s="4">
        <v>1</v>
      </c>
      <c r="I2160" s="4">
        <v>1</v>
      </c>
      <c r="J2160" s="4" t="s">
        <v>8530</v>
      </c>
      <c r="K2160" s="4" t="s">
        <v>446</v>
      </c>
      <c r="L2160" s="6">
        <v>46319</v>
      </c>
      <c r="M2160" s="4" t="s">
        <v>5864</v>
      </c>
      <c r="N2160" s="4" t="s">
        <v>6087</v>
      </c>
    </row>
    <row r="2161" spans="1:14" ht="40" customHeight="1">
      <c r="A2161" s="8" t="s">
        <v>8531</v>
      </c>
      <c r="B2161" s="8" t="s">
        <v>439</v>
      </c>
      <c r="C2161" s="8" t="s">
        <v>440</v>
      </c>
      <c r="D2161" s="8" t="s">
        <v>5867</v>
      </c>
      <c r="E2161" s="8" t="s">
        <v>8519</v>
      </c>
      <c r="F2161" s="8" t="s">
        <v>8532</v>
      </c>
      <c r="G2161" s="8" t="s">
        <v>1979</v>
      </c>
      <c r="H2161" s="8">
        <v>1</v>
      </c>
      <c r="I2161" s="8">
        <v>1</v>
      </c>
      <c r="J2161" s="8" t="s">
        <v>7681</v>
      </c>
      <c r="K2161" s="8" t="s">
        <v>446</v>
      </c>
      <c r="L2161" s="9">
        <v>46319</v>
      </c>
      <c r="M2161" s="8" t="s">
        <v>5864</v>
      </c>
      <c r="N2161" s="8" t="s">
        <v>6087</v>
      </c>
    </row>
    <row r="2162" spans="1:14" ht="40" customHeight="1">
      <c r="A2162" s="4" t="s">
        <v>8533</v>
      </c>
      <c r="B2162" s="4" t="s">
        <v>439</v>
      </c>
      <c r="C2162" s="4" t="s">
        <v>440</v>
      </c>
      <c r="D2162" s="4" t="s">
        <v>5867</v>
      </c>
      <c r="E2162" s="4" t="s">
        <v>8519</v>
      </c>
      <c r="F2162" s="4" t="s">
        <v>8534</v>
      </c>
      <c r="G2162" s="4" t="s">
        <v>1979</v>
      </c>
      <c r="H2162" s="4">
        <v>1</v>
      </c>
      <c r="I2162" s="4">
        <v>1</v>
      </c>
      <c r="J2162" s="4" t="s">
        <v>8535</v>
      </c>
      <c r="K2162" s="4" t="s">
        <v>446</v>
      </c>
      <c r="L2162" s="6">
        <v>46319</v>
      </c>
      <c r="M2162" s="4" t="s">
        <v>5864</v>
      </c>
      <c r="N2162" s="4" t="s">
        <v>6087</v>
      </c>
    </row>
    <row r="2163" spans="1:14" ht="40" customHeight="1">
      <c r="A2163" s="8" t="s">
        <v>8536</v>
      </c>
      <c r="B2163" s="8" t="s">
        <v>439</v>
      </c>
      <c r="C2163" s="8" t="s">
        <v>440</v>
      </c>
      <c r="D2163" s="8" t="s">
        <v>5867</v>
      </c>
      <c r="E2163" s="8" t="s">
        <v>8519</v>
      </c>
      <c r="F2163" s="8" t="s">
        <v>8537</v>
      </c>
      <c r="G2163" s="8" t="s">
        <v>1979</v>
      </c>
      <c r="H2163" s="8">
        <v>1</v>
      </c>
      <c r="I2163" s="8">
        <v>1</v>
      </c>
      <c r="J2163" s="8" t="s">
        <v>8538</v>
      </c>
      <c r="K2163" s="8" t="s">
        <v>446</v>
      </c>
      <c r="L2163" s="9">
        <v>46319</v>
      </c>
      <c r="M2163" s="8" t="s">
        <v>5864</v>
      </c>
      <c r="N2163" s="8" t="s">
        <v>6087</v>
      </c>
    </row>
    <row r="2164" spans="1:14" ht="40" customHeight="1">
      <c r="A2164" s="4" t="s">
        <v>8539</v>
      </c>
      <c r="B2164" s="4" t="s">
        <v>439</v>
      </c>
      <c r="C2164" s="4" t="s">
        <v>440</v>
      </c>
      <c r="D2164" s="4" t="s">
        <v>5867</v>
      </c>
      <c r="E2164" s="4" t="s">
        <v>8519</v>
      </c>
      <c r="F2164" s="4" t="s">
        <v>8540</v>
      </c>
      <c r="G2164" s="4" t="s">
        <v>1979</v>
      </c>
      <c r="H2164" s="4">
        <v>1</v>
      </c>
      <c r="I2164" s="4">
        <v>1</v>
      </c>
      <c r="J2164" s="4" t="s">
        <v>7690</v>
      </c>
      <c r="K2164" s="4" t="s">
        <v>446</v>
      </c>
      <c r="L2164" s="6">
        <v>46319</v>
      </c>
      <c r="M2164" s="4" t="s">
        <v>5864</v>
      </c>
      <c r="N2164" s="4" t="s">
        <v>6087</v>
      </c>
    </row>
    <row r="2165" spans="1:14" ht="40" customHeight="1">
      <c r="A2165" s="8" t="s">
        <v>8541</v>
      </c>
      <c r="B2165" s="8" t="s">
        <v>439</v>
      </c>
      <c r="C2165" s="8" t="s">
        <v>440</v>
      </c>
      <c r="D2165" s="8" t="s">
        <v>5867</v>
      </c>
      <c r="E2165" s="8" t="s">
        <v>8519</v>
      </c>
      <c r="F2165" s="8" t="s">
        <v>8542</v>
      </c>
      <c r="G2165" s="8" t="s">
        <v>1979</v>
      </c>
      <c r="H2165" s="8">
        <v>1</v>
      </c>
      <c r="I2165" s="8">
        <v>1</v>
      </c>
      <c r="J2165" s="8" t="s">
        <v>8543</v>
      </c>
      <c r="K2165" s="8" t="s">
        <v>446</v>
      </c>
      <c r="L2165" s="9">
        <v>46319</v>
      </c>
      <c r="M2165" s="8" t="s">
        <v>5864</v>
      </c>
      <c r="N2165" s="8" t="s">
        <v>6087</v>
      </c>
    </row>
    <row r="2166" spans="1:14" ht="40" customHeight="1">
      <c r="A2166" s="4" t="s">
        <v>8544</v>
      </c>
      <c r="B2166" s="4" t="s">
        <v>439</v>
      </c>
      <c r="C2166" s="4" t="s">
        <v>440</v>
      </c>
      <c r="D2166" s="4" t="s">
        <v>5867</v>
      </c>
      <c r="E2166" s="4" t="s">
        <v>8519</v>
      </c>
      <c r="F2166" s="4" t="s">
        <v>8545</v>
      </c>
      <c r="G2166" s="4" t="s">
        <v>1979</v>
      </c>
      <c r="H2166" s="4">
        <v>1</v>
      </c>
      <c r="I2166" s="4">
        <v>1</v>
      </c>
      <c r="J2166" s="4" t="s">
        <v>8538</v>
      </c>
      <c r="K2166" s="4" t="s">
        <v>446</v>
      </c>
      <c r="L2166" s="6">
        <v>46319</v>
      </c>
      <c r="M2166" s="4" t="s">
        <v>5864</v>
      </c>
      <c r="N2166" s="4" t="s">
        <v>6087</v>
      </c>
    </row>
    <row r="2167" spans="1:14" ht="40" customHeight="1">
      <c r="A2167" s="8" t="s">
        <v>8546</v>
      </c>
      <c r="B2167" s="8" t="s">
        <v>439</v>
      </c>
      <c r="C2167" s="8" t="s">
        <v>440</v>
      </c>
      <c r="D2167" s="8" t="s">
        <v>5867</v>
      </c>
      <c r="E2167" s="8" t="s">
        <v>8519</v>
      </c>
      <c r="F2167" s="8" t="s">
        <v>8547</v>
      </c>
      <c r="G2167" s="8" t="s">
        <v>1979</v>
      </c>
      <c r="H2167" s="8">
        <v>1</v>
      </c>
      <c r="I2167" s="8">
        <v>1</v>
      </c>
      <c r="J2167" s="8" t="s">
        <v>7699</v>
      </c>
      <c r="K2167" s="8" t="s">
        <v>446</v>
      </c>
      <c r="L2167" s="9">
        <v>46319</v>
      </c>
      <c r="M2167" s="8" t="s">
        <v>5864</v>
      </c>
      <c r="N2167" s="8" t="s">
        <v>6087</v>
      </c>
    </row>
    <row r="2168" spans="1:14" ht="40" customHeight="1">
      <c r="A2168" s="4" t="s">
        <v>8548</v>
      </c>
      <c r="B2168" s="4" t="s">
        <v>439</v>
      </c>
      <c r="C2168" s="4" t="s">
        <v>440</v>
      </c>
      <c r="D2168" s="4" t="s">
        <v>5867</v>
      </c>
      <c r="E2168" s="4" t="s">
        <v>8519</v>
      </c>
      <c r="F2168" s="4" t="s">
        <v>8549</v>
      </c>
      <c r="G2168" s="4" t="s">
        <v>1979</v>
      </c>
      <c r="H2168" s="4">
        <v>1</v>
      </c>
      <c r="I2168" s="4">
        <v>1</v>
      </c>
      <c r="J2168" s="4" t="s">
        <v>8550</v>
      </c>
      <c r="K2168" s="4" t="s">
        <v>446</v>
      </c>
      <c r="L2168" s="6">
        <v>46319</v>
      </c>
      <c r="M2168" s="4" t="s">
        <v>5864</v>
      </c>
      <c r="N2168" s="4" t="s">
        <v>6087</v>
      </c>
    </row>
    <row r="2169" spans="1:14" ht="40" customHeight="1">
      <c r="A2169" s="8" t="s">
        <v>8551</v>
      </c>
      <c r="B2169" s="8" t="s">
        <v>439</v>
      </c>
      <c r="C2169" s="8" t="s">
        <v>440</v>
      </c>
      <c r="D2169" s="8" t="s">
        <v>5867</v>
      </c>
      <c r="E2169" s="8" t="s">
        <v>8519</v>
      </c>
      <c r="F2169" s="8" t="s">
        <v>8552</v>
      </c>
      <c r="G2169" s="8" t="s">
        <v>1979</v>
      </c>
      <c r="H2169" s="8">
        <v>1</v>
      </c>
      <c r="I2169" s="8">
        <v>1</v>
      </c>
      <c r="J2169" s="8" t="s">
        <v>8553</v>
      </c>
      <c r="K2169" s="8" t="s">
        <v>446</v>
      </c>
      <c r="L2169" s="9">
        <v>46319</v>
      </c>
      <c r="M2169" s="8" t="s">
        <v>5864</v>
      </c>
      <c r="N2169" s="8" t="s">
        <v>6087</v>
      </c>
    </row>
    <row r="2170" spans="1:14" ht="40" customHeight="1">
      <c r="A2170" s="4" t="s">
        <v>8554</v>
      </c>
      <c r="B2170" s="4" t="s">
        <v>439</v>
      </c>
      <c r="C2170" s="4" t="s">
        <v>440</v>
      </c>
      <c r="D2170" s="4" t="s">
        <v>5867</v>
      </c>
      <c r="E2170" s="4" t="s">
        <v>8555</v>
      </c>
      <c r="F2170" s="4" t="s">
        <v>6394</v>
      </c>
      <c r="G2170" s="4" t="s">
        <v>1979</v>
      </c>
      <c r="H2170" s="4">
        <v>1</v>
      </c>
      <c r="I2170" s="4">
        <v>1</v>
      </c>
      <c r="J2170" s="4" t="s">
        <v>8555</v>
      </c>
      <c r="K2170" s="4" t="s">
        <v>446</v>
      </c>
      <c r="L2170" s="6">
        <v>46319</v>
      </c>
      <c r="M2170" s="4" t="s">
        <v>5864</v>
      </c>
      <c r="N2170" s="4" t="s">
        <v>5865</v>
      </c>
    </row>
    <row r="2171" spans="1:14" ht="40" customHeight="1">
      <c r="A2171" s="8" t="s">
        <v>8556</v>
      </c>
      <c r="B2171" s="8" t="s">
        <v>439</v>
      </c>
      <c r="C2171" s="8" t="s">
        <v>440</v>
      </c>
      <c r="D2171" s="8" t="s">
        <v>5867</v>
      </c>
      <c r="E2171" s="8" t="s">
        <v>8555</v>
      </c>
      <c r="F2171" s="8" t="s">
        <v>6774</v>
      </c>
      <c r="G2171" s="8" t="s">
        <v>1979</v>
      </c>
      <c r="H2171" s="8">
        <v>1</v>
      </c>
      <c r="I2171" s="8">
        <v>1</v>
      </c>
      <c r="J2171" s="8" t="s">
        <v>8557</v>
      </c>
      <c r="K2171" s="8" t="s">
        <v>446</v>
      </c>
      <c r="L2171" s="9">
        <v>46319</v>
      </c>
      <c r="M2171" s="8" t="s">
        <v>5864</v>
      </c>
      <c r="N2171" s="8" t="s">
        <v>5865</v>
      </c>
    </row>
    <row r="2172" spans="1:14" ht="40" customHeight="1">
      <c r="A2172" s="4" t="s">
        <v>8558</v>
      </c>
      <c r="B2172" s="4" t="s">
        <v>439</v>
      </c>
      <c r="C2172" s="4" t="s">
        <v>440</v>
      </c>
      <c r="D2172" s="4" t="s">
        <v>5867</v>
      </c>
      <c r="E2172" s="4" t="s">
        <v>8555</v>
      </c>
      <c r="F2172" s="4" t="s">
        <v>8559</v>
      </c>
      <c r="G2172" s="4" t="s">
        <v>1979</v>
      </c>
      <c r="H2172" s="4">
        <v>1</v>
      </c>
      <c r="I2172" s="4">
        <v>1</v>
      </c>
      <c r="J2172" s="4" t="s">
        <v>8560</v>
      </c>
      <c r="K2172" s="4" t="s">
        <v>446</v>
      </c>
      <c r="L2172" s="6">
        <v>46319</v>
      </c>
      <c r="M2172" s="4" t="s">
        <v>5864</v>
      </c>
      <c r="N2172" s="4" t="s">
        <v>6087</v>
      </c>
    </row>
    <row r="2173" spans="1:14" ht="40" customHeight="1">
      <c r="A2173" s="8" t="s">
        <v>8561</v>
      </c>
      <c r="B2173" s="8" t="s">
        <v>439</v>
      </c>
      <c r="C2173" s="8" t="s">
        <v>440</v>
      </c>
      <c r="D2173" s="8" t="s">
        <v>5867</v>
      </c>
      <c r="E2173" s="8" t="s">
        <v>8555</v>
      </c>
      <c r="F2173" s="8" t="s">
        <v>8562</v>
      </c>
      <c r="G2173" s="8" t="s">
        <v>1979</v>
      </c>
      <c r="H2173" s="8">
        <v>1</v>
      </c>
      <c r="I2173" s="8">
        <v>1</v>
      </c>
      <c r="J2173" s="8" t="s">
        <v>8527</v>
      </c>
      <c r="K2173" s="8" t="s">
        <v>446</v>
      </c>
      <c r="L2173" s="9">
        <v>46319</v>
      </c>
      <c r="M2173" s="8" t="s">
        <v>5864</v>
      </c>
      <c r="N2173" s="8" t="s">
        <v>6087</v>
      </c>
    </row>
    <row r="2174" spans="1:14" ht="40" customHeight="1">
      <c r="A2174" s="4" t="s">
        <v>8563</v>
      </c>
      <c r="B2174" s="4" t="s">
        <v>439</v>
      </c>
      <c r="C2174" s="4" t="s">
        <v>440</v>
      </c>
      <c r="D2174" s="4" t="s">
        <v>5867</v>
      </c>
      <c r="E2174" s="4" t="s">
        <v>8555</v>
      </c>
      <c r="F2174" s="4" t="s">
        <v>8564</v>
      </c>
      <c r="G2174" s="4" t="s">
        <v>1979</v>
      </c>
      <c r="H2174" s="4">
        <v>1</v>
      </c>
      <c r="I2174" s="4">
        <v>1</v>
      </c>
      <c r="J2174" s="4" t="s">
        <v>8565</v>
      </c>
      <c r="K2174" s="4" t="s">
        <v>446</v>
      </c>
      <c r="L2174" s="6">
        <v>46319</v>
      </c>
      <c r="M2174" s="4" t="s">
        <v>5864</v>
      </c>
      <c r="N2174" s="4" t="s">
        <v>6087</v>
      </c>
    </row>
    <row r="2175" spans="1:14" ht="40" customHeight="1">
      <c r="A2175" s="8" t="s">
        <v>8566</v>
      </c>
      <c r="B2175" s="8" t="s">
        <v>439</v>
      </c>
      <c r="C2175" s="8" t="s">
        <v>440</v>
      </c>
      <c r="D2175" s="8" t="s">
        <v>5867</v>
      </c>
      <c r="E2175" s="8" t="s">
        <v>8555</v>
      </c>
      <c r="F2175" s="8" t="s">
        <v>8567</v>
      </c>
      <c r="G2175" s="8" t="s">
        <v>1979</v>
      </c>
      <c r="H2175" s="8">
        <v>1</v>
      </c>
      <c r="I2175" s="8">
        <v>1</v>
      </c>
      <c r="J2175" s="8" t="s">
        <v>8568</v>
      </c>
      <c r="K2175" s="8" t="s">
        <v>446</v>
      </c>
      <c r="L2175" s="9">
        <v>46319</v>
      </c>
      <c r="M2175" s="8" t="s">
        <v>5864</v>
      </c>
      <c r="N2175" s="8" t="s">
        <v>6087</v>
      </c>
    </row>
    <row r="2176" spans="1:14" ht="40" customHeight="1">
      <c r="A2176" s="4" t="s">
        <v>8569</v>
      </c>
      <c r="B2176" s="4" t="s">
        <v>439</v>
      </c>
      <c r="C2176" s="4" t="s">
        <v>440</v>
      </c>
      <c r="D2176" s="4" t="s">
        <v>5867</v>
      </c>
      <c r="E2176" s="4" t="s">
        <v>8555</v>
      </c>
      <c r="F2176" s="4" t="s">
        <v>8570</v>
      </c>
      <c r="G2176" s="4" t="s">
        <v>1979</v>
      </c>
      <c r="H2176" s="4">
        <v>1</v>
      </c>
      <c r="I2176" s="4">
        <v>1</v>
      </c>
      <c r="J2176" s="4" t="s">
        <v>8543</v>
      </c>
      <c r="K2176" s="4" t="s">
        <v>446</v>
      </c>
      <c r="L2176" s="6">
        <v>46319</v>
      </c>
      <c r="M2176" s="4" t="s">
        <v>5864</v>
      </c>
      <c r="N2176" s="4" t="s">
        <v>6087</v>
      </c>
    </row>
    <row r="2177" spans="1:14" ht="40" customHeight="1">
      <c r="A2177" s="8" t="s">
        <v>8571</v>
      </c>
      <c r="B2177" s="8" t="s">
        <v>439</v>
      </c>
      <c r="C2177" s="8" t="s">
        <v>440</v>
      </c>
      <c r="D2177" s="8" t="s">
        <v>5867</v>
      </c>
      <c r="E2177" s="8" t="s">
        <v>8555</v>
      </c>
      <c r="F2177" s="8" t="s">
        <v>8572</v>
      </c>
      <c r="G2177" s="8" t="s">
        <v>1979</v>
      </c>
      <c r="H2177" s="8">
        <v>1</v>
      </c>
      <c r="I2177" s="8">
        <v>1</v>
      </c>
      <c r="J2177" s="8" t="s">
        <v>8573</v>
      </c>
      <c r="K2177" s="8" t="s">
        <v>446</v>
      </c>
      <c r="L2177" s="9">
        <v>46319</v>
      </c>
      <c r="M2177" s="8" t="s">
        <v>5864</v>
      </c>
      <c r="N2177" s="8" t="s">
        <v>5865</v>
      </c>
    </row>
    <row r="2178" spans="1:14" ht="54" customHeight="1">
      <c r="A2178" s="4" t="s">
        <v>8574</v>
      </c>
      <c r="B2178" s="4" t="s">
        <v>439</v>
      </c>
      <c r="C2178" s="4" t="s">
        <v>440</v>
      </c>
      <c r="D2178" s="4" t="s">
        <v>5867</v>
      </c>
      <c r="E2178" s="4" t="s">
        <v>8555</v>
      </c>
      <c r="F2178" s="4" t="s">
        <v>8575</v>
      </c>
      <c r="G2178" s="4" t="s">
        <v>1979</v>
      </c>
      <c r="H2178" s="4">
        <v>1</v>
      </c>
      <c r="I2178" s="4">
        <v>1</v>
      </c>
      <c r="J2178" s="4" t="s">
        <v>8576</v>
      </c>
      <c r="K2178" s="4" t="s">
        <v>446</v>
      </c>
      <c r="L2178" s="6">
        <v>46319</v>
      </c>
      <c r="M2178" s="4" t="s">
        <v>5864</v>
      </c>
      <c r="N2178" s="4" t="s">
        <v>6087</v>
      </c>
    </row>
    <row r="2179" spans="1:14" ht="40" customHeight="1">
      <c r="A2179" s="8" t="s">
        <v>8577</v>
      </c>
      <c r="B2179" s="8" t="s">
        <v>439</v>
      </c>
      <c r="C2179" s="8" t="s">
        <v>440</v>
      </c>
      <c r="D2179" s="8" t="s">
        <v>5867</v>
      </c>
      <c r="E2179" s="8" t="s">
        <v>8555</v>
      </c>
      <c r="F2179" s="8" t="s">
        <v>7455</v>
      </c>
      <c r="G2179" s="8" t="s">
        <v>1979</v>
      </c>
      <c r="H2179" s="8">
        <v>1</v>
      </c>
      <c r="I2179" s="8">
        <v>1</v>
      </c>
      <c r="J2179" s="8" t="s">
        <v>8578</v>
      </c>
      <c r="K2179" s="8" t="s">
        <v>446</v>
      </c>
      <c r="L2179" s="9">
        <v>46319</v>
      </c>
      <c r="M2179" s="8" t="s">
        <v>5864</v>
      </c>
      <c r="N2179" s="8" t="s">
        <v>5865</v>
      </c>
    </row>
    <row r="2180" spans="1:14" ht="54" customHeight="1">
      <c r="A2180" s="4" t="s">
        <v>8579</v>
      </c>
      <c r="B2180" s="4" t="s">
        <v>439</v>
      </c>
      <c r="C2180" s="4" t="s">
        <v>440</v>
      </c>
      <c r="D2180" s="4" t="s">
        <v>5867</v>
      </c>
      <c r="E2180" s="4" t="s">
        <v>8555</v>
      </c>
      <c r="F2180" s="4" t="s">
        <v>7459</v>
      </c>
      <c r="G2180" s="4" t="s">
        <v>1979</v>
      </c>
      <c r="H2180" s="4">
        <v>1</v>
      </c>
      <c r="I2180" s="4">
        <v>1</v>
      </c>
      <c r="J2180" s="4" t="s">
        <v>8580</v>
      </c>
      <c r="K2180" s="4" t="s">
        <v>446</v>
      </c>
      <c r="L2180" s="6">
        <v>46319</v>
      </c>
      <c r="M2180" s="4" t="s">
        <v>5864</v>
      </c>
      <c r="N2180" s="4" t="s">
        <v>5865</v>
      </c>
    </row>
    <row r="2181" spans="1:14" ht="110" customHeight="1">
      <c r="A2181" s="8" t="s">
        <v>8581</v>
      </c>
      <c r="B2181" s="8" t="s">
        <v>439</v>
      </c>
      <c r="C2181" s="8" t="s">
        <v>440</v>
      </c>
      <c r="D2181" s="8" t="s">
        <v>637</v>
      </c>
      <c r="E2181" s="8" t="s">
        <v>41</v>
      </c>
      <c r="F2181" s="8" t="s">
        <v>904</v>
      </c>
      <c r="G2181" s="8" t="s">
        <v>1979</v>
      </c>
      <c r="H2181" s="8">
        <v>1</v>
      </c>
      <c r="I2181" s="8">
        <v>1</v>
      </c>
      <c r="J2181" s="8" t="s">
        <v>1977</v>
      </c>
      <c r="K2181" s="8" t="s">
        <v>446</v>
      </c>
      <c r="L2181" s="9">
        <v>46319</v>
      </c>
      <c r="M2181" s="8" t="s">
        <v>5864</v>
      </c>
      <c r="N2181" s="8" t="s">
        <v>5870</v>
      </c>
    </row>
    <row r="2182" spans="1:14" ht="40" customHeight="1">
      <c r="A2182" s="4" t="s">
        <v>8582</v>
      </c>
      <c r="B2182" s="4" t="s">
        <v>439</v>
      </c>
      <c r="C2182" s="4" t="s">
        <v>440</v>
      </c>
      <c r="D2182" s="4" t="s">
        <v>637</v>
      </c>
      <c r="E2182" s="4" t="s">
        <v>41</v>
      </c>
      <c r="F2182" s="4" t="s">
        <v>912</v>
      </c>
      <c r="G2182" s="4" t="s">
        <v>1979</v>
      </c>
      <c r="H2182" s="4">
        <v>1</v>
      </c>
      <c r="I2182" s="4">
        <v>1</v>
      </c>
      <c r="J2182" s="4" t="s">
        <v>1981</v>
      </c>
      <c r="K2182" s="4" t="s">
        <v>446</v>
      </c>
      <c r="L2182" s="6">
        <v>46319</v>
      </c>
      <c r="M2182" s="4" t="s">
        <v>5864</v>
      </c>
      <c r="N2182" s="4" t="s">
        <v>5870</v>
      </c>
    </row>
    <row r="2183" spans="1:14" ht="54" customHeight="1">
      <c r="A2183" s="8" t="s">
        <v>8583</v>
      </c>
      <c r="B2183" s="8" t="s">
        <v>439</v>
      </c>
      <c r="C2183" s="8" t="s">
        <v>440</v>
      </c>
      <c r="D2183" s="8" t="s">
        <v>637</v>
      </c>
      <c r="E2183" s="8" t="s">
        <v>41</v>
      </c>
      <c r="F2183" s="8" t="s">
        <v>1015</v>
      </c>
      <c r="G2183" s="8" t="s">
        <v>1979</v>
      </c>
      <c r="H2183" s="8">
        <v>1</v>
      </c>
      <c r="I2183" s="8">
        <v>1</v>
      </c>
      <c r="J2183" s="8" t="s">
        <v>1984</v>
      </c>
      <c r="K2183" s="8" t="s">
        <v>446</v>
      </c>
      <c r="L2183" s="9">
        <v>46319</v>
      </c>
      <c r="M2183" s="8" t="s">
        <v>5864</v>
      </c>
      <c r="N2183" s="8" t="s">
        <v>5870</v>
      </c>
    </row>
    <row r="2184" spans="1:14" ht="54" customHeight="1">
      <c r="A2184" s="4" t="s">
        <v>8584</v>
      </c>
      <c r="B2184" s="4" t="s">
        <v>439</v>
      </c>
      <c r="C2184" s="4" t="s">
        <v>440</v>
      </c>
      <c r="D2184" s="4" t="s">
        <v>637</v>
      </c>
      <c r="E2184" s="4" t="s">
        <v>41</v>
      </c>
      <c r="F2184" s="4" t="s">
        <v>1019</v>
      </c>
      <c r="G2184" s="4" t="s">
        <v>1979</v>
      </c>
      <c r="H2184" s="4">
        <v>1</v>
      </c>
      <c r="I2184" s="4">
        <v>1</v>
      </c>
      <c r="J2184" s="4" t="s">
        <v>1987</v>
      </c>
      <c r="K2184" s="4" t="s">
        <v>446</v>
      </c>
      <c r="L2184" s="6">
        <v>46319</v>
      </c>
      <c r="M2184" s="4" t="s">
        <v>5864</v>
      </c>
      <c r="N2184" s="4" t="s">
        <v>5870</v>
      </c>
    </row>
    <row r="2185" spans="1:14" ht="40" customHeight="1">
      <c r="A2185" s="8" t="s">
        <v>8585</v>
      </c>
      <c r="B2185" s="8" t="s">
        <v>439</v>
      </c>
      <c r="C2185" s="8" t="s">
        <v>440</v>
      </c>
      <c r="D2185" s="8" t="s">
        <v>637</v>
      </c>
      <c r="E2185" s="8" t="s">
        <v>41</v>
      </c>
      <c r="F2185" s="8" t="s">
        <v>1147</v>
      </c>
      <c r="G2185" s="8" t="s">
        <v>1979</v>
      </c>
      <c r="H2185" s="8">
        <v>1</v>
      </c>
      <c r="I2185" s="8">
        <v>1</v>
      </c>
      <c r="J2185" s="8" t="s">
        <v>1990</v>
      </c>
      <c r="K2185" s="8" t="s">
        <v>446</v>
      </c>
      <c r="L2185" s="9">
        <v>46319</v>
      </c>
      <c r="M2185" s="8" t="s">
        <v>5864</v>
      </c>
      <c r="N2185" s="8" t="s">
        <v>5870</v>
      </c>
    </row>
    <row r="2186" spans="1:14" ht="40" customHeight="1">
      <c r="A2186" s="4" t="s">
        <v>5565</v>
      </c>
      <c r="B2186" s="4" t="s">
        <v>439</v>
      </c>
      <c r="C2186" s="4" t="s">
        <v>440</v>
      </c>
      <c r="D2186" s="4" t="s">
        <v>7</v>
      </c>
      <c r="E2186" s="4" t="s">
        <v>41</v>
      </c>
      <c r="F2186" s="4" t="s">
        <v>6212</v>
      </c>
      <c r="G2186" s="4" t="s">
        <v>1979</v>
      </c>
      <c r="H2186" s="4">
        <v>1</v>
      </c>
      <c r="I2186" s="4">
        <v>1</v>
      </c>
      <c r="J2186" s="4" t="s">
        <v>5566</v>
      </c>
      <c r="K2186" s="4" t="s">
        <v>446</v>
      </c>
      <c r="L2186" s="6">
        <v>46319</v>
      </c>
      <c r="M2186" s="4" t="s">
        <v>5864</v>
      </c>
      <c r="N2186" s="4" t="s">
        <v>6087</v>
      </c>
    </row>
    <row r="2187" spans="1:14" ht="40" customHeight="1">
      <c r="A2187" s="8" t="s">
        <v>5567</v>
      </c>
      <c r="B2187" s="8" t="s">
        <v>439</v>
      </c>
      <c r="C2187" s="8" t="s">
        <v>440</v>
      </c>
      <c r="D2187" s="8" t="s">
        <v>7</v>
      </c>
      <c r="E2187" s="8" t="s">
        <v>41</v>
      </c>
      <c r="F2187" s="8" t="s">
        <v>6577</v>
      </c>
      <c r="G2187" s="8" t="s">
        <v>1979</v>
      </c>
      <c r="H2187" s="8">
        <v>1</v>
      </c>
      <c r="I2187" s="8">
        <v>1</v>
      </c>
      <c r="J2187" s="8" t="s">
        <v>5568</v>
      </c>
      <c r="K2187" s="8" t="s">
        <v>446</v>
      </c>
      <c r="L2187" s="9">
        <v>46319</v>
      </c>
      <c r="M2187" s="8" t="s">
        <v>5864</v>
      </c>
      <c r="N2187" s="8" t="s">
        <v>5870</v>
      </c>
    </row>
    <row r="2188" spans="1:14" ht="40" customHeight="1">
      <c r="A2188" s="4" t="s">
        <v>5569</v>
      </c>
      <c r="B2188" s="4" t="s">
        <v>439</v>
      </c>
      <c r="C2188" s="4" t="s">
        <v>440</v>
      </c>
      <c r="D2188" s="4" t="s">
        <v>7</v>
      </c>
      <c r="E2188" s="4" t="s">
        <v>41</v>
      </c>
      <c r="F2188" s="4" t="s">
        <v>6578</v>
      </c>
      <c r="G2188" s="4" t="s">
        <v>1979</v>
      </c>
      <c r="H2188" s="4">
        <v>1</v>
      </c>
      <c r="I2188" s="4">
        <v>1</v>
      </c>
      <c r="J2188" s="4" t="s">
        <v>5570</v>
      </c>
      <c r="K2188" s="4" t="s">
        <v>446</v>
      </c>
      <c r="L2188" s="6">
        <v>46319</v>
      </c>
      <c r="M2188" s="4" t="s">
        <v>5864</v>
      </c>
      <c r="N2188" s="4" t="s">
        <v>5870</v>
      </c>
    </row>
    <row r="2189" spans="1:14" ht="40" customHeight="1">
      <c r="A2189" s="8" t="s">
        <v>5571</v>
      </c>
      <c r="B2189" s="8" t="s">
        <v>439</v>
      </c>
      <c r="C2189" s="8" t="s">
        <v>440</v>
      </c>
      <c r="D2189" s="8" t="s">
        <v>7</v>
      </c>
      <c r="E2189" s="8" t="s">
        <v>41</v>
      </c>
      <c r="F2189" s="8" t="s">
        <v>6579</v>
      </c>
      <c r="G2189" s="8" t="s">
        <v>1979</v>
      </c>
      <c r="H2189" s="8">
        <v>1</v>
      </c>
      <c r="I2189" s="8">
        <v>1</v>
      </c>
      <c r="J2189" s="8" t="s">
        <v>5572</v>
      </c>
      <c r="K2189" s="8" t="s">
        <v>446</v>
      </c>
      <c r="L2189" s="9">
        <v>46319</v>
      </c>
      <c r="M2189" s="8" t="s">
        <v>5864</v>
      </c>
      <c r="N2189" s="8" t="s">
        <v>5870</v>
      </c>
    </row>
    <row r="2190" spans="1:14" ht="40" customHeight="1">
      <c r="A2190" s="4" t="s">
        <v>5573</v>
      </c>
      <c r="B2190" s="4" t="s">
        <v>439</v>
      </c>
      <c r="C2190" s="4" t="s">
        <v>440</v>
      </c>
      <c r="D2190" s="4" t="s">
        <v>7</v>
      </c>
      <c r="E2190" s="4" t="s">
        <v>41</v>
      </c>
      <c r="F2190" s="4" t="s">
        <v>6585</v>
      </c>
      <c r="G2190" s="4" t="s">
        <v>1979</v>
      </c>
      <c r="H2190" s="4">
        <v>1</v>
      </c>
      <c r="I2190" s="4">
        <v>1</v>
      </c>
      <c r="J2190" s="4" t="s">
        <v>5574</v>
      </c>
      <c r="K2190" s="4" t="s">
        <v>446</v>
      </c>
      <c r="L2190" s="6">
        <v>46319</v>
      </c>
      <c r="M2190" s="4" t="s">
        <v>5864</v>
      </c>
      <c r="N2190" s="4" t="s">
        <v>6087</v>
      </c>
    </row>
    <row r="2191" spans="1:14" ht="40" customHeight="1">
      <c r="A2191" s="8" t="s">
        <v>5575</v>
      </c>
      <c r="B2191" s="8" t="s">
        <v>439</v>
      </c>
      <c r="C2191" s="8" t="s">
        <v>440</v>
      </c>
      <c r="D2191" s="8" t="s">
        <v>7</v>
      </c>
      <c r="E2191" s="8" t="s">
        <v>41</v>
      </c>
      <c r="F2191" s="8" t="s">
        <v>6586</v>
      </c>
      <c r="G2191" s="8" t="s">
        <v>1979</v>
      </c>
      <c r="H2191" s="8">
        <v>1</v>
      </c>
      <c r="I2191" s="8">
        <v>1</v>
      </c>
      <c r="J2191" s="8" t="s">
        <v>5576</v>
      </c>
      <c r="K2191" s="8" t="s">
        <v>446</v>
      </c>
      <c r="L2191" s="9">
        <v>46319</v>
      </c>
      <c r="M2191" s="8" t="s">
        <v>5864</v>
      </c>
      <c r="N2191" s="8" t="s">
        <v>5870</v>
      </c>
    </row>
    <row r="2192" spans="1:14" ht="40" customHeight="1">
      <c r="A2192" s="4" t="s">
        <v>5577</v>
      </c>
      <c r="B2192" s="4" t="s">
        <v>439</v>
      </c>
      <c r="C2192" s="4" t="s">
        <v>440</v>
      </c>
      <c r="D2192" s="4" t="s">
        <v>7</v>
      </c>
      <c r="E2192" s="4" t="s">
        <v>41</v>
      </c>
      <c r="F2192" s="4" t="s">
        <v>6587</v>
      </c>
      <c r="G2192" s="4" t="s">
        <v>1979</v>
      </c>
      <c r="H2192" s="4">
        <v>1</v>
      </c>
      <c r="I2192" s="4">
        <v>1</v>
      </c>
      <c r="J2192" s="4" t="s">
        <v>5578</v>
      </c>
      <c r="K2192" s="4" t="s">
        <v>446</v>
      </c>
      <c r="L2192" s="6">
        <v>46319</v>
      </c>
      <c r="M2192" s="4" t="s">
        <v>5864</v>
      </c>
      <c r="N2192" s="4" t="s">
        <v>5870</v>
      </c>
    </row>
    <row r="2193" spans="1:14" ht="40" customHeight="1">
      <c r="A2193" s="8" t="s">
        <v>5579</v>
      </c>
      <c r="B2193" s="8" t="s">
        <v>439</v>
      </c>
      <c r="C2193" s="8" t="s">
        <v>440</v>
      </c>
      <c r="D2193" s="8" t="s">
        <v>7</v>
      </c>
      <c r="E2193" s="8" t="s">
        <v>41</v>
      </c>
      <c r="F2193" s="8" t="s">
        <v>6588</v>
      </c>
      <c r="G2193" s="8" t="s">
        <v>1979</v>
      </c>
      <c r="H2193" s="8">
        <v>1</v>
      </c>
      <c r="I2193" s="8">
        <v>1</v>
      </c>
      <c r="J2193" s="8" t="s">
        <v>5580</v>
      </c>
      <c r="K2193" s="8" t="s">
        <v>446</v>
      </c>
      <c r="L2193" s="9">
        <v>46319</v>
      </c>
      <c r="M2193" s="8" t="s">
        <v>5864</v>
      </c>
      <c r="N2193" s="8" t="s">
        <v>5870</v>
      </c>
    </row>
    <row r="2194" spans="1:14" ht="40" customHeight="1">
      <c r="A2194" s="4" t="s">
        <v>5581</v>
      </c>
      <c r="B2194" s="4" t="s">
        <v>439</v>
      </c>
      <c r="C2194" s="4" t="s">
        <v>440</v>
      </c>
      <c r="D2194" s="4" t="s">
        <v>7</v>
      </c>
      <c r="E2194" s="4" t="s">
        <v>41</v>
      </c>
      <c r="F2194" s="4" t="s">
        <v>6589</v>
      </c>
      <c r="G2194" s="4" t="s">
        <v>1979</v>
      </c>
      <c r="H2194" s="4">
        <v>1</v>
      </c>
      <c r="I2194" s="4">
        <v>1</v>
      </c>
      <c r="J2194" s="4" t="s">
        <v>5582</v>
      </c>
      <c r="K2194" s="4" t="s">
        <v>446</v>
      </c>
      <c r="L2194" s="6">
        <v>46319</v>
      </c>
      <c r="M2194" s="4" t="s">
        <v>5864</v>
      </c>
      <c r="N2194" s="4" t="s">
        <v>5870</v>
      </c>
    </row>
    <row r="2195" spans="1:14" ht="40" customHeight="1">
      <c r="A2195" s="8" t="s">
        <v>4641</v>
      </c>
      <c r="B2195" s="8" t="s">
        <v>439</v>
      </c>
      <c r="C2195" s="8" t="s">
        <v>440</v>
      </c>
      <c r="D2195" s="8" t="s">
        <v>5879</v>
      </c>
      <c r="E2195" s="8" t="s">
        <v>41</v>
      </c>
      <c r="F2195" s="8" t="s">
        <v>3463</v>
      </c>
      <c r="G2195" s="8" t="s">
        <v>1979</v>
      </c>
      <c r="H2195" s="8">
        <v>1</v>
      </c>
      <c r="I2195" s="8">
        <v>1</v>
      </c>
      <c r="J2195" s="8" t="s">
        <v>4642</v>
      </c>
      <c r="K2195" s="8" t="s">
        <v>446</v>
      </c>
      <c r="L2195" s="9">
        <v>46319</v>
      </c>
      <c r="M2195" s="8" t="s">
        <v>5864</v>
      </c>
      <c r="N2195" s="8" t="s">
        <v>6087</v>
      </c>
    </row>
    <row r="2196" spans="1:14" ht="40" customHeight="1">
      <c r="A2196" s="4" t="s">
        <v>4643</v>
      </c>
      <c r="B2196" s="4" t="s">
        <v>439</v>
      </c>
      <c r="C2196" s="4" t="s">
        <v>440</v>
      </c>
      <c r="D2196" s="4" t="s">
        <v>5879</v>
      </c>
      <c r="E2196" s="4" t="s">
        <v>41</v>
      </c>
      <c r="F2196" s="4" t="s">
        <v>3466</v>
      </c>
      <c r="G2196" s="4" t="s">
        <v>1979</v>
      </c>
      <c r="H2196" s="4">
        <v>1</v>
      </c>
      <c r="I2196" s="4">
        <v>1</v>
      </c>
      <c r="J2196" s="4" t="s">
        <v>4644</v>
      </c>
      <c r="K2196" s="4" t="s">
        <v>446</v>
      </c>
      <c r="L2196" s="6">
        <v>46319</v>
      </c>
      <c r="M2196" s="4" t="s">
        <v>5864</v>
      </c>
      <c r="N2196" s="4" t="s">
        <v>5865</v>
      </c>
    </row>
    <row r="2197" spans="1:14" ht="40" customHeight="1">
      <c r="A2197" s="8" t="s">
        <v>4645</v>
      </c>
      <c r="B2197" s="8" t="s">
        <v>439</v>
      </c>
      <c r="C2197" s="8" t="s">
        <v>440</v>
      </c>
      <c r="D2197" s="8" t="s">
        <v>5879</v>
      </c>
      <c r="E2197" s="8" t="s">
        <v>41</v>
      </c>
      <c r="F2197" s="8" t="s">
        <v>3469</v>
      </c>
      <c r="G2197" s="8" t="s">
        <v>1979</v>
      </c>
      <c r="H2197" s="8">
        <v>1</v>
      </c>
      <c r="I2197" s="8">
        <v>1</v>
      </c>
      <c r="J2197" s="8" t="s">
        <v>4646</v>
      </c>
      <c r="K2197" s="8" t="s">
        <v>446</v>
      </c>
      <c r="L2197" s="9">
        <v>46319</v>
      </c>
      <c r="M2197" s="8" t="s">
        <v>5864</v>
      </c>
      <c r="N2197" s="8" t="s">
        <v>5865</v>
      </c>
    </row>
    <row r="2198" spans="1:14" ht="40" customHeight="1">
      <c r="A2198" s="4" t="s">
        <v>4647</v>
      </c>
      <c r="B2198" s="4" t="s">
        <v>439</v>
      </c>
      <c r="C2198" s="4" t="s">
        <v>440</v>
      </c>
      <c r="D2198" s="4" t="s">
        <v>5879</v>
      </c>
      <c r="E2198" s="4" t="s">
        <v>41</v>
      </c>
      <c r="F2198" s="4" t="s">
        <v>3472</v>
      </c>
      <c r="G2198" s="4" t="s">
        <v>1979</v>
      </c>
      <c r="H2198" s="4">
        <v>1</v>
      </c>
      <c r="I2198" s="4">
        <v>1</v>
      </c>
      <c r="J2198" s="4" t="s">
        <v>4648</v>
      </c>
      <c r="K2198" s="4" t="s">
        <v>446</v>
      </c>
      <c r="L2198" s="6">
        <v>46319</v>
      </c>
      <c r="M2198" s="4" t="s">
        <v>5864</v>
      </c>
      <c r="N2198" s="4" t="s">
        <v>5865</v>
      </c>
    </row>
    <row r="2199" spans="1:14" ht="40" customHeight="1">
      <c r="A2199" s="8" t="s">
        <v>4649</v>
      </c>
      <c r="B2199" s="8" t="s">
        <v>439</v>
      </c>
      <c r="C2199" s="8" t="s">
        <v>440</v>
      </c>
      <c r="D2199" s="8" t="s">
        <v>5879</v>
      </c>
      <c r="E2199" s="8" t="s">
        <v>41</v>
      </c>
      <c r="F2199" s="8" t="s">
        <v>3475</v>
      </c>
      <c r="G2199" s="8" t="s">
        <v>1979</v>
      </c>
      <c r="H2199" s="8">
        <v>1</v>
      </c>
      <c r="I2199" s="8">
        <v>1</v>
      </c>
      <c r="J2199" s="8" t="s">
        <v>4650</v>
      </c>
      <c r="K2199" s="8" t="s">
        <v>446</v>
      </c>
      <c r="L2199" s="9">
        <v>46319</v>
      </c>
      <c r="M2199" s="8" t="s">
        <v>5864</v>
      </c>
      <c r="N2199" s="8" t="s">
        <v>5865</v>
      </c>
    </row>
    <row r="2200" spans="1:14" ht="40" customHeight="1">
      <c r="A2200" s="4" t="s">
        <v>4651</v>
      </c>
      <c r="B2200" s="4" t="s">
        <v>439</v>
      </c>
      <c r="C2200" s="4" t="s">
        <v>440</v>
      </c>
      <c r="D2200" s="4" t="s">
        <v>5879</v>
      </c>
      <c r="E2200" s="4" t="s">
        <v>41</v>
      </c>
      <c r="F2200" s="4" t="s">
        <v>3915</v>
      </c>
      <c r="G2200" s="4" t="s">
        <v>1979</v>
      </c>
      <c r="H2200" s="4">
        <v>1</v>
      </c>
      <c r="I2200" s="4">
        <v>1</v>
      </c>
      <c r="J2200" s="4" t="s">
        <v>4652</v>
      </c>
      <c r="K2200" s="4" t="s">
        <v>446</v>
      </c>
      <c r="L2200" s="6">
        <v>46319</v>
      </c>
      <c r="M2200" s="4" t="s">
        <v>5864</v>
      </c>
      <c r="N2200" s="4" t="s">
        <v>6087</v>
      </c>
    </row>
    <row r="2201" spans="1:14" ht="54" customHeight="1">
      <c r="A2201" s="8" t="s">
        <v>4653</v>
      </c>
      <c r="B2201" s="8" t="s">
        <v>439</v>
      </c>
      <c r="C2201" s="8" t="s">
        <v>440</v>
      </c>
      <c r="D2201" s="8" t="s">
        <v>5879</v>
      </c>
      <c r="E2201" s="8" t="s">
        <v>41</v>
      </c>
      <c r="F2201" s="8" t="s">
        <v>3838</v>
      </c>
      <c r="G2201" s="8" t="s">
        <v>1979</v>
      </c>
      <c r="H2201" s="8">
        <v>1</v>
      </c>
      <c r="I2201" s="8">
        <v>1</v>
      </c>
      <c r="J2201" s="8" t="s">
        <v>4654</v>
      </c>
      <c r="K2201" s="8" t="s">
        <v>446</v>
      </c>
      <c r="L2201" s="9">
        <v>46319</v>
      </c>
      <c r="M2201" s="8" t="s">
        <v>5864</v>
      </c>
      <c r="N2201" s="8" t="s">
        <v>5865</v>
      </c>
    </row>
    <row r="2202" spans="1:14" ht="40" customHeight="1">
      <c r="A2202" s="4" t="s">
        <v>4655</v>
      </c>
      <c r="B2202" s="4" t="s">
        <v>439</v>
      </c>
      <c r="C2202" s="4" t="s">
        <v>440</v>
      </c>
      <c r="D2202" s="4" t="s">
        <v>5879</v>
      </c>
      <c r="E2202" s="4" t="s">
        <v>41</v>
      </c>
      <c r="F2202" s="4" t="s">
        <v>3608</v>
      </c>
      <c r="G2202" s="4" t="s">
        <v>1979</v>
      </c>
      <c r="H2202" s="4">
        <v>1</v>
      </c>
      <c r="I2202" s="4">
        <v>1</v>
      </c>
      <c r="J2202" s="4" t="s">
        <v>4656</v>
      </c>
      <c r="K2202" s="4" t="s">
        <v>446</v>
      </c>
      <c r="L2202" s="6">
        <v>46319</v>
      </c>
      <c r="M2202" s="4" t="s">
        <v>5864</v>
      </c>
      <c r="N2202" s="4" t="s">
        <v>5865</v>
      </c>
    </row>
    <row r="2203" spans="1:14" ht="40" customHeight="1">
      <c r="A2203" s="8" t="s">
        <v>4657</v>
      </c>
      <c r="B2203" s="8" t="s">
        <v>439</v>
      </c>
      <c r="C2203" s="8" t="s">
        <v>440</v>
      </c>
      <c r="D2203" s="8" t="s">
        <v>5879</v>
      </c>
      <c r="E2203" s="8" t="s">
        <v>41</v>
      </c>
      <c r="F2203" s="8" t="s">
        <v>3611</v>
      </c>
      <c r="G2203" s="8" t="s">
        <v>1979</v>
      </c>
      <c r="H2203" s="8">
        <v>1</v>
      </c>
      <c r="I2203" s="8">
        <v>1</v>
      </c>
      <c r="J2203" s="8" t="s">
        <v>4658</v>
      </c>
      <c r="K2203" s="8" t="s">
        <v>446</v>
      </c>
      <c r="L2203" s="9">
        <v>46319</v>
      </c>
      <c r="M2203" s="8" t="s">
        <v>5864</v>
      </c>
      <c r="N2203" s="8" t="s">
        <v>5865</v>
      </c>
    </row>
    <row r="2204" spans="1:14" ht="54" customHeight="1">
      <c r="A2204" s="4" t="s">
        <v>4659</v>
      </c>
      <c r="B2204" s="4" t="s">
        <v>439</v>
      </c>
      <c r="C2204" s="4" t="s">
        <v>440</v>
      </c>
      <c r="D2204" s="4" t="s">
        <v>5879</v>
      </c>
      <c r="E2204" s="4" t="s">
        <v>41</v>
      </c>
      <c r="F2204" s="4" t="s">
        <v>3775</v>
      </c>
      <c r="G2204" s="4" t="s">
        <v>1979</v>
      </c>
      <c r="H2204" s="4">
        <v>1</v>
      </c>
      <c r="I2204" s="4">
        <v>1</v>
      </c>
      <c r="J2204" s="4" t="s">
        <v>4660</v>
      </c>
      <c r="K2204" s="4" t="s">
        <v>446</v>
      </c>
      <c r="L2204" s="6">
        <v>46319</v>
      </c>
      <c r="M2204" s="4" t="s">
        <v>5864</v>
      </c>
      <c r="N2204" s="4" t="s">
        <v>5865</v>
      </c>
    </row>
    <row r="2205" spans="1:14" ht="40" customHeight="1">
      <c r="A2205" s="8" t="s">
        <v>4661</v>
      </c>
      <c r="B2205" s="8" t="s">
        <v>439</v>
      </c>
      <c r="C2205" s="8" t="s">
        <v>440</v>
      </c>
      <c r="D2205" s="8" t="s">
        <v>5879</v>
      </c>
      <c r="E2205" s="8" t="s">
        <v>41</v>
      </c>
      <c r="F2205" s="8" t="s">
        <v>3777</v>
      </c>
      <c r="G2205" s="8" t="s">
        <v>1979</v>
      </c>
      <c r="H2205" s="8">
        <v>1</v>
      </c>
      <c r="I2205" s="8">
        <v>1</v>
      </c>
      <c r="J2205" s="8" t="s">
        <v>4662</v>
      </c>
      <c r="K2205" s="8" t="s">
        <v>446</v>
      </c>
      <c r="L2205" s="9">
        <v>46319</v>
      </c>
      <c r="M2205" s="8" t="s">
        <v>5864</v>
      </c>
      <c r="N2205" s="8" t="s">
        <v>5865</v>
      </c>
    </row>
    <row r="2206" spans="1:14" ht="40" customHeight="1">
      <c r="A2206" s="4" t="s">
        <v>8586</v>
      </c>
      <c r="B2206" s="4" t="s">
        <v>439</v>
      </c>
      <c r="C2206" s="4" t="s">
        <v>440</v>
      </c>
      <c r="D2206" s="4" t="s">
        <v>2969</v>
      </c>
      <c r="E2206" s="4" t="s">
        <v>41</v>
      </c>
      <c r="F2206" s="4" t="s">
        <v>5881</v>
      </c>
      <c r="G2206" s="4" t="s">
        <v>1979</v>
      </c>
      <c r="H2206" s="4">
        <v>1</v>
      </c>
      <c r="I2206" s="4">
        <v>1</v>
      </c>
      <c r="J2206" s="4" t="s">
        <v>8587</v>
      </c>
      <c r="K2206" s="4" t="s">
        <v>446</v>
      </c>
      <c r="L2206" s="6">
        <v>46319</v>
      </c>
      <c r="M2206" s="4" t="s">
        <v>5864</v>
      </c>
      <c r="N2206" s="4" t="s">
        <v>5883</v>
      </c>
    </row>
    <row r="2207" spans="1:14" ht="54" customHeight="1">
      <c r="A2207" s="8" t="s">
        <v>8588</v>
      </c>
      <c r="B2207" s="8" t="s">
        <v>439</v>
      </c>
      <c r="C2207" s="8" t="s">
        <v>440</v>
      </c>
      <c r="D2207" s="8" t="s">
        <v>2969</v>
      </c>
      <c r="E2207" s="8" t="s">
        <v>41</v>
      </c>
      <c r="F2207" s="8" t="s">
        <v>5885</v>
      </c>
      <c r="G2207" s="8" t="s">
        <v>1979</v>
      </c>
      <c r="H2207" s="8">
        <v>1</v>
      </c>
      <c r="I2207" s="8">
        <v>1</v>
      </c>
      <c r="J2207" s="8" t="s">
        <v>8589</v>
      </c>
      <c r="K2207" s="8" t="s">
        <v>446</v>
      </c>
      <c r="L2207" s="9">
        <v>46319</v>
      </c>
      <c r="M2207" s="8" t="s">
        <v>5864</v>
      </c>
      <c r="N2207" s="8" t="s">
        <v>5883</v>
      </c>
    </row>
    <row r="2208" spans="1:14" ht="54" customHeight="1">
      <c r="A2208" s="4" t="s">
        <v>8590</v>
      </c>
      <c r="B2208" s="4" t="s">
        <v>439</v>
      </c>
      <c r="C2208" s="4" t="s">
        <v>440</v>
      </c>
      <c r="D2208" s="4" t="s">
        <v>2969</v>
      </c>
      <c r="E2208" s="4" t="s">
        <v>41</v>
      </c>
      <c r="F2208" s="4" t="s">
        <v>5888</v>
      </c>
      <c r="G2208" s="4" t="s">
        <v>1979</v>
      </c>
      <c r="H2208" s="4">
        <v>1</v>
      </c>
      <c r="I2208" s="4">
        <v>1</v>
      </c>
      <c r="J2208" s="4" t="s">
        <v>8591</v>
      </c>
      <c r="K2208" s="4" t="s">
        <v>446</v>
      </c>
      <c r="L2208" s="6">
        <v>46319</v>
      </c>
      <c r="M2208" s="4" t="s">
        <v>5864</v>
      </c>
      <c r="N2208" s="4" t="s">
        <v>5883</v>
      </c>
    </row>
    <row r="2209" spans="1:14" ht="54" customHeight="1">
      <c r="A2209" s="8" t="s">
        <v>8592</v>
      </c>
      <c r="B2209" s="8" t="s">
        <v>439</v>
      </c>
      <c r="C2209" s="8" t="s">
        <v>440</v>
      </c>
      <c r="D2209" s="8" t="s">
        <v>2969</v>
      </c>
      <c r="E2209" s="8" t="s">
        <v>41</v>
      </c>
      <c r="F2209" s="8" t="s">
        <v>5891</v>
      </c>
      <c r="G2209" s="8" t="s">
        <v>1979</v>
      </c>
      <c r="H2209" s="8">
        <v>1</v>
      </c>
      <c r="I2209" s="8">
        <v>1</v>
      </c>
      <c r="J2209" s="8" t="s">
        <v>8593</v>
      </c>
      <c r="K2209" s="8" t="s">
        <v>446</v>
      </c>
      <c r="L2209" s="9">
        <v>46319</v>
      </c>
      <c r="M2209" s="8" t="s">
        <v>5864</v>
      </c>
      <c r="N2209" s="8" t="s">
        <v>5883</v>
      </c>
    </row>
    <row r="2210" spans="1:14" ht="54" customHeight="1">
      <c r="A2210" s="4" t="s">
        <v>8594</v>
      </c>
      <c r="B2210" s="4" t="s">
        <v>439</v>
      </c>
      <c r="C2210" s="4" t="s">
        <v>440</v>
      </c>
      <c r="D2210" s="4" t="s">
        <v>2969</v>
      </c>
      <c r="E2210" s="4" t="s">
        <v>41</v>
      </c>
      <c r="F2210" s="4" t="s">
        <v>5894</v>
      </c>
      <c r="G2210" s="4" t="s">
        <v>1979</v>
      </c>
      <c r="H2210" s="4">
        <v>1</v>
      </c>
      <c r="I2210" s="4">
        <v>1</v>
      </c>
      <c r="J2210" s="4" t="s">
        <v>8595</v>
      </c>
      <c r="K2210" s="4" t="s">
        <v>446</v>
      </c>
      <c r="L2210" s="6">
        <v>46319</v>
      </c>
      <c r="M2210" s="4" t="s">
        <v>5864</v>
      </c>
      <c r="N2210" s="4" t="s">
        <v>5883</v>
      </c>
    </row>
    <row r="2211" spans="1:14" ht="54" customHeight="1">
      <c r="A2211" s="8" t="s">
        <v>8596</v>
      </c>
      <c r="B2211" s="8" t="s">
        <v>439</v>
      </c>
      <c r="C2211" s="8" t="s">
        <v>440</v>
      </c>
      <c r="D2211" s="8" t="s">
        <v>2969</v>
      </c>
      <c r="E2211" s="8" t="s">
        <v>41</v>
      </c>
      <c r="F2211" s="8" t="s">
        <v>5897</v>
      </c>
      <c r="G2211" s="8" t="s">
        <v>1979</v>
      </c>
      <c r="H2211" s="8">
        <v>1</v>
      </c>
      <c r="I2211" s="8">
        <v>1</v>
      </c>
      <c r="J2211" s="8" t="s">
        <v>8597</v>
      </c>
      <c r="K2211" s="8" t="s">
        <v>446</v>
      </c>
      <c r="L2211" s="9">
        <v>46319</v>
      </c>
      <c r="M2211" s="8" t="s">
        <v>5864</v>
      </c>
      <c r="N2211" s="8" t="s">
        <v>5883</v>
      </c>
    </row>
    <row r="2212" spans="1:14" ht="54" customHeight="1">
      <c r="A2212" s="4" t="s">
        <v>8598</v>
      </c>
      <c r="B2212" s="4" t="s">
        <v>439</v>
      </c>
      <c r="C2212" s="4" t="s">
        <v>440</v>
      </c>
      <c r="D2212" s="4" t="s">
        <v>2969</v>
      </c>
      <c r="E2212" s="4" t="s">
        <v>41</v>
      </c>
      <c r="F2212" s="4" t="s">
        <v>5900</v>
      </c>
      <c r="G2212" s="4" t="s">
        <v>1979</v>
      </c>
      <c r="H2212" s="4">
        <v>1</v>
      </c>
      <c r="I2212" s="4">
        <v>1</v>
      </c>
      <c r="J2212" s="4" t="s">
        <v>8599</v>
      </c>
      <c r="K2212" s="4" t="s">
        <v>446</v>
      </c>
      <c r="L2212" s="6">
        <v>46319</v>
      </c>
      <c r="M2212" s="4" t="s">
        <v>5864</v>
      </c>
      <c r="N2212" s="4" t="s">
        <v>5883</v>
      </c>
    </row>
    <row r="2213" spans="1:14" ht="54" customHeight="1">
      <c r="A2213" s="8" t="s">
        <v>8600</v>
      </c>
      <c r="B2213" s="8" t="s">
        <v>439</v>
      </c>
      <c r="C2213" s="8" t="s">
        <v>440</v>
      </c>
      <c r="D2213" s="8" t="s">
        <v>2969</v>
      </c>
      <c r="E2213" s="8" t="s">
        <v>41</v>
      </c>
      <c r="F2213" s="8" t="s">
        <v>5903</v>
      </c>
      <c r="G2213" s="8" t="s">
        <v>1979</v>
      </c>
      <c r="H2213" s="8">
        <v>1</v>
      </c>
      <c r="I2213" s="8">
        <v>1</v>
      </c>
      <c r="J2213" s="8" t="s">
        <v>8601</v>
      </c>
      <c r="K2213" s="8" t="s">
        <v>446</v>
      </c>
      <c r="L2213" s="9">
        <v>46319</v>
      </c>
      <c r="M2213" s="8" t="s">
        <v>5864</v>
      </c>
      <c r="N2213" s="8" t="s">
        <v>5883</v>
      </c>
    </row>
    <row r="2214" spans="1:14" ht="40" customHeight="1">
      <c r="A2214" s="4" t="s">
        <v>8602</v>
      </c>
      <c r="B2214" s="4" t="s">
        <v>439</v>
      </c>
      <c r="C2214" s="4" t="s">
        <v>440</v>
      </c>
      <c r="D2214" s="4" t="s">
        <v>2969</v>
      </c>
      <c r="E2214" s="4" t="s">
        <v>41</v>
      </c>
      <c r="F2214" s="4" t="s">
        <v>5906</v>
      </c>
      <c r="G2214" s="4" t="s">
        <v>1979</v>
      </c>
      <c r="H2214" s="4">
        <v>1</v>
      </c>
      <c r="I2214" s="4">
        <v>1</v>
      </c>
      <c r="J2214" s="4" t="s">
        <v>8603</v>
      </c>
      <c r="K2214" s="4" t="s">
        <v>446</v>
      </c>
      <c r="L2214" s="6">
        <v>46319</v>
      </c>
      <c r="M2214" s="4" t="s">
        <v>5864</v>
      </c>
      <c r="N2214" s="4" t="s">
        <v>5883</v>
      </c>
    </row>
    <row r="2215" spans="1:14" ht="40" customHeight="1">
      <c r="A2215" s="8" t="s">
        <v>8604</v>
      </c>
      <c r="B2215" s="8" t="s">
        <v>439</v>
      </c>
      <c r="C2215" s="8" t="s">
        <v>440</v>
      </c>
      <c r="D2215" s="8" t="s">
        <v>2969</v>
      </c>
      <c r="E2215" s="8" t="s">
        <v>41</v>
      </c>
      <c r="F2215" s="8" t="s">
        <v>5909</v>
      </c>
      <c r="G2215" s="8" t="s">
        <v>1979</v>
      </c>
      <c r="H2215" s="8">
        <v>1</v>
      </c>
      <c r="I2215" s="8">
        <v>1</v>
      </c>
      <c r="J2215" s="8" t="s">
        <v>8605</v>
      </c>
      <c r="K2215" s="8" t="s">
        <v>446</v>
      </c>
      <c r="L2215" s="9">
        <v>46319</v>
      </c>
      <c r="M2215" s="8" t="s">
        <v>5864</v>
      </c>
      <c r="N2215" s="8" t="s">
        <v>5883</v>
      </c>
    </row>
    <row r="2216" spans="1:14" ht="54" customHeight="1">
      <c r="A2216" s="4" t="s">
        <v>8606</v>
      </c>
      <c r="B2216" s="4" t="s">
        <v>439</v>
      </c>
      <c r="C2216" s="4" t="s">
        <v>440</v>
      </c>
      <c r="D2216" s="4" t="s">
        <v>2969</v>
      </c>
      <c r="E2216" s="4" t="s">
        <v>41</v>
      </c>
      <c r="F2216" s="4" t="s">
        <v>5912</v>
      </c>
      <c r="G2216" s="4" t="s">
        <v>1979</v>
      </c>
      <c r="H2216" s="4">
        <v>1</v>
      </c>
      <c r="I2216" s="4">
        <v>1</v>
      </c>
      <c r="J2216" s="4" t="s">
        <v>8607</v>
      </c>
      <c r="K2216" s="4" t="s">
        <v>446</v>
      </c>
      <c r="L2216" s="6">
        <v>46319</v>
      </c>
      <c r="M2216" s="4" t="s">
        <v>5864</v>
      </c>
      <c r="N2216" s="4" t="s">
        <v>5883</v>
      </c>
    </row>
    <row r="2217" spans="1:14" ht="54" customHeight="1">
      <c r="A2217" s="8" t="s">
        <v>8608</v>
      </c>
      <c r="B2217" s="8" t="s">
        <v>439</v>
      </c>
      <c r="C2217" s="8" t="s">
        <v>440</v>
      </c>
      <c r="D2217" s="8" t="s">
        <v>2969</v>
      </c>
      <c r="E2217" s="8" t="s">
        <v>41</v>
      </c>
      <c r="F2217" s="8" t="s">
        <v>5973</v>
      </c>
      <c r="G2217" s="8" t="s">
        <v>1979</v>
      </c>
      <c r="H2217" s="8">
        <v>1</v>
      </c>
      <c r="I2217" s="8">
        <v>1</v>
      </c>
      <c r="J2217" s="8" t="s">
        <v>8609</v>
      </c>
      <c r="K2217" s="8" t="s">
        <v>446</v>
      </c>
      <c r="L2217" s="9">
        <v>46319</v>
      </c>
      <c r="M2217" s="8" t="s">
        <v>5864</v>
      </c>
      <c r="N2217" s="8" t="s">
        <v>5883</v>
      </c>
    </row>
    <row r="2218" spans="1:14" ht="54" customHeight="1">
      <c r="A2218" s="4" t="s">
        <v>8610</v>
      </c>
      <c r="B2218" s="4" t="s">
        <v>439</v>
      </c>
      <c r="C2218" s="4" t="s">
        <v>440</v>
      </c>
      <c r="D2218" s="4" t="s">
        <v>2969</v>
      </c>
      <c r="E2218" s="4" t="s">
        <v>41</v>
      </c>
      <c r="F2218" s="4" t="s">
        <v>5976</v>
      </c>
      <c r="G2218" s="4" t="s">
        <v>1979</v>
      </c>
      <c r="H2218" s="4">
        <v>1</v>
      </c>
      <c r="I2218" s="4">
        <v>1</v>
      </c>
      <c r="J2218" s="4" t="s">
        <v>8611</v>
      </c>
      <c r="K2218" s="4" t="s">
        <v>446</v>
      </c>
      <c r="L2218" s="6">
        <v>46319</v>
      </c>
      <c r="M2218" s="4" t="s">
        <v>5864</v>
      </c>
      <c r="N2218" s="4" t="s">
        <v>5883</v>
      </c>
    </row>
    <row r="2219" spans="1:14" ht="166" customHeight="1">
      <c r="A2219" s="8" t="s">
        <v>8612</v>
      </c>
      <c r="B2219" s="8" t="s">
        <v>449</v>
      </c>
      <c r="C2219" s="8" t="s">
        <v>450</v>
      </c>
      <c r="D2219" s="8" t="s">
        <v>5861</v>
      </c>
      <c r="E2219" s="8" t="s">
        <v>41</v>
      </c>
      <c r="F2219" s="8" t="s">
        <v>5862</v>
      </c>
      <c r="G2219" s="8" t="s">
        <v>1996</v>
      </c>
      <c r="H2219" s="8">
        <v>1</v>
      </c>
      <c r="I2219" s="8">
        <v>2</v>
      </c>
      <c r="J2219" s="8" t="s">
        <v>8613</v>
      </c>
      <c r="K2219" s="8" t="s">
        <v>454</v>
      </c>
      <c r="L2219" s="9">
        <v>46319</v>
      </c>
      <c r="M2219" s="8" t="s">
        <v>5864</v>
      </c>
      <c r="N2219" s="8" t="s">
        <v>5865</v>
      </c>
    </row>
    <row r="2220" spans="1:14" ht="54" customHeight="1">
      <c r="A2220" s="4" t="s">
        <v>8612</v>
      </c>
      <c r="B2220" s="4" t="s">
        <v>449</v>
      </c>
      <c r="C2220" s="4" t="s">
        <v>450</v>
      </c>
      <c r="D2220" s="4" t="s">
        <v>5861</v>
      </c>
      <c r="E2220" s="4" t="s">
        <v>41</v>
      </c>
      <c r="F2220" s="4" t="s">
        <v>5862</v>
      </c>
      <c r="G2220" s="4" t="s">
        <v>1996</v>
      </c>
      <c r="H2220" s="4">
        <v>2</v>
      </c>
      <c r="I2220" s="4">
        <v>2</v>
      </c>
      <c r="J2220" s="4" t="s">
        <v>8614</v>
      </c>
      <c r="K2220" s="4" t="s">
        <v>454</v>
      </c>
      <c r="L2220" s="6">
        <v>46319</v>
      </c>
      <c r="M2220" s="4" t="s">
        <v>5864</v>
      </c>
      <c r="N2220" s="4" t="s">
        <v>5865</v>
      </c>
    </row>
    <row r="2221" spans="1:14" ht="54" customHeight="1">
      <c r="A2221" s="8" t="s">
        <v>8615</v>
      </c>
      <c r="B2221" s="8" t="s">
        <v>449</v>
      </c>
      <c r="C2221" s="8" t="s">
        <v>450</v>
      </c>
      <c r="D2221" s="8" t="s">
        <v>5867</v>
      </c>
      <c r="E2221" s="8" t="s">
        <v>41</v>
      </c>
      <c r="F2221" s="8" t="s">
        <v>5868</v>
      </c>
      <c r="G2221" s="8" t="s">
        <v>1996</v>
      </c>
      <c r="H2221" s="8">
        <v>1</v>
      </c>
      <c r="I2221" s="8">
        <v>1</v>
      </c>
      <c r="J2221" s="8" t="s">
        <v>8616</v>
      </c>
      <c r="K2221" s="8" t="s">
        <v>454</v>
      </c>
      <c r="L2221" s="9">
        <v>46319</v>
      </c>
      <c r="M2221" s="8" t="s">
        <v>5864</v>
      </c>
      <c r="N2221" s="8" t="s">
        <v>6087</v>
      </c>
    </row>
    <row r="2222" spans="1:14" ht="54" customHeight="1">
      <c r="A2222" s="4" t="s">
        <v>8617</v>
      </c>
      <c r="B2222" s="4" t="s">
        <v>449</v>
      </c>
      <c r="C2222" s="4" t="s">
        <v>450</v>
      </c>
      <c r="D2222" s="4" t="s">
        <v>5867</v>
      </c>
      <c r="E2222" s="4" t="s">
        <v>41</v>
      </c>
      <c r="F2222" s="4" t="s">
        <v>6176</v>
      </c>
      <c r="G2222" s="4" t="s">
        <v>1996</v>
      </c>
      <c r="H2222" s="4">
        <v>1</v>
      </c>
      <c r="I2222" s="4">
        <v>1</v>
      </c>
      <c r="J2222" s="4" t="s">
        <v>8618</v>
      </c>
      <c r="K2222" s="4" t="s">
        <v>454</v>
      </c>
      <c r="L2222" s="6">
        <v>46319</v>
      </c>
      <c r="M2222" s="4" t="s">
        <v>5864</v>
      </c>
      <c r="N2222" s="4" t="s">
        <v>5870</v>
      </c>
    </row>
    <row r="2223" spans="1:14" ht="54" customHeight="1">
      <c r="A2223" s="8" t="s">
        <v>8619</v>
      </c>
      <c r="B2223" s="8" t="s">
        <v>449</v>
      </c>
      <c r="C2223" s="8" t="s">
        <v>450</v>
      </c>
      <c r="D2223" s="8" t="s">
        <v>5867</v>
      </c>
      <c r="E2223" s="8" t="s">
        <v>41</v>
      </c>
      <c r="F2223" s="8" t="s">
        <v>6179</v>
      </c>
      <c r="G2223" s="8" t="s">
        <v>1996</v>
      </c>
      <c r="H2223" s="8">
        <v>1</v>
      </c>
      <c r="I2223" s="8">
        <v>1</v>
      </c>
      <c r="J2223" s="8" t="s">
        <v>8620</v>
      </c>
      <c r="K2223" s="8" t="s">
        <v>454</v>
      </c>
      <c r="L2223" s="9">
        <v>46319</v>
      </c>
      <c r="M2223" s="8" t="s">
        <v>5864</v>
      </c>
      <c r="N2223" s="8" t="s">
        <v>5870</v>
      </c>
    </row>
    <row r="2224" spans="1:14" ht="54" customHeight="1">
      <c r="A2224" s="4" t="s">
        <v>8621</v>
      </c>
      <c r="B2224" s="4" t="s">
        <v>449</v>
      </c>
      <c r="C2224" s="4" t="s">
        <v>450</v>
      </c>
      <c r="D2224" s="4" t="s">
        <v>5867</v>
      </c>
      <c r="E2224" s="4" t="s">
        <v>41</v>
      </c>
      <c r="F2224" s="4" t="s">
        <v>6867</v>
      </c>
      <c r="G2224" s="4" t="s">
        <v>1996</v>
      </c>
      <c r="H2224" s="4">
        <v>1</v>
      </c>
      <c r="I2224" s="4">
        <v>1</v>
      </c>
      <c r="J2224" s="4" t="s">
        <v>8622</v>
      </c>
      <c r="K2224" s="4" t="s">
        <v>454</v>
      </c>
      <c r="L2224" s="6">
        <v>46319</v>
      </c>
      <c r="M2224" s="4" t="s">
        <v>5864</v>
      </c>
      <c r="N2224" s="4" t="s">
        <v>5870</v>
      </c>
    </row>
    <row r="2225" spans="1:14" ht="54" customHeight="1">
      <c r="A2225" s="8" t="s">
        <v>8623</v>
      </c>
      <c r="B2225" s="8" t="s">
        <v>449</v>
      </c>
      <c r="C2225" s="8" t="s">
        <v>450</v>
      </c>
      <c r="D2225" s="8" t="s">
        <v>5867</v>
      </c>
      <c r="E2225" s="8" t="s">
        <v>41</v>
      </c>
      <c r="F2225" s="8" t="s">
        <v>7028</v>
      </c>
      <c r="G2225" s="8" t="s">
        <v>1996</v>
      </c>
      <c r="H2225" s="8">
        <v>1</v>
      </c>
      <c r="I2225" s="8">
        <v>1</v>
      </c>
      <c r="J2225" s="8" t="s">
        <v>8624</v>
      </c>
      <c r="K2225" s="8" t="s">
        <v>454</v>
      </c>
      <c r="L2225" s="9">
        <v>46319</v>
      </c>
      <c r="M2225" s="8" t="s">
        <v>5864</v>
      </c>
      <c r="N2225" s="8" t="s">
        <v>5870</v>
      </c>
    </row>
    <row r="2226" spans="1:14" ht="68" customHeight="1">
      <c r="A2226" s="4" t="s">
        <v>8625</v>
      </c>
      <c r="B2226" s="4" t="s">
        <v>449</v>
      </c>
      <c r="C2226" s="4" t="s">
        <v>450</v>
      </c>
      <c r="D2226" s="4" t="s">
        <v>637</v>
      </c>
      <c r="E2226" s="4" t="s">
        <v>41</v>
      </c>
      <c r="F2226" s="4" t="s">
        <v>904</v>
      </c>
      <c r="G2226" s="4" t="s">
        <v>1996</v>
      </c>
      <c r="H2226" s="4">
        <v>1</v>
      </c>
      <c r="I2226" s="4">
        <v>1</v>
      </c>
      <c r="J2226" s="4" t="s">
        <v>1994</v>
      </c>
      <c r="K2226" s="4" t="s">
        <v>454</v>
      </c>
      <c r="L2226" s="6">
        <v>46319</v>
      </c>
      <c r="M2226" s="4" t="s">
        <v>5864</v>
      </c>
      <c r="N2226" s="4" t="s">
        <v>5870</v>
      </c>
    </row>
    <row r="2227" spans="1:14" ht="54" customHeight="1">
      <c r="A2227" s="8" t="s">
        <v>8626</v>
      </c>
      <c r="B2227" s="8" t="s">
        <v>449</v>
      </c>
      <c r="C2227" s="8" t="s">
        <v>450</v>
      </c>
      <c r="D2227" s="8" t="s">
        <v>637</v>
      </c>
      <c r="E2227" s="8" t="s">
        <v>41</v>
      </c>
      <c r="F2227" s="8" t="s">
        <v>912</v>
      </c>
      <c r="G2227" s="8" t="s">
        <v>1996</v>
      </c>
      <c r="H2227" s="8">
        <v>1</v>
      </c>
      <c r="I2227" s="8">
        <v>1</v>
      </c>
      <c r="J2227" s="8" t="s">
        <v>1998</v>
      </c>
      <c r="K2227" s="8" t="s">
        <v>454</v>
      </c>
      <c r="L2227" s="9">
        <v>46319</v>
      </c>
      <c r="M2227" s="8" t="s">
        <v>5864</v>
      </c>
      <c r="N2227" s="8" t="s">
        <v>5870</v>
      </c>
    </row>
    <row r="2228" spans="1:14" ht="54" customHeight="1">
      <c r="A2228" s="4" t="s">
        <v>8627</v>
      </c>
      <c r="B2228" s="4" t="s">
        <v>449</v>
      </c>
      <c r="C2228" s="4" t="s">
        <v>450</v>
      </c>
      <c r="D2228" s="4" t="s">
        <v>637</v>
      </c>
      <c r="E2228" s="4" t="s">
        <v>41</v>
      </c>
      <c r="F2228" s="4" t="s">
        <v>1015</v>
      </c>
      <c r="G2228" s="4" t="s">
        <v>1996</v>
      </c>
      <c r="H2228" s="4">
        <v>1</v>
      </c>
      <c r="I2228" s="4">
        <v>1</v>
      </c>
      <c r="J2228" s="4" t="s">
        <v>2001</v>
      </c>
      <c r="K2228" s="4" t="s">
        <v>454</v>
      </c>
      <c r="L2228" s="6">
        <v>46319</v>
      </c>
      <c r="M2228" s="4" t="s">
        <v>5864</v>
      </c>
      <c r="N2228" s="4" t="s">
        <v>5870</v>
      </c>
    </row>
    <row r="2229" spans="1:14" ht="54" customHeight="1">
      <c r="A2229" s="8" t="s">
        <v>8628</v>
      </c>
      <c r="B2229" s="8" t="s">
        <v>449</v>
      </c>
      <c r="C2229" s="8" t="s">
        <v>450</v>
      </c>
      <c r="D2229" s="8" t="s">
        <v>637</v>
      </c>
      <c r="E2229" s="8" t="s">
        <v>41</v>
      </c>
      <c r="F2229" s="8" t="s">
        <v>1019</v>
      </c>
      <c r="G2229" s="8" t="s">
        <v>1996</v>
      </c>
      <c r="H2229" s="8">
        <v>1</v>
      </c>
      <c r="I2229" s="8">
        <v>1</v>
      </c>
      <c r="J2229" s="8" t="s">
        <v>2004</v>
      </c>
      <c r="K2229" s="8" t="s">
        <v>454</v>
      </c>
      <c r="L2229" s="9">
        <v>46319</v>
      </c>
      <c r="M2229" s="8" t="s">
        <v>5864</v>
      </c>
      <c r="N2229" s="8" t="s">
        <v>5870</v>
      </c>
    </row>
    <row r="2230" spans="1:14" ht="54" customHeight="1">
      <c r="A2230" s="4" t="s">
        <v>8629</v>
      </c>
      <c r="B2230" s="4" t="s">
        <v>449</v>
      </c>
      <c r="C2230" s="4" t="s">
        <v>450</v>
      </c>
      <c r="D2230" s="4" t="s">
        <v>637</v>
      </c>
      <c r="E2230" s="4" t="s">
        <v>41</v>
      </c>
      <c r="F2230" s="4" t="s">
        <v>1091</v>
      </c>
      <c r="G2230" s="4" t="s">
        <v>1996</v>
      </c>
      <c r="H2230" s="4">
        <v>1</v>
      </c>
      <c r="I2230" s="4">
        <v>1</v>
      </c>
      <c r="J2230" s="4" t="s">
        <v>2007</v>
      </c>
      <c r="K2230" s="4" t="s">
        <v>454</v>
      </c>
      <c r="L2230" s="6">
        <v>46319</v>
      </c>
      <c r="M2230" s="4" t="s">
        <v>5864</v>
      </c>
      <c r="N2230" s="4" t="s">
        <v>5865</v>
      </c>
    </row>
    <row r="2231" spans="1:14" ht="54" customHeight="1">
      <c r="A2231" s="8" t="s">
        <v>5583</v>
      </c>
      <c r="B2231" s="8" t="s">
        <v>449</v>
      </c>
      <c r="C2231" s="8" t="s">
        <v>450</v>
      </c>
      <c r="D2231" s="8" t="s">
        <v>7</v>
      </c>
      <c r="E2231" s="8" t="s">
        <v>41</v>
      </c>
      <c r="F2231" s="8" t="s">
        <v>6212</v>
      </c>
      <c r="G2231" s="8" t="s">
        <v>1996</v>
      </c>
      <c r="H2231" s="8">
        <v>1</v>
      </c>
      <c r="I2231" s="8">
        <v>1</v>
      </c>
      <c r="J2231" s="8" t="s">
        <v>5584</v>
      </c>
      <c r="K2231" s="8" t="s">
        <v>454</v>
      </c>
      <c r="L2231" s="9">
        <v>46319</v>
      </c>
      <c r="M2231" s="8" t="s">
        <v>5864</v>
      </c>
      <c r="N2231" s="8" t="s">
        <v>5870</v>
      </c>
    </row>
    <row r="2232" spans="1:14" ht="54" customHeight="1">
      <c r="A2232" s="4" t="s">
        <v>5585</v>
      </c>
      <c r="B2232" s="4" t="s">
        <v>449</v>
      </c>
      <c r="C2232" s="4" t="s">
        <v>450</v>
      </c>
      <c r="D2232" s="4" t="s">
        <v>7</v>
      </c>
      <c r="E2232" s="4" t="s">
        <v>41</v>
      </c>
      <c r="F2232" s="4" t="s">
        <v>6213</v>
      </c>
      <c r="G2232" s="4" t="s">
        <v>1996</v>
      </c>
      <c r="H2232" s="4">
        <v>1</v>
      </c>
      <c r="I2232" s="4">
        <v>1</v>
      </c>
      <c r="J2232" s="4" t="s">
        <v>5586</v>
      </c>
      <c r="K2232" s="4" t="s">
        <v>454</v>
      </c>
      <c r="L2232" s="6">
        <v>46319</v>
      </c>
      <c r="M2232" s="4" t="s">
        <v>5864</v>
      </c>
      <c r="N2232" s="4" t="s">
        <v>5870</v>
      </c>
    </row>
    <row r="2233" spans="1:14" ht="54" customHeight="1">
      <c r="A2233" s="8" t="s">
        <v>5587</v>
      </c>
      <c r="B2233" s="8" t="s">
        <v>449</v>
      </c>
      <c r="C2233" s="8" t="s">
        <v>450</v>
      </c>
      <c r="D2233" s="8" t="s">
        <v>7</v>
      </c>
      <c r="E2233" s="8" t="s">
        <v>41</v>
      </c>
      <c r="F2233" s="8" t="s">
        <v>6214</v>
      </c>
      <c r="G2233" s="8" t="s">
        <v>1996</v>
      </c>
      <c r="H2233" s="8">
        <v>1</v>
      </c>
      <c r="I2233" s="8">
        <v>1</v>
      </c>
      <c r="J2233" s="8" t="s">
        <v>5588</v>
      </c>
      <c r="K2233" s="8" t="s">
        <v>454</v>
      </c>
      <c r="L2233" s="9">
        <v>46319</v>
      </c>
      <c r="M2233" s="8" t="s">
        <v>5864</v>
      </c>
      <c r="N2233" s="8" t="s">
        <v>5870</v>
      </c>
    </row>
    <row r="2234" spans="1:14" ht="54" customHeight="1">
      <c r="A2234" s="4" t="s">
        <v>5589</v>
      </c>
      <c r="B2234" s="4" t="s">
        <v>449</v>
      </c>
      <c r="C2234" s="4" t="s">
        <v>450</v>
      </c>
      <c r="D2234" s="4" t="s">
        <v>7</v>
      </c>
      <c r="E2234" s="4" t="s">
        <v>41</v>
      </c>
      <c r="F2234" s="4" t="s">
        <v>6215</v>
      </c>
      <c r="G2234" s="4" t="s">
        <v>1996</v>
      </c>
      <c r="H2234" s="4">
        <v>1</v>
      </c>
      <c r="I2234" s="4">
        <v>1</v>
      </c>
      <c r="J2234" s="4" t="s">
        <v>5590</v>
      </c>
      <c r="K2234" s="4" t="s">
        <v>454</v>
      </c>
      <c r="L2234" s="6">
        <v>46319</v>
      </c>
      <c r="M2234" s="4" t="s">
        <v>5864</v>
      </c>
      <c r="N2234" s="4" t="s">
        <v>5870</v>
      </c>
    </row>
    <row r="2235" spans="1:14" ht="54" customHeight="1">
      <c r="A2235" s="8" t="s">
        <v>5591</v>
      </c>
      <c r="B2235" s="8" t="s">
        <v>449</v>
      </c>
      <c r="C2235" s="8" t="s">
        <v>450</v>
      </c>
      <c r="D2235" s="8" t="s">
        <v>7</v>
      </c>
      <c r="E2235" s="8" t="s">
        <v>41</v>
      </c>
      <c r="F2235" s="8" t="s">
        <v>6216</v>
      </c>
      <c r="G2235" s="8" t="s">
        <v>1996</v>
      </c>
      <c r="H2235" s="8">
        <v>1</v>
      </c>
      <c r="I2235" s="8">
        <v>1</v>
      </c>
      <c r="J2235" s="8" t="s">
        <v>5592</v>
      </c>
      <c r="K2235" s="8" t="s">
        <v>454</v>
      </c>
      <c r="L2235" s="9">
        <v>46319</v>
      </c>
      <c r="M2235" s="8" t="s">
        <v>5864</v>
      </c>
      <c r="N2235" s="8" t="s">
        <v>5870</v>
      </c>
    </row>
    <row r="2236" spans="1:14" ht="54" customHeight="1">
      <c r="A2236" s="4" t="s">
        <v>5593</v>
      </c>
      <c r="B2236" s="4" t="s">
        <v>449</v>
      </c>
      <c r="C2236" s="4" t="s">
        <v>450</v>
      </c>
      <c r="D2236" s="4" t="s">
        <v>7</v>
      </c>
      <c r="E2236" s="4" t="s">
        <v>41</v>
      </c>
      <c r="F2236" s="4" t="s">
        <v>6284</v>
      </c>
      <c r="G2236" s="4" t="s">
        <v>1996</v>
      </c>
      <c r="H2236" s="4">
        <v>1</v>
      </c>
      <c r="I2236" s="4">
        <v>1</v>
      </c>
      <c r="J2236" s="4" t="s">
        <v>5594</v>
      </c>
      <c r="K2236" s="4" t="s">
        <v>454</v>
      </c>
      <c r="L2236" s="6">
        <v>46319</v>
      </c>
      <c r="M2236" s="4" t="s">
        <v>5864</v>
      </c>
      <c r="N2236" s="4" t="s">
        <v>5870</v>
      </c>
    </row>
    <row r="2237" spans="1:14" ht="54" customHeight="1">
      <c r="A2237" s="8" t="s">
        <v>5595</v>
      </c>
      <c r="B2237" s="8" t="s">
        <v>449</v>
      </c>
      <c r="C2237" s="8" t="s">
        <v>450</v>
      </c>
      <c r="D2237" s="8" t="s">
        <v>7</v>
      </c>
      <c r="E2237" s="8" t="s">
        <v>41</v>
      </c>
      <c r="F2237" s="8" t="s">
        <v>6285</v>
      </c>
      <c r="G2237" s="8" t="s">
        <v>1996</v>
      </c>
      <c r="H2237" s="8">
        <v>1</v>
      </c>
      <c r="I2237" s="8">
        <v>1</v>
      </c>
      <c r="J2237" s="8" t="s">
        <v>5596</v>
      </c>
      <c r="K2237" s="8" t="s">
        <v>454</v>
      </c>
      <c r="L2237" s="9">
        <v>46319</v>
      </c>
      <c r="M2237" s="8" t="s">
        <v>5864</v>
      </c>
      <c r="N2237" s="8" t="s">
        <v>5870</v>
      </c>
    </row>
    <row r="2238" spans="1:14" ht="54" customHeight="1">
      <c r="A2238" s="4" t="s">
        <v>5597</v>
      </c>
      <c r="B2238" s="4" t="s">
        <v>449</v>
      </c>
      <c r="C2238" s="4" t="s">
        <v>450</v>
      </c>
      <c r="D2238" s="4" t="s">
        <v>7</v>
      </c>
      <c r="E2238" s="4" t="s">
        <v>41</v>
      </c>
      <c r="F2238" s="4" t="s">
        <v>6286</v>
      </c>
      <c r="G2238" s="4" t="s">
        <v>1996</v>
      </c>
      <c r="H2238" s="4">
        <v>1</v>
      </c>
      <c r="I2238" s="4">
        <v>1</v>
      </c>
      <c r="J2238" s="4" t="s">
        <v>5598</v>
      </c>
      <c r="K2238" s="4" t="s">
        <v>454</v>
      </c>
      <c r="L2238" s="6">
        <v>46319</v>
      </c>
      <c r="M2238" s="4" t="s">
        <v>5864</v>
      </c>
      <c r="N2238" s="4" t="s">
        <v>5870</v>
      </c>
    </row>
    <row r="2239" spans="1:14" ht="54" customHeight="1">
      <c r="A2239" s="8" t="s">
        <v>4663</v>
      </c>
      <c r="B2239" s="8" t="s">
        <v>449</v>
      </c>
      <c r="C2239" s="8" t="s">
        <v>450</v>
      </c>
      <c r="D2239" s="8" t="s">
        <v>5879</v>
      </c>
      <c r="E2239" s="8" t="s">
        <v>41</v>
      </c>
      <c r="F2239" s="8" t="s">
        <v>3463</v>
      </c>
      <c r="G2239" s="8" t="s">
        <v>1996</v>
      </c>
      <c r="H2239" s="8">
        <v>1</v>
      </c>
      <c r="I2239" s="8">
        <v>1</v>
      </c>
      <c r="J2239" s="8" t="s">
        <v>4664</v>
      </c>
      <c r="K2239" s="8" t="s">
        <v>454</v>
      </c>
      <c r="L2239" s="9">
        <v>46319</v>
      </c>
      <c r="M2239" s="8" t="s">
        <v>5864</v>
      </c>
      <c r="N2239" s="8" t="s">
        <v>6087</v>
      </c>
    </row>
    <row r="2240" spans="1:14" ht="54" customHeight="1">
      <c r="A2240" s="4" t="s">
        <v>4665</v>
      </c>
      <c r="B2240" s="4" t="s">
        <v>449</v>
      </c>
      <c r="C2240" s="4" t="s">
        <v>450</v>
      </c>
      <c r="D2240" s="4" t="s">
        <v>5879</v>
      </c>
      <c r="E2240" s="4" t="s">
        <v>41</v>
      </c>
      <c r="F2240" s="4" t="s">
        <v>3469</v>
      </c>
      <c r="G2240" s="4" t="s">
        <v>1996</v>
      </c>
      <c r="H2240" s="4">
        <v>1</v>
      </c>
      <c r="I2240" s="4">
        <v>1</v>
      </c>
      <c r="J2240" s="4" t="s">
        <v>4666</v>
      </c>
      <c r="K2240" s="4" t="s">
        <v>454</v>
      </c>
      <c r="L2240" s="6">
        <v>46319</v>
      </c>
      <c r="M2240" s="4" t="s">
        <v>5864</v>
      </c>
      <c r="N2240" s="4" t="s">
        <v>5865</v>
      </c>
    </row>
    <row r="2241" spans="1:14" ht="54" customHeight="1">
      <c r="A2241" s="8" t="s">
        <v>4667</v>
      </c>
      <c r="B2241" s="8" t="s">
        <v>449</v>
      </c>
      <c r="C2241" s="8" t="s">
        <v>450</v>
      </c>
      <c r="D2241" s="8" t="s">
        <v>5879</v>
      </c>
      <c r="E2241" s="8" t="s">
        <v>41</v>
      </c>
      <c r="F2241" s="8" t="s">
        <v>3472</v>
      </c>
      <c r="G2241" s="8" t="s">
        <v>1996</v>
      </c>
      <c r="H2241" s="8">
        <v>1</v>
      </c>
      <c r="I2241" s="8">
        <v>1</v>
      </c>
      <c r="J2241" s="8" t="s">
        <v>4668</v>
      </c>
      <c r="K2241" s="8" t="s">
        <v>454</v>
      </c>
      <c r="L2241" s="9">
        <v>46319</v>
      </c>
      <c r="M2241" s="8" t="s">
        <v>5864</v>
      </c>
      <c r="N2241" s="8" t="s">
        <v>5865</v>
      </c>
    </row>
    <row r="2242" spans="1:14" ht="54" customHeight="1">
      <c r="A2242" s="4" t="s">
        <v>4669</v>
      </c>
      <c r="B2242" s="4" t="s">
        <v>449</v>
      </c>
      <c r="C2242" s="4" t="s">
        <v>450</v>
      </c>
      <c r="D2242" s="4" t="s">
        <v>5879</v>
      </c>
      <c r="E2242" s="4" t="s">
        <v>41</v>
      </c>
      <c r="F2242" s="4" t="s">
        <v>3475</v>
      </c>
      <c r="G2242" s="4" t="s">
        <v>1996</v>
      </c>
      <c r="H2242" s="4">
        <v>1</v>
      </c>
      <c r="I2242" s="4">
        <v>1</v>
      </c>
      <c r="J2242" s="4" t="s">
        <v>4670</v>
      </c>
      <c r="K2242" s="4" t="s">
        <v>454</v>
      </c>
      <c r="L2242" s="6">
        <v>46319</v>
      </c>
      <c r="M2242" s="4" t="s">
        <v>5864</v>
      </c>
      <c r="N2242" s="4" t="s">
        <v>5865</v>
      </c>
    </row>
    <row r="2243" spans="1:14" ht="54" customHeight="1">
      <c r="A2243" s="8" t="s">
        <v>4671</v>
      </c>
      <c r="B2243" s="8" t="s">
        <v>449</v>
      </c>
      <c r="C2243" s="8" t="s">
        <v>450</v>
      </c>
      <c r="D2243" s="8" t="s">
        <v>5879</v>
      </c>
      <c r="E2243" s="8" t="s">
        <v>41</v>
      </c>
      <c r="F2243" s="8" t="s">
        <v>3478</v>
      </c>
      <c r="G2243" s="8" t="s">
        <v>1996</v>
      </c>
      <c r="H2243" s="8">
        <v>1</v>
      </c>
      <c r="I2243" s="8">
        <v>1</v>
      </c>
      <c r="J2243" s="8" t="s">
        <v>4672</v>
      </c>
      <c r="K2243" s="8" t="s">
        <v>454</v>
      </c>
      <c r="L2243" s="9">
        <v>46319</v>
      </c>
      <c r="M2243" s="8" t="s">
        <v>5864</v>
      </c>
      <c r="N2243" s="8" t="s">
        <v>5865</v>
      </c>
    </row>
    <row r="2244" spans="1:14" ht="54" customHeight="1">
      <c r="A2244" s="4" t="s">
        <v>4673</v>
      </c>
      <c r="B2244" s="4" t="s">
        <v>449</v>
      </c>
      <c r="C2244" s="4" t="s">
        <v>450</v>
      </c>
      <c r="D2244" s="4" t="s">
        <v>5879</v>
      </c>
      <c r="E2244" s="4" t="s">
        <v>41</v>
      </c>
      <c r="F2244" s="4" t="s">
        <v>3603</v>
      </c>
      <c r="G2244" s="4" t="s">
        <v>1996</v>
      </c>
      <c r="H2244" s="4">
        <v>1</v>
      </c>
      <c r="I2244" s="4">
        <v>1</v>
      </c>
      <c r="J2244" s="4" t="s">
        <v>4674</v>
      </c>
      <c r="K2244" s="4" t="s">
        <v>454</v>
      </c>
      <c r="L2244" s="6">
        <v>46319</v>
      </c>
      <c r="M2244" s="4" t="s">
        <v>5864</v>
      </c>
      <c r="N2244" s="4" t="s">
        <v>5865</v>
      </c>
    </row>
    <row r="2245" spans="1:14" ht="166" customHeight="1">
      <c r="A2245" s="8" t="s">
        <v>8630</v>
      </c>
      <c r="B2245" s="8" t="s">
        <v>449</v>
      </c>
      <c r="C2245" s="8" t="s">
        <v>450</v>
      </c>
      <c r="D2245" s="8" t="s">
        <v>2969</v>
      </c>
      <c r="E2245" s="8" t="s">
        <v>41</v>
      </c>
      <c r="F2245" s="8" t="s">
        <v>5881</v>
      </c>
      <c r="G2245" s="8" t="s">
        <v>1996</v>
      </c>
      <c r="H2245" s="8">
        <v>1</v>
      </c>
      <c r="I2245" s="8">
        <v>1</v>
      </c>
      <c r="J2245" s="8" t="s">
        <v>8631</v>
      </c>
      <c r="K2245" s="8" t="s">
        <v>454</v>
      </c>
      <c r="L2245" s="9">
        <v>46319</v>
      </c>
      <c r="M2245" s="8" t="s">
        <v>5864</v>
      </c>
      <c r="N2245" s="8" t="s">
        <v>5883</v>
      </c>
    </row>
    <row r="2246" spans="1:14" ht="54" customHeight="1">
      <c r="A2246" s="4" t="s">
        <v>8632</v>
      </c>
      <c r="B2246" s="4" t="s">
        <v>449</v>
      </c>
      <c r="C2246" s="4" t="s">
        <v>450</v>
      </c>
      <c r="D2246" s="4" t="s">
        <v>2969</v>
      </c>
      <c r="E2246" s="4" t="s">
        <v>41</v>
      </c>
      <c r="F2246" s="4" t="s">
        <v>5885</v>
      </c>
      <c r="G2246" s="4" t="s">
        <v>1996</v>
      </c>
      <c r="H2246" s="4">
        <v>1</v>
      </c>
      <c r="I2246" s="4">
        <v>1</v>
      </c>
      <c r="J2246" s="4" t="s">
        <v>8633</v>
      </c>
      <c r="K2246" s="4" t="s">
        <v>454</v>
      </c>
      <c r="L2246" s="6">
        <v>46319</v>
      </c>
      <c r="M2246" s="4" t="s">
        <v>5864</v>
      </c>
      <c r="N2246" s="4" t="s">
        <v>5883</v>
      </c>
    </row>
    <row r="2247" spans="1:14" ht="96" customHeight="1">
      <c r="A2247" s="8" t="s">
        <v>8634</v>
      </c>
      <c r="B2247" s="8" t="s">
        <v>449</v>
      </c>
      <c r="C2247" s="8" t="s">
        <v>450</v>
      </c>
      <c r="D2247" s="8" t="s">
        <v>2969</v>
      </c>
      <c r="E2247" s="8" t="s">
        <v>41</v>
      </c>
      <c r="F2247" s="8" t="s">
        <v>5888</v>
      </c>
      <c r="G2247" s="8" t="s">
        <v>1996</v>
      </c>
      <c r="H2247" s="8">
        <v>1</v>
      </c>
      <c r="I2247" s="8">
        <v>1</v>
      </c>
      <c r="J2247" s="8" t="s">
        <v>8635</v>
      </c>
      <c r="K2247" s="8" t="s">
        <v>454</v>
      </c>
      <c r="L2247" s="9">
        <v>46319</v>
      </c>
      <c r="M2247" s="8" t="s">
        <v>5864</v>
      </c>
      <c r="N2247" s="8" t="s">
        <v>5883</v>
      </c>
    </row>
    <row r="2248" spans="1:14" ht="54" customHeight="1">
      <c r="A2248" s="4" t="s">
        <v>8636</v>
      </c>
      <c r="B2248" s="4" t="s">
        <v>449</v>
      </c>
      <c r="C2248" s="4" t="s">
        <v>450</v>
      </c>
      <c r="D2248" s="4" t="s">
        <v>2969</v>
      </c>
      <c r="E2248" s="4" t="s">
        <v>41</v>
      </c>
      <c r="F2248" s="4" t="s">
        <v>5891</v>
      </c>
      <c r="G2248" s="4" t="s">
        <v>1996</v>
      </c>
      <c r="H2248" s="4">
        <v>1</v>
      </c>
      <c r="I2248" s="4">
        <v>1</v>
      </c>
      <c r="J2248" s="4" t="s">
        <v>8637</v>
      </c>
      <c r="K2248" s="4" t="s">
        <v>454</v>
      </c>
      <c r="L2248" s="6">
        <v>46319</v>
      </c>
      <c r="M2248" s="4" t="s">
        <v>5864</v>
      </c>
      <c r="N2248" s="4" t="s">
        <v>5883</v>
      </c>
    </row>
    <row r="2249" spans="1:14" ht="54" customHeight="1">
      <c r="A2249" s="8" t="s">
        <v>8638</v>
      </c>
      <c r="B2249" s="8" t="s">
        <v>449</v>
      </c>
      <c r="C2249" s="8" t="s">
        <v>450</v>
      </c>
      <c r="D2249" s="8" t="s">
        <v>2969</v>
      </c>
      <c r="E2249" s="8" t="s">
        <v>41</v>
      </c>
      <c r="F2249" s="8" t="s">
        <v>5894</v>
      </c>
      <c r="G2249" s="8" t="s">
        <v>1996</v>
      </c>
      <c r="H2249" s="8">
        <v>1</v>
      </c>
      <c r="I2249" s="8">
        <v>1</v>
      </c>
      <c r="J2249" s="8" t="s">
        <v>8639</v>
      </c>
      <c r="K2249" s="8" t="s">
        <v>454</v>
      </c>
      <c r="L2249" s="9">
        <v>46319</v>
      </c>
      <c r="M2249" s="8" t="s">
        <v>5864</v>
      </c>
      <c r="N2249" s="8" t="s">
        <v>5883</v>
      </c>
    </row>
    <row r="2250" spans="1:14" ht="96" customHeight="1">
      <c r="A2250" s="4" t="s">
        <v>8640</v>
      </c>
      <c r="B2250" s="4" t="s">
        <v>457</v>
      </c>
      <c r="C2250" s="4" t="s">
        <v>458</v>
      </c>
      <c r="D2250" s="4" t="s">
        <v>5861</v>
      </c>
      <c r="E2250" s="4" t="s">
        <v>41</v>
      </c>
      <c r="F2250" s="4" t="s">
        <v>5862</v>
      </c>
      <c r="G2250" s="4" t="s">
        <v>2013</v>
      </c>
      <c r="H2250" s="4">
        <v>1</v>
      </c>
      <c r="I2250" s="4">
        <v>1</v>
      </c>
      <c r="J2250" s="4" t="s">
        <v>8641</v>
      </c>
      <c r="K2250" s="4" t="s">
        <v>464</v>
      </c>
      <c r="L2250" s="6">
        <v>46319</v>
      </c>
      <c r="M2250" s="4" t="s">
        <v>5864</v>
      </c>
      <c r="N2250" s="4" t="s">
        <v>5865</v>
      </c>
    </row>
    <row r="2251" spans="1:14" ht="40" customHeight="1">
      <c r="A2251" s="8" t="s">
        <v>8642</v>
      </c>
      <c r="B2251" s="8" t="s">
        <v>457</v>
      </c>
      <c r="C2251" s="8" t="s">
        <v>458</v>
      </c>
      <c r="D2251" s="8" t="s">
        <v>5867</v>
      </c>
      <c r="E2251" s="8" t="s">
        <v>41</v>
      </c>
      <c r="F2251" s="8" t="s">
        <v>6248</v>
      </c>
      <c r="G2251" s="8" t="s">
        <v>2013</v>
      </c>
      <c r="H2251" s="8">
        <v>1</v>
      </c>
      <c r="I2251" s="8">
        <v>1</v>
      </c>
      <c r="J2251" s="8" t="s">
        <v>8643</v>
      </c>
      <c r="K2251" s="8" t="s">
        <v>464</v>
      </c>
      <c r="L2251" s="9">
        <v>46319</v>
      </c>
      <c r="M2251" s="8" t="s">
        <v>5864</v>
      </c>
      <c r="N2251" s="8" t="s">
        <v>5865</v>
      </c>
    </row>
    <row r="2252" spans="1:14" ht="40" customHeight="1">
      <c r="A2252" s="4" t="s">
        <v>8644</v>
      </c>
      <c r="B2252" s="4" t="s">
        <v>457</v>
      </c>
      <c r="C2252" s="4" t="s">
        <v>458</v>
      </c>
      <c r="D2252" s="4" t="s">
        <v>5867</v>
      </c>
      <c r="E2252" s="4" t="s">
        <v>41</v>
      </c>
      <c r="F2252" s="4" t="s">
        <v>6176</v>
      </c>
      <c r="G2252" s="4" t="s">
        <v>2013</v>
      </c>
      <c r="H2252" s="4">
        <v>1</v>
      </c>
      <c r="I2252" s="4">
        <v>1</v>
      </c>
      <c r="J2252" s="4" t="s">
        <v>8645</v>
      </c>
      <c r="K2252" s="4" t="s">
        <v>464</v>
      </c>
      <c r="L2252" s="6">
        <v>46319</v>
      </c>
      <c r="M2252" s="4" t="s">
        <v>5864</v>
      </c>
      <c r="N2252" s="4" t="s">
        <v>6087</v>
      </c>
    </row>
    <row r="2253" spans="1:14" ht="68" customHeight="1">
      <c r="A2253" s="8" t="s">
        <v>8646</v>
      </c>
      <c r="B2253" s="8" t="s">
        <v>457</v>
      </c>
      <c r="C2253" s="8" t="s">
        <v>458</v>
      </c>
      <c r="D2253" s="8" t="s">
        <v>5867</v>
      </c>
      <c r="E2253" s="8" t="s">
        <v>41</v>
      </c>
      <c r="F2253" s="8" t="s">
        <v>6391</v>
      </c>
      <c r="G2253" s="8" t="s">
        <v>2013</v>
      </c>
      <c r="H2253" s="8">
        <v>1</v>
      </c>
      <c r="I2253" s="8">
        <v>1</v>
      </c>
      <c r="J2253" s="8" t="s">
        <v>8647</v>
      </c>
      <c r="K2253" s="8" t="s">
        <v>464</v>
      </c>
      <c r="L2253" s="9">
        <v>46319</v>
      </c>
      <c r="M2253" s="8" t="s">
        <v>5864</v>
      </c>
      <c r="N2253" s="8" t="s">
        <v>5865</v>
      </c>
    </row>
    <row r="2254" spans="1:14" ht="40" customHeight="1">
      <c r="A2254" s="4" t="s">
        <v>8648</v>
      </c>
      <c r="B2254" s="4" t="s">
        <v>457</v>
      </c>
      <c r="C2254" s="4" t="s">
        <v>458</v>
      </c>
      <c r="D2254" s="4" t="s">
        <v>5867</v>
      </c>
      <c r="E2254" s="4" t="s">
        <v>41</v>
      </c>
      <c r="F2254" s="4" t="s">
        <v>6184</v>
      </c>
      <c r="G2254" s="4" t="s">
        <v>2013</v>
      </c>
      <c r="H2254" s="4">
        <v>1</v>
      </c>
      <c r="I2254" s="4">
        <v>1</v>
      </c>
      <c r="J2254" s="4" t="s">
        <v>8649</v>
      </c>
      <c r="K2254" s="4" t="s">
        <v>464</v>
      </c>
      <c r="L2254" s="6">
        <v>46319</v>
      </c>
      <c r="M2254" s="4" t="s">
        <v>5864</v>
      </c>
      <c r="N2254" s="4" t="s">
        <v>6087</v>
      </c>
    </row>
    <row r="2255" spans="1:14" ht="68" customHeight="1">
      <c r="A2255" s="8" t="s">
        <v>8650</v>
      </c>
      <c r="B2255" s="8" t="s">
        <v>457</v>
      </c>
      <c r="C2255" s="8" t="s">
        <v>458</v>
      </c>
      <c r="D2255" s="8" t="s">
        <v>5867</v>
      </c>
      <c r="E2255" s="8" t="s">
        <v>41</v>
      </c>
      <c r="F2255" s="8" t="s">
        <v>6394</v>
      </c>
      <c r="G2255" s="8" t="s">
        <v>2013</v>
      </c>
      <c r="H2255" s="8">
        <v>1</v>
      </c>
      <c r="I2255" s="8">
        <v>1</v>
      </c>
      <c r="J2255" s="8" t="s">
        <v>8651</v>
      </c>
      <c r="K2255" s="8" t="s">
        <v>464</v>
      </c>
      <c r="L2255" s="9">
        <v>46319</v>
      </c>
      <c r="M2255" s="8" t="s">
        <v>5864</v>
      </c>
      <c r="N2255" s="8" t="s">
        <v>5865</v>
      </c>
    </row>
    <row r="2256" spans="1:14" ht="40" customHeight="1">
      <c r="A2256" s="4" t="s">
        <v>8652</v>
      </c>
      <c r="B2256" s="4" t="s">
        <v>457</v>
      </c>
      <c r="C2256" s="4" t="s">
        <v>458</v>
      </c>
      <c r="D2256" s="4" t="s">
        <v>5867</v>
      </c>
      <c r="E2256" s="4" t="s">
        <v>41</v>
      </c>
      <c r="F2256" s="4" t="s">
        <v>6667</v>
      </c>
      <c r="G2256" s="4" t="s">
        <v>2013</v>
      </c>
      <c r="H2256" s="4">
        <v>1</v>
      </c>
      <c r="I2256" s="4">
        <v>1</v>
      </c>
      <c r="J2256" s="4" t="s">
        <v>8653</v>
      </c>
      <c r="K2256" s="4" t="s">
        <v>464</v>
      </c>
      <c r="L2256" s="6">
        <v>46319</v>
      </c>
      <c r="M2256" s="4" t="s">
        <v>5864</v>
      </c>
      <c r="N2256" s="4" t="s">
        <v>6087</v>
      </c>
    </row>
    <row r="2257" spans="1:14" ht="68" customHeight="1">
      <c r="A2257" s="8" t="s">
        <v>8654</v>
      </c>
      <c r="B2257" s="8" t="s">
        <v>457</v>
      </c>
      <c r="C2257" s="8" t="s">
        <v>458</v>
      </c>
      <c r="D2257" s="8" t="s">
        <v>5867</v>
      </c>
      <c r="E2257" s="8" t="s">
        <v>41</v>
      </c>
      <c r="F2257" s="8" t="s">
        <v>7381</v>
      </c>
      <c r="G2257" s="8" t="s">
        <v>2013</v>
      </c>
      <c r="H2257" s="8">
        <v>1</v>
      </c>
      <c r="I2257" s="8">
        <v>1</v>
      </c>
      <c r="J2257" s="8" t="s">
        <v>8655</v>
      </c>
      <c r="K2257" s="8" t="s">
        <v>464</v>
      </c>
      <c r="L2257" s="9">
        <v>46319</v>
      </c>
      <c r="M2257" s="8" t="s">
        <v>5864</v>
      </c>
      <c r="N2257" s="8" t="s">
        <v>5865</v>
      </c>
    </row>
    <row r="2258" spans="1:14" ht="40" customHeight="1">
      <c r="A2258" s="4" t="s">
        <v>8656</v>
      </c>
      <c r="B2258" s="4" t="s">
        <v>457</v>
      </c>
      <c r="C2258" s="4" t="s">
        <v>458</v>
      </c>
      <c r="D2258" s="4" t="s">
        <v>5867</v>
      </c>
      <c r="E2258" s="4" t="s">
        <v>41</v>
      </c>
      <c r="F2258" s="4" t="s">
        <v>6674</v>
      </c>
      <c r="G2258" s="4" t="s">
        <v>2013</v>
      </c>
      <c r="H2258" s="4">
        <v>1</v>
      </c>
      <c r="I2258" s="4">
        <v>1</v>
      </c>
      <c r="J2258" s="4" t="s">
        <v>8657</v>
      </c>
      <c r="K2258" s="4" t="s">
        <v>464</v>
      </c>
      <c r="L2258" s="6">
        <v>46319</v>
      </c>
      <c r="M2258" s="4" t="s">
        <v>5864</v>
      </c>
      <c r="N2258" s="4" t="s">
        <v>6087</v>
      </c>
    </row>
    <row r="2259" spans="1:14" ht="68" customHeight="1">
      <c r="A2259" s="8" t="s">
        <v>8658</v>
      </c>
      <c r="B2259" s="8" t="s">
        <v>457</v>
      </c>
      <c r="C2259" s="8" t="s">
        <v>458</v>
      </c>
      <c r="D2259" s="8" t="s">
        <v>5867</v>
      </c>
      <c r="E2259" s="8" t="s">
        <v>41</v>
      </c>
      <c r="F2259" s="8" t="s">
        <v>7453</v>
      </c>
      <c r="G2259" s="8" t="s">
        <v>2013</v>
      </c>
      <c r="H2259" s="8">
        <v>1</v>
      </c>
      <c r="I2259" s="8">
        <v>1</v>
      </c>
      <c r="J2259" s="8" t="s">
        <v>8659</v>
      </c>
      <c r="K2259" s="8" t="s">
        <v>464</v>
      </c>
      <c r="L2259" s="9">
        <v>46319</v>
      </c>
      <c r="M2259" s="8" t="s">
        <v>5864</v>
      </c>
      <c r="N2259" s="8" t="s">
        <v>5865</v>
      </c>
    </row>
    <row r="2260" spans="1:14" ht="40" customHeight="1">
      <c r="A2260" s="4" t="s">
        <v>8660</v>
      </c>
      <c r="B2260" s="4" t="s">
        <v>457</v>
      </c>
      <c r="C2260" s="4" t="s">
        <v>458</v>
      </c>
      <c r="D2260" s="4" t="s">
        <v>5867</v>
      </c>
      <c r="E2260" s="4" t="s">
        <v>41</v>
      </c>
      <c r="F2260" s="4" t="s">
        <v>6682</v>
      </c>
      <c r="G2260" s="4" t="s">
        <v>2013</v>
      </c>
      <c r="H2260" s="4">
        <v>1</v>
      </c>
      <c r="I2260" s="4">
        <v>1</v>
      </c>
      <c r="J2260" s="4" t="s">
        <v>8661</v>
      </c>
      <c r="K2260" s="4" t="s">
        <v>464</v>
      </c>
      <c r="L2260" s="6">
        <v>46319</v>
      </c>
      <c r="M2260" s="4" t="s">
        <v>5864</v>
      </c>
      <c r="N2260" s="4" t="s">
        <v>6087</v>
      </c>
    </row>
    <row r="2261" spans="1:14" ht="68" customHeight="1">
      <c r="A2261" s="8" t="s">
        <v>8662</v>
      </c>
      <c r="B2261" s="8" t="s">
        <v>457</v>
      </c>
      <c r="C2261" s="8" t="s">
        <v>458</v>
      </c>
      <c r="D2261" s="8" t="s">
        <v>5867</v>
      </c>
      <c r="E2261" s="8" t="s">
        <v>41</v>
      </c>
      <c r="F2261" s="8" t="s">
        <v>7459</v>
      </c>
      <c r="G2261" s="8" t="s">
        <v>2013</v>
      </c>
      <c r="H2261" s="8">
        <v>1</v>
      </c>
      <c r="I2261" s="8">
        <v>1</v>
      </c>
      <c r="J2261" s="8" t="s">
        <v>8663</v>
      </c>
      <c r="K2261" s="8" t="s">
        <v>464</v>
      </c>
      <c r="L2261" s="9">
        <v>46319</v>
      </c>
      <c r="M2261" s="8" t="s">
        <v>5864</v>
      </c>
      <c r="N2261" s="8" t="s">
        <v>5865</v>
      </c>
    </row>
    <row r="2262" spans="1:14" ht="40" customHeight="1">
      <c r="A2262" s="4" t="s">
        <v>8664</v>
      </c>
      <c r="B2262" s="4" t="s">
        <v>457</v>
      </c>
      <c r="C2262" s="4" t="s">
        <v>458</v>
      </c>
      <c r="D2262" s="4" t="s">
        <v>5867</v>
      </c>
      <c r="E2262" s="4" t="s">
        <v>41</v>
      </c>
      <c r="F2262" s="4" t="s">
        <v>8665</v>
      </c>
      <c r="G2262" s="4" t="s">
        <v>2013</v>
      </c>
      <c r="H2262" s="4">
        <v>1</v>
      </c>
      <c r="I2262" s="4">
        <v>1</v>
      </c>
      <c r="J2262" s="4" t="s">
        <v>8666</v>
      </c>
      <c r="K2262" s="4" t="s">
        <v>464</v>
      </c>
      <c r="L2262" s="6">
        <v>46319</v>
      </c>
      <c r="M2262" s="4" t="s">
        <v>5864</v>
      </c>
      <c r="N2262" s="4" t="s">
        <v>6087</v>
      </c>
    </row>
    <row r="2263" spans="1:14" ht="54" customHeight="1">
      <c r="A2263" s="8" t="s">
        <v>8667</v>
      </c>
      <c r="B2263" s="8" t="s">
        <v>457</v>
      </c>
      <c r="C2263" s="8" t="s">
        <v>458</v>
      </c>
      <c r="D2263" s="8" t="s">
        <v>5867</v>
      </c>
      <c r="E2263" s="8" t="s">
        <v>41</v>
      </c>
      <c r="F2263" s="8" t="s">
        <v>7465</v>
      </c>
      <c r="G2263" s="8" t="s">
        <v>2013</v>
      </c>
      <c r="H2263" s="8">
        <v>1</v>
      </c>
      <c r="I2263" s="8">
        <v>1</v>
      </c>
      <c r="J2263" s="8" t="s">
        <v>8668</v>
      </c>
      <c r="K2263" s="8" t="s">
        <v>464</v>
      </c>
      <c r="L2263" s="9">
        <v>46319</v>
      </c>
      <c r="M2263" s="8" t="s">
        <v>5864</v>
      </c>
      <c r="N2263" s="8" t="s">
        <v>5865</v>
      </c>
    </row>
    <row r="2264" spans="1:14" ht="40" customHeight="1">
      <c r="A2264" s="4" t="s">
        <v>8669</v>
      </c>
      <c r="B2264" s="4" t="s">
        <v>457</v>
      </c>
      <c r="C2264" s="4" t="s">
        <v>458</v>
      </c>
      <c r="D2264" s="4" t="s">
        <v>5867</v>
      </c>
      <c r="E2264" s="4" t="s">
        <v>41</v>
      </c>
      <c r="F2264" s="4" t="s">
        <v>8670</v>
      </c>
      <c r="G2264" s="4" t="s">
        <v>2013</v>
      </c>
      <c r="H2264" s="4">
        <v>1</v>
      </c>
      <c r="I2264" s="4">
        <v>1</v>
      </c>
      <c r="J2264" s="4" t="s">
        <v>8671</v>
      </c>
      <c r="K2264" s="4" t="s">
        <v>464</v>
      </c>
      <c r="L2264" s="6">
        <v>46319</v>
      </c>
      <c r="M2264" s="4" t="s">
        <v>5864</v>
      </c>
      <c r="N2264" s="4" t="s">
        <v>6087</v>
      </c>
    </row>
    <row r="2265" spans="1:14" ht="68" customHeight="1">
      <c r="A2265" s="8" t="s">
        <v>8672</v>
      </c>
      <c r="B2265" s="8" t="s">
        <v>457</v>
      </c>
      <c r="C2265" s="8" t="s">
        <v>458</v>
      </c>
      <c r="D2265" s="8" t="s">
        <v>5867</v>
      </c>
      <c r="E2265" s="8" t="s">
        <v>41</v>
      </c>
      <c r="F2265" s="8" t="s">
        <v>7471</v>
      </c>
      <c r="G2265" s="8" t="s">
        <v>2013</v>
      </c>
      <c r="H2265" s="8">
        <v>1</v>
      </c>
      <c r="I2265" s="8">
        <v>1</v>
      </c>
      <c r="J2265" s="8" t="s">
        <v>8673</v>
      </c>
      <c r="K2265" s="8" t="s">
        <v>464</v>
      </c>
      <c r="L2265" s="9">
        <v>46319</v>
      </c>
      <c r="M2265" s="8" t="s">
        <v>5864</v>
      </c>
      <c r="N2265" s="8" t="s">
        <v>5865</v>
      </c>
    </row>
    <row r="2266" spans="1:14" ht="40" customHeight="1">
      <c r="A2266" s="4" t="s">
        <v>8674</v>
      </c>
      <c r="B2266" s="4" t="s">
        <v>457</v>
      </c>
      <c r="C2266" s="4" t="s">
        <v>458</v>
      </c>
      <c r="D2266" s="4" t="s">
        <v>637</v>
      </c>
      <c r="E2266" s="4" t="s">
        <v>41</v>
      </c>
      <c r="F2266" s="4" t="s">
        <v>920</v>
      </c>
      <c r="G2266" s="4" t="s">
        <v>2013</v>
      </c>
      <c r="H2266" s="4">
        <v>1</v>
      </c>
      <c r="I2266" s="4">
        <v>1</v>
      </c>
      <c r="J2266" s="4" t="s">
        <v>2011</v>
      </c>
      <c r="K2266" s="4" t="s">
        <v>464</v>
      </c>
      <c r="L2266" s="6">
        <v>46319</v>
      </c>
      <c r="M2266" s="4" t="s">
        <v>5864</v>
      </c>
      <c r="N2266" s="4" t="s">
        <v>5865</v>
      </c>
    </row>
    <row r="2267" spans="1:14" ht="40" customHeight="1">
      <c r="A2267" s="8" t="s">
        <v>5599</v>
      </c>
      <c r="B2267" s="8" t="s">
        <v>457</v>
      </c>
      <c r="C2267" s="8" t="s">
        <v>458</v>
      </c>
      <c r="D2267" s="8" t="s">
        <v>7</v>
      </c>
      <c r="E2267" s="8" t="s">
        <v>41</v>
      </c>
      <c r="F2267" s="8" t="s">
        <v>6150</v>
      </c>
      <c r="G2267" s="8" t="s">
        <v>2013</v>
      </c>
      <c r="H2267" s="8">
        <v>1</v>
      </c>
      <c r="I2267" s="8">
        <v>1</v>
      </c>
      <c r="J2267" s="8" t="s">
        <v>5600</v>
      </c>
      <c r="K2267" s="8" t="s">
        <v>464</v>
      </c>
      <c r="L2267" s="9">
        <v>46319</v>
      </c>
      <c r="M2267" s="8" t="s">
        <v>5864</v>
      </c>
      <c r="N2267" s="8" t="s">
        <v>5865</v>
      </c>
    </row>
    <row r="2268" spans="1:14" ht="40" customHeight="1">
      <c r="A2268" s="4" t="s">
        <v>4675</v>
      </c>
      <c r="B2268" s="4" t="s">
        <v>457</v>
      </c>
      <c r="C2268" s="4" t="s">
        <v>458</v>
      </c>
      <c r="D2268" s="4" t="s">
        <v>5879</v>
      </c>
      <c r="E2268" s="4" t="s">
        <v>41</v>
      </c>
      <c r="F2268" s="4" t="s">
        <v>3449</v>
      </c>
      <c r="G2268" s="4" t="s">
        <v>2013</v>
      </c>
      <c r="H2268" s="4">
        <v>1</v>
      </c>
      <c r="I2268" s="4">
        <v>1</v>
      </c>
      <c r="J2268" s="4" t="s">
        <v>4676</v>
      </c>
      <c r="K2268" s="4" t="s">
        <v>464</v>
      </c>
      <c r="L2268" s="6">
        <v>46319</v>
      </c>
      <c r="M2268" s="4" t="s">
        <v>5864</v>
      </c>
      <c r="N2268" s="4" t="s">
        <v>5865</v>
      </c>
    </row>
    <row r="2269" spans="1:14" ht="68" customHeight="1">
      <c r="A2269" s="8" t="s">
        <v>8675</v>
      </c>
      <c r="B2269" s="8" t="s">
        <v>457</v>
      </c>
      <c r="C2269" s="8" t="s">
        <v>458</v>
      </c>
      <c r="D2269" s="8" t="s">
        <v>2969</v>
      </c>
      <c r="E2269" s="8" t="s">
        <v>41</v>
      </c>
      <c r="F2269" s="8" t="s">
        <v>5881</v>
      </c>
      <c r="G2269" s="8" t="s">
        <v>2013</v>
      </c>
      <c r="H2269" s="8">
        <v>1</v>
      </c>
      <c r="I2269" s="8">
        <v>1</v>
      </c>
      <c r="J2269" s="8" t="s">
        <v>8676</v>
      </c>
      <c r="K2269" s="8" t="s">
        <v>464</v>
      </c>
      <c r="L2269" s="9">
        <v>46319</v>
      </c>
      <c r="M2269" s="8" t="s">
        <v>5864</v>
      </c>
      <c r="N2269" s="8" t="s">
        <v>5883</v>
      </c>
    </row>
    <row r="2270" spans="1:14" ht="82" customHeight="1">
      <c r="A2270" s="4" t="s">
        <v>8677</v>
      </c>
      <c r="B2270" s="4" t="s">
        <v>457</v>
      </c>
      <c r="C2270" s="4" t="s">
        <v>458</v>
      </c>
      <c r="D2270" s="4" t="s">
        <v>2969</v>
      </c>
      <c r="E2270" s="4" t="s">
        <v>41</v>
      </c>
      <c r="F2270" s="4" t="s">
        <v>5885</v>
      </c>
      <c r="G2270" s="4" t="s">
        <v>2013</v>
      </c>
      <c r="H2270" s="4">
        <v>1</v>
      </c>
      <c r="I2270" s="4">
        <v>1</v>
      </c>
      <c r="J2270" s="4" t="s">
        <v>8678</v>
      </c>
      <c r="K2270" s="4" t="s">
        <v>464</v>
      </c>
      <c r="L2270" s="6">
        <v>46319</v>
      </c>
      <c r="M2270" s="4" t="s">
        <v>5864</v>
      </c>
      <c r="N2270" s="4" t="s">
        <v>5883</v>
      </c>
    </row>
    <row r="2271" spans="1:14" ht="68" customHeight="1">
      <c r="A2271" s="8" t="s">
        <v>8679</v>
      </c>
      <c r="B2271" s="8" t="s">
        <v>457</v>
      </c>
      <c r="C2271" s="8" t="s">
        <v>458</v>
      </c>
      <c r="D2271" s="8" t="s">
        <v>2969</v>
      </c>
      <c r="E2271" s="8" t="s">
        <v>41</v>
      </c>
      <c r="F2271" s="8" t="s">
        <v>5888</v>
      </c>
      <c r="G2271" s="8" t="s">
        <v>2013</v>
      </c>
      <c r="H2271" s="8">
        <v>1</v>
      </c>
      <c r="I2271" s="8">
        <v>1</v>
      </c>
      <c r="J2271" s="8" t="s">
        <v>8680</v>
      </c>
      <c r="K2271" s="8" t="s">
        <v>464</v>
      </c>
      <c r="L2271" s="9">
        <v>46319</v>
      </c>
      <c r="M2271" s="8" t="s">
        <v>5864</v>
      </c>
      <c r="N2271" s="8" t="s">
        <v>5883</v>
      </c>
    </row>
    <row r="2272" spans="1:14" ht="68" customHeight="1">
      <c r="A2272" s="4" t="s">
        <v>8681</v>
      </c>
      <c r="B2272" s="4" t="s">
        <v>457</v>
      </c>
      <c r="C2272" s="4" t="s">
        <v>458</v>
      </c>
      <c r="D2272" s="4" t="s">
        <v>2969</v>
      </c>
      <c r="E2272" s="4" t="s">
        <v>41</v>
      </c>
      <c r="F2272" s="4" t="s">
        <v>5891</v>
      </c>
      <c r="G2272" s="4" t="s">
        <v>2013</v>
      </c>
      <c r="H2272" s="4">
        <v>1</v>
      </c>
      <c r="I2272" s="4">
        <v>1</v>
      </c>
      <c r="J2272" s="4" t="s">
        <v>8682</v>
      </c>
      <c r="K2272" s="4" t="s">
        <v>464</v>
      </c>
      <c r="L2272" s="6">
        <v>46319</v>
      </c>
      <c r="M2272" s="4" t="s">
        <v>5864</v>
      </c>
      <c r="N2272" s="4" t="s">
        <v>5883</v>
      </c>
    </row>
    <row r="2273" spans="1:14" ht="68" customHeight="1">
      <c r="A2273" s="8" t="s">
        <v>8683</v>
      </c>
      <c r="B2273" s="8" t="s">
        <v>457</v>
      </c>
      <c r="C2273" s="8" t="s">
        <v>458</v>
      </c>
      <c r="D2273" s="8" t="s">
        <v>2969</v>
      </c>
      <c r="E2273" s="8" t="s">
        <v>41</v>
      </c>
      <c r="F2273" s="8" t="s">
        <v>5894</v>
      </c>
      <c r="G2273" s="8" t="s">
        <v>2013</v>
      </c>
      <c r="H2273" s="8">
        <v>1</v>
      </c>
      <c r="I2273" s="8">
        <v>1</v>
      </c>
      <c r="J2273" s="8" t="s">
        <v>8684</v>
      </c>
      <c r="K2273" s="8" t="s">
        <v>464</v>
      </c>
      <c r="L2273" s="9">
        <v>46319</v>
      </c>
      <c r="M2273" s="8" t="s">
        <v>5864</v>
      </c>
      <c r="N2273" s="8" t="s">
        <v>5883</v>
      </c>
    </row>
    <row r="2274" spans="1:14" ht="82" customHeight="1">
      <c r="A2274" s="4" t="s">
        <v>8685</v>
      </c>
      <c r="B2274" s="4" t="s">
        <v>457</v>
      </c>
      <c r="C2274" s="4" t="s">
        <v>458</v>
      </c>
      <c r="D2274" s="4" t="s">
        <v>2969</v>
      </c>
      <c r="E2274" s="4" t="s">
        <v>41</v>
      </c>
      <c r="F2274" s="4" t="s">
        <v>5897</v>
      </c>
      <c r="G2274" s="4" t="s">
        <v>2013</v>
      </c>
      <c r="H2274" s="4">
        <v>1</v>
      </c>
      <c r="I2274" s="4">
        <v>1</v>
      </c>
      <c r="J2274" s="4" t="s">
        <v>8686</v>
      </c>
      <c r="K2274" s="4" t="s">
        <v>464</v>
      </c>
      <c r="L2274" s="6">
        <v>46319</v>
      </c>
      <c r="M2274" s="4" t="s">
        <v>5864</v>
      </c>
      <c r="N2274" s="4" t="s">
        <v>5883</v>
      </c>
    </row>
    <row r="2275" spans="1:14" ht="68" customHeight="1">
      <c r="A2275" s="8" t="s">
        <v>8687</v>
      </c>
      <c r="B2275" s="8" t="s">
        <v>457</v>
      </c>
      <c r="C2275" s="8" t="s">
        <v>458</v>
      </c>
      <c r="D2275" s="8" t="s">
        <v>2969</v>
      </c>
      <c r="E2275" s="8" t="s">
        <v>41</v>
      </c>
      <c r="F2275" s="8" t="s">
        <v>5900</v>
      </c>
      <c r="G2275" s="8" t="s">
        <v>2013</v>
      </c>
      <c r="H2275" s="8">
        <v>1</v>
      </c>
      <c r="I2275" s="8">
        <v>1</v>
      </c>
      <c r="J2275" s="8" t="s">
        <v>8688</v>
      </c>
      <c r="K2275" s="8" t="s">
        <v>464</v>
      </c>
      <c r="L2275" s="9">
        <v>46319</v>
      </c>
      <c r="M2275" s="8" t="s">
        <v>5864</v>
      </c>
      <c r="N2275" s="8" t="s">
        <v>5883</v>
      </c>
    </row>
    <row r="2276" spans="1:14" ht="68" customHeight="1">
      <c r="A2276" s="4" t="s">
        <v>8689</v>
      </c>
      <c r="B2276" s="4" t="s">
        <v>457</v>
      </c>
      <c r="C2276" s="4" t="s">
        <v>458</v>
      </c>
      <c r="D2276" s="4" t="s">
        <v>2969</v>
      </c>
      <c r="E2276" s="4" t="s">
        <v>41</v>
      </c>
      <c r="F2276" s="4" t="s">
        <v>5903</v>
      </c>
      <c r="G2276" s="4" t="s">
        <v>2013</v>
      </c>
      <c r="H2276" s="4">
        <v>1</v>
      </c>
      <c r="I2276" s="4">
        <v>1</v>
      </c>
      <c r="J2276" s="4" t="s">
        <v>8690</v>
      </c>
      <c r="K2276" s="4" t="s">
        <v>464</v>
      </c>
      <c r="L2276" s="6">
        <v>46319</v>
      </c>
      <c r="M2276" s="4" t="s">
        <v>5864</v>
      </c>
      <c r="N2276" s="4" t="s">
        <v>5883</v>
      </c>
    </row>
    <row r="2277" spans="1:14" ht="68" customHeight="1">
      <c r="A2277" s="8" t="s">
        <v>8691</v>
      </c>
      <c r="B2277" s="8" t="s">
        <v>457</v>
      </c>
      <c r="C2277" s="8" t="s">
        <v>458</v>
      </c>
      <c r="D2277" s="8" t="s">
        <v>2969</v>
      </c>
      <c r="E2277" s="8" t="s">
        <v>41</v>
      </c>
      <c r="F2277" s="8" t="s">
        <v>5906</v>
      </c>
      <c r="G2277" s="8" t="s">
        <v>2013</v>
      </c>
      <c r="H2277" s="8">
        <v>1</v>
      </c>
      <c r="I2277" s="8">
        <v>1</v>
      </c>
      <c r="J2277" s="8" t="s">
        <v>8692</v>
      </c>
      <c r="K2277" s="8" t="s">
        <v>464</v>
      </c>
      <c r="L2277" s="9">
        <v>46319</v>
      </c>
      <c r="M2277" s="8" t="s">
        <v>5864</v>
      </c>
      <c r="N2277" s="8" t="s">
        <v>5883</v>
      </c>
    </row>
    <row r="2278" spans="1:14" ht="82" customHeight="1">
      <c r="A2278" s="4" t="s">
        <v>8693</v>
      </c>
      <c r="B2278" s="4" t="s">
        <v>457</v>
      </c>
      <c r="C2278" s="4" t="s">
        <v>458</v>
      </c>
      <c r="D2278" s="4" t="s">
        <v>2969</v>
      </c>
      <c r="E2278" s="4" t="s">
        <v>41</v>
      </c>
      <c r="F2278" s="4" t="s">
        <v>5909</v>
      </c>
      <c r="G2278" s="4" t="s">
        <v>2013</v>
      </c>
      <c r="H2278" s="4">
        <v>1</v>
      </c>
      <c r="I2278" s="4">
        <v>1</v>
      </c>
      <c r="J2278" s="4" t="s">
        <v>8694</v>
      </c>
      <c r="K2278" s="4" t="s">
        <v>464</v>
      </c>
      <c r="L2278" s="6">
        <v>46319</v>
      </c>
      <c r="M2278" s="4" t="s">
        <v>5864</v>
      </c>
      <c r="N2278" s="4" t="s">
        <v>5883</v>
      </c>
    </row>
    <row r="2279" spans="1:14" ht="68" customHeight="1">
      <c r="A2279" s="8" t="s">
        <v>8695</v>
      </c>
      <c r="B2279" s="8" t="s">
        <v>457</v>
      </c>
      <c r="C2279" s="8" t="s">
        <v>458</v>
      </c>
      <c r="D2279" s="8" t="s">
        <v>2969</v>
      </c>
      <c r="E2279" s="8" t="s">
        <v>41</v>
      </c>
      <c r="F2279" s="8" t="s">
        <v>5912</v>
      </c>
      <c r="G2279" s="8" t="s">
        <v>2013</v>
      </c>
      <c r="H2279" s="8">
        <v>1</v>
      </c>
      <c r="I2279" s="8">
        <v>1</v>
      </c>
      <c r="J2279" s="8" t="s">
        <v>8696</v>
      </c>
      <c r="K2279" s="8" t="s">
        <v>464</v>
      </c>
      <c r="L2279" s="9">
        <v>46319</v>
      </c>
      <c r="M2279" s="8" t="s">
        <v>5864</v>
      </c>
      <c r="N2279" s="8" t="s">
        <v>5883</v>
      </c>
    </row>
    <row r="2280" spans="1:14" ht="68" customHeight="1">
      <c r="A2280" s="4" t="s">
        <v>8697</v>
      </c>
      <c r="B2280" s="4" t="s">
        <v>457</v>
      </c>
      <c r="C2280" s="4" t="s">
        <v>458</v>
      </c>
      <c r="D2280" s="4" t="s">
        <v>2969</v>
      </c>
      <c r="E2280" s="4" t="s">
        <v>41</v>
      </c>
      <c r="F2280" s="4" t="s">
        <v>5973</v>
      </c>
      <c r="G2280" s="4" t="s">
        <v>2013</v>
      </c>
      <c r="H2280" s="4">
        <v>1</v>
      </c>
      <c r="I2280" s="4">
        <v>1</v>
      </c>
      <c r="J2280" s="4" t="s">
        <v>8698</v>
      </c>
      <c r="K2280" s="4" t="s">
        <v>464</v>
      </c>
      <c r="L2280" s="6">
        <v>46319</v>
      </c>
      <c r="M2280" s="4" t="s">
        <v>5864</v>
      </c>
      <c r="N2280" s="4" t="s">
        <v>5883</v>
      </c>
    </row>
    <row r="2281" spans="1:14" ht="68" customHeight="1">
      <c r="A2281" s="8" t="s">
        <v>8699</v>
      </c>
      <c r="B2281" s="8" t="s">
        <v>457</v>
      </c>
      <c r="C2281" s="8" t="s">
        <v>458</v>
      </c>
      <c r="D2281" s="8" t="s">
        <v>2969</v>
      </c>
      <c r="E2281" s="8" t="s">
        <v>41</v>
      </c>
      <c r="F2281" s="8" t="s">
        <v>5976</v>
      </c>
      <c r="G2281" s="8" t="s">
        <v>2013</v>
      </c>
      <c r="H2281" s="8">
        <v>1</v>
      </c>
      <c r="I2281" s="8">
        <v>1</v>
      </c>
      <c r="J2281" s="8" t="s">
        <v>8700</v>
      </c>
      <c r="K2281" s="8" t="s">
        <v>464</v>
      </c>
      <c r="L2281" s="9">
        <v>46319</v>
      </c>
      <c r="M2281" s="8" t="s">
        <v>5864</v>
      </c>
      <c r="N2281" s="8" t="s">
        <v>5883</v>
      </c>
    </row>
    <row r="2282" spans="1:14" ht="82" customHeight="1">
      <c r="A2282" s="4" t="s">
        <v>8701</v>
      </c>
      <c r="B2282" s="4" t="s">
        <v>457</v>
      </c>
      <c r="C2282" s="4" t="s">
        <v>458</v>
      </c>
      <c r="D2282" s="4" t="s">
        <v>2969</v>
      </c>
      <c r="E2282" s="4" t="s">
        <v>41</v>
      </c>
      <c r="F2282" s="4" t="s">
        <v>5979</v>
      </c>
      <c r="G2282" s="4" t="s">
        <v>2013</v>
      </c>
      <c r="H2282" s="4">
        <v>1</v>
      </c>
      <c r="I2282" s="4">
        <v>1</v>
      </c>
      <c r="J2282" s="4" t="s">
        <v>8702</v>
      </c>
      <c r="K2282" s="4" t="s">
        <v>464</v>
      </c>
      <c r="L2282" s="6">
        <v>46319</v>
      </c>
      <c r="M2282" s="4" t="s">
        <v>5864</v>
      </c>
      <c r="N2282" s="4" t="s">
        <v>5883</v>
      </c>
    </row>
    <row r="2283" spans="1:14" ht="68" customHeight="1">
      <c r="A2283" s="8" t="s">
        <v>8703</v>
      </c>
      <c r="B2283" s="8" t="s">
        <v>457</v>
      </c>
      <c r="C2283" s="8" t="s">
        <v>458</v>
      </c>
      <c r="D2283" s="8" t="s">
        <v>2969</v>
      </c>
      <c r="E2283" s="8" t="s">
        <v>41</v>
      </c>
      <c r="F2283" s="8" t="s">
        <v>5982</v>
      </c>
      <c r="G2283" s="8" t="s">
        <v>2013</v>
      </c>
      <c r="H2283" s="8">
        <v>1</v>
      </c>
      <c r="I2283" s="8">
        <v>1</v>
      </c>
      <c r="J2283" s="8" t="s">
        <v>8704</v>
      </c>
      <c r="K2283" s="8" t="s">
        <v>464</v>
      </c>
      <c r="L2283" s="9">
        <v>46319</v>
      </c>
      <c r="M2283" s="8" t="s">
        <v>5864</v>
      </c>
      <c r="N2283" s="8" t="s">
        <v>5883</v>
      </c>
    </row>
    <row r="2284" spans="1:14" ht="96" customHeight="1">
      <c r="A2284" s="4" t="s">
        <v>8705</v>
      </c>
      <c r="B2284" s="4" t="s">
        <v>467</v>
      </c>
      <c r="C2284" s="4" t="s">
        <v>468</v>
      </c>
      <c r="D2284" s="4" t="s">
        <v>5861</v>
      </c>
      <c r="E2284" s="4" t="s">
        <v>41</v>
      </c>
      <c r="F2284" s="4" t="s">
        <v>5862</v>
      </c>
      <c r="G2284" s="4" t="s">
        <v>2018</v>
      </c>
      <c r="H2284" s="4">
        <v>1</v>
      </c>
      <c r="I2284" s="4">
        <v>1</v>
      </c>
      <c r="J2284" s="4" t="s">
        <v>8706</v>
      </c>
      <c r="K2284" s="4" t="s">
        <v>473</v>
      </c>
      <c r="L2284" s="6">
        <v>46319</v>
      </c>
      <c r="M2284" s="4" t="s">
        <v>5864</v>
      </c>
      <c r="N2284" s="4" t="s">
        <v>5865</v>
      </c>
    </row>
    <row r="2285" spans="1:14" ht="40" customHeight="1">
      <c r="A2285" s="8" t="s">
        <v>8707</v>
      </c>
      <c r="B2285" s="8" t="s">
        <v>467</v>
      </c>
      <c r="C2285" s="8" t="s">
        <v>468</v>
      </c>
      <c r="D2285" s="8" t="s">
        <v>5867</v>
      </c>
      <c r="E2285" s="8" t="s">
        <v>41</v>
      </c>
      <c r="F2285" s="8" t="s">
        <v>6111</v>
      </c>
      <c r="G2285" s="8" t="s">
        <v>2018</v>
      </c>
      <c r="H2285" s="8">
        <v>1</v>
      </c>
      <c r="I2285" s="8">
        <v>1</v>
      </c>
      <c r="J2285" s="8" t="s">
        <v>8708</v>
      </c>
      <c r="K2285" s="8" t="s">
        <v>473</v>
      </c>
      <c r="L2285" s="9">
        <v>46319</v>
      </c>
      <c r="M2285" s="8" t="s">
        <v>5864</v>
      </c>
      <c r="N2285" s="8" t="s">
        <v>5870</v>
      </c>
    </row>
    <row r="2286" spans="1:14" ht="40" customHeight="1">
      <c r="A2286" s="4" t="s">
        <v>8709</v>
      </c>
      <c r="B2286" s="4" t="s">
        <v>467</v>
      </c>
      <c r="C2286" s="4" t="s">
        <v>468</v>
      </c>
      <c r="D2286" s="4" t="s">
        <v>5867</v>
      </c>
      <c r="E2286" s="4" t="s">
        <v>41</v>
      </c>
      <c r="F2286" s="4" t="s">
        <v>7858</v>
      </c>
      <c r="G2286" s="4" t="s">
        <v>2018</v>
      </c>
      <c r="H2286" s="4">
        <v>1</v>
      </c>
      <c r="I2286" s="4">
        <v>1</v>
      </c>
      <c r="J2286" s="4" t="s">
        <v>8710</v>
      </c>
      <c r="K2286" s="4" t="s">
        <v>473</v>
      </c>
      <c r="L2286" s="6">
        <v>46319</v>
      </c>
      <c r="M2286" s="4" t="s">
        <v>5864</v>
      </c>
      <c r="N2286" s="4" t="s">
        <v>5870</v>
      </c>
    </row>
    <row r="2287" spans="1:14" ht="40" customHeight="1">
      <c r="A2287" s="8" t="s">
        <v>8711</v>
      </c>
      <c r="B2287" s="8" t="s">
        <v>467</v>
      </c>
      <c r="C2287" s="8" t="s">
        <v>468</v>
      </c>
      <c r="D2287" s="8" t="s">
        <v>5867</v>
      </c>
      <c r="E2287" s="8" t="s">
        <v>41</v>
      </c>
      <c r="F2287" s="8" t="s">
        <v>8712</v>
      </c>
      <c r="G2287" s="8" t="s">
        <v>2018</v>
      </c>
      <c r="H2287" s="8">
        <v>1</v>
      </c>
      <c r="I2287" s="8">
        <v>1</v>
      </c>
      <c r="J2287" s="8" t="s">
        <v>8713</v>
      </c>
      <c r="K2287" s="8" t="s">
        <v>473</v>
      </c>
      <c r="L2287" s="9">
        <v>46319</v>
      </c>
      <c r="M2287" s="8" t="s">
        <v>5864</v>
      </c>
      <c r="N2287" s="8" t="s">
        <v>5870</v>
      </c>
    </row>
    <row r="2288" spans="1:14" ht="40" customHeight="1">
      <c r="A2288" s="4" t="s">
        <v>8714</v>
      </c>
      <c r="B2288" s="4" t="s">
        <v>467</v>
      </c>
      <c r="C2288" s="4" t="s">
        <v>468</v>
      </c>
      <c r="D2288" s="4" t="s">
        <v>637</v>
      </c>
      <c r="E2288" s="4" t="s">
        <v>41</v>
      </c>
      <c r="F2288" s="4" t="s">
        <v>904</v>
      </c>
      <c r="G2288" s="4" t="s">
        <v>2018</v>
      </c>
      <c r="H2288" s="4">
        <v>1</v>
      </c>
      <c r="I2288" s="4">
        <v>1</v>
      </c>
      <c r="J2288" s="4" t="s">
        <v>2016</v>
      </c>
      <c r="K2288" s="4" t="s">
        <v>473</v>
      </c>
      <c r="L2288" s="6">
        <v>46319</v>
      </c>
      <c r="M2288" s="4" t="s">
        <v>5864</v>
      </c>
      <c r="N2288" s="4" t="s">
        <v>5870</v>
      </c>
    </row>
    <row r="2289" spans="1:14" ht="40" customHeight="1">
      <c r="A2289" s="8" t="s">
        <v>8715</v>
      </c>
      <c r="B2289" s="8" t="s">
        <v>467</v>
      </c>
      <c r="C2289" s="8" t="s">
        <v>468</v>
      </c>
      <c r="D2289" s="8" t="s">
        <v>637</v>
      </c>
      <c r="E2289" s="8" t="s">
        <v>41</v>
      </c>
      <c r="F2289" s="8" t="s">
        <v>912</v>
      </c>
      <c r="G2289" s="8" t="s">
        <v>2018</v>
      </c>
      <c r="H2289" s="8">
        <v>1</v>
      </c>
      <c r="I2289" s="8">
        <v>1</v>
      </c>
      <c r="J2289" s="8" t="s">
        <v>2020</v>
      </c>
      <c r="K2289" s="8" t="s">
        <v>473</v>
      </c>
      <c r="L2289" s="9">
        <v>46319</v>
      </c>
      <c r="M2289" s="8" t="s">
        <v>5864</v>
      </c>
      <c r="N2289" s="8" t="s">
        <v>5870</v>
      </c>
    </row>
    <row r="2290" spans="1:14" ht="40" customHeight="1">
      <c r="A2290" s="4" t="s">
        <v>5601</v>
      </c>
      <c r="B2290" s="4" t="s">
        <v>467</v>
      </c>
      <c r="C2290" s="4" t="s">
        <v>468</v>
      </c>
      <c r="D2290" s="4" t="s">
        <v>7</v>
      </c>
      <c r="E2290" s="4" t="s">
        <v>41</v>
      </c>
      <c r="F2290" s="4" t="s">
        <v>6212</v>
      </c>
      <c r="G2290" s="4" t="s">
        <v>2018</v>
      </c>
      <c r="H2290" s="4">
        <v>1</v>
      </c>
      <c r="I2290" s="4">
        <v>1</v>
      </c>
      <c r="J2290" s="4" t="s">
        <v>5602</v>
      </c>
      <c r="K2290" s="4" t="s">
        <v>473</v>
      </c>
      <c r="L2290" s="6">
        <v>46319</v>
      </c>
      <c r="M2290" s="4" t="s">
        <v>5864</v>
      </c>
      <c r="N2290" s="4" t="s">
        <v>5870</v>
      </c>
    </row>
    <row r="2291" spans="1:14" ht="40" customHeight="1">
      <c r="A2291" s="8" t="s">
        <v>5603</v>
      </c>
      <c r="B2291" s="8" t="s">
        <v>467</v>
      </c>
      <c r="C2291" s="8" t="s">
        <v>468</v>
      </c>
      <c r="D2291" s="8" t="s">
        <v>7</v>
      </c>
      <c r="E2291" s="8" t="s">
        <v>41</v>
      </c>
      <c r="F2291" s="8" t="s">
        <v>6213</v>
      </c>
      <c r="G2291" s="8" t="s">
        <v>2018</v>
      </c>
      <c r="H2291" s="8">
        <v>1</v>
      </c>
      <c r="I2291" s="8">
        <v>1</v>
      </c>
      <c r="J2291" s="8" t="s">
        <v>5604</v>
      </c>
      <c r="K2291" s="8" t="s">
        <v>473</v>
      </c>
      <c r="L2291" s="9">
        <v>46319</v>
      </c>
      <c r="M2291" s="8" t="s">
        <v>5864</v>
      </c>
      <c r="N2291" s="8" t="s">
        <v>5870</v>
      </c>
    </row>
    <row r="2292" spans="1:14" ht="40" customHeight="1">
      <c r="A2292" s="4" t="s">
        <v>5605</v>
      </c>
      <c r="B2292" s="4" t="s">
        <v>467</v>
      </c>
      <c r="C2292" s="4" t="s">
        <v>468</v>
      </c>
      <c r="D2292" s="4" t="s">
        <v>7</v>
      </c>
      <c r="E2292" s="4" t="s">
        <v>41</v>
      </c>
      <c r="F2292" s="4" t="s">
        <v>6214</v>
      </c>
      <c r="G2292" s="4" t="s">
        <v>2018</v>
      </c>
      <c r="H2292" s="4">
        <v>1</v>
      </c>
      <c r="I2292" s="4">
        <v>1</v>
      </c>
      <c r="J2292" s="4" t="s">
        <v>5606</v>
      </c>
      <c r="K2292" s="4" t="s">
        <v>473</v>
      </c>
      <c r="L2292" s="6">
        <v>46319</v>
      </c>
      <c r="M2292" s="4" t="s">
        <v>5864</v>
      </c>
      <c r="N2292" s="4" t="s">
        <v>5870</v>
      </c>
    </row>
    <row r="2293" spans="1:14" ht="40" customHeight="1">
      <c r="A2293" s="8" t="s">
        <v>5607</v>
      </c>
      <c r="B2293" s="8" t="s">
        <v>467</v>
      </c>
      <c r="C2293" s="8" t="s">
        <v>468</v>
      </c>
      <c r="D2293" s="8" t="s">
        <v>7</v>
      </c>
      <c r="E2293" s="8" t="s">
        <v>41</v>
      </c>
      <c r="F2293" s="8" t="s">
        <v>6215</v>
      </c>
      <c r="G2293" s="8" t="s">
        <v>2018</v>
      </c>
      <c r="H2293" s="8">
        <v>1</v>
      </c>
      <c r="I2293" s="8">
        <v>1</v>
      </c>
      <c r="J2293" s="8" t="s">
        <v>5608</v>
      </c>
      <c r="K2293" s="8" t="s">
        <v>473</v>
      </c>
      <c r="L2293" s="9">
        <v>46319</v>
      </c>
      <c r="M2293" s="8" t="s">
        <v>5864</v>
      </c>
      <c r="N2293" s="8" t="s">
        <v>5870</v>
      </c>
    </row>
    <row r="2294" spans="1:14" ht="40" customHeight="1">
      <c r="A2294" s="4" t="s">
        <v>4677</v>
      </c>
      <c r="B2294" s="4" t="s">
        <v>467</v>
      </c>
      <c r="C2294" s="4" t="s">
        <v>468</v>
      </c>
      <c r="D2294" s="4" t="s">
        <v>5879</v>
      </c>
      <c r="E2294" s="4" t="s">
        <v>41</v>
      </c>
      <c r="F2294" s="4" t="s">
        <v>3463</v>
      </c>
      <c r="G2294" s="4" t="s">
        <v>2018</v>
      </c>
      <c r="H2294" s="4">
        <v>1</v>
      </c>
      <c r="I2294" s="4">
        <v>1</v>
      </c>
      <c r="J2294" s="4" t="s">
        <v>4678</v>
      </c>
      <c r="K2294" s="4" t="s">
        <v>473</v>
      </c>
      <c r="L2294" s="6">
        <v>46319</v>
      </c>
      <c r="M2294" s="4" t="s">
        <v>5864</v>
      </c>
      <c r="N2294" s="4" t="s">
        <v>6087</v>
      </c>
    </row>
    <row r="2295" spans="1:14" ht="40" customHeight="1">
      <c r="A2295" s="8" t="s">
        <v>4679</v>
      </c>
      <c r="B2295" s="8" t="s">
        <v>467</v>
      </c>
      <c r="C2295" s="8" t="s">
        <v>468</v>
      </c>
      <c r="D2295" s="8" t="s">
        <v>5879</v>
      </c>
      <c r="E2295" s="8" t="s">
        <v>41</v>
      </c>
      <c r="F2295" s="8" t="s">
        <v>3466</v>
      </c>
      <c r="G2295" s="8" t="s">
        <v>2018</v>
      </c>
      <c r="H2295" s="8">
        <v>1</v>
      </c>
      <c r="I2295" s="8">
        <v>1</v>
      </c>
      <c r="J2295" s="8" t="s">
        <v>4680</v>
      </c>
      <c r="K2295" s="8" t="s">
        <v>473</v>
      </c>
      <c r="L2295" s="9">
        <v>46319</v>
      </c>
      <c r="M2295" s="8" t="s">
        <v>5864</v>
      </c>
      <c r="N2295" s="8" t="s">
        <v>5865</v>
      </c>
    </row>
    <row r="2296" spans="1:14" ht="40" customHeight="1">
      <c r="A2296" s="4" t="s">
        <v>4681</v>
      </c>
      <c r="B2296" s="4" t="s">
        <v>467</v>
      </c>
      <c r="C2296" s="4" t="s">
        <v>468</v>
      </c>
      <c r="D2296" s="4" t="s">
        <v>5879</v>
      </c>
      <c r="E2296" s="4" t="s">
        <v>41</v>
      </c>
      <c r="F2296" s="4" t="s">
        <v>3469</v>
      </c>
      <c r="G2296" s="4" t="s">
        <v>2018</v>
      </c>
      <c r="H2296" s="4">
        <v>1</v>
      </c>
      <c r="I2296" s="4">
        <v>1</v>
      </c>
      <c r="J2296" s="4" t="s">
        <v>4682</v>
      </c>
      <c r="K2296" s="4" t="s">
        <v>473</v>
      </c>
      <c r="L2296" s="6">
        <v>46319</v>
      </c>
      <c r="M2296" s="4" t="s">
        <v>5864</v>
      </c>
      <c r="N2296" s="4" t="s">
        <v>5865</v>
      </c>
    </row>
    <row r="2297" spans="1:14" ht="40" customHeight="1">
      <c r="A2297" s="8" t="s">
        <v>4683</v>
      </c>
      <c r="B2297" s="8" t="s">
        <v>467</v>
      </c>
      <c r="C2297" s="8" t="s">
        <v>468</v>
      </c>
      <c r="D2297" s="8" t="s">
        <v>5879</v>
      </c>
      <c r="E2297" s="8" t="s">
        <v>41</v>
      </c>
      <c r="F2297" s="8" t="s">
        <v>3472</v>
      </c>
      <c r="G2297" s="8" t="s">
        <v>2018</v>
      </c>
      <c r="H2297" s="8">
        <v>1</v>
      </c>
      <c r="I2297" s="8">
        <v>1</v>
      </c>
      <c r="J2297" s="8" t="s">
        <v>4684</v>
      </c>
      <c r="K2297" s="8" t="s">
        <v>473</v>
      </c>
      <c r="L2297" s="9">
        <v>46319</v>
      </c>
      <c r="M2297" s="8" t="s">
        <v>5864</v>
      </c>
      <c r="N2297" s="8" t="s">
        <v>5865</v>
      </c>
    </row>
    <row r="2298" spans="1:14" ht="40" customHeight="1">
      <c r="A2298" s="4" t="s">
        <v>4685</v>
      </c>
      <c r="B2298" s="4" t="s">
        <v>467</v>
      </c>
      <c r="C2298" s="4" t="s">
        <v>468</v>
      </c>
      <c r="D2298" s="4" t="s">
        <v>5879</v>
      </c>
      <c r="E2298" s="4" t="s">
        <v>41</v>
      </c>
      <c r="F2298" s="4" t="s">
        <v>3475</v>
      </c>
      <c r="G2298" s="4" t="s">
        <v>2018</v>
      </c>
      <c r="H2298" s="4">
        <v>1</v>
      </c>
      <c r="I2298" s="4">
        <v>1</v>
      </c>
      <c r="J2298" s="4" t="s">
        <v>4686</v>
      </c>
      <c r="K2298" s="4" t="s">
        <v>473</v>
      </c>
      <c r="L2298" s="6">
        <v>46319</v>
      </c>
      <c r="M2298" s="4" t="s">
        <v>5864</v>
      </c>
      <c r="N2298" s="4" t="s">
        <v>5865</v>
      </c>
    </row>
    <row r="2299" spans="1:14" ht="40" customHeight="1">
      <c r="A2299" s="8" t="s">
        <v>4687</v>
      </c>
      <c r="B2299" s="8" t="s">
        <v>467</v>
      </c>
      <c r="C2299" s="8" t="s">
        <v>468</v>
      </c>
      <c r="D2299" s="8" t="s">
        <v>5879</v>
      </c>
      <c r="E2299" s="8" t="s">
        <v>41</v>
      </c>
      <c r="F2299" s="8" t="s">
        <v>3478</v>
      </c>
      <c r="G2299" s="8" t="s">
        <v>2018</v>
      </c>
      <c r="H2299" s="8">
        <v>1</v>
      </c>
      <c r="I2299" s="8">
        <v>1</v>
      </c>
      <c r="J2299" s="8" t="s">
        <v>4688</v>
      </c>
      <c r="K2299" s="8" t="s">
        <v>473</v>
      </c>
      <c r="L2299" s="9">
        <v>46319</v>
      </c>
      <c r="M2299" s="8" t="s">
        <v>5864</v>
      </c>
      <c r="N2299" s="8" t="s">
        <v>5865</v>
      </c>
    </row>
    <row r="2300" spans="1:14" ht="40" customHeight="1">
      <c r="A2300" s="4" t="s">
        <v>4689</v>
      </c>
      <c r="B2300" s="4" t="s">
        <v>467</v>
      </c>
      <c r="C2300" s="4" t="s">
        <v>468</v>
      </c>
      <c r="D2300" s="4" t="s">
        <v>5879</v>
      </c>
      <c r="E2300" s="4" t="s">
        <v>41</v>
      </c>
      <c r="F2300" s="4" t="s">
        <v>3915</v>
      </c>
      <c r="G2300" s="4" t="s">
        <v>2018</v>
      </c>
      <c r="H2300" s="4">
        <v>1</v>
      </c>
      <c r="I2300" s="4">
        <v>1</v>
      </c>
      <c r="J2300" s="4" t="s">
        <v>4690</v>
      </c>
      <c r="K2300" s="4" t="s">
        <v>473</v>
      </c>
      <c r="L2300" s="6">
        <v>46319</v>
      </c>
      <c r="M2300" s="4" t="s">
        <v>5864</v>
      </c>
      <c r="N2300" s="4" t="s">
        <v>6087</v>
      </c>
    </row>
    <row r="2301" spans="1:14" ht="40" customHeight="1">
      <c r="A2301" s="8" t="s">
        <v>4691</v>
      </c>
      <c r="B2301" s="8" t="s">
        <v>467</v>
      </c>
      <c r="C2301" s="8" t="s">
        <v>468</v>
      </c>
      <c r="D2301" s="8" t="s">
        <v>5879</v>
      </c>
      <c r="E2301" s="8" t="s">
        <v>41</v>
      </c>
      <c r="F2301" s="8" t="s">
        <v>3838</v>
      </c>
      <c r="G2301" s="8" t="s">
        <v>2018</v>
      </c>
      <c r="H2301" s="8">
        <v>1</v>
      </c>
      <c r="I2301" s="8">
        <v>1</v>
      </c>
      <c r="J2301" s="8" t="s">
        <v>4692</v>
      </c>
      <c r="K2301" s="8" t="s">
        <v>473</v>
      </c>
      <c r="L2301" s="9">
        <v>46319</v>
      </c>
      <c r="M2301" s="8" t="s">
        <v>5864</v>
      </c>
      <c r="N2301" s="8" t="s">
        <v>5865</v>
      </c>
    </row>
    <row r="2302" spans="1:14" ht="40" customHeight="1">
      <c r="A2302" s="4" t="s">
        <v>4693</v>
      </c>
      <c r="B2302" s="4" t="s">
        <v>467</v>
      </c>
      <c r="C2302" s="4" t="s">
        <v>468</v>
      </c>
      <c r="D2302" s="4" t="s">
        <v>5879</v>
      </c>
      <c r="E2302" s="4" t="s">
        <v>41</v>
      </c>
      <c r="F2302" s="4" t="s">
        <v>3608</v>
      </c>
      <c r="G2302" s="4" t="s">
        <v>2018</v>
      </c>
      <c r="H2302" s="4">
        <v>1</v>
      </c>
      <c r="I2302" s="4">
        <v>1</v>
      </c>
      <c r="J2302" s="4" t="s">
        <v>4694</v>
      </c>
      <c r="K2302" s="4" t="s">
        <v>473</v>
      </c>
      <c r="L2302" s="6">
        <v>46319</v>
      </c>
      <c r="M2302" s="4" t="s">
        <v>5864</v>
      </c>
      <c r="N2302" s="4" t="s">
        <v>5865</v>
      </c>
    </row>
    <row r="2303" spans="1:14" ht="40" customHeight="1">
      <c r="A2303" s="8" t="s">
        <v>4695</v>
      </c>
      <c r="B2303" s="8" t="s">
        <v>467</v>
      </c>
      <c r="C2303" s="8" t="s">
        <v>468</v>
      </c>
      <c r="D2303" s="8" t="s">
        <v>5879</v>
      </c>
      <c r="E2303" s="8" t="s">
        <v>41</v>
      </c>
      <c r="F2303" s="8" t="s">
        <v>3611</v>
      </c>
      <c r="G2303" s="8" t="s">
        <v>2018</v>
      </c>
      <c r="H2303" s="8">
        <v>1</v>
      </c>
      <c r="I2303" s="8">
        <v>1</v>
      </c>
      <c r="J2303" s="8" t="s">
        <v>4696</v>
      </c>
      <c r="K2303" s="8" t="s">
        <v>473</v>
      </c>
      <c r="L2303" s="9">
        <v>46319</v>
      </c>
      <c r="M2303" s="8" t="s">
        <v>5864</v>
      </c>
      <c r="N2303" s="8" t="s">
        <v>5865</v>
      </c>
    </row>
    <row r="2304" spans="1:14" ht="40" customHeight="1">
      <c r="A2304" s="4" t="s">
        <v>4697</v>
      </c>
      <c r="B2304" s="4" t="s">
        <v>467</v>
      </c>
      <c r="C2304" s="4" t="s">
        <v>468</v>
      </c>
      <c r="D2304" s="4" t="s">
        <v>5879</v>
      </c>
      <c r="E2304" s="4" t="s">
        <v>41</v>
      </c>
      <c r="F2304" s="4" t="s">
        <v>3775</v>
      </c>
      <c r="G2304" s="4" t="s">
        <v>2018</v>
      </c>
      <c r="H2304" s="4">
        <v>1</v>
      </c>
      <c r="I2304" s="4">
        <v>1</v>
      </c>
      <c r="J2304" s="4" t="s">
        <v>4698</v>
      </c>
      <c r="K2304" s="4" t="s">
        <v>473</v>
      </c>
      <c r="L2304" s="6">
        <v>46319</v>
      </c>
      <c r="M2304" s="4" t="s">
        <v>5864</v>
      </c>
      <c r="N2304" s="4" t="s">
        <v>5865</v>
      </c>
    </row>
    <row r="2305" spans="1:14" ht="40" customHeight="1">
      <c r="A2305" s="8" t="s">
        <v>4699</v>
      </c>
      <c r="B2305" s="8" t="s">
        <v>467</v>
      </c>
      <c r="C2305" s="8" t="s">
        <v>468</v>
      </c>
      <c r="D2305" s="8" t="s">
        <v>5879</v>
      </c>
      <c r="E2305" s="8" t="s">
        <v>41</v>
      </c>
      <c r="F2305" s="8" t="s">
        <v>3847</v>
      </c>
      <c r="G2305" s="8" t="s">
        <v>2018</v>
      </c>
      <c r="H2305" s="8">
        <v>1</v>
      </c>
      <c r="I2305" s="8">
        <v>1</v>
      </c>
      <c r="J2305" s="8" t="s">
        <v>4700</v>
      </c>
      <c r="K2305" s="8" t="s">
        <v>473</v>
      </c>
      <c r="L2305" s="9">
        <v>46319</v>
      </c>
      <c r="M2305" s="8" t="s">
        <v>5864</v>
      </c>
      <c r="N2305" s="8" t="s">
        <v>5865</v>
      </c>
    </row>
    <row r="2306" spans="1:14" ht="40" customHeight="1">
      <c r="A2306" s="4" t="s">
        <v>4701</v>
      </c>
      <c r="B2306" s="4" t="s">
        <v>467</v>
      </c>
      <c r="C2306" s="4" t="s">
        <v>468</v>
      </c>
      <c r="D2306" s="4" t="s">
        <v>5879</v>
      </c>
      <c r="E2306" s="4" t="s">
        <v>41</v>
      </c>
      <c r="F2306" s="4" t="s">
        <v>4703</v>
      </c>
      <c r="G2306" s="4" t="s">
        <v>2018</v>
      </c>
      <c r="H2306" s="4">
        <v>1</v>
      </c>
      <c r="I2306" s="4">
        <v>1</v>
      </c>
      <c r="J2306" s="4" t="s">
        <v>4702</v>
      </c>
      <c r="K2306" s="4" t="s">
        <v>473</v>
      </c>
      <c r="L2306" s="6">
        <v>46319</v>
      </c>
      <c r="M2306" s="4" t="s">
        <v>5864</v>
      </c>
      <c r="N2306" s="4" t="s">
        <v>6087</v>
      </c>
    </row>
    <row r="2307" spans="1:14" ht="54" customHeight="1">
      <c r="A2307" s="8" t="s">
        <v>4704</v>
      </c>
      <c r="B2307" s="8" t="s">
        <v>467</v>
      </c>
      <c r="C2307" s="8" t="s">
        <v>468</v>
      </c>
      <c r="D2307" s="8" t="s">
        <v>5879</v>
      </c>
      <c r="E2307" s="8" t="s">
        <v>41</v>
      </c>
      <c r="F2307" s="8" t="s">
        <v>4706</v>
      </c>
      <c r="G2307" s="8" t="s">
        <v>2018</v>
      </c>
      <c r="H2307" s="8">
        <v>1</v>
      </c>
      <c r="I2307" s="8">
        <v>1</v>
      </c>
      <c r="J2307" s="8" t="s">
        <v>4705</v>
      </c>
      <c r="K2307" s="8" t="s">
        <v>473</v>
      </c>
      <c r="L2307" s="9">
        <v>46319</v>
      </c>
      <c r="M2307" s="8" t="s">
        <v>5864</v>
      </c>
      <c r="N2307" s="8" t="s">
        <v>6087</v>
      </c>
    </row>
    <row r="2308" spans="1:14" ht="96" customHeight="1">
      <c r="A2308" s="4" t="s">
        <v>8716</v>
      </c>
      <c r="B2308" s="4" t="s">
        <v>467</v>
      </c>
      <c r="C2308" s="4" t="s">
        <v>468</v>
      </c>
      <c r="D2308" s="4" t="s">
        <v>2969</v>
      </c>
      <c r="E2308" s="4" t="s">
        <v>41</v>
      </c>
      <c r="F2308" s="4" t="s">
        <v>5881</v>
      </c>
      <c r="G2308" s="4" t="s">
        <v>2018</v>
      </c>
      <c r="H2308" s="4">
        <v>1</v>
      </c>
      <c r="I2308" s="4">
        <v>1</v>
      </c>
      <c r="J2308" s="4" t="s">
        <v>8717</v>
      </c>
      <c r="K2308" s="4" t="s">
        <v>473</v>
      </c>
      <c r="L2308" s="6">
        <v>46319</v>
      </c>
      <c r="M2308" s="4" t="s">
        <v>5864</v>
      </c>
      <c r="N2308" s="4" t="s">
        <v>5883</v>
      </c>
    </row>
    <row r="2309" spans="1:14" ht="138" customHeight="1">
      <c r="A2309" s="8" t="s">
        <v>8718</v>
      </c>
      <c r="B2309" s="8" t="s">
        <v>467</v>
      </c>
      <c r="C2309" s="8" t="s">
        <v>468</v>
      </c>
      <c r="D2309" s="8" t="s">
        <v>2969</v>
      </c>
      <c r="E2309" s="8" t="s">
        <v>41</v>
      </c>
      <c r="F2309" s="8" t="s">
        <v>5885</v>
      </c>
      <c r="G2309" s="8" t="s">
        <v>2018</v>
      </c>
      <c r="H2309" s="8">
        <v>1</v>
      </c>
      <c r="I2309" s="8">
        <v>1</v>
      </c>
      <c r="J2309" s="8" t="s">
        <v>8719</v>
      </c>
      <c r="K2309" s="8" t="s">
        <v>473</v>
      </c>
      <c r="L2309" s="9">
        <v>46319</v>
      </c>
      <c r="M2309" s="8" t="s">
        <v>5864</v>
      </c>
      <c r="N2309" s="8" t="s">
        <v>5883</v>
      </c>
    </row>
    <row r="2310" spans="1:14" ht="96" customHeight="1">
      <c r="A2310" s="4" t="s">
        <v>8720</v>
      </c>
      <c r="B2310" s="4" t="s">
        <v>467</v>
      </c>
      <c r="C2310" s="4" t="s">
        <v>468</v>
      </c>
      <c r="D2310" s="4" t="s">
        <v>2969</v>
      </c>
      <c r="E2310" s="4" t="s">
        <v>41</v>
      </c>
      <c r="F2310" s="4" t="s">
        <v>5888</v>
      </c>
      <c r="G2310" s="4" t="s">
        <v>2018</v>
      </c>
      <c r="H2310" s="4">
        <v>1</v>
      </c>
      <c r="I2310" s="4">
        <v>1</v>
      </c>
      <c r="J2310" s="4" t="s">
        <v>8721</v>
      </c>
      <c r="K2310" s="4" t="s">
        <v>473</v>
      </c>
      <c r="L2310" s="6">
        <v>46319</v>
      </c>
      <c r="M2310" s="4" t="s">
        <v>5864</v>
      </c>
      <c r="N2310" s="4" t="s">
        <v>5883</v>
      </c>
    </row>
    <row r="2311" spans="1:14" ht="82" customHeight="1">
      <c r="A2311" s="8" t="s">
        <v>8722</v>
      </c>
      <c r="B2311" s="8" t="s">
        <v>467</v>
      </c>
      <c r="C2311" s="8" t="s">
        <v>468</v>
      </c>
      <c r="D2311" s="8" t="s">
        <v>2969</v>
      </c>
      <c r="E2311" s="8" t="s">
        <v>41</v>
      </c>
      <c r="F2311" s="8" t="s">
        <v>5891</v>
      </c>
      <c r="G2311" s="8" t="s">
        <v>2018</v>
      </c>
      <c r="H2311" s="8">
        <v>1</v>
      </c>
      <c r="I2311" s="8">
        <v>1</v>
      </c>
      <c r="J2311" s="8" t="s">
        <v>8723</v>
      </c>
      <c r="K2311" s="8" t="s">
        <v>473</v>
      </c>
      <c r="L2311" s="9">
        <v>46319</v>
      </c>
      <c r="M2311" s="8" t="s">
        <v>5864</v>
      </c>
      <c r="N2311" s="8" t="s">
        <v>5883</v>
      </c>
    </row>
    <row r="2312" spans="1:14" ht="194" customHeight="1">
      <c r="A2312" s="4" t="s">
        <v>8724</v>
      </c>
      <c r="B2312" s="4" t="s">
        <v>467</v>
      </c>
      <c r="C2312" s="4" t="s">
        <v>468</v>
      </c>
      <c r="D2312" s="4" t="s">
        <v>2969</v>
      </c>
      <c r="E2312" s="4" t="s">
        <v>41</v>
      </c>
      <c r="F2312" s="4" t="s">
        <v>5894</v>
      </c>
      <c r="G2312" s="4" t="s">
        <v>2018</v>
      </c>
      <c r="H2312" s="4">
        <v>1</v>
      </c>
      <c r="I2312" s="4">
        <v>1</v>
      </c>
      <c r="J2312" s="4" t="s">
        <v>8725</v>
      </c>
      <c r="K2312" s="4" t="s">
        <v>473</v>
      </c>
      <c r="L2312" s="6">
        <v>46319</v>
      </c>
      <c r="M2312" s="4" t="s">
        <v>5864</v>
      </c>
      <c r="N2312" s="4" t="s">
        <v>5883</v>
      </c>
    </row>
    <row r="2313" spans="1:14" ht="110" customHeight="1">
      <c r="A2313" s="8" t="s">
        <v>8726</v>
      </c>
      <c r="B2313" s="8" t="s">
        <v>467</v>
      </c>
      <c r="C2313" s="8" t="s">
        <v>468</v>
      </c>
      <c r="D2313" s="8" t="s">
        <v>2969</v>
      </c>
      <c r="E2313" s="8" t="s">
        <v>41</v>
      </c>
      <c r="F2313" s="8" t="s">
        <v>5897</v>
      </c>
      <c r="G2313" s="8" t="s">
        <v>2018</v>
      </c>
      <c r="H2313" s="8">
        <v>1</v>
      </c>
      <c r="I2313" s="8">
        <v>1</v>
      </c>
      <c r="J2313" s="8" t="s">
        <v>8727</v>
      </c>
      <c r="K2313" s="8" t="s">
        <v>473</v>
      </c>
      <c r="L2313" s="9">
        <v>46319</v>
      </c>
      <c r="M2313" s="8" t="s">
        <v>5864</v>
      </c>
      <c r="N2313" s="8" t="s">
        <v>5883</v>
      </c>
    </row>
    <row r="2314" spans="1:14" ht="166" customHeight="1">
      <c r="A2314" s="4" t="s">
        <v>8728</v>
      </c>
      <c r="B2314" s="4" t="s">
        <v>467</v>
      </c>
      <c r="C2314" s="4" t="s">
        <v>468</v>
      </c>
      <c r="D2314" s="4" t="s">
        <v>2969</v>
      </c>
      <c r="E2314" s="4" t="s">
        <v>41</v>
      </c>
      <c r="F2314" s="4" t="s">
        <v>5900</v>
      </c>
      <c r="G2314" s="4" t="s">
        <v>2018</v>
      </c>
      <c r="H2314" s="4">
        <v>1</v>
      </c>
      <c r="I2314" s="4">
        <v>1</v>
      </c>
      <c r="J2314" s="4" t="s">
        <v>8729</v>
      </c>
      <c r="K2314" s="4" t="s">
        <v>473</v>
      </c>
      <c r="L2314" s="6">
        <v>46319</v>
      </c>
      <c r="M2314" s="4" t="s">
        <v>5864</v>
      </c>
      <c r="N2314" s="4" t="s">
        <v>5883</v>
      </c>
    </row>
    <row r="2315" spans="1:14" ht="82" customHeight="1">
      <c r="A2315" s="8" t="s">
        <v>8730</v>
      </c>
      <c r="B2315" s="8" t="s">
        <v>467</v>
      </c>
      <c r="C2315" s="8" t="s">
        <v>468</v>
      </c>
      <c r="D2315" s="8" t="s">
        <v>2969</v>
      </c>
      <c r="E2315" s="8" t="s">
        <v>41</v>
      </c>
      <c r="F2315" s="8" t="s">
        <v>5903</v>
      </c>
      <c r="G2315" s="8" t="s">
        <v>2018</v>
      </c>
      <c r="H2315" s="8">
        <v>1</v>
      </c>
      <c r="I2315" s="8">
        <v>1</v>
      </c>
      <c r="J2315" s="8" t="s">
        <v>8731</v>
      </c>
      <c r="K2315" s="8" t="s">
        <v>473</v>
      </c>
      <c r="L2315" s="9">
        <v>46319</v>
      </c>
      <c r="M2315" s="8" t="s">
        <v>5864</v>
      </c>
      <c r="N2315" s="8" t="s">
        <v>5883</v>
      </c>
    </row>
    <row r="2316" spans="1:14" ht="82" customHeight="1">
      <c r="A2316" s="4" t="s">
        <v>8732</v>
      </c>
      <c r="B2316" s="4" t="s">
        <v>467</v>
      </c>
      <c r="C2316" s="4" t="s">
        <v>468</v>
      </c>
      <c r="D2316" s="4" t="s">
        <v>2969</v>
      </c>
      <c r="E2316" s="4" t="s">
        <v>41</v>
      </c>
      <c r="F2316" s="4" t="s">
        <v>5906</v>
      </c>
      <c r="G2316" s="4" t="s">
        <v>2018</v>
      </c>
      <c r="H2316" s="4">
        <v>1</v>
      </c>
      <c r="I2316" s="4">
        <v>1</v>
      </c>
      <c r="J2316" s="4" t="s">
        <v>8733</v>
      </c>
      <c r="K2316" s="4" t="s">
        <v>473</v>
      </c>
      <c r="L2316" s="6">
        <v>46319</v>
      </c>
      <c r="M2316" s="4" t="s">
        <v>5864</v>
      </c>
      <c r="N2316" s="4" t="s">
        <v>5883</v>
      </c>
    </row>
    <row r="2317" spans="1:14" ht="82" customHeight="1">
      <c r="A2317" s="8" t="s">
        <v>8734</v>
      </c>
      <c r="B2317" s="8" t="s">
        <v>467</v>
      </c>
      <c r="C2317" s="8" t="s">
        <v>468</v>
      </c>
      <c r="D2317" s="8" t="s">
        <v>2969</v>
      </c>
      <c r="E2317" s="8" t="s">
        <v>41</v>
      </c>
      <c r="F2317" s="8" t="s">
        <v>5909</v>
      </c>
      <c r="G2317" s="8" t="s">
        <v>2018</v>
      </c>
      <c r="H2317" s="8">
        <v>1</v>
      </c>
      <c r="I2317" s="8">
        <v>1</v>
      </c>
      <c r="J2317" s="8" t="s">
        <v>8735</v>
      </c>
      <c r="K2317" s="8" t="s">
        <v>473</v>
      </c>
      <c r="L2317" s="9">
        <v>46319</v>
      </c>
      <c r="M2317" s="8" t="s">
        <v>5864</v>
      </c>
      <c r="N2317" s="8" t="s">
        <v>5883</v>
      </c>
    </row>
    <row r="2318" spans="1:14" ht="138" customHeight="1">
      <c r="A2318" s="4" t="s">
        <v>8736</v>
      </c>
      <c r="B2318" s="4" t="s">
        <v>467</v>
      </c>
      <c r="C2318" s="4" t="s">
        <v>468</v>
      </c>
      <c r="D2318" s="4" t="s">
        <v>2969</v>
      </c>
      <c r="E2318" s="4" t="s">
        <v>41</v>
      </c>
      <c r="F2318" s="4" t="s">
        <v>5912</v>
      </c>
      <c r="G2318" s="4" t="s">
        <v>2018</v>
      </c>
      <c r="H2318" s="4">
        <v>1</v>
      </c>
      <c r="I2318" s="4">
        <v>1</v>
      </c>
      <c r="J2318" s="4" t="s">
        <v>8737</v>
      </c>
      <c r="K2318" s="4" t="s">
        <v>473</v>
      </c>
      <c r="L2318" s="6">
        <v>46319</v>
      </c>
      <c r="M2318" s="4" t="s">
        <v>5864</v>
      </c>
      <c r="N2318" s="4" t="s">
        <v>5883</v>
      </c>
    </row>
    <row r="2319" spans="1:14" ht="166" customHeight="1">
      <c r="A2319" s="8" t="s">
        <v>8738</v>
      </c>
      <c r="B2319" s="8" t="s">
        <v>476</v>
      </c>
      <c r="C2319" s="8" t="s">
        <v>477</v>
      </c>
      <c r="D2319" s="8" t="s">
        <v>5861</v>
      </c>
      <c r="E2319" s="8" t="s">
        <v>41</v>
      </c>
      <c r="F2319" s="8" t="s">
        <v>5862</v>
      </c>
      <c r="G2319" s="8" t="s">
        <v>2026</v>
      </c>
      <c r="H2319" s="8">
        <v>1</v>
      </c>
      <c r="I2319" s="8">
        <v>2</v>
      </c>
      <c r="J2319" s="8" t="s">
        <v>8739</v>
      </c>
      <c r="K2319" s="8" t="s">
        <v>483</v>
      </c>
      <c r="L2319" s="9">
        <v>46319</v>
      </c>
      <c r="M2319" s="8" t="s">
        <v>5864</v>
      </c>
      <c r="N2319" s="8" t="s">
        <v>5865</v>
      </c>
    </row>
    <row r="2320" spans="1:14" ht="40" customHeight="1">
      <c r="A2320" s="4" t="s">
        <v>8738</v>
      </c>
      <c r="B2320" s="4" t="s">
        <v>476</v>
      </c>
      <c r="C2320" s="4" t="s">
        <v>477</v>
      </c>
      <c r="D2320" s="4" t="s">
        <v>5861</v>
      </c>
      <c r="E2320" s="4" t="s">
        <v>41</v>
      </c>
      <c r="F2320" s="4" t="s">
        <v>5862</v>
      </c>
      <c r="G2320" s="4" t="s">
        <v>2026</v>
      </c>
      <c r="H2320" s="4">
        <v>2</v>
      </c>
      <c r="I2320" s="4">
        <v>2</v>
      </c>
      <c r="J2320" s="4" t="s">
        <v>8740</v>
      </c>
      <c r="K2320" s="4" t="s">
        <v>483</v>
      </c>
      <c r="L2320" s="6">
        <v>46319</v>
      </c>
      <c r="M2320" s="4" t="s">
        <v>5864</v>
      </c>
      <c r="N2320" s="4" t="s">
        <v>5865</v>
      </c>
    </row>
    <row r="2321" spans="1:14" ht="54" customHeight="1">
      <c r="A2321" s="8" t="s">
        <v>8741</v>
      </c>
      <c r="B2321" s="8" t="s">
        <v>476</v>
      </c>
      <c r="C2321" s="8" t="s">
        <v>477</v>
      </c>
      <c r="D2321" s="8" t="s">
        <v>5867</v>
      </c>
      <c r="E2321" s="8" t="s">
        <v>41</v>
      </c>
      <c r="F2321" s="8" t="s">
        <v>5868</v>
      </c>
      <c r="G2321" s="8" t="s">
        <v>2026</v>
      </c>
      <c r="H2321" s="8">
        <v>1</v>
      </c>
      <c r="I2321" s="8">
        <v>1</v>
      </c>
      <c r="J2321" s="8" t="s">
        <v>8742</v>
      </c>
      <c r="K2321" s="8" t="s">
        <v>483</v>
      </c>
      <c r="L2321" s="9">
        <v>46319</v>
      </c>
      <c r="M2321" s="8" t="s">
        <v>5864</v>
      </c>
      <c r="N2321" s="8" t="s">
        <v>5870</v>
      </c>
    </row>
    <row r="2322" spans="1:14" ht="54" customHeight="1">
      <c r="A2322" s="4" t="s">
        <v>8743</v>
      </c>
      <c r="B2322" s="4" t="s">
        <v>476</v>
      </c>
      <c r="C2322" s="4" t="s">
        <v>477</v>
      </c>
      <c r="D2322" s="4" t="s">
        <v>5867</v>
      </c>
      <c r="E2322" s="4" t="s">
        <v>41</v>
      </c>
      <c r="F2322" s="4" t="s">
        <v>5872</v>
      </c>
      <c r="G2322" s="4" t="s">
        <v>2026</v>
      </c>
      <c r="H2322" s="4">
        <v>1</v>
      </c>
      <c r="I2322" s="4">
        <v>1</v>
      </c>
      <c r="J2322" s="4" t="s">
        <v>8744</v>
      </c>
      <c r="K2322" s="4" t="s">
        <v>483</v>
      </c>
      <c r="L2322" s="6">
        <v>46319</v>
      </c>
      <c r="M2322" s="4" t="s">
        <v>5864</v>
      </c>
      <c r="N2322" s="4" t="s">
        <v>5870</v>
      </c>
    </row>
    <row r="2323" spans="1:14" ht="40" customHeight="1">
      <c r="A2323" s="8" t="s">
        <v>8745</v>
      </c>
      <c r="B2323" s="8" t="s">
        <v>476</v>
      </c>
      <c r="C2323" s="8" t="s">
        <v>477</v>
      </c>
      <c r="D2323" s="8" t="s">
        <v>5867</v>
      </c>
      <c r="E2323" s="8" t="s">
        <v>41</v>
      </c>
      <c r="F2323" s="8" t="s">
        <v>5875</v>
      </c>
      <c r="G2323" s="8" t="s">
        <v>2026</v>
      </c>
      <c r="H2323" s="8">
        <v>1</v>
      </c>
      <c r="I2323" s="8">
        <v>1</v>
      </c>
      <c r="J2323" s="8" t="s">
        <v>8746</v>
      </c>
      <c r="K2323" s="8" t="s">
        <v>483</v>
      </c>
      <c r="L2323" s="9">
        <v>46319</v>
      </c>
      <c r="M2323" s="8" t="s">
        <v>5864</v>
      </c>
      <c r="N2323" s="8" t="s">
        <v>5870</v>
      </c>
    </row>
    <row r="2324" spans="1:14" ht="54" customHeight="1">
      <c r="A2324" s="4" t="s">
        <v>8747</v>
      </c>
      <c r="B2324" s="4" t="s">
        <v>476</v>
      </c>
      <c r="C2324" s="4" t="s">
        <v>477</v>
      </c>
      <c r="D2324" s="4" t="s">
        <v>5867</v>
      </c>
      <c r="E2324" s="4" t="s">
        <v>41</v>
      </c>
      <c r="F2324" s="4" t="s">
        <v>6118</v>
      </c>
      <c r="G2324" s="4" t="s">
        <v>2026</v>
      </c>
      <c r="H2324" s="4">
        <v>1</v>
      </c>
      <c r="I2324" s="4">
        <v>1</v>
      </c>
      <c r="J2324" s="4" t="s">
        <v>8748</v>
      </c>
      <c r="K2324" s="4" t="s">
        <v>483</v>
      </c>
      <c r="L2324" s="6">
        <v>46319</v>
      </c>
      <c r="M2324" s="4" t="s">
        <v>5864</v>
      </c>
      <c r="N2324" s="4" t="s">
        <v>5870</v>
      </c>
    </row>
    <row r="2325" spans="1:14" ht="54" customHeight="1">
      <c r="A2325" s="8" t="s">
        <v>8749</v>
      </c>
      <c r="B2325" s="8" t="s">
        <v>476</v>
      </c>
      <c r="C2325" s="8" t="s">
        <v>477</v>
      </c>
      <c r="D2325" s="8" t="s">
        <v>5867</v>
      </c>
      <c r="E2325" s="8" t="s">
        <v>41</v>
      </c>
      <c r="F2325" s="8" t="s">
        <v>6121</v>
      </c>
      <c r="G2325" s="8" t="s">
        <v>2026</v>
      </c>
      <c r="H2325" s="8">
        <v>1</v>
      </c>
      <c r="I2325" s="8">
        <v>1</v>
      </c>
      <c r="J2325" s="8" t="s">
        <v>8750</v>
      </c>
      <c r="K2325" s="8" t="s">
        <v>483</v>
      </c>
      <c r="L2325" s="9">
        <v>46319</v>
      </c>
      <c r="M2325" s="8" t="s">
        <v>5864</v>
      </c>
      <c r="N2325" s="8" t="s">
        <v>5870</v>
      </c>
    </row>
    <row r="2326" spans="1:14" ht="54" customHeight="1">
      <c r="A2326" s="4" t="s">
        <v>8751</v>
      </c>
      <c r="B2326" s="4" t="s">
        <v>476</v>
      </c>
      <c r="C2326" s="4" t="s">
        <v>477</v>
      </c>
      <c r="D2326" s="4" t="s">
        <v>5867</v>
      </c>
      <c r="E2326" s="4" t="s">
        <v>41</v>
      </c>
      <c r="F2326" s="4" t="s">
        <v>6124</v>
      </c>
      <c r="G2326" s="4" t="s">
        <v>2026</v>
      </c>
      <c r="H2326" s="4">
        <v>1</v>
      </c>
      <c r="I2326" s="4">
        <v>1</v>
      </c>
      <c r="J2326" s="4" t="s">
        <v>8752</v>
      </c>
      <c r="K2326" s="4" t="s">
        <v>483</v>
      </c>
      <c r="L2326" s="6">
        <v>46319</v>
      </c>
      <c r="M2326" s="4" t="s">
        <v>5864</v>
      </c>
      <c r="N2326" s="4" t="s">
        <v>5870</v>
      </c>
    </row>
    <row r="2327" spans="1:14" ht="40" customHeight="1">
      <c r="A2327" s="8" t="s">
        <v>8753</v>
      </c>
      <c r="B2327" s="8" t="s">
        <v>476</v>
      </c>
      <c r="C2327" s="8" t="s">
        <v>477</v>
      </c>
      <c r="D2327" s="8" t="s">
        <v>5867</v>
      </c>
      <c r="E2327" s="8" t="s">
        <v>41</v>
      </c>
      <c r="F2327" s="8" t="s">
        <v>6176</v>
      </c>
      <c r="G2327" s="8" t="s">
        <v>2026</v>
      </c>
      <c r="H2327" s="8">
        <v>1</v>
      </c>
      <c r="I2327" s="8">
        <v>1</v>
      </c>
      <c r="J2327" s="8" t="s">
        <v>6550</v>
      </c>
      <c r="K2327" s="8" t="s">
        <v>483</v>
      </c>
      <c r="L2327" s="9">
        <v>46319</v>
      </c>
      <c r="M2327" s="8" t="s">
        <v>5864</v>
      </c>
      <c r="N2327" s="8" t="s">
        <v>6087</v>
      </c>
    </row>
    <row r="2328" spans="1:14" ht="40" customHeight="1">
      <c r="A2328" s="4" t="s">
        <v>8754</v>
      </c>
      <c r="B2328" s="4" t="s">
        <v>476</v>
      </c>
      <c r="C2328" s="4" t="s">
        <v>477</v>
      </c>
      <c r="D2328" s="4" t="s">
        <v>5867</v>
      </c>
      <c r="E2328" s="4" t="s">
        <v>41</v>
      </c>
      <c r="F2328" s="4" t="s">
        <v>6006</v>
      </c>
      <c r="G2328" s="4" t="s">
        <v>2026</v>
      </c>
      <c r="H2328" s="4">
        <v>1</v>
      </c>
      <c r="I2328" s="4">
        <v>1</v>
      </c>
      <c r="J2328" s="4" t="s">
        <v>8755</v>
      </c>
      <c r="K2328" s="4" t="s">
        <v>483</v>
      </c>
      <c r="L2328" s="6">
        <v>46319</v>
      </c>
      <c r="M2328" s="4" t="s">
        <v>5864</v>
      </c>
      <c r="N2328" s="4" t="s">
        <v>5870</v>
      </c>
    </row>
    <row r="2329" spans="1:14" ht="40" customHeight="1">
      <c r="A2329" s="8" t="s">
        <v>8756</v>
      </c>
      <c r="B2329" s="8" t="s">
        <v>476</v>
      </c>
      <c r="C2329" s="8" t="s">
        <v>477</v>
      </c>
      <c r="D2329" s="8" t="s">
        <v>5867</v>
      </c>
      <c r="E2329" s="8" t="s">
        <v>41</v>
      </c>
      <c r="F2329" s="8" t="s">
        <v>6544</v>
      </c>
      <c r="G2329" s="8" t="s">
        <v>2026</v>
      </c>
      <c r="H2329" s="8">
        <v>1</v>
      </c>
      <c r="I2329" s="8">
        <v>1</v>
      </c>
      <c r="J2329" s="8" t="s">
        <v>8757</v>
      </c>
      <c r="K2329" s="8" t="s">
        <v>483</v>
      </c>
      <c r="L2329" s="9">
        <v>46319</v>
      </c>
      <c r="M2329" s="8" t="s">
        <v>5864</v>
      </c>
      <c r="N2329" s="8" t="s">
        <v>5870</v>
      </c>
    </row>
    <row r="2330" spans="1:14" ht="40" customHeight="1">
      <c r="A2330" s="4" t="s">
        <v>8758</v>
      </c>
      <c r="B2330" s="4" t="s">
        <v>476</v>
      </c>
      <c r="C2330" s="4" t="s">
        <v>477</v>
      </c>
      <c r="D2330" s="4" t="s">
        <v>5867</v>
      </c>
      <c r="E2330" s="4" t="s">
        <v>41</v>
      </c>
      <c r="F2330" s="4" t="s">
        <v>6547</v>
      </c>
      <c r="G2330" s="4" t="s">
        <v>2026</v>
      </c>
      <c r="H2330" s="4">
        <v>1</v>
      </c>
      <c r="I2330" s="4">
        <v>1</v>
      </c>
      <c r="J2330" s="4" t="s">
        <v>8759</v>
      </c>
      <c r="K2330" s="4" t="s">
        <v>483</v>
      </c>
      <c r="L2330" s="6">
        <v>46319</v>
      </c>
      <c r="M2330" s="4" t="s">
        <v>5864</v>
      </c>
      <c r="N2330" s="4" t="s">
        <v>5870</v>
      </c>
    </row>
    <row r="2331" spans="1:14" ht="40" customHeight="1">
      <c r="A2331" s="8" t="s">
        <v>8760</v>
      </c>
      <c r="B2331" s="8" t="s">
        <v>476</v>
      </c>
      <c r="C2331" s="8" t="s">
        <v>477</v>
      </c>
      <c r="D2331" s="8" t="s">
        <v>5867</v>
      </c>
      <c r="E2331" s="8" t="s">
        <v>41</v>
      </c>
      <c r="F2331" s="8" t="s">
        <v>8761</v>
      </c>
      <c r="G2331" s="8" t="s">
        <v>2026</v>
      </c>
      <c r="H2331" s="8">
        <v>1</v>
      </c>
      <c r="I2331" s="8">
        <v>1</v>
      </c>
      <c r="J2331" s="8" t="s">
        <v>8762</v>
      </c>
      <c r="K2331" s="8" t="s">
        <v>483</v>
      </c>
      <c r="L2331" s="9">
        <v>46319</v>
      </c>
      <c r="M2331" s="8" t="s">
        <v>5864</v>
      </c>
      <c r="N2331" s="8" t="s">
        <v>5870</v>
      </c>
    </row>
    <row r="2332" spans="1:14" ht="40" customHeight="1">
      <c r="A2332" s="4" t="s">
        <v>8763</v>
      </c>
      <c r="B2332" s="4" t="s">
        <v>476</v>
      </c>
      <c r="C2332" s="4" t="s">
        <v>477</v>
      </c>
      <c r="D2332" s="4" t="s">
        <v>5867</v>
      </c>
      <c r="E2332" s="4" t="s">
        <v>41</v>
      </c>
      <c r="F2332" s="4" t="s">
        <v>7716</v>
      </c>
      <c r="G2332" s="4" t="s">
        <v>2026</v>
      </c>
      <c r="H2332" s="4">
        <v>1</v>
      </c>
      <c r="I2332" s="4">
        <v>1</v>
      </c>
      <c r="J2332" s="4" t="s">
        <v>8764</v>
      </c>
      <c r="K2332" s="4" t="s">
        <v>483</v>
      </c>
      <c r="L2332" s="6">
        <v>46319</v>
      </c>
      <c r="M2332" s="4" t="s">
        <v>5864</v>
      </c>
      <c r="N2332" s="4" t="s">
        <v>5870</v>
      </c>
    </row>
    <row r="2333" spans="1:14" ht="40" customHeight="1">
      <c r="A2333" s="8" t="s">
        <v>8765</v>
      </c>
      <c r="B2333" s="8" t="s">
        <v>476</v>
      </c>
      <c r="C2333" s="8" t="s">
        <v>477</v>
      </c>
      <c r="D2333" s="8" t="s">
        <v>637</v>
      </c>
      <c r="E2333" s="8" t="s">
        <v>41</v>
      </c>
      <c r="F2333" s="8" t="s">
        <v>904</v>
      </c>
      <c r="G2333" s="8" t="s">
        <v>2026</v>
      </c>
      <c r="H2333" s="8">
        <v>1</v>
      </c>
      <c r="I2333" s="8">
        <v>1</v>
      </c>
      <c r="J2333" s="8" t="s">
        <v>2024</v>
      </c>
      <c r="K2333" s="8" t="s">
        <v>483</v>
      </c>
      <c r="L2333" s="9">
        <v>46319</v>
      </c>
      <c r="M2333" s="8" t="s">
        <v>5864</v>
      </c>
      <c r="N2333" s="8" t="s">
        <v>5870</v>
      </c>
    </row>
    <row r="2334" spans="1:14" ht="40" customHeight="1">
      <c r="A2334" s="4" t="s">
        <v>8766</v>
      </c>
      <c r="B2334" s="4" t="s">
        <v>476</v>
      </c>
      <c r="C2334" s="4" t="s">
        <v>477</v>
      </c>
      <c r="D2334" s="4" t="s">
        <v>637</v>
      </c>
      <c r="E2334" s="4" t="s">
        <v>41</v>
      </c>
      <c r="F2334" s="4" t="s">
        <v>912</v>
      </c>
      <c r="G2334" s="4" t="s">
        <v>2026</v>
      </c>
      <c r="H2334" s="4">
        <v>1</v>
      </c>
      <c r="I2334" s="4">
        <v>1</v>
      </c>
      <c r="J2334" s="4" t="s">
        <v>2028</v>
      </c>
      <c r="K2334" s="4" t="s">
        <v>483</v>
      </c>
      <c r="L2334" s="6">
        <v>46319</v>
      </c>
      <c r="M2334" s="4" t="s">
        <v>5864</v>
      </c>
      <c r="N2334" s="4" t="s">
        <v>5870</v>
      </c>
    </row>
    <row r="2335" spans="1:14" ht="40" customHeight="1">
      <c r="A2335" s="8" t="s">
        <v>8767</v>
      </c>
      <c r="B2335" s="8" t="s">
        <v>476</v>
      </c>
      <c r="C2335" s="8" t="s">
        <v>477</v>
      </c>
      <c r="D2335" s="8" t="s">
        <v>637</v>
      </c>
      <c r="E2335" s="8" t="s">
        <v>41</v>
      </c>
      <c r="F2335" s="8" t="s">
        <v>1015</v>
      </c>
      <c r="G2335" s="8" t="s">
        <v>2026</v>
      </c>
      <c r="H2335" s="8">
        <v>1</v>
      </c>
      <c r="I2335" s="8">
        <v>1</v>
      </c>
      <c r="J2335" s="8" t="s">
        <v>2031</v>
      </c>
      <c r="K2335" s="8" t="s">
        <v>483</v>
      </c>
      <c r="L2335" s="9">
        <v>46319</v>
      </c>
      <c r="M2335" s="8" t="s">
        <v>5864</v>
      </c>
      <c r="N2335" s="8" t="s">
        <v>5870</v>
      </c>
    </row>
    <row r="2336" spans="1:14" ht="40" customHeight="1">
      <c r="A2336" s="4" t="s">
        <v>8768</v>
      </c>
      <c r="B2336" s="4" t="s">
        <v>476</v>
      </c>
      <c r="C2336" s="4" t="s">
        <v>477</v>
      </c>
      <c r="D2336" s="4" t="s">
        <v>637</v>
      </c>
      <c r="E2336" s="4" t="s">
        <v>41</v>
      </c>
      <c r="F2336" s="4" t="s">
        <v>1019</v>
      </c>
      <c r="G2336" s="4" t="s">
        <v>2026</v>
      </c>
      <c r="H2336" s="4">
        <v>1</v>
      </c>
      <c r="I2336" s="4">
        <v>1</v>
      </c>
      <c r="J2336" s="4" t="s">
        <v>2034</v>
      </c>
      <c r="K2336" s="4" t="s">
        <v>483</v>
      </c>
      <c r="L2336" s="6">
        <v>46319</v>
      </c>
      <c r="M2336" s="4" t="s">
        <v>5864</v>
      </c>
      <c r="N2336" s="4" t="s">
        <v>5870</v>
      </c>
    </row>
    <row r="2337" spans="1:14" ht="40" customHeight="1">
      <c r="A2337" s="8" t="s">
        <v>8769</v>
      </c>
      <c r="B2337" s="8" t="s">
        <v>476</v>
      </c>
      <c r="C2337" s="8" t="s">
        <v>477</v>
      </c>
      <c r="D2337" s="8" t="s">
        <v>637</v>
      </c>
      <c r="E2337" s="8" t="s">
        <v>41</v>
      </c>
      <c r="F2337" s="8" t="s">
        <v>1147</v>
      </c>
      <c r="G2337" s="8" t="s">
        <v>2026</v>
      </c>
      <c r="H2337" s="8">
        <v>1</v>
      </c>
      <c r="I2337" s="8">
        <v>1</v>
      </c>
      <c r="J2337" s="8" t="s">
        <v>2037</v>
      </c>
      <c r="K2337" s="8" t="s">
        <v>483</v>
      </c>
      <c r="L2337" s="9">
        <v>46319</v>
      </c>
      <c r="M2337" s="8" t="s">
        <v>5864</v>
      </c>
      <c r="N2337" s="8" t="s">
        <v>5870</v>
      </c>
    </row>
    <row r="2338" spans="1:14" ht="40" customHeight="1">
      <c r="A2338" s="4" t="s">
        <v>8770</v>
      </c>
      <c r="B2338" s="4" t="s">
        <v>476</v>
      </c>
      <c r="C2338" s="4" t="s">
        <v>477</v>
      </c>
      <c r="D2338" s="4" t="s">
        <v>637</v>
      </c>
      <c r="E2338" s="4" t="s">
        <v>41</v>
      </c>
      <c r="F2338" s="4" t="s">
        <v>1254</v>
      </c>
      <c r="G2338" s="4" t="s">
        <v>2026</v>
      </c>
      <c r="H2338" s="4">
        <v>1</v>
      </c>
      <c r="I2338" s="4">
        <v>1</v>
      </c>
      <c r="J2338" s="4" t="s">
        <v>2040</v>
      </c>
      <c r="K2338" s="4" t="s">
        <v>483</v>
      </c>
      <c r="L2338" s="6">
        <v>46319</v>
      </c>
      <c r="M2338" s="4" t="s">
        <v>5864</v>
      </c>
      <c r="N2338" s="4" t="s">
        <v>5870</v>
      </c>
    </row>
    <row r="2339" spans="1:14" ht="40" customHeight="1">
      <c r="A2339" s="8" t="s">
        <v>8771</v>
      </c>
      <c r="B2339" s="8" t="s">
        <v>476</v>
      </c>
      <c r="C2339" s="8" t="s">
        <v>477</v>
      </c>
      <c r="D2339" s="8" t="s">
        <v>914</v>
      </c>
      <c r="E2339" s="8" t="s">
        <v>41</v>
      </c>
      <c r="F2339" s="8" t="s">
        <v>1023</v>
      </c>
      <c r="G2339" s="8" t="s">
        <v>2026</v>
      </c>
      <c r="H2339" s="8">
        <v>1</v>
      </c>
      <c r="I2339" s="8">
        <v>1</v>
      </c>
      <c r="J2339" s="8" t="s">
        <v>2043</v>
      </c>
      <c r="K2339" s="8" t="s">
        <v>483</v>
      </c>
      <c r="L2339" s="9">
        <v>46319</v>
      </c>
      <c r="M2339" s="8" t="s">
        <v>5864</v>
      </c>
      <c r="N2339" s="8" t="s">
        <v>5865</v>
      </c>
    </row>
    <row r="2340" spans="1:14" ht="40" customHeight="1">
      <c r="A2340" s="4" t="s">
        <v>8772</v>
      </c>
      <c r="B2340" s="4" t="s">
        <v>476</v>
      </c>
      <c r="C2340" s="4" t="s">
        <v>477</v>
      </c>
      <c r="D2340" s="4" t="s">
        <v>914</v>
      </c>
      <c r="E2340" s="4" t="s">
        <v>41</v>
      </c>
      <c r="F2340" s="4" t="s">
        <v>1027</v>
      </c>
      <c r="G2340" s="4" t="s">
        <v>2026</v>
      </c>
      <c r="H2340" s="4">
        <v>1</v>
      </c>
      <c r="I2340" s="4">
        <v>1</v>
      </c>
      <c r="J2340" s="4" t="s">
        <v>2046</v>
      </c>
      <c r="K2340" s="4" t="s">
        <v>483</v>
      </c>
      <c r="L2340" s="6">
        <v>46319</v>
      </c>
      <c r="M2340" s="4" t="s">
        <v>5864</v>
      </c>
      <c r="N2340" s="4" t="s">
        <v>5870</v>
      </c>
    </row>
    <row r="2341" spans="1:14" ht="40" customHeight="1">
      <c r="A2341" s="8" t="s">
        <v>8773</v>
      </c>
      <c r="B2341" s="8" t="s">
        <v>476</v>
      </c>
      <c r="C2341" s="8" t="s">
        <v>477</v>
      </c>
      <c r="D2341" s="8" t="s">
        <v>914</v>
      </c>
      <c r="E2341" s="8" t="s">
        <v>41</v>
      </c>
      <c r="F2341" s="8" t="s">
        <v>1031</v>
      </c>
      <c r="G2341" s="8" t="s">
        <v>2026</v>
      </c>
      <c r="H2341" s="8">
        <v>1</v>
      </c>
      <c r="I2341" s="8">
        <v>1</v>
      </c>
      <c r="J2341" s="8" t="s">
        <v>2049</v>
      </c>
      <c r="K2341" s="8" t="s">
        <v>483</v>
      </c>
      <c r="L2341" s="9">
        <v>46319</v>
      </c>
      <c r="M2341" s="8" t="s">
        <v>5864</v>
      </c>
      <c r="N2341" s="8" t="s">
        <v>5870</v>
      </c>
    </row>
    <row r="2342" spans="1:14" ht="40" customHeight="1">
      <c r="A2342" s="4" t="s">
        <v>8774</v>
      </c>
      <c r="B2342" s="4" t="s">
        <v>476</v>
      </c>
      <c r="C2342" s="4" t="s">
        <v>477</v>
      </c>
      <c r="D2342" s="4" t="s">
        <v>914</v>
      </c>
      <c r="E2342" s="4" t="s">
        <v>41</v>
      </c>
      <c r="F2342" s="4" t="s">
        <v>1035</v>
      </c>
      <c r="G2342" s="4" t="s">
        <v>2026</v>
      </c>
      <c r="H2342" s="4">
        <v>1</v>
      </c>
      <c r="I2342" s="4">
        <v>1</v>
      </c>
      <c r="J2342" s="4" t="s">
        <v>2052</v>
      </c>
      <c r="K2342" s="4" t="s">
        <v>483</v>
      </c>
      <c r="L2342" s="6">
        <v>46319</v>
      </c>
      <c r="M2342" s="4" t="s">
        <v>5864</v>
      </c>
      <c r="N2342" s="4" t="s">
        <v>5870</v>
      </c>
    </row>
    <row r="2343" spans="1:14" ht="40" customHeight="1">
      <c r="A2343" s="8" t="s">
        <v>8775</v>
      </c>
      <c r="B2343" s="8" t="s">
        <v>476</v>
      </c>
      <c r="C2343" s="8" t="s">
        <v>477</v>
      </c>
      <c r="D2343" s="8" t="s">
        <v>914</v>
      </c>
      <c r="E2343" s="8" t="s">
        <v>41</v>
      </c>
      <c r="F2343" s="8" t="s">
        <v>1039</v>
      </c>
      <c r="G2343" s="8" t="s">
        <v>2026</v>
      </c>
      <c r="H2343" s="8">
        <v>1</v>
      </c>
      <c r="I2343" s="8">
        <v>1</v>
      </c>
      <c r="J2343" s="8" t="s">
        <v>2055</v>
      </c>
      <c r="K2343" s="8" t="s">
        <v>483</v>
      </c>
      <c r="L2343" s="9">
        <v>46319</v>
      </c>
      <c r="M2343" s="8" t="s">
        <v>5864</v>
      </c>
      <c r="N2343" s="8" t="s">
        <v>5870</v>
      </c>
    </row>
    <row r="2344" spans="1:14" ht="40" customHeight="1">
      <c r="A2344" s="4" t="s">
        <v>8776</v>
      </c>
      <c r="B2344" s="4" t="s">
        <v>476</v>
      </c>
      <c r="C2344" s="4" t="s">
        <v>477</v>
      </c>
      <c r="D2344" s="4" t="s">
        <v>914</v>
      </c>
      <c r="E2344" s="4" t="s">
        <v>41</v>
      </c>
      <c r="F2344" s="4" t="s">
        <v>1043</v>
      </c>
      <c r="G2344" s="4" t="s">
        <v>2026</v>
      </c>
      <c r="H2344" s="4">
        <v>1</v>
      </c>
      <c r="I2344" s="4">
        <v>1</v>
      </c>
      <c r="J2344" s="4" t="s">
        <v>2058</v>
      </c>
      <c r="K2344" s="4" t="s">
        <v>483</v>
      </c>
      <c r="L2344" s="6">
        <v>46319</v>
      </c>
      <c r="M2344" s="4" t="s">
        <v>5864</v>
      </c>
      <c r="N2344" s="4" t="s">
        <v>5870</v>
      </c>
    </row>
    <row r="2345" spans="1:14" ht="40" customHeight="1">
      <c r="A2345" s="8" t="s">
        <v>8777</v>
      </c>
      <c r="B2345" s="8" t="s">
        <v>476</v>
      </c>
      <c r="C2345" s="8" t="s">
        <v>477</v>
      </c>
      <c r="D2345" s="8" t="s">
        <v>914</v>
      </c>
      <c r="E2345" s="8" t="s">
        <v>41</v>
      </c>
      <c r="F2345" s="8" t="s">
        <v>1047</v>
      </c>
      <c r="G2345" s="8" t="s">
        <v>2026</v>
      </c>
      <c r="H2345" s="8">
        <v>1</v>
      </c>
      <c r="I2345" s="8">
        <v>1</v>
      </c>
      <c r="J2345" s="8" t="s">
        <v>2061</v>
      </c>
      <c r="K2345" s="8" t="s">
        <v>483</v>
      </c>
      <c r="L2345" s="9">
        <v>46319</v>
      </c>
      <c r="M2345" s="8" t="s">
        <v>5864</v>
      </c>
      <c r="N2345" s="8" t="s">
        <v>5870</v>
      </c>
    </row>
    <row r="2346" spans="1:14" ht="40" customHeight="1">
      <c r="A2346" s="4" t="s">
        <v>8778</v>
      </c>
      <c r="B2346" s="4" t="s">
        <v>476</v>
      </c>
      <c r="C2346" s="4" t="s">
        <v>477</v>
      </c>
      <c r="D2346" s="4" t="s">
        <v>914</v>
      </c>
      <c r="E2346" s="4" t="s">
        <v>41</v>
      </c>
      <c r="F2346" s="4" t="s">
        <v>2066</v>
      </c>
      <c r="G2346" s="4" t="s">
        <v>2026</v>
      </c>
      <c r="H2346" s="4">
        <v>1</v>
      </c>
      <c r="I2346" s="4">
        <v>1</v>
      </c>
      <c r="J2346" s="4" t="s">
        <v>2064</v>
      </c>
      <c r="K2346" s="4" t="s">
        <v>483</v>
      </c>
      <c r="L2346" s="6">
        <v>46319</v>
      </c>
      <c r="M2346" s="4" t="s">
        <v>5864</v>
      </c>
      <c r="N2346" s="4" t="s">
        <v>5870</v>
      </c>
    </row>
    <row r="2347" spans="1:14" ht="40" customHeight="1">
      <c r="A2347" s="8" t="s">
        <v>8779</v>
      </c>
      <c r="B2347" s="8" t="s">
        <v>476</v>
      </c>
      <c r="C2347" s="8" t="s">
        <v>477</v>
      </c>
      <c r="D2347" s="8" t="s">
        <v>914</v>
      </c>
      <c r="E2347" s="8" t="s">
        <v>41</v>
      </c>
      <c r="F2347" s="8" t="s">
        <v>2070</v>
      </c>
      <c r="G2347" s="8" t="s">
        <v>2026</v>
      </c>
      <c r="H2347" s="8">
        <v>1</v>
      </c>
      <c r="I2347" s="8">
        <v>1</v>
      </c>
      <c r="J2347" s="8" t="s">
        <v>2068</v>
      </c>
      <c r="K2347" s="8" t="s">
        <v>483</v>
      </c>
      <c r="L2347" s="9">
        <v>46319</v>
      </c>
      <c r="M2347" s="8" t="s">
        <v>5864</v>
      </c>
      <c r="N2347" s="8" t="s">
        <v>5870</v>
      </c>
    </row>
    <row r="2348" spans="1:14" ht="40" customHeight="1">
      <c r="A2348" s="4" t="s">
        <v>5609</v>
      </c>
      <c r="B2348" s="4" t="s">
        <v>476</v>
      </c>
      <c r="C2348" s="4" t="s">
        <v>477</v>
      </c>
      <c r="D2348" s="4" t="s">
        <v>7</v>
      </c>
      <c r="E2348" s="4" t="s">
        <v>41</v>
      </c>
      <c r="F2348" s="4" t="s">
        <v>6212</v>
      </c>
      <c r="G2348" s="4" t="s">
        <v>2026</v>
      </c>
      <c r="H2348" s="4">
        <v>1</v>
      </c>
      <c r="I2348" s="4">
        <v>1</v>
      </c>
      <c r="J2348" s="4" t="s">
        <v>5610</v>
      </c>
      <c r="K2348" s="4" t="s">
        <v>483</v>
      </c>
      <c r="L2348" s="6">
        <v>46319</v>
      </c>
      <c r="M2348" s="4" t="s">
        <v>5864</v>
      </c>
      <c r="N2348" s="4" t="s">
        <v>6087</v>
      </c>
    </row>
    <row r="2349" spans="1:14" ht="40" customHeight="1">
      <c r="A2349" s="8" t="s">
        <v>5611</v>
      </c>
      <c r="B2349" s="8" t="s">
        <v>476</v>
      </c>
      <c r="C2349" s="8" t="s">
        <v>477</v>
      </c>
      <c r="D2349" s="8" t="s">
        <v>7</v>
      </c>
      <c r="E2349" s="8" t="s">
        <v>41</v>
      </c>
      <c r="F2349" s="8" t="s">
        <v>6577</v>
      </c>
      <c r="G2349" s="8" t="s">
        <v>2026</v>
      </c>
      <c r="H2349" s="8">
        <v>1</v>
      </c>
      <c r="I2349" s="8">
        <v>1</v>
      </c>
      <c r="J2349" s="8" t="s">
        <v>5612</v>
      </c>
      <c r="K2349" s="8" t="s">
        <v>483</v>
      </c>
      <c r="L2349" s="9">
        <v>46319</v>
      </c>
      <c r="M2349" s="8" t="s">
        <v>5864</v>
      </c>
      <c r="N2349" s="8" t="s">
        <v>5870</v>
      </c>
    </row>
    <row r="2350" spans="1:14" ht="40" customHeight="1">
      <c r="A2350" s="4" t="s">
        <v>5613</v>
      </c>
      <c r="B2350" s="4" t="s">
        <v>476</v>
      </c>
      <c r="C2350" s="4" t="s">
        <v>477</v>
      </c>
      <c r="D2350" s="4" t="s">
        <v>7</v>
      </c>
      <c r="E2350" s="4" t="s">
        <v>41</v>
      </c>
      <c r="F2350" s="4" t="s">
        <v>6578</v>
      </c>
      <c r="G2350" s="4" t="s">
        <v>2026</v>
      </c>
      <c r="H2350" s="4">
        <v>1</v>
      </c>
      <c r="I2350" s="4">
        <v>1</v>
      </c>
      <c r="J2350" s="4" t="s">
        <v>5614</v>
      </c>
      <c r="K2350" s="4" t="s">
        <v>483</v>
      </c>
      <c r="L2350" s="6">
        <v>46319</v>
      </c>
      <c r="M2350" s="4" t="s">
        <v>5864</v>
      </c>
      <c r="N2350" s="4" t="s">
        <v>5870</v>
      </c>
    </row>
    <row r="2351" spans="1:14" ht="40" customHeight="1">
      <c r="A2351" s="8" t="s">
        <v>5615</v>
      </c>
      <c r="B2351" s="8" t="s">
        <v>476</v>
      </c>
      <c r="C2351" s="8" t="s">
        <v>477</v>
      </c>
      <c r="D2351" s="8" t="s">
        <v>7</v>
      </c>
      <c r="E2351" s="8" t="s">
        <v>41</v>
      </c>
      <c r="F2351" s="8" t="s">
        <v>6579</v>
      </c>
      <c r="G2351" s="8" t="s">
        <v>2026</v>
      </c>
      <c r="H2351" s="8">
        <v>1</v>
      </c>
      <c r="I2351" s="8">
        <v>1</v>
      </c>
      <c r="J2351" s="8" t="s">
        <v>5616</v>
      </c>
      <c r="K2351" s="8" t="s">
        <v>483</v>
      </c>
      <c r="L2351" s="9">
        <v>46319</v>
      </c>
      <c r="M2351" s="8" t="s">
        <v>5864</v>
      </c>
      <c r="N2351" s="8" t="s">
        <v>5870</v>
      </c>
    </row>
    <row r="2352" spans="1:14" ht="40" customHeight="1">
      <c r="A2352" s="4" t="s">
        <v>5617</v>
      </c>
      <c r="B2352" s="4" t="s">
        <v>476</v>
      </c>
      <c r="C2352" s="4" t="s">
        <v>477</v>
      </c>
      <c r="D2352" s="4" t="s">
        <v>7</v>
      </c>
      <c r="E2352" s="4" t="s">
        <v>41</v>
      </c>
      <c r="F2352" s="4" t="s">
        <v>6580</v>
      </c>
      <c r="G2352" s="4" t="s">
        <v>2026</v>
      </c>
      <c r="H2352" s="4">
        <v>1</v>
      </c>
      <c r="I2352" s="4">
        <v>1</v>
      </c>
      <c r="J2352" s="4" t="s">
        <v>5618</v>
      </c>
      <c r="K2352" s="4" t="s">
        <v>483</v>
      </c>
      <c r="L2352" s="6">
        <v>46319</v>
      </c>
      <c r="M2352" s="4" t="s">
        <v>5864</v>
      </c>
      <c r="N2352" s="4" t="s">
        <v>5870</v>
      </c>
    </row>
    <row r="2353" spans="1:14" ht="40" customHeight="1">
      <c r="A2353" s="8" t="s">
        <v>5619</v>
      </c>
      <c r="B2353" s="8" t="s">
        <v>476</v>
      </c>
      <c r="C2353" s="8" t="s">
        <v>477</v>
      </c>
      <c r="D2353" s="8" t="s">
        <v>7</v>
      </c>
      <c r="E2353" s="8" t="s">
        <v>41</v>
      </c>
      <c r="F2353" s="8" t="s">
        <v>6581</v>
      </c>
      <c r="G2353" s="8" t="s">
        <v>2026</v>
      </c>
      <c r="H2353" s="8">
        <v>1</v>
      </c>
      <c r="I2353" s="8">
        <v>1</v>
      </c>
      <c r="J2353" s="8" t="s">
        <v>5620</v>
      </c>
      <c r="K2353" s="8" t="s">
        <v>483</v>
      </c>
      <c r="L2353" s="9">
        <v>46319</v>
      </c>
      <c r="M2353" s="8" t="s">
        <v>5864</v>
      </c>
      <c r="N2353" s="8" t="s">
        <v>5870</v>
      </c>
    </row>
    <row r="2354" spans="1:14" ht="40" customHeight="1">
      <c r="A2354" s="4" t="s">
        <v>5621</v>
      </c>
      <c r="B2354" s="4" t="s">
        <v>476</v>
      </c>
      <c r="C2354" s="4" t="s">
        <v>477</v>
      </c>
      <c r="D2354" s="4" t="s">
        <v>7</v>
      </c>
      <c r="E2354" s="4" t="s">
        <v>41</v>
      </c>
      <c r="F2354" s="4" t="s">
        <v>6582</v>
      </c>
      <c r="G2354" s="4" t="s">
        <v>2026</v>
      </c>
      <c r="H2354" s="4">
        <v>1</v>
      </c>
      <c r="I2354" s="4">
        <v>1</v>
      </c>
      <c r="J2354" s="4" t="s">
        <v>5622</v>
      </c>
      <c r="K2354" s="4" t="s">
        <v>483</v>
      </c>
      <c r="L2354" s="6">
        <v>46319</v>
      </c>
      <c r="M2354" s="4" t="s">
        <v>5864</v>
      </c>
      <c r="N2354" s="4" t="s">
        <v>5870</v>
      </c>
    </row>
    <row r="2355" spans="1:14" ht="40" customHeight="1">
      <c r="A2355" s="8" t="s">
        <v>5623</v>
      </c>
      <c r="B2355" s="8" t="s">
        <v>476</v>
      </c>
      <c r="C2355" s="8" t="s">
        <v>477</v>
      </c>
      <c r="D2355" s="8" t="s">
        <v>7</v>
      </c>
      <c r="E2355" s="8" t="s">
        <v>41</v>
      </c>
      <c r="F2355" s="8" t="s">
        <v>6585</v>
      </c>
      <c r="G2355" s="8" t="s">
        <v>2026</v>
      </c>
      <c r="H2355" s="8">
        <v>1</v>
      </c>
      <c r="I2355" s="8">
        <v>1</v>
      </c>
      <c r="J2355" s="8" t="s">
        <v>5624</v>
      </c>
      <c r="K2355" s="8" t="s">
        <v>483</v>
      </c>
      <c r="L2355" s="9">
        <v>46319</v>
      </c>
      <c r="M2355" s="8" t="s">
        <v>5864</v>
      </c>
      <c r="N2355" s="8" t="s">
        <v>6087</v>
      </c>
    </row>
    <row r="2356" spans="1:14" ht="40" customHeight="1">
      <c r="A2356" s="4" t="s">
        <v>5625</v>
      </c>
      <c r="B2356" s="4" t="s">
        <v>476</v>
      </c>
      <c r="C2356" s="4" t="s">
        <v>477</v>
      </c>
      <c r="D2356" s="4" t="s">
        <v>7</v>
      </c>
      <c r="E2356" s="4" t="s">
        <v>41</v>
      </c>
      <c r="F2356" s="4" t="s">
        <v>6586</v>
      </c>
      <c r="G2356" s="4" t="s">
        <v>2026</v>
      </c>
      <c r="H2356" s="4">
        <v>1</v>
      </c>
      <c r="I2356" s="4">
        <v>1</v>
      </c>
      <c r="J2356" s="4" t="s">
        <v>5626</v>
      </c>
      <c r="K2356" s="4" t="s">
        <v>483</v>
      </c>
      <c r="L2356" s="6">
        <v>46319</v>
      </c>
      <c r="M2356" s="4" t="s">
        <v>5864</v>
      </c>
      <c r="N2356" s="4" t="s">
        <v>5870</v>
      </c>
    </row>
    <row r="2357" spans="1:14" ht="40" customHeight="1">
      <c r="A2357" s="8" t="s">
        <v>5627</v>
      </c>
      <c r="B2357" s="8" t="s">
        <v>476</v>
      </c>
      <c r="C2357" s="8" t="s">
        <v>477</v>
      </c>
      <c r="D2357" s="8" t="s">
        <v>7</v>
      </c>
      <c r="E2357" s="8" t="s">
        <v>41</v>
      </c>
      <c r="F2357" s="8" t="s">
        <v>6587</v>
      </c>
      <c r="G2357" s="8" t="s">
        <v>2026</v>
      </c>
      <c r="H2357" s="8">
        <v>1</v>
      </c>
      <c r="I2357" s="8">
        <v>1</v>
      </c>
      <c r="J2357" s="8" t="s">
        <v>5628</v>
      </c>
      <c r="K2357" s="8" t="s">
        <v>483</v>
      </c>
      <c r="L2357" s="9">
        <v>46319</v>
      </c>
      <c r="M2357" s="8" t="s">
        <v>5864</v>
      </c>
      <c r="N2357" s="8" t="s">
        <v>5870</v>
      </c>
    </row>
    <row r="2358" spans="1:14" ht="40" customHeight="1">
      <c r="A2358" s="4" t="s">
        <v>5629</v>
      </c>
      <c r="B2358" s="4" t="s">
        <v>476</v>
      </c>
      <c r="C2358" s="4" t="s">
        <v>477</v>
      </c>
      <c r="D2358" s="4" t="s">
        <v>7</v>
      </c>
      <c r="E2358" s="4" t="s">
        <v>41</v>
      </c>
      <c r="F2358" s="4" t="s">
        <v>6588</v>
      </c>
      <c r="G2358" s="4" t="s">
        <v>2026</v>
      </c>
      <c r="H2358" s="4">
        <v>1</v>
      </c>
      <c r="I2358" s="4">
        <v>1</v>
      </c>
      <c r="J2358" s="4" t="s">
        <v>5630</v>
      </c>
      <c r="K2358" s="4" t="s">
        <v>483</v>
      </c>
      <c r="L2358" s="6">
        <v>46319</v>
      </c>
      <c r="M2358" s="4" t="s">
        <v>5864</v>
      </c>
      <c r="N2358" s="4" t="s">
        <v>5870</v>
      </c>
    </row>
    <row r="2359" spans="1:14" ht="40" customHeight="1">
      <c r="A2359" s="8" t="s">
        <v>4707</v>
      </c>
      <c r="B2359" s="8" t="s">
        <v>476</v>
      </c>
      <c r="C2359" s="8" t="s">
        <v>477</v>
      </c>
      <c r="D2359" s="8" t="s">
        <v>5879</v>
      </c>
      <c r="E2359" s="8" t="s">
        <v>41</v>
      </c>
      <c r="F2359" s="8" t="s">
        <v>3463</v>
      </c>
      <c r="G2359" s="8" t="s">
        <v>2026</v>
      </c>
      <c r="H2359" s="8">
        <v>1</v>
      </c>
      <c r="I2359" s="8">
        <v>1</v>
      </c>
      <c r="J2359" s="8" t="s">
        <v>3900</v>
      </c>
      <c r="K2359" s="8" t="s">
        <v>483</v>
      </c>
      <c r="L2359" s="9">
        <v>46319</v>
      </c>
      <c r="M2359" s="8" t="s">
        <v>5864</v>
      </c>
      <c r="N2359" s="8" t="s">
        <v>6087</v>
      </c>
    </row>
    <row r="2360" spans="1:14" ht="40" customHeight="1">
      <c r="A2360" s="4" t="s">
        <v>4708</v>
      </c>
      <c r="B2360" s="4" t="s">
        <v>476</v>
      </c>
      <c r="C2360" s="4" t="s">
        <v>477</v>
      </c>
      <c r="D2360" s="4" t="s">
        <v>5879</v>
      </c>
      <c r="E2360" s="4" t="s">
        <v>41</v>
      </c>
      <c r="F2360" s="4" t="s">
        <v>3655</v>
      </c>
      <c r="G2360" s="4" t="s">
        <v>2026</v>
      </c>
      <c r="H2360" s="4">
        <v>1</v>
      </c>
      <c r="I2360" s="4">
        <v>1</v>
      </c>
      <c r="J2360" s="4" t="s">
        <v>4709</v>
      </c>
      <c r="K2360" s="4" t="s">
        <v>483</v>
      </c>
      <c r="L2360" s="6">
        <v>46319</v>
      </c>
      <c r="M2360" s="4" t="s">
        <v>5864</v>
      </c>
      <c r="N2360" s="4" t="s">
        <v>6087</v>
      </c>
    </row>
    <row r="2361" spans="1:14" ht="68" customHeight="1">
      <c r="A2361" s="8" t="s">
        <v>4710</v>
      </c>
      <c r="B2361" s="8" t="s">
        <v>476</v>
      </c>
      <c r="C2361" s="8" t="s">
        <v>477</v>
      </c>
      <c r="D2361" s="8" t="s">
        <v>5879</v>
      </c>
      <c r="E2361" s="8" t="s">
        <v>41</v>
      </c>
      <c r="F2361" s="8" t="s">
        <v>3466</v>
      </c>
      <c r="G2361" s="8" t="s">
        <v>2026</v>
      </c>
      <c r="H2361" s="8">
        <v>1</v>
      </c>
      <c r="I2361" s="8">
        <v>1</v>
      </c>
      <c r="J2361" s="8" t="s">
        <v>4711</v>
      </c>
      <c r="K2361" s="8" t="s">
        <v>483</v>
      </c>
      <c r="L2361" s="9">
        <v>46319</v>
      </c>
      <c r="M2361" s="8" t="s">
        <v>5864</v>
      </c>
      <c r="N2361" s="8" t="s">
        <v>5865</v>
      </c>
    </row>
    <row r="2362" spans="1:14" ht="40" customHeight="1">
      <c r="A2362" s="4" t="s">
        <v>4712</v>
      </c>
      <c r="B2362" s="4" t="s">
        <v>476</v>
      </c>
      <c r="C2362" s="4" t="s">
        <v>477</v>
      </c>
      <c r="D2362" s="4" t="s">
        <v>5879</v>
      </c>
      <c r="E2362" s="4" t="s">
        <v>41</v>
      </c>
      <c r="F2362" s="4" t="s">
        <v>3457</v>
      </c>
      <c r="G2362" s="4" t="s">
        <v>2026</v>
      </c>
      <c r="H2362" s="4">
        <v>1</v>
      </c>
      <c r="I2362" s="4">
        <v>1</v>
      </c>
      <c r="J2362" s="4" t="s">
        <v>3909</v>
      </c>
      <c r="K2362" s="4" t="s">
        <v>483</v>
      </c>
      <c r="L2362" s="6">
        <v>46319</v>
      </c>
      <c r="M2362" s="4" t="s">
        <v>5864</v>
      </c>
      <c r="N2362" s="4" t="s">
        <v>6087</v>
      </c>
    </row>
    <row r="2363" spans="1:14" ht="40" customHeight="1">
      <c r="A2363" s="8" t="s">
        <v>4713</v>
      </c>
      <c r="B2363" s="8" t="s">
        <v>476</v>
      </c>
      <c r="C2363" s="8" t="s">
        <v>477</v>
      </c>
      <c r="D2363" s="8" t="s">
        <v>5879</v>
      </c>
      <c r="E2363" s="8" t="s">
        <v>41</v>
      </c>
      <c r="F2363" s="8" t="s">
        <v>4715</v>
      </c>
      <c r="G2363" s="8" t="s">
        <v>2026</v>
      </c>
      <c r="H2363" s="8">
        <v>1</v>
      </c>
      <c r="I2363" s="8">
        <v>1</v>
      </c>
      <c r="J2363" s="8" t="s">
        <v>4714</v>
      </c>
      <c r="K2363" s="8" t="s">
        <v>483</v>
      </c>
      <c r="L2363" s="9">
        <v>46319</v>
      </c>
      <c r="M2363" s="8" t="s">
        <v>5864</v>
      </c>
      <c r="N2363" s="8" t="s">
        <v>6087</v>
      </c>
    </row>
    <row r="2364" spans="1:14" ht="68" customHeight="1">
      <c r="A2364" s="4" t="s">
        <v>4716</v>
      </c>
      <c r="B2364" s="4" t="s">
        <v>476</v>
      </c>
      <c r="C2364" s="4" t="s">
        <v>477</v>
      </c>
      <c r="D2364" s="4" t="s">
        <v>5879</v>
      </c>
      <c r="E2364" s="4" t="s">
        <v>41</v>
      </c>
      <c r="F2364" s="4" t="s">
        <v>3472</v>
      </c>
      <c r="G2364" s="4" t="s">
        <v>2026</v>
      </c>
      <c r="H2364" s="4">
        <v>1</v>
      </c>
      <c r="I2364" s="4">
        <v>1</v>
      </c>
      <c r="J2364" s="4" t="s">
        <v>4717</v>
      </c>
      <c r="K2364" s="4" t="s">
        <v>483</v>
      </c>
      <c r="L2364" s="6">
        <v>46319</v>
      </c>
      <c r="M2364" s="4" t="s">
        <v>5864</v>
      </c>
      <c r="N2364" s="4" t="s">
        <v>5865</v>
      </c>
    </row>
    <row r="2365" spans="1:14" ht="40" customHeight="1">
      <c r="A2365" s="8" t="s">
        <v>4718</v>
      </c>
      <c r="B2365" s="8" t="s">
        <v>476</v>
      </c>
      <c r="C2365" s="8" t="s">
        <v>477</v>
      </c>
      <c r="D2365" s="8" t="s">
        <v>5879</v>
      </c>
      <c r="E2365" s="8" t="s">
        <v>41</v>
      </c>
      <c r="F2365" s="8" t="s">
        <v>3538</v>
      </c>
      <c r="G2365" s="8" t="s">
        <v>2026</v>
      </c>
      <c r="H2365" s="8">
        <v>1</v>
      </c>
      <c r="I2365" s="8">
        <v>1</v>
      </c>
      <c r="J2365" s="8" t="s">
        <v>3933</v>
      </c>
      <c r="K2365" s="8" t="s">
        <v>483</v>
      </c>
      <c r="L2365" s="9">
        <v>46319</v>
      </c>
      <c r="M2365" s="8" t="s">
        <v>5864</v>
      </c>
      <c r="N2365" s="8" t="s">
        <v>6087</v>
      </c>
    </row>
    <row r="2366" spans="1:14" ht="40" customHeight="1">
      <c r="A2366" s="4" t="s">
        <v>4719</v>
      </c>
      <c r="B2366" s="4" t="s">
        <v>476</v>
      </c>
      <c r="C2366" s="4" t="s">
        <v>477</v>
      </c>
      <c r="D2366" s="4" t="s">
        <v>5879</v>
      </c>
      <c r="E2366" s="4" t="s">
        <v>41</v>
      </c>
      <c r="F2366" s="4" t="s">
        <v>4721</v>
      </c>
      <c r="G2366" s="4" t="s">
        <v>2026</v>
      </c>
      <c r="H2366" s="4">
        <v>1</v>
      </c>
      <c r="I2366" s="4">
        <v>1</v>
      </c>
      <c r="J2366" s="4" t="s">
        <v>4720</v>
      </c>
      <c r="K2366" s="4" t="s">
        <v>483</v>
      </c>
      <c r="L2366" s="6">
        <v>46319</v>
      </c>
      <c r="M2366" s="4" t="s">
        <v>5864</v>
      </c>
      <c r="N2366" s="4" t="s">
        <v>6087</v>
      </c>
    </row>
    <row r="2367" spans="1:14" ht="68" customHeight="1">
      <c r="A2367" s="8" t="s">
        <v>4722</v>
      </c>
      <c r="B2367" s="8" t="s">
        <v>476</v>
      </c>
      <c r="C2367" s="8" t="s">
        <v>477</v>
      </c>
      <c r="D2367" s="8" t="s">
        <v>5879</v>
      </c>
      <c r="E2367" s="8" t="s">
        <v>41</v>
      </c>
      <c r="F2367" s="8" t="s">
        <v>3478</v>
      </c>
      <c r="G2367" s="8" t="s">
        <v>2026</v>
      </c>
      <c r="H2367" s="8">
        <v>1</v>
      </c>
      <c r="I2367" s="8">
        <v>1</v>
      </c>
      <c r="J2367" s="8" t="s">
        <v>4723</v>
      </c>
      <c r="K2367" s="8" t="s">
        <v>483</v>
      </c>
      <c r="L2367" s="9">
        <v>46319</v>
      </c>
      <c r="M2367" s="8" t="s">
        <v>5864</v>
      </c>
      <c r="N2367" s="8" t="s">
        <v>5865</v>
      </c>
    </row>
    <row r="2368" spans="1:14" ht="40" customHeight="1">
      <c r="A2368" s="4" t="s">
        <v>4724</v>
      </c>
      <c r="B2368" s="4" t="s">
        <v>476</v>
      </c>
      <c r="C2368" s="4" t="s">
        <v>477</v>
      </c>
      <c r="D2368" s="4" t="s">
        <v>5879</v>
      </c>
      <c r="E2368" s="4" t="s">
        <v>41</v>
      </c>
      <c r="F2368" s="4" t="s">
        <v>3915</v>
      </c>
      <c r="G2368" s="4" t="s">
        <v>2026</v>
      </c>
      <c r="H2368" s="4">
        <v>1</v>
      </c>
      <c r="I2368" s="4">
        <v>1</v>
      </c>
      <c r="J2368" s="4" t="s">
        <v>4294</v>
      </c>
      <c r="K2368" s="4" t="s">
        <v>483</v>
      </c>
      <c r="L2368" s="6">
        <v>46319</v>
      </c>
      <c r="M2368" s="4" t="s">
        <v>5864</v>
      </c>
      <c r="N2368" s="4" t="s">
        <v>6087</v>
      </c>
    </row>
    <row r="2369" spans="1:14" ht="68" customHeight="1">
      <c r="A2369" s="8" t="s">
        <v>4725</v>
      </c>
      <c r="B2369" s="8" t="s">
        <v>476</v>
      </c>
      <c r="C2369" s="8" t="s">
        <v>477</v>
      </c>
      <c r="D2369" s="8" t="s">
        <v>5879</v>
      </c>
      <c r="E2369" s="8" t="s">
        <v>41</v>
      </c>
      <c r="F2369" s="8" t="s">
        <v>3838</v>
      </c>
      <c r="G2369" s="8" t="s">
        <v>2026</v>
      </c>
      <c r="H2369" s="8">
        <v>1</v>
      </c>
      <c r="I2369" s="8">
        <v>1</v>
      </c>
      <c r="J2369" s="8" t="s">
        <v>4726</v>
      </c>
      <c r="K2369" s="8" t="s">
        <v>483</v>
      </c>
      <c r="L2369" s="9">
        <v>46319</v>
      </c>
      <c r="M2369" s="8" t="s">
        <v>5864</v>
      </c>
      <c r="N2369" s="8" t="s">
        <v>5865</v>
      </c>
    </row>
    <row r="2370" spans="1:14" ht="68" customHeight="1">
      <c r="A2370" s="4" t="s">
        <v>8780</v>
      </c>
      <c r="B2370" s="4" t="s">
        <v>476</v>
      </c>
      <c r="C2370" s="4" t="s">
        <v>477</v>
      </c>
      <c r="D2370" s="4" t="s">
        <v>2969</v>
      </c>
      <c r="E2370" s="4" t="s">
        <v>41</v>
      </c>
      <c r="F2370" s="4" t="s">
        <v>5881</v>
      </c>
      <c r="G2370" s="4" t="s">
        <v>2026</v>
      </c>
      <c r="H2370" s="4">
        <v>1</v>
      </c>
      <c r="I2370" s="4">
        <v>1</v>
      </c>
      <c r="J2370" s="4" t="s">
        <v>8781</v>
      </c>
      <c r="K2370" s="4" t="s">
        <v>483</v>
      </c>
      <c r="L2370" s="6">
        <v>46319</v>
      </c>
      <c r="M2370" s="4" t="s">
        <v>5864</v>
      </c>
      <c r="N2370" s="4" t="s">
        <v>5883</v>
      </c>
    </row>
    <row r="2371" spans="1:14" ht="82" customHeight="1">
      <c r="A2371" s="8" t="s">
        <v>8782</v>
      </c>
      <c r="B2371" s="8" t="s">
        <v>476</v>
      </c>
      <c r="C2371" s="8" t="s">
        <v>477</v>
      </c>
      <c r="D2371" s="8" t="s">
        <v>2969</v>
      </c>
      <c r="E2371" s="8" t="s">
        <v>41</v>
      </c>
      <c r="F2371" s="8" t="s">
        <v>5885</v>
      </c>
      <c r="G2371" s="8" t="s">
        <v>2026</v>
      </c>
      <c r="H2371" s="8">
        <v>1</v>
      </c>
      <c r="I2371" s="8">
        <v>1</v>
      </c>
      <c r="J2371" s="8" t="s">
        <v>8783</v>
      </c>
      <c r="K2371" s="8" t="s">
        <v>483</v>
      </c>
      <c r="L2371" s="9">
        <v>46319</v>
      </c>
      <c r="M2371" s="8" t="s">
        <v>5864</v>
      </c>
      <c r="N2371" s="8" t="s">
        <v>5883</v>
      </c>
    </row>
    <row r="2372" spans="1:14" ht="68" customHeight="1">
      <c r="A2372" s="4" t="s">
        <v>8784</v>
      </c>
      <c r="B2372" s="4" t="s">
        <v>476</v>
      </c>
      <c r="C2372" s="4" t="s">
        <v>477</v>
      </c>
      <c r="D2372" s="4" t="s">
        <v>2969</v>
      </c>
      <c r="E2372" s="4" t="s">
        <v>41</v>
      </c>
      <c r="F2372" s="4" t="s">
        <v>5888</v>
      </c>
      <c r="G2372" s="4" t="s">
        <v>2026</v>
      </c>
      <c r="H2372" s="4">
        <v>1</v>
      </c>
      <c r="I2372" s="4">
        <v>1</v>
      </c>
      <c r="J2372" s="4" t="s">
        <v>8785</v>
      </c>
      <c r="K2372" s="4" t="s">
        <v>483</v>
      </c>
      <c r="L2372" s="6">
        <v>46319</v>
      </c>
      <c r="M2372" s="4" t="s">
        <v>5864</v>
      </c>
      <c r="N2372" s="4" t="s">
        <v>5883</v>
      </c>
    </row>
    <row r="2373" spans="1:14" ht="82" customHeight="1">
      <c r="A2373" s="8" t="s">
        <v>8786</v>
      </c>
      <c r="B2373" s="8" t="s">
        <v>476</v>
      </c>
      <c r="C2373" s="8" t="s">
        <v>477</v>
      </c>
      <c r="D2373" s="8" t="s">
        <v>2969</v>
      </c>
      <c r="E2373" s="8" t="s">
        <v>41</v>
      </c>
      <c r="F2373" s="8" t="s">
        <v>5891</v>
      </c>
      <c r="G2373" s="8" t="s">
        <v>2026</v>
      </c>
      <c r="H2373" s="8">
        <v>1</v>
      </c>
      <c r="I2373" s="8">
        <v>1</v>
      </c>
      <c r="J2373" s="8" t="s">
        <v>8787</v>
      </c>
      <c r="K2373" s="8" t="s">
        <v>483</v>
      </c>
      <c r="L2373" s="9">
        <v>46319</v>
      </c>
      <c r="M2373" s="8" t="s">
        <v>5864</v>
      </c>
      <c r="N2373" s="8" t="s">
        <v>5883</v>
      </c>
    </row>
    <row r="2374" spans="1:14" ht="82" customHeight="1">
      <c r="A2374" s="4" t="s">
        <v>8788</v>
      </c>
      <c r="B2374" s="4" t="s">
        <v>476</v>
      </c>
      <c r="C2374" s="4" t="s">
        <v>477</v>
      </c>
      <c r="D2374" s="4" t="s">
        <v>2969</v>
      </c>
      <c r="E2374" s="4" t="s">
        <v>41</v>
      </c>
      <c r="F2374" s="4" t="s">
        <v>5894</v>
      </c>
      <c r="G2374" s="4" t="s">
        <v>2026</v>
      </c>
      <c r="H2374" s="4">
        <v>1</v>
      </c>
      <c r="I2374" s="4">
        <v>1</v>
      </c>
      <c r="J2374" s="4" t="s">
        <v>8789</v>
      </c>
      <c r="K2374" s="4" t="s">
        <v>483</v>
      </c>
      <c r="L2374" s="6">
        <v>46319</v>
      </c>
      <c r="M2374" s="4" t="s">
        <v>5864</v>
      </c>
      <c r="N2374" s="4" t="s">
        <v>5883</v>
      </c>
    </row>
    <row r="2375" spans="1:14" ht="68" customHeight="1">
      <c r="A2375" s="8" t="s">
        <v>8790</v>
      </c>
      <c r="B2375" s="8" t="s">
        <v>476</v>
      </c>
      <c r="C2375" s="8" t="s">
        <v>477</v>
      </c>
      <c r="D2375" s="8" t="s">
        <v>2969</v>
      </c>
      <c r="E2375" s="8" t="s">
        <v>41</v>
      </c>
      <c r="F2375" s="8" t="s">
        <v>5897</v>
      </c>
      <c r="G2375" s="8" t="s">
        <v>2026</v>
      </c>
      <c r="H2375" s="8">
        <v>1</v>
      </c>
      <c r="I2375" s="8">
        <v>1</v>
      </c>
      <c r="J2375" s="8" t="s">
        <v>8791</v>
      </c>
      <c r="K2375" s="8" t="s">
        <v>483</v>
      </c>
      <c r="L2375" s="9">
        <v>46319</v>
      </c>
      <c r="M2375" s="8" t="s">
        <v>5864</v>
      </c>
      <c r="N2375" s="8" t="s">
        <v>5883</v>
      </c>
    </row>
    <row r="2376" spans="1:14" ht="82" customHeight="1">
      <c r="A2376" s="4" t="s">
        <v>8792</v>
      </c>
      <c r="B2376" s="4" t="s">
        <v>476</v>
      </c>
      <c r="C2376" s="4" t="s">
        <v>477</v>
      </c>
      <c r="D2376" s="4" t="s">
        <v>2969</v>
      </c>
      <c r="E2376" s="4" t="s">
        <v>41</v>
      </c>
      <c r="F2376" s="4" t="s">
        <v>5900</v>
      </c>
      <c r="G2376" s="4" t="s">
        <v>2026</v>
      </c>
      <c r="H2376" s="4">
        <v>1</v>
      </c>
      <c r="I2376" s="4">
        <v>1</v>
      </c>
      <c r="J2376" s="4" t="s">
        <v>8793</v>
      </c>
      <c r="K2376" s="4" t="s">
        <v>483</v>
      </c>
      <c r="L2376" s="6">
        <v>46319</v>
      </c>
      <c r="M2376" s="4" t="s">
        <v>5864</v>
      </c>
      <c r="N2376" s="4" t="s">
        <v>5883</v>
      </c>
    </row>
    <row r="2377" spans="1:14" ht="68" customHeight="1">
      <c r="A2377" s="8" t="s">
        <v>8794</v>
      </c>
      <c r="B2377" s="8" t="s">
        <v>476</v>
      </c>
      <c r="C2377" s="8" t="s">
        <v>477</v>
      </c>
      <c r="D2377" s="8" t="s">
        <v>2969</v>
      </c>
      <c r="E2377" s="8" t="s">
        <v>41</v>
      </c>
      <c r="F2377" s="8" t="s">
        <v>5903</v>
      </c>
      <c r="G2377" s="8" t="s">
        <v>2026</v>
      </c>
      <c r="H2377" s="8">
        <v>1</v>
      </c>
      <c r="I2377" s="8">
        <v>1</v>
      </c>
      <c r="J2377" s="8" t="s">
        <v>8795</v>
      </c>
      <c r="K2377" s="8" t="s">
        <v>483</v>
      </c>
      <c r="L2377" s="9">
        <v>46319</v>
      </c>
      <c r="M2377" s="8" t="s">
        <v>5864</v>
      </c>
      <c r="N2377" s="8" t="s">
        <v>5883</v>
      </c>
    </row>
    <row r="2378" spans="1:14" ht="68" customHeight="1">
      <c r="A2378" s="4" t="s">
        <v>8796</v>
      </c>
      <c r="B2378" s="4" t="s">
        <v>476</v>
      </c>
      <c r="C2378" s="4" t="s">
        <v>477</v>
      </c>
      <c r="D2378" s="4" t="s">
        <v>2969</v>
      </c>
      <c r="E2378" s="4" t="s">
        <v>41</v>
      </c>
      <c r="F2378" s="4" t="s">
        <v>5906</v>
      </c>
      <c r="G2378" s="4" t="s">
        <v>2026</v>
      </c>
      <c r="H2378" s="4">
        <v>1</v>
      </c>
      <c r="I2378" s="4">
        <v>1</v>
      </c>
      <c r="J2378" s="4" t="s">
        <v>8797</v>
      </c>
      <c r="K2378" s="4" t="s">
        <v>483</v>
      </c>
      <c r="L2378" s="6">
        <v>46319</v>
      </c>
      <c r="M2378" s="4" t="s">
        <v>5864</v>
      </c>
      <c r="N2378" s="4" t="s">
        <v>5883</v>
      </c>
    </row>
    <row r="2379" spans="1:14" ht="68" customHeight="1">
      <c r="A2379" s="8" t="s">
        <v>8798</v>
      </c>
      <c r="B2379" s="8" t="s">
        <v>476</v>
      </c>
      <c r="C2379" s="8" t="s">
        <v>477</v>
      </c>
      <c r="D2379" s="8" t="s">
        <v>2969</v>
      </c>
      <c r="E2379" s="8" t="s">
        <v>41</v>
      </c>
      <c r="F2379" s="8" t="s">
        <v>5909</v>
      </c>
      <c r="G2379" s="8" t="s">
        <v>2026</v>
      </c>
      <c r="H2379" s="8">
        <v>1</v>
      </c>
      <c r="I2379" s="8">
        <v>1</v>
      </c>
      <c r="J2379" s="8" t="s">
        <v>8799</v>
      </c>
      <c r="K2379" s="8" t="s">
        <v>483</v>
      </c>
      <c r="L2379" s="9">
        <v>46319</v>
      </c>
      <c r="M2379" s="8" t="s">
        <v>5864</v>
      </c>
      <c r="N2379" s="8" t="s">
        <v>5883</v>
      </c>
    </row>
    <row r="2380" spans="1:14" ht="68" customHeight="1">
      <c r="A2380" s="4" t="s">
        <v>8800</v>
      </c>
      <c r="B2380" s="4" t="s">
        <v>476</v>
      </c>
      <c r="C2380" s="4" t="s">
        <v>477</v>
      </c>
      <c r="D2380" s="4" t="s">
        <v>2969</v>
      </c>
      <c r="E2380" s="4" t="s">
        <v>41</v>
      </c>
      <c r="F2380" s="4" t="s">
        <v>5912</v>
      </c>
      <c r="G2380" s="4" t="s">
        <v>2026</v>
      </c>
      <c r="H2380" s="4">
        <v>1</v>
      </c>
      <c r="I2380" s="4">
        <v>1</v>
      </c>
      <c r="J2380" s="4" t="s">
        <v>8801</v>
      </c>
      <c r="K2380" s="4" t="s">
        <v>483</v>
      </c>
      <c r="L2380" s="6">
        <v>46319</v>
      </c>
      <c r="M2380" s="4" t="s">
        <v>5864</v>
      </c>
      <c r="N2380" s="4" t="s">
        <v>5883</v>
      </c>
    </row>
    <row r="2381" spans="1:14" ht="82" customHeight="1">
      <c r="A2381" s="8" t="s">
        <v>8802</v>
      </c>
      <c r="B2381" s="8" t="s">
        <v>476</v>
      </c>
      <c r="C2381" s="8" t="s">
        <v>477</v>
      </c>
      <c r="D2381" s="8" t="s">
        <v>2969</v>
      </c>
      <c r="E2381" s="8" t="s">
        <v>41</v>
      </c>
      <c r="F2381" s="8" t="s">
        <v>5973</v>
      </c>
      <c r="G2381" s="8" t="s">
        <v>2026</v>
      </c>
      <c r="H2381" s="8">
        <v>1</v>
      </c>
      <c r="I2381" s="8">
        <v>1</v>
      </c>
      <c r="J2381" s="8" t="s">
        <v>8803</v>
      </c>
      <c r="K2381" s="8" t="s">
        <v>483</v>
      </c>
      <c r="L2381" s="9">
        <v>46319</v>
      </c>
      <c r="M2381" s="8" t="s">
        <v>5864</v>
      </c>
      <c r="N2381" s="8" t="s">
        <v>5883</v>
      </c>
    </row>
    <row r="2382" spans="1:14" ht="68" customHeight="1">
      <c r="A2382" s="4" t="s">
        <v>8804</v>
      </c>
      <c r="B2382" s="4" t="s">
        <v>476</v>
      </c>
      <c r="C2382" s="4" t="s">
        <v>477</v>
      </c>
      <c r="D2382" s="4" t="s">
        <v>2969</v>
      </c>
      <c r="E2382" s="4" t="s">
        <v>41</v>
      </c>
      <c r="F2382" s="4" t="s">
        <v>5976</v>
      </c>
      <c r="G2382" s="4" t="s">
        <v>2026</v>
      </c>
      <c r="H2382" s="4">
        <v>1</v>
      </c>
      <c r="I2382" s="4">
        <v>1</v>
      </c>
      <c r="J2382" s="4" t="s">
        <v>8805</v>
      </c>
      <c r="K2382" s="4" t="s">
        <v>483</v>
      </c>
      <c r="L2382" s="6">
        <v>46319</v>
      </c>
      <c r="M2382" s="4" t="s">
        <v>5864</v>
      </c>
      <c r="N2382" s="4" t="s">
        <v>5883</v>
      </c>
    </row>
    <row r="2383" spans="1:14" ht="68" customHeight="1">
      <c r="A2383" s="8" t="s">
        <v>8806</v>
      </c>
      <c r="B2383" s="8" t="s">
        <v>476</v>
      </c>
      <c r="C2383" s="8" t="s">
        <v>477</v>
      </c>
      <c r="D2383" s="8" t="s">
        <v>2969</v>
      </c>
      <c r="E2383" s="8" t="s">
        <v>41</v>
      </c>
      <c r="F2383" s="8" t="s">
        <v>5979</v>
      </c>
      <c r="G2383" s="8" t="s">
        <v>2026</v>
      </c>
      <c r="H2383" s="8">
        <v>1</v>
      </c>
      <c r="I2383" s="8">
        <v>1</v>
      </c>
      <c r="J2383" s="8" t="s">
        <v>8807</v>
      </c>
      <c r="K2383" s="8" t="s">
        <v>483</v>
      </c>
      <c r="L2383" s="9">
        <v>46319</v>
      </c>
      <c r="M2383" s="8" t="s">
        <v>5864</v>
      </c>
      <c r="N2383" s="8" t="s">
        <v>5883</v>
      </c>
    </row>
    <row r="2384" spans="1:14" ht="96" customHeight="1">
      <c r="A2384" s="4" t="s">
        <v>8808</v>
      </c>
      <c r="B2384" s="4" t="s">
        <v>486</v>
      </c>
      <c r="C2384" s="4" t="s">
        <v>487</v>
      </c>
      <c r="D2384" s="4" t="s">
        <v>5861</v>
      </c>
      <c r="E2384" s="4" t="s">
        <v>41</v>
      </c>
      <c r="F2384" s="4" t="s">
        <v>5862</v>
      </c>
      <c r="G2384" s="4" t="s">
        <v>2073</v>
      </c>
      <c r="H2384" s="4">
        <v>1</v>
      </c>
      <c r="I2384" s="4">
        <v>1</v>
      </c>
      <c r="J2384" s="4" t="s">
        <v>8809</v>
      </c>
      <c r="K2384" s="4" t="s">
        <v>490</v>
      </c>
      <c r="L2384" s="6">
        <v>46319</v>
      </c>
      <c r="M2384" s="4" t="s">
        <v>5864</v>
      </c>
      <c r="N2384" s="4" t="s">
        <v>5865</v>
      </c>
    </row>
    <row r="2385" spans="1:14" ht="40" customHeight="1">
      <c r="A2385" s="8" t="s">
        <v>8810</v>
      </c>
      <c r="B2385" s="8" t="s">
        <v>486</v>
      </c>
      <c r="C2385" s="8" t="s">
        <v>487</v>
      </c>
      <c r="D2385" s="8" t="s">
        <v>5867</v>
      </c>
      <c r="E2385" s="8" t="s">
        <v>41</v>
      </c>
      <c r="F2385" s="8" t="s">
        <v>5868</v>
      </c>
      <c r="G2385" s="8" t="s">
        <v>2073</v>
      </c>
      <c r="H2385" s="8">
        <v>1</v>
      </c>
      <c r="I2385" s="8">
        <v>1</v>
      </c>
      <c r="J2385" s="8" t="s">
        <v>8811</v>
      </c>
      <c r="K2385" s="8" t="s">
        <v>490</v>
      </c>
      <c r="L2385" s="9">
        <v>46319</v>
      </c>
      <c r="M2385" s="8" t="s">
        <v>5864</v>
      </c>
      <c r="N2385" s="8" t="s">
        <v>6087</v>
      </c>
    </row>
    <row r="2386" spans="1:14" ht="40" customHeight="1">
      <c r="A2386" s="4" t="s">
        <v>8812</v>
      </c>
      <c r="B2386" s="4" t="s">
        <v>486</v>
      </c>
      <c r="C2386" s="4" t="s">
        <v>487</v>
      </c>
      <c r="D2386" s="4" t="s">
        <v>5867</v>
      </c>
      <c r="E2386" s="4" t="s">
        <v>41</v>
      </c>
      <c r="F2386" s="4" t="s">
        <v>6391</v>
      </c>
      <c r="G2386" s="4" t="s">
        <v>2073</v>
      </c>
      <c r="H2386" s="4">
        <v>1</v>
      </c>
      <c r="I2386" s="4">
        <v>1</v>
      </c>
      <c r="J2386" s="4" t="s">
        <v>8813</v>
      </c>
      <c r="K2386" s="4" t="s">
        <v>490</v>
      </c>
      <c r="L2386" s="6">
        <v>46319</v>
      </c>
      <c r="M2386" s="4" t="s">
        <v>5864</v>
      </c>
      <c r="N2386" s="4" t="s">
        <v>5865</v>
      </c>
    </row>
    <row r="2387" spans="1:14" ht="40" customHeight="1">
      <c r="A2387" s="8" t="s">
        <v>8814</v>
      </c>
      <c r="B2387" s="8" t="s">
        <v>486</v>
      </c>
      <c r="C2387" s="8" t="s">
        <v>487</v>
      </c>
      <c r="D2387" s="8" t="s">
        <v>5867</v>
      </c>
      <c r="E2387" s="8" t="s">
        <v>41</v>
      </c>
      <c r="F2387" s="8" t="s">
        <v>6765</v>
      </c>
      <c r="G2387" s="8" t="s">
        <v>2073</v>
      </c>
      <c r="H2387" s="8">
        <v>1</v>
      </c>
      <c r="I2387" s="8">
        <v>1</v>
      </c>
      <c r="J2387" s="8" t="s">
        <v>8815</v>
      </c>
      <c r="K2387" s="8" t="s">
        <v>490</v>
      </c>
      <c r="L2387" s="9">
        <v>46319</v>
      </c>
      <c r="M2387" s="8" t="s">
        <v>5864</v>
      </c>
      <c r="N2387" s="8" t="s">
        <v>5865</v>
      </c>
    </row>
    <row r="2388" spans="1:14" ht="40" customHeight="1">
      <c r="A2388" s="4" t="s">
        <v>8816</v>
      </c>
      <c r="B2388" s="4" t="s">
        <v>486</v>
      </c>
      <c r="C2388" s="4" t="s">
        <v>487</v>
      </c>
      <c r="D2388" s="4" t="s">
        <v>5867</v>
      </c>
      <c r="E2388" s="4" t="s">
        <v>41</v>
      </c>
      <c r="F2388" s="4" t="s">
        <v>6394</v>
      </c>
      <c r="G2388" s="4" t="s">
        <v>2073</v>
      </c>
      <c r="H2388" s="4">
        <v>1</v>
      </c>
      <c r="I2388" s="4">
        <v>1</v>
      </c>
      <c r="J2388" s="4" t="s">
        <v>8817</v>
      </c>
      <c r="K2388" s="4" t="s">
        <v>490</v>
      </c>
      <c r="L2388" s="6">
        <v>46319</v>
      </c>
      <c r="M2388" s="4" t="s">
        <v>5864</v>
      </c>
      <c r="N2388" s="4" t="s">
        <v>5865</v>
      </c>
    </row>
    <row r="2389" spans="1:14" ht="40" customHeight="1">
      <c r="A2389" s="8" t="s">
        <v>8818</v>
      </c>
      <c r="B2389" s="8" t="s">
        <v>486</v>
      </c>
      <c r="C2389" s="8" t="s">
        <v>487</v>
      </c>
      <c r="D2389" s="8" t="s">
        <v>5867</v>
      </c>
      <c r="E2389" s="8" t="s">
        <v>41</v>
      </c>
      <c r="F2389" s="8" t="s">
        <v>7381</v>
      </c>
      <c r="G2389" s="8" t="s">
        <v>2073</v>
      </c>
      <c r="H2389" s="8">
        <v>1</v>
      </c>
      <c r="I2389" s="8">
        <v>1</v>
      </c>
      <c r="J2389" s="8" t="s">
        <v>8819</v>
      </c>
      <c r="K2389" s="8" t="s">
        <v>490</v>
      </c>
      <c r="L2389" s="9">
        <v>46319</v>
      </c>
      <c r="M2389" s="8" t="s">
        <v>5864</v>
      </c>
      <c r="N2389" s="8" t="s">
        <v>5865</v>
      </c>
    </row>
    <row r="2390" spans="1:14" ht="40" customHeight="1">
      <c r="A2390" s="4" t="s">
        <v>8820</v>
      </c>
      <c r="B2390" s="4" t="s">
        <v>486</v>
      </c>
      <c r="C2390" s="4" t="s">
        <v>487</v>
      </c>
      <c r="D2390" s="4" t="s">
        <v>5867</v>
      </c>
      <c r="E2390" s="4" t="s">
        <v>41</v>
      </c>
      <c r="F2390" s="4" t="s">
        <v>7449</v>
      </c>
      <c r="G2390" s="4" t="s">
        <v>2073</v>
      </c>
      <c r="H2390" s="4">
        <v>1</v>
      </c>
      <c r="I2390" s="4">
        <v>1</v>
      </c>
      <c r="J2390" s="4" t="s">
        <v>8821</v>
      </c>
      <c r="K2390" s="4" t="s">
        <v>490</v>
      </c>
      <c r="L2390" s="6">
        <v>46319</v>
      </c>
      <c r="M2390" s="4" t="s">
        <v>5864</v>
      </c>
      <c r="N2390" s="4" t="s">
        <v>5865</v>
      </c>
    </row>
    <row r="2391" spans="1:14" ht="40" customHeight="1">
      <c r="A2391" s="8" t="s">
        <v>8822</v>
      </c>
      <c r="B2391" s="8" t="s">
        <v>486</v>
      </c>
      <c r="C2391" s="8" t="s">
        <v>487</v>
      </c>
      <c r="D2391" s="8" t="s">
        <v>5867</v>
      </c>
      <c r="E2391" s="8" t="s">
        <v>41</v>
      </c>
      <c r="F2391" s="8" t="s">
        <v>7453</v>
      </c>
      <c r="G2391" s="8" t="s">
        <v>2073</v>
      </c>
      <c r="H2391" s="8">
        <v>1</v>
      </c>
      <c r="I2391" s="8">
        <v>1</v>
      </c>
      <c r="J2391" s="8" t="s">
        <v>8823</v>
      </c>
      <c r="K2391" s="8" t="s">
        <v>490</v>
      </c>
      <c r="L2391" s="9">
        <v>46319</v>
      </c>
      <c r="M2391" s="8" t="s">
        <v>5864</v>
      </c>
      <c r="N2391" s="8" t="s">
        <v>5865</v>
      </c>
    </row>
    <row r="2392" spans="1:14" ht="40" customHeight="1">
      <c r="A2392" s="4" t="s">
        <v>8824</v>
      </c>
      <c r="B2392" s="4" t="s">
        <v>486</v>
      </c>
      <c r="C2392" s="4" t="s">
        <v>487</v>
      </c>
      <c r="D2392" s="4" t="s">
        <v>5867</v>
      </c>
      <c r="E2392" s="4" t="s">
        <v>41</v>
      </c>
      <c r="F2392" s="4" t="s">
        <v>7459</v>
      </c>
      <c r="G2392" s="4" t="s">
        <v>2073</v>
      </c>
      <c r="H2392" s="4">
        <v>1</v>
      </c>
      <c r="I2392" s="4">
        <v>1</v>
      </c>
      <c r="J2392" s="4" t="s">
        <v>8825</v>
      </c>
      <c r="K2392" s="4" t="s">
        <v>490</v>
      </c>
      <c r="L2392" s="6">
        <v>46319</v>
      </c>
      <c r="M2392" s="4" t="s">
        <v>5864</v>
      </c>
      <c r="N2392" s="4" t="s">
        <v>5865</v>
      </c>
    </row>
    <row r="2393" spans="1:14" ht="40" customHeight="1">
      <c r="A2393" s="8" t="s">
        <v>8826</v>
      </c>
      <c r="B2393" s="8" t="s">
        <v>486</v>
      </c>
      <c r="C2393" s="8" t="s">
        <v>487</v>
      </c>
      <c r="D2393" s="8" t="s">
        <v>5867</v>
      </c>
      <c r="E2393" s="8" t="s">
        <v>41</v>
      </c>
      <c r="F2393" s="8" t="s">
        <v>7461</v>
      </c>
      <c r="G2393" s="8" t="s">
        <v>2073</v>
      </c>
      <c r="H2393" s="8">
        <v>1</v>
      </c>
      <c r="I2393" s="8">
        <v>1</v>
      </c>
      <c r="J2393" s="8" t="s">
        <v>8821</v>
      </c>
      <c r="K2393" s="8" t="s">
        <v>490</v>
      </c>
      <c r="L2393" s="9">
        <v>46319</v>
      </c>
      <c r="M2393" s="8" t="s">
        <v>5864</v>
      </c>
      <c r="N2393" s="8" t="s">
        <v>5865</v>
      </c>
    </row>
    <row r="2394" spans="1:14" ht="40" customHeight="1">
      <c r="A2394" s="4" t="s">
        <v>8827</v>
      </c>
      <c r="B2394" s="4" t="s">
        <v>486</v>
      </c>
      <c r="C2394" s="4" t="s">
        <v>487</v>
      </c>
      <c r="D2394" s="4" t="s">
        <v>5867</v>
      </c>
      <c r="E2394" s="4" t="s">
        <v>41</v>
      </c>
      <c r="F2394" s="4" t="s">
        <v>7465</v>
      </c>
      <c r="G2394" s="4" t="s">
        <v>2073</v>
      </c>
      <c r="H2394" s="4">
        <v>1</v>
      </c>
      <c r="I2394" s="4">
        <v>1</v>
      </c>
      <c r="J2394" s="4" t="s">
        <v>8823</v>
      </c>
      <c r="K2394" s="4" t="s">
        <v>490</v>
      </c>
      <c r="L2394" s="6">
        <v>46319</v>
      </c>
      <c r="M2394" s="4" t="s">
        <v>5864</v>
      </c>
      <c r="N2394" s="4" t="s">
        <v>5865</v>
      </c>
    </row>
    <row r="2395" spans="1:14" ht="40" customHeight="1">
      <c r="A2395" s="8" t="s">
        <v>8828</v>
      </c>
      <c r="B2395" s="8" t="s">
        <v>486</v>
      </c>
      <c r="C2395" s="8" t="s">
        <v>487</v>
      </c>
      <c r="D2395" s="8" t="s">
        <v>5867</v>
      </c>
      <c r="E2395" s="8" t="s">
        <v>41</v>
      </c>
      <c r="F2395" s="8" t="s">
        <v>7471</v>
      </c>
      <c r="G2395" s="8" t="s">
        <v>2073</v>
      </c>
      <c r="H2395" s="8">
        <v>1</v>
      </c>
      <c r="I2395" s="8">
        <v>1</v>
      </c>
      <c r="J2395" s="8" t="s">
        <v>8829</v>
      </c>
      <c r="K2395" s="8" t="s">
        <v>490</v>
      </c>
      <c r="L2395" s="9">
        <v>46319</v>
      </c>
      <c r="M2395" s="8" t="s">
        <v>5864</v>
      </c>
      <c r="N2395" s="8" t="s">
        <v>5865</v>
      </c>
    </row>
    <row r="2396" spans="1:14" ht="40" customHeight="1">
      <c r="A2396" s="4" t="s">
        <v>8830</v>
      </c>
      <c r="B2396" s="4" t="s">
        <v>486</v>
      </c>
      <c r="C2396" s="4" t="s">
        <v>487</v>
      </c>
      <c r="D2396" s="4" t="s">
        <v>5867</v>
      </c>
      <c r="E2396" s="4" t="s">
        <v>41</v>
      </c>
      <c r="F2396" s="4" t="s">
        <v>7473</v>
      </c>
      <c r="G2396" s="4" t="s">
        <v>2073</v>
      </c>
      <c r="H2396" s="4">
        <v>1</v>
      </c>
      <c r="I2396" s="4">
        <v>1</v>
      </c>
      <c r="J2396" s="4" t="s">
        <v>8831</v>
      </c>
      <c r="K2396" s="4" t="s">
        <v>490</v>
      </c>
      <c r="L2396" s="6">
        <v>46319</v>
      </c>
      <c r="M2396" s="4" t="s">
        <v>5864</v>
      </c>
      <c r="N2396" s="4" t="s">
        <v>5865</v>
      </c>
    </row>
    <row r="2397" spans="1:14" ht="40" customHeight="1">
      <c r="A2397" s="8" t="s">
        <v>8832</v>
      </c>
      <c r="B2397" s="8" t="s">
        <v>486</v>
      </c>
      <c r="C2397" s="8" t="s">
        <v>487</v>
      </c>
      <c r="D2397" s="8" t="s">
        <v>5867</v>
      </c>
      <c r="E2397" s="8" t="s">
        <v>41</v>
      </c>
      <c r="F2397" s="8" t="s">
        <v>8355</v>
      </c>
      <c r="G2397" s="8" t="s">
        <v>2073</v>
      </c>
      <c r="H2397" s="8">
        <v>1</v>
      </c>
      <c r="I2397" s="8">
        <v>1</v>
      </c>
      <c r="J2397" s="8" t="s">
        <v>8833</v>
      </c>
      <c r="K2397" s="8" t="s">
        <v>490</v>
      </c>
      <c r="L2397" s="9">
        <v>46319</v>
      </c>
      <c r="M2397" s="8" t="s">
        <v>5864</v>
      </c>
      <c r="N2397" s="8" t="s">
        <v>5865</v>
      </c>
    </row>
    <row r="2398" spans="1:14" ht="40" customHeight="1">
      <c r="A2398" s="4" t="s">
        <v>8834</v>
      </c>
      <c r="B2398" s="4" t="s">
        <v>486</v>
      </c>
      <c r="C2398" s="4" t="s">
        <v>487</v>
      </c>
      <c r="D2398" s="4" t="s">
        <v>5867</v>
      </c>
      <c r="E2398" s="4" t="s">
        <v>41</v>
      </c>
      <c r="F2398" s="4" t="s">
        <v>8359</v>
      </c>
      <c r="G2398" s="4" t="s">
        <v>2073</v>
      </c>
      <c r="H2398" s="4">
        <v>1</v>
      </c>
      <c r="I2398" s="4">
        <v>1</v>
      </c>
      <c r="J2398" s="4" t="s">
        <v>8835</v>
      </c>
      <c r="K2398" s="4" t="s">
        <v>490</v>
      </c>
      <c r="L2398" s="6">
        <v>46319</v>
      </c>
      <c r="M2398" s="4" t="s">
        <v>5864</v>
      </c>
      <c r="N2398" s="4" t="s">
        <v>5865</v>
      </c>
    </row>
    <row r="2399" spans="1:14" ht="40" customHeight="1">
      <c r="A2399" s="8" t="s">
        <v>8836</v>
      </c>
      <c r="B2399" s="8" t="s">
        <v>486</v>
      </c>
      <c r="C2399" s="8" t="s">
        <v>487</v>
      </c>
      <c r="D2399" s="8" t="s">
        <v>5867</v>
      </c>
      <c r="E2399" s="8" t="s">
        <v>41</v>
      </c>
      <c r="F2399" s="8" t="s">
        <v>7486</v>
      </c>
      <c r="G2399" s="8" t="s">
        <v>2073</v>
      </c>
      <c r="H2399" s="8">
        <v>1</v>
      </c>
      <c r="I2399" s="8">
        <v>1</v>
      </c>
      <c r="J2399" s="8" t="s">
        <v>8837</v>
      </c>
      <c r="K2399" s="8" t="s">
        <v>490</v>
      </c>
      <c r="L2399" s="9">
        <v>46319</v>
      </c>
      <c r="M2399" s="8" t="s">
        <v>5864</v>
      </c>
      <c r="N2399" s="8" t="s">
        <v>5865</v>
      </c>
    </row>
    <row r="2400" spans="1:14" ht="40" customHeight="1">
      <c r="A2400" s="4" t="s">
        <v>8838</v>
      </c>
      <c r="B2400" s="4" t="s">
        <v>486</v>
      </c>
      <c r="C2400" s="4" t="s">
        <v>487</v>
      </c>
      <c r="D2400" s="4" t="s">
        <v>5867</v>
      </c>
      <c r="E2400" s="4" t="s">
        <v>41</v>
      </c>
      <c r="F2400" s="4" t="s">
        <v>8839</v>
      </c>
      <c r="G2400" s="4" t="s">
        <v>2073</v>
      </c>
      <c r="H2400" s="4">
        <v>1</v>
      </c>
      <c r="I2400" s="4">
        <v>1</v>
      </c>
      <c r="J2400" s="4" t="s">
        <v>8840</v>
      </c>
      <c r="K2400" s="4" t="s">
        <v>490</v>
      </c>
      <c r="L2400" s="6">
        <v>46319</v>
      </c>
      <c r="M2400" s="4" t="s">
        <v>5864</v>
      </c>
      <c r="N2400" s="4" t="s">
        <v>5865</v>
      </c>
    </row>
    <row r="2401" spans="1:14" ht="40" customHeight="1">
      <c r="A2401" s="8" t="s">
        <v>8841</v>
      </c>
      <c r="B2401" s="8" t="s">
        <v>486</v>
      </c>
      <c r="C2401" s="8" t="s">
        <v>487</v>
      </c>
      <c r="D2401" s="8" t="s">
        <v>5867</v>
      </c>
      <c r="E2401" s="8" t="s">
        <v>41</v>
      </c>
      <c r="F2401" s="8" t="s">
        <v>7497</v>
      </c>
      <c r="G2401" s="8" t="s">
        <v>2073</v>
      </c>
      <c r="H2401" s="8">
        <v>1</v>
      </c>
      <c r="I2401" s="8">
        <v>1</v>
      </c>
      <c r="J2401" s="8" t="s">
        <v>8842</v>
      </c>
      <c r="K2401" s="8" t="s">
        <v>490</v>
      </c>
      <c r="L2401" s="9">
        <v>46319</v>
      </c>
      <c r="M2401" s="8" t="s">
        <v>5864</v>
      </c>
      <c r="N2401" s="8" t="s">
        <v>6087</v>
      </c>
    </row>
    <row r="2402" spans="1:14" ht="40" customHeight="1">
      <c r="A2402" s="4" t="s">
        <v>8843</v>
      </c>
      <c r="B2402" s="4" t="s">
        <v>486</v>
      </c>
      <c r="C2402" s="4" t="s">
        <v>487</v>
      </c>
      <c r="D2402" s="4" t="s">
        <v>5867</v>
      </c>
      <c r="E2402" s="4" t="s">
        <v>41</v>
      </c>
      <c r="F2402" s="4" t="s">
        <v>8370</v>
      </c>
      <c r="G2402" s="4" t="s">
        <v>2073</v>
      </c>
      <c r="H2402" s="4">
        <v>1</v>
      </c>
      <c r="I2402" s="4">
        <v>1</v>
      </c>
      <c r="J2402" s="4" t="s">
        <v>8844</v>
      </c>
      <c r="K2402" s="4" t="s">
        <v>490</v>
      </c>
      <c r="L2402" s="6">
        <v>46319</v>
      </c>
      <c r="M2402" s="4" t="s">
        <v>5864</v>
      </c>
      <c r="N2402" s="4" t="s">
        <v>5865</v>
      </c>
    </row>
    <row r="2403" spans="1:14" ht="40" customHeight="1">
      <c r="A2403" s="8" t="s">
        <v>8845</v>
      </c>
      <c r="B2403" s="8" t="s">
        <v>486</v>
      </c>
      <c r="C2403" s="8" t="s">
        <v>487</v>
      </c>
      <c r="D2403" s="8" t="s">
        <v>5867</v>
      </c>
      <c r="E2403" s="8" t="s">
        <v>41</v>
      </c>
      <c r="F2403" s="8" t="s">
        <v>8374</v>
      </c>
      <c r="G2403" s="8" t="s">
        <v>2073</v>
      </c>
      <c r="H2403" s="8">
        <v>1</v>
      </c>
      <c r="I2403" s="8">
        <v>1</v>
      </c>
      <c r="J2403" s="8" t="s">
        <v>8846</v>
      </c>
      <c r="K2403" s="8" t="s">
        <v>490</v>
      </c>
      <c r="L2403" s="9">
        <v>46319</v>
      </c>
      <c r="M2403" s="8" t="s">
        <v>5864</v>
      </c>
      <c r="N2403" s="8" t="s">
        <v>5865</v>
      </c>
    </row>
    <row r="2404" spans="1:14" ht="40" customHeight="1">
      <c r="A2404" s="4" t="s">
        <v>8847</v>
      </c>
      <c r="B2404" s="4" t="s">
        <v>486</v>
      </c>
      <c r="C2404" s="4" t="s">
        <v>487</v>
      </c>
      <c r="D2404" s="4" t="s">
        <v>5867</v>
      </c>
      <c r="E2404" s="4" t="s">
        <v>41</v>
      </c>
      <c r="F2404" s="4" t="s">
        <v>8378</v>
      </c>
      <c r="G2404" s="4" t="s">
        <v>2073</v>
      </c>
      <c r="H2404" s="4">
        <v>1</v>
      </c>
      <c r="I2404" s="4">
        <v>1</v>
      </c>
      <c r="J2404" s="4" t="s">
        <v>8848</v>
      </c>
      <c r="K2404" s="4" t="s">
        <v>490</v>
      </c>
      <c r="L2404" s="6">
        <v>46319</v>
      </c>
      <c r="M2404" s="4" t="s">
        <v>5864</v>
      </c>
      <c r="N2404" s="4" t="s">
        <v>5865</v>
      </c>
    </row>
    <row r="2405" spans="1:14" ht="40" customHeight="1">
      <c r="A2405" s="8" t="s">
        <v>8849</v>
      </c>
      <c r="B2405" s="8" t="s">
        <v>486</v>
      </c>
      <c r="C2405" s="8" t="s">
        <v>487</v>
      </c>
      <c r="D2405" s="8" t="s">
        <v>5867</v>
      </c>
      <c r="E2405" s="8" t="s">
        <v>41</v>
      </c>
      <c r="F2405" s="8" t="s">
        <v>8850</v>
      </c>
      <c r="G2405" s="8" t="s">
        <v>2073</v>
      </c>
      <c r="H2405" s="8">
        <v>1</v>
      </c>
      <c r="I2405" s="8">
        <v>1</v>
      </c>
      <c r="J2405" s="8" t="s">
        <v>8851</v>
      </c>
      <c r="K2405" s="8" t="s">
        <v>490</v>
      </c>
      <c r="L2405" s="9">
        <v>46319</v>
      </c>
      <c r="M2405" s="8" t="s">
        <v>5864</v>
      </c>
      <c r="N2405" s="8" t="s">
        <v>6087</v>
      </c>
    </row>
    <row r="2406" spans="1:14" ht="40" customHeight="1">
      <c r="A2406" s="4" t="s">
        <v>8852</v>
      </c>
      <c r="B2406" s="4" t="s">
        <v>486</v>
      </c>
      <c r="C2406" s="4" t="s">
        <v>487</v>
      </c>
      <c r="D2406" s="4" t="s">
        <v>5867</v>
      </c>
      <c r="E2406" s="4" t="s">
        <v>41</v>
      </c>
      <c r="F2406" s="4" t="s">
        <v>8385</v>
      </c>
      <c r="G2406" s="4" t="s">
        <v>2073</v>
      </c>
      <c r="H2406" s="4">
        <v>1</v>
      </c>
      <c r="I2406" s="4">
        <v>1</v>
      </c>
      <c r="J2406" s="4" t="s">
        <v>8853</v>
      </c>
      <c r="K2406" s="4" t="s">
        <v>490</v>
      </c>
      <c r="L2406" s="6">
        <v>46319</v>
      </c>
      <c r="M2406" s="4" t="s">
        <v>5864</v>
      </c>
      <c r="N2406" s="4" t="s">
        <v>5865</v>
      </c>
    </row>
    <row r="2407" spans="1:14" ht="40" customHeight="1">
      <c r="A2407" s="8" t="s">
        <v>8854</v>
      </c>
      <c r="B2407" s="8" t="s">
        <v>486</v>
      </c>
      <c r="C2407" s="8" t="s">
        <v>487</v>
      </c>
      <c r="D2407" s="8" t="s">
        <v>5867</v>
      </c>
      <c r="E2407" s="8" t="s">
        <v>41</v>
      </c>
      <c r="F2407" s="8" t="s">
        <v>8855</v>
      </c>
      <c r="G2407" s="8" t="s">
        <v>2073</v>
      </c>
      <c r="H2407" s="8">
        <v>1</v>
      </c>
      <c r="I2407" s="8">
        <v>1</v>
      </c>
      <c r="J2407" s="8" t="s">
        <v>8856</v>
      </c>
      <c r="K2407" s="8" t="s">
        <v>490</v>
      </c>
      <c r="L2407" s="9">
        <v>46319</v>
      </c>
      <c r="M2407" s="8" t="s">
        <v>5864</v>
      </c>
      <c r="N2407" s="8" t="s">
        <v>6087</v>
      </c>
    </row>
    <row r="2408" spans="1:14" ht="40" customHeight="1">
      <c r="A2408" s="4" t="s">
        <v>8857</v>
      </c>
      <c r="B2408" s="4" t="s">
        <v>486</v>
      </c>
      <c r="C2408" s="4" t="s">
        <v>487</v>
      </c>
      <c r="D2408" s="4" t="s">
        <v>5867</v>
      </c>
      <c r="E2408" s="4" t="s">
        <v>41</v>
      </c>
      <c r="F2408" s="4" t="s">
        <v>8390</v>
      </c>
      <c r="G2408" s="4" t="s">
        <v>2073</v>
      </c>
      <c r="H2408" s="4">
        <v>1</v>
      </c>
      <c r="I2408" s="4">
        <v>1</v>
      </c>
      <c r="J2408" s="4" t="s">
        <v>8858</v>
      </c>
      <c r="K2408" s="4" t="s">
        <v>490</v>
      </c>
      <c r="L2408" s="6">
        <v>46319</v>
      </c>
      <c r="M2408" s="4" t="s">
        <v>5864</v>
      </c>
      <c r="N2408" s="4" t="s">
        <v>5865</v>
      </c>
    </row>
    <row r="2409" spans="1:14" ht="40" customHeight="1">
      <c r="A2409" s="8" t="s">
        <v>8859</v>
      </c>
      <c r="B2409" s="8" t="s">
        <v>486</v>
      </c>
      <c r="C2409" s="8" t="s">
        <v>487</v>
      </c>
      <c r="D2409" s="8" t="s">
        <v>5867</v>
      </c>
      <c r="E2409" s="8" t="s">
        <v>41</v>
      </c>
      <c r="F2409" s="8" t="s">
        <v>8860</v>
      </c>
      <c r="G2409" s="8" t="s">
        <v>2073</v>
      </c>
      <c r="H2409" s="8">
        <v>1</v>
      </c>
      <c r="I2409" s="8">
        <v>1</v>
      </c>
      <c r="J2409" s="8" t="s">
        <v>8861</v>
      </c>
      <c r="K2409" s="8" t="s">
        <v>490</v>
      </c>
      <c r="L2409" s="9">
        <v>46319</v>
      </c>
      <c r="M2409" s="8" t="s">
        <v>5864</v>
      </c>
      <c r="N2409" s="8" t="s">
        <v>6087</v>
      </c>
    </row>
    <row r="2410" spans="1:14" ht="40" customHeight="1">
      <c r="A2410" s="4" t="s">
        <v>8862</v>
      </c>
      <c r="B2410" s="4" t="s">
        <v>486</v>
      </c>
      <c r="C2410" s="4" t="s">
        <v>487</v>
      </c>
      <c r="D2410" s="4" t="s">
        <v>5867</v>
      </c>
      <c r="E2410" s="4" t="s">
        <v>41</v>
      </c>
      <c r="F2410" s="4" t="s">
        <v>8863</v>
      </c>
      <c r="G2410" s="4" t="s">
        <v>2073</v>
      </c>
      <c r="H2410" s="4">
        <v>1</v>
      </c>
      <c r="I2410" s="4">
        <v>1</v>
      </c>
      <c r="J2410" s="4" t="s">
        <v>8864</v>
      </c>
      <c r="K2410" s="4" t="s">
        <v>490</v>
      </c>
      <c r="L2410" s="6">
        <v>46319</v>
      </c>
      <c r="M2410" s="4" t="s">
        <v>5864</v>
      </c>
      <c r="N2410" s="4" t="s">
        <v>5865</v>
      </c>
    </row>
    <row r="2411" spans="1:14" ht="40" customHeight="1">
      <c r="A2411" s="8" t="s">
        <v>8865</v>
      </c>
      <c r="B2411" s="8" t="s">
        <v>486</v>
      </c>
      <c r="C2411" s="8" t="s">
        <v>487</v>
      </c>
      <c r="D2411" s="8" t="s">
        <v>637</v>
      </c>
      <c r="E2411" s="8" t="s">
        <v>41</v>
      </c>
      <c r="F2411" s="8" t="s">
        <v>904</v>
      </c>
      <c r="G2411" s="8" t="s">
        <v>2073</v>
      </c>
      <c r="H2411" s="8">
        <v>1</v>
      </c>
      <c r="I2411" s="8">
        <v>1</v>
      </c>
      <c r="J2411" s="8" t="s">
        <v>1072</v>
      </c>
      <c r="K2411" s="8" t="s">
        <v>490</v>
      </c>
      <c r="L2411" s="9">
        <v>46319</v>
      </c>
      <c r="M2411" s="8" t="s">
        <v>5864</v>
      </c>
      <c r="N2411" s="8" t="s">
        <v>5870</v>
      </c>
    </row>
    <row r="2412" spans="1:14" ht="40" customHeight="1">
      <c r="A2412" s="4" t="s">
        <v>8866</v>
      </c>
      <c r="B2412" s="4" t="s">
        <v>486</v>
      </c>
      <c r="C2412" s="4" t="s">
        <v>487</v>
      </c>
      <c r="D2412" s="4" t="s">
        <v>637</v>
      </c>
      <c r="E2412" s="4" t="s">
        <v>41</v>
      </c>
      <c r="F2412" s="4" t="s">
        <v>912</v>
      </c>
      <c r="G2412" s="4" t="s">
        <v>2073</v>
      </c>
      <c r="H2412" s="4">
        <v>1</v>
      </c>
      <c r="I2412" s="4">
        <v>1</v>
      </c>
      <c r="J2412" s="4" t="s">
        <v>1076</v>
      </c>
      <c r="K2412" s="4" t="s">
        <v>490</v>
      </c>
      <c r="L2412" s="6">
        <v>46319</v>
      </c>
      <c r="M2412" s="4" t="s">
        <v>5864</v>
      </c>
      <c r="N2412" s="4" t="s">
        <v>5870</v>
      </c>
    </row>
    <row r="2413" spans="1:14" ht="40" customHeight="1">
      <c r="A2413" s="8" t="s">
        <v>8867</v>
      </c>
      <c r="B2413" s="8" t="s">
        <v>486</v>
      </c>
      <c r="C2413" s="8" t="s">
        <v>487</v>
      </c>
      <c r="D2413" s="8" t="s">
        <v>637</v>
      </c>
      <c r="E2413" s="8" t="s">
        <v>41</v>
      </c>
      <c r="F2413" s="8" t="s">
        <v>1015</v>
      </c>
      <c r="G2413" s="8" t="s">
        <v>2073</v>
      </c>
      <c r="H2413" s="8">
        <v>1</v>
      </c>
      <c r="I2413" s="8">
        <v>1</v>
      </c>
      <c r="J2413" s="8" t="s">
        <v>2077</v>
      </c>
      <c r="K2413" s="8" t="s">
        <v>490</v>
      </c>
      <c r="L2413" s="9">
        <v>46319</v>
      </c>
      <c r="M2413" s="8" t="s">
        <v>5864</v>
      </c>
      <c r="N2413" s="8" t="s">
        <v>5870</v>
      </c>
    </row>
    <row r="2414" spans="1:14" ht="40" customHeight="1">
      <c r="A2414" s="4" t="s">
        <v>8868</v>
      </c>
      <c r="B2414" s="4" t="s">
        <v>486</v>
      </c>
      <c r="C2414" s="4" t="s">
        <v>487</v>
      </c>
      <c r="D2414" s="4" t="s">
        <v>637</v>
      </c>
      <c r="E2414" s="4" t="s">
        <v>41</v>
      </c>
      <c r="F2414" s="4" t="s">
        <v>1019</v>
      </c>
      <c r="G2414" s="4" t="s">
        <v>2073</v>
      </c>
      <c r="H2414" s="4">
        <v>1</v>
      </c>
      <c r="I2414" s="4">
        <v>1</v>
      </c>
      <c r="J2414" s="4" t="s">
        <v>2080</v>
      </c>
      <c r="K2414" s="4" t="s">
        <v>490</v>
      </c>
      <c r="L2414" s="6">
        <v>46319</v>
      </c>
      <c r="M2414" s="4" t="s">
        <v>5864</v>
      </c>
      <c r="N2414" s="4" t="s">
        <v>5870</v>
      </c>
    </row>
    <row r="2415" spans="1:14" ht="40" customHeight="1">
      <c r="A2415" s="8" t="s">
        <v>8869</v>
      </c>
      <c r="B2415" s="8" t="s">
        <v>486</v>
      </c>
      <c r="C2415" s="8" t="s">
        <v>487</v>
      </c>
      <c r="D2415" s="8" t="s">
        <v>637</v>
      </c>
      <c r="E2415" s="8" t="s">
        <v>41</v>
      </c>
      <c r="F2415" s="8" t="s">
        <v>1147</v>
      </c>
      <c r="G2415" s="8" t="s">
        <v>2073</v>
      </c>
      <c r="H2415" s="8">
        <v>1</v>
      </c>
      <c r="I2415" s="8">
        <v>1</v>
      </c>
      <c r="J2415" s="8" t="s">
        <v>2083</v>
      </c>
      <c r="K2415" s="8" t="s">
        <v>490</v>
      </c>
      <c r="L2415" s="9">
        <v>46319</v>
      </c>
      <c r="M2415" s="8" t="s">
        <v>5864</v>
      </c>
      <c r="N2415" s="8" t="s">
        <v>5870</v>
      </c>
    </row>
    <row r="2416" spans="1:14" ht="40" customHeight="1">
      <c r="A2416" s="4" t="s">
        <v>8870</v>
      </c>
      <c r="B2416" s="4" t="s">
        <v>486</v>
      </c>
      <c r="C2416" s="4" t="s">
        <v>487</v>
      </c>
      <c r="D2416" s="4" t="s">
        <v>637</v>
      </c>
      <c r="E2416" s="4" t="s">
        <v>41</v>
      </c>
      <c r="F2416" s="4" t="s">
        <v>1254</v>
      </c>
      <c r="G2416" s="4" t="s">
        <v>2073</v>
      </c>
      <c r="H2416" s="4">
        <v>1</v>
      </c>
      <c r="I2416" s="4">
        <v>1</v>
      </c>
      <c r="J2416" s="4" t="s">
        <v>2086</v>
      </c>
      <c r="K2416" s="4" t="s">
        <v>490</v>
      </c>
      <c r="L2416" s="6">
        <v>46319</v>
      </c>
      <c r="M2416" s="4" t="s">
        <v>5864</v>
      </c>
      <c r="N2416" s="4" t="s">
        <v>5870</v>
      </c>
    </row>
    <row r="2417" spans="1:14" ht="40" customHeight="1">
      <c r="A2417" s="8" t="s">
        <v>8871</v>
      </c>
      <c r="B2417" s="8" t="s">
        <v>486</v>
      </c>
      <c r="C2417" s="8" t="s">
        <v>487</v>
      </c>
      <c r="D2417" s="8" t="s">
        <v>637</v>
      </c>
      <c r="E2417" s="8" t="s">
        <v>41</v>
      </c>
      <c r="F2417" s="8" t="s">
        <v>1258</v>
      </c>
      <c r="G2417" s="8" t="s">
        <v>2073</v>
      </c>
      <c r="H2417" s="8">
        <v>1</v>
      </c>
      <c r="I2417" s="8">
        <v>1</v>
      </c>
      <c r="J2417" s="8" t="s">
        <v>2089</v>
      </c>
      <c r="K2417" s="8" t="s">
        <v>490</v>
      </c>
      <c r="L2417" s="9">
        <v>46319</v>
      </c>
      <c r="M2417" s="8" t="s">
        <v>5864</v>
      </c>
      <c r="N2417" s="8" t="s">
        <v>5870</v>
      </c>
    </row>
    <row r="2418" spans="1:14" ht="40" customHeight="1">
      <c r="A2418" s="4" t="s">
        <v>8872</v>
      </c>
      <c r="B2418" s="4" t="s">
        <v>486</v>
      </c>
      <c r="C2418" s="4" t="s">
        <v>487</v>
      </c>
      <c r="D2418" s="4" t="s">
        <v>637</v>
      </c>
      <c r="E2418" s="4" t="s">
        <v>41</v>
      </c>
      <c r="F2418" s="4" t="s">
        <v>1262</v>
      </c>
      <c r="G2418" s="4" t="s">
        <v>2073</v>
      </c>
      <c r="H2418" s="4">
        <v>1</v>
      </c>
      <c r="I2418" s="4">
        <v>1</v>
      </c>
      <c r="J2418" s="4" t="s">
        <v>2092</v>
      </c>
      <c r="K2418" s="4" t="s">
        <v>490</v>
      </c>
      <c r="L2418" s="6">
        <v>46319</v>
      </c>
      <c r="M2418" s="4" t="s">
        <v>5864</v>
      </c>
      <c r="N2418" s="4" t="s">
        <v>5870</v>
      </c>
    </row>
    <row r="2419" spans="1:14" ht="40" customHeight="1">
      <c r="A2419" s="8" t="s">
        <v>5631</v>
      </c>
      <c r="B2419" s="8" t="s">
        <v>486</v>
      </c>
      <c r="C2419" s="8" t="s">
        <v>487</v>
      </c>
      <c r="D2419" s="8" t="s">
        <v>7</v>
      </c>
      <c r="E2419" s="8" t="s">
        <v>41</v>
      </c>
      <c r="F2419" s="8" t="s">
        <v>6212</v>
      </c>
      <c r="G2419" s="8" t="s">
        <v>2073</v>
      </c>
      <c r="H2419" s="8">
        <v>1</v>
      </c>
      <c r="I2419" s="8">
        <v>1</v>
      </c>
      <c r="J2419" s="8" t="s">
        <v>4969</v>
      </c>
      <c r="K2419" s="8" t="s">
        <v>490</v>
      </c>
      <c r="L2419" s="9">
        <v>46319</v>
      </c>
      <c r="M2419" s="8" t="s">
        <v>5864</v>
      </c>
      <c r="N2419" s="8" t="s">
        <v>5870</v>
      </c>
    </row>
    <row r="2420" spans="1:14" ht="40" customHeight="1">
      <c r="A2420" s="4" t="s">
        <v>5632</v>
      </c>
      <c r="B2420" s="4" t="s">
        <v>486</v>
      </c>
      <c r="C2420" s="4" t="s">
        <v>487</v>
      </c>
      <c r="D2420" s="4" t="s">
        <v>7</v>
      </c>
      <c r="E2420" s="4" t="s">
        <v>41</v>
      </c>
      <c r="F2420" s="4" t="s">
        <v>6213</v>
      </c>
      <c r="G2420" s="4" t="s">
        <v>2073</v>
      </c>
      <c r="H2420" s="4">
        <v>1</v>
      </c>
      <c r="I2420" s="4">
        <v>1</v>
      </c>
      <c r="J2420" s="4" t="s">
        <v>4971</v>
      </c>
      <c r="K2420" s="4" t="s">
        <v>490</v>
      </c>
      <c r="L2420" s="6">
        <v>46319</v>
      </c>
      <c r="M2420" s="4" t="s">
        <v>5864</v>
      </c>
      <c r="N2420" s="4" t="s">
        <v>5870</v>
      </c>
    </row>
    <row r="2421" spans="1:14" ht="40" customHeight="1">
      <c r="A2421" s="8" t="s">
        <v>5633</v>
      </c>
      <c r="B2421" s="8" t="s">
        <v>486</v>
      </c>
      <c r="C2421" s="8" t="s">
        <v>487</v>
      </c>
      <c r="D2421" s="8" t="s">
        <v>7</v>
      </c>
      <c r="E2421" s="8" t="s">
        <v>41</v>
      </c>
      <c r="F2421" s="8" t="s">
        <v>6214</v>
      </c>
      <c r="G2421" s="8" t="s">
        <v>2073</v>
      </c>
      <c r="H2421" s="8">
        <v>1</v>
      </c>
      <c r="I2421" s="8">
        <v>1</v>
      </c>
      <c r="J2421" s="8" t="s">
        <v>4973</v>
      </c>
      <c r="K2421" s="8" t="s">
        <v>490</v>
      </c>
      <c r="L2421" s="9">
        <v>46319</v>
      </c>
      <c r="M2421" s="8" t="s">
        <v>5864</v>
      </c>
      <c r="N2421" s="8" t="s">
        <v>5870</v>
      </c>
    </row>
    <row r="2422" spans="1:14" ht="40" customHeight="1">
      <c r="A2422" s="4" t="s">
        <v>5634</v>
      </c>
      <c r="B2422" s="4" t="s">
        <v>486</v>
      </c>
      <c r="C2422" s="4" t="s">
        <v>487</v>
      </c>
      <c r="D2422" s="4" t="s">
        <v>7</v>
      </c>
      <c r="E2422" s="4" t="s">
        <v>41</v>
      </c>
      <c r="F2422" s="4" t="s">
        <v>6215</v>
      </c>
      <c r="G2422" s="4" t="s">
        <v>2073</v>
      </c>
      <c r="H2422" s="4">
        <v>1</v>
      </c>
      <c r="I2422" s="4">
        <v>1</v>
      </c>
      <c r="J2422" s="4" t="s">
        <v>5479</v>
      </c>
      <c r="K2422" s="4" t="s">
        <v>490</v>
      </c>
      <c r="L2422" s="6">
        <v>46319</v>
      </c>
      <c r="M2422" s="4" t="s">
        <v>5864</v>
      </c>
      <c r="N2422" s="4" t="s">
        <v>5870</v>
      </c>
    </row>
    <row r="2423" spans="1:14" ht="40" customHeight="1">
      <c r="A2423" s="8" t="s">
        <v>5635</v>
      </c>
      <c r="B2423" s="8" t="s">
        <v>486</v>
      </c>
      <c r="C2423" s="8" t="s">
        <v>487</v>
      </c>
      <c r="D2423" s="8" t="s">
        <v>7</v>
      </c>
      <c r="E2423" s="8" t="s">
        <v>41</v>
      </c>
      <c r="F2423" s="8" t="s">
        <v>6216</v>
      </c>
      <c r="G2423" s="8" t="s">
        <v>2073</v>
      </c>
      <c r="H2423" s="8">
        <v>1</v>
      </c>
      <c r="I2423" s="8">
        <v>1</v>
      </c>
      <c r="J2423" s="8" t="s">
        <v>4975</v>
      </c>
      <c r="K2423" s="8" t="s">
        <v>490</v>
      </c>
      <c r="L2423" s="9">
        <v>46319</v>
      </c>
      <c r="M2423" s="8" t="s">
        <v>5864</v>
      </c>
      <c r="N2423" s="8" t="s">
        <v>5870</v>
      </c>
    </row>
    <row r="2424" spans="1:14" ht="40" customHeight="1">
      <c r="A2424" s="4" t="s">
        <v>5636</v>
      </c>
      <c r="B2424" s="4" t="s">
        <v>486</v>
      </c>
      <c r="C2424" s="4" t="s">
        <v>487</v>
      </c>
      <c r="D2424" s="4" t="s">
        <v>7</v>
      </c>
      <c r="E2424" s="4" t="s">
        <v>41</v>
      </c>
      <c r="F2424" s="4" t="s">
        <v>6284</v>
      </c>
      <c r="G2424" s="4" t="s">
        <v>2073</v>
      </c>
      <c r="H2424" s="4">
        <v>1</v>
      </c>
      <c r="I2424" s="4">
        <v>1</v>
      </c>
      <c r="J2424" s="4" t="s">
        <v>5482</v>
      </c>
      <c r="K2424" s="4" t="s">
        <v>490</v>
      </c>
      <c r="L2424" s="6">
        <v>46319</v>
      </c>
      <c r="M2424" s="4" t="s">
        <v>5864</v>
      </c>
      <c r="N2424" s="4" t="s">
        <v>5870</v>
      </c>
    </row>
    <row r="2425" spans="1:14" ht="40" customHeight="1">
      <c r="A2425" s="8" t="s">
        <v>5637</v>
      </c>
      <c r="B2425" s="8" t="s">
        <v>486</v>
      </c>
      <c r="C2425" s="8" t="s">
        <v>487</v>
      </c>
      <c r="D2425" s="8" t="s">
        <v>7</v>
      </c>
      <c r="E2425" s="8" t="s">
        <v>41</v>
      </c>
      <c r="F2425" s="8" t="s">
        <v>6285</v>
      </c>
      <c r="G2425" s="8" t="s">
        <v>2073</v>
      </c>
      <c r="H2425" s="8">
        <v>1</v>
      </c>
      <c r="I2425" s="8">
        <v>1</v>
      </c>
      <c r="J2425" s="8" t="s">
        <v>5638</v>
      </c>
      <c r="K2425" s="8" t="s">
        <v>490</v>
      </c>
      <c r="L2425" s="9">
        <v>46319</v>
      </c>
      <c r="M2425" s="8" t="s">
        <v>5864</v>
      </c>
      <c r="N2425" s="8" t="s">
        <v>5870</v>
      </c>
    </row>
    <row r="2426" spans="1:14" ht="40" customHeight="1">
      <c r="A2426" s="4" t="s">
        <v>5639</v>
      </c>
      <c r="B2426" s="4" t="s">
        <v>486</v>
      </c>
      <c r="C2426" s="4" t="s">
        <v>487</v>
      </c>
      <c r="D2426" s="4" t="s">
        <v>7</v>
      </c>
      <c r="E2426" s="4" t="s">
        <v>41</v>
      </c>
      <c r="F2426" s="4" t="s">
        <v>6286</v>
      </c>
      <c r="G2426" s="4" t="s">
        <v>2073</v>
      </c>
      <c r="H2426" s="4">
        <v>1</v>
      </c>
      <c r="I2426" s="4">
        <v>1</v>
      </c>
      <c r="J2426" s="4" t="s">
        <v>5484</v>
      </c>
      <c r="K2426" s="4" t="s">
        <v>490</v>
      </c>
      <c r="L2426" s="6">
        <v>46319</v>
      </c>
      <c r="M2426" s="4" t="s">
        <v>5864</v>
      </c>
      <c r="N2426" s="4" t="s">
        <v>5870</v>
      </c>
    </row>
    <row r="2427" spans="1:14" ht="40" customHeight="1">
      <c r="A2427" s="8" t="s">
        <v>5640</v>
      </c>
      <c r="B2427" s="8" t="s">
        <v>486</v>
      </c>
      <c r="C2427" s="8" t="s">
        <v>487</v>
      </c>
      <c r="D2427" s="8" t="s">
        <v>7</v>
      </c>
      <c r="E2427" s="8" t="s">
        <v>41</v>
      </c>
      <c r="F2427" s="8" t="s">
        <v>6287</v>
      </c>
      <c r="G2427" s="8" t="s">
        <v>2073</v>
      </c>
      <c r="H2427" s="8">
        <v>1</v>
      </c>
      <c r="I2427" s="8">
        <v>1</v>
      </c>
      <c r="J2427" s="8" t="s">
        <v>5641</v>
      </c>
      <c r="K2427" s="8" t="s">
        <v>490</v>
      </c>
      <c r="L2427" s="9">
        <v>46319</v>
      </c>
      <c r="M2427" s="8" t="s">
        <v>5864</v>
      </c>
      <c r="N2427" s="8" t="s">
        <v>5870</v>
      </c>
    </row>
    <row r="2428" spans="1:14" ht="40" customHeight="1">
      <c r="A2428" s="4" t="s">
        <v>5642</v>
      </c>
      <c r="B2428" s="4" t="s">
        <v>486</v>
      </c>
      <c r="C2428" s="4" t="s">
        <v>487</v>
      </c>
      <c r="D2428" s="4" t="s">
        <v>7</v>
      </c>
      <c r="E2428" s="4" t="s">
        <v>41</v>
      </c>
      <c r="F2428" s="4" t="s">
        <v>6288</v>
      </c>
      <c r="G2428" s="4" t="s">
        <v>2073</v>
      </c>
      <c r="H2428" s="4">
        <v>1</v>
      </c>
      <c r="I2428" s="4">
        <v>1</v>
      </c>
      <c r="J2428" s="4" t="s">
        <v>5643</v>
      </c>
      <c r="K2428" s="4" t="s">
        <v>490</v>
      </c>
      <c r="L2428" s="6">
        <v>46319</v>
      </c>
      <c r="M2428" s="4" t="s">
        <v>5864</v>
      </c>
      <c r="N2428" s="4" t="s">
        <v>5870</v>
      </c>
    </row>
    <row r="2429" spans="1:14" ht="40" customHeight="1">
      <c r="A2429" s="8" t="s">
        <v>4727</v>
      </c>
      <c r="B2429" s="8" t="s">
        <v>486</v>
      </c>
      <c r="C2429" s="8" t="s">
        <v>487</v>
      </c>
      <c r="D2429" s="8" t="s">
        <v>5879</v>
      </c>
      <c r="E2429" s="8" t="s">
        <v>41</v>
      </c>
      <c r="F2429" s="8" t="s">
        <v>3449</v>
      </c>
      <c r="G2429" s="8" t="s">
        <v>2073</v>
      </c>
      <c r="H2429" s="8">
        <v>1</v>
      </c>
      <c r="I2429" s="8">
        <v>1</v>
      </c>
      <c r="J2429" s="8" t="s">
        <v>4728</v>
      </c>
      <c r="K2429" s="8" t="s">
        <v>490</v>
      </c>
      <c r="L2429" s="9">
        <v>46319</v>
      </c>
      <c r="M2429" s="8" t="s">
        <v>5864</v>
      </c>
      <c r="N2429" s="8" t="s">
        <v>5865</v>
      </c>
    </row>
    <row r="2430" spans="1:14" ht="40" customHeight="1">
      <c r="A2430" s="4" t="s">
        <v>4729</v>
      </c>
      <c r="B2430" s="4" t="s">
        <v>486</v>
      </c>
      <c r="C2430" s="4" t="s">
        <v>487</v>
      </c>
      <c r="D2430" s="4" t="s">
        <v>5879</v>
      </c>
      <c r="E2430" s="4" t="s">
        <v>41</v>
      </c>
      <c r="F2430" s="4" t="s">
        <v>3466</v>
      </c>
      <c r="G2430" s="4" t="s">
        <v>2073</v>
      </c>
      <c r="H2430" s="4">
        <v>1</v>
      </c>
      <c r="I2430" s="4">
        <v>1</v>
      </c>
      <c r="J2430" s="4" t="s">
        <v>3692</v>
      </c>
      <c r="K2430" s="4" t="s">
        <v>490</v>
      </c>
      <c r="L2430" s="6">
        <v>46319</v>
      </c>
      <c r="M2430" s="4" t="s">
        <v>5864</v>
      </c>
      <c r="N2430" s="4" t="s">
        <v>5865</v>
      </c>
    </row>
    <row r="2431" spans="1:14" ht="40" customHeight="1">
      <c r="A2431" s="8" t="s">
        <v>4730</v>
      </c>
      <c r="B2431" s="8" t="s">
        <v>486</v>
      </c>
      <c r="C2431" s="8" t="s">
        <v>487</v>
      </c>
      <c r="D2431" s="8" t="s">
        <v>5879</v>
      </c>
      <c r="E2431" s="8" t="s">
        <v>41</v>
      </c>
      <c r="F2431" s="8" t="s">
        <v>3469</v>
      </c>
      <c r="G2431" s="8" t="s">
        <v>2073</v>
      </c>
      <c r="H2431" s="8">
        <v>1</v>
      </c>
      <c r="I2431" s="8">
        <v>1</v>
      </c>
      <c r="J2431" s="8" t="s">
        <v>4731</v>
      </c>
      <c r="K2431" s="8" t="s">
        <v>490</v>
      </c>
      <c r="L2431" s="9">
        <v>46319</v>
      </c>
      <c r="M2431" s="8" t="s">
        <v>5864</v>
      </c>
      <c r="N2431" s="8" t="s">
        <v>5865</v>
      </c>
    </row>
    <row r="2432" spans="1:14" ht="40" customHeight="1">
      <c r="A2432" s="4" t="s">
        <v>4732</v>
      </c>
      <c r="B2432" s="4" t="s">
        <v>486</v>
      </c>
      <c r="C2432" s="4" t="s">
        <v>487</v>
      </c>
      <c r="D2432" s="4" t="s">
        <v>5879</v>
      </c>
      <c r="E2432" s="4" t="s">
        <v>41</v>
      </c>
      <c r="F2432" s="4" t="s">
        <v>3472</v>
      </c>
      <c r="G2432" s="4" t="s">
        <v>2073</v>
      </c>
      <c r="H2432" s="4">
        <v>1</v>
      </c>
      <c r="I2432" s="4">
        <v>1</v>
      </c>
      <c r="J2432" s="4" t="s">
        <v>4733</v>
      </c>
      <c r="K2432" s="4" t="s">
        <v>490</v>
      </c>
      <c r="L2432" s="6">
        <v>46319</v>
      </c>
      <c r="M2432" s="4" t="s">
        <v>5864</v>
      </c>
      <c r="N2432" s="4" t="s">
        <v>5865</v>
      </c>
    </row>
    <row r="2433" spans="1:14" ht="54" customHeight="1">
      <c r="A2433" s="8" t="s">
        <v>8873</v>
      </c>
      <c r="B2433" s="8" t="s">
        <v>486</v>
      </c>
      <c r="C2433" s="8" t="s">
        <v>487</v>
      </c>
      <c r="D2433" s="8" t="s">
        <v>2969</v>
      </c>
      <c r="E2433" s="8" t="s">
        <v>41</v>
      </c>
      <c r="F2433" s="8" t="s">
        <v>5881</v>
      </c>
      <c r="G2433" s="8" t="s">
        <v>2073</v>
      </c>
      <c r="H2433" s="8">
        <v>1</v>
      </c>
      <c r="I2433" s="8">
        <v>1</v>
      </c>
      <c r="J2433" s="8" t="s">
        <v>8874</v>
      </c>
      <c r="K2433" s="8" t="s">
        <v>490</v>
      </c>
      <c r="L2433" s="9">
        <v>46319</v>
      </c>
      <c r="M2433" s="8" t="s">
        <v>5864</v>
      </c>
      <c r="N2433" s="8" t="s">
        <v>5883</v>
      </c>
    </row>
    <row r="2434" spans="1:14" ht="54" customHeight="1">
      <c r="A2434" s="4" t="s">
        <v>8875</v>
      </c>
      <c r="B2434" s="4" t="s">
        <v>486</v>
      </c>
      <c r="C2434" s="4" t="s">
        <v>487</v>
      </c>
      <c r="D2434" s="4" t="s">
        <v>2969</v>
      </c>
      <c r="E2434" s="4" t="s">
        <v>41</v>
      </c>
      <c r="F2434" s="4" t="s">
        <v>5885</v>
      </c>
      <c r="G2434" s="4" t="s">
        <v>2073</v>
      </c>
      <c r="H2434" s="4">
        <v>1</v>
      </c>
      <c r="I2434" s="4">
        <v>1</v>
      </c>
      <c r="J2434" s="4" t="s">
        <v>6321</v>
      </c>
      <c r="K2434" s="4" t="s">
        <v>490</v>
      </c>
      <c r="L2434" s="6">
        <v>46319</v>
      </c>
      <c r="M2434" s="4" t="s">
        <v>5864</v>
      </c>
      <c r="N2434" s="4" t="s">
        <v>5883</v>
      </c>
    </row>
    <row r="2435" spans="1:14" ht="54" customHeight="1">
      <c r="A2435" s="8" t="s">
        <v>8876</v>
      </c>
      <c r="B2435" s="8" t="s">
        <v>486</v>
      </c>
      <c r="C2435" s="8" t="s">
        <v>487</v>
      </c>
      <c r="D2435" s="8" t="s">
        <v>2969</v>
      </c>
      <c r="E2435" s="8" t="s">
        <v>41</v>
      </c>
      <c r="F2435" s="8" t="s">
        <v>5888</v>
      </c>
      <c r="G2435" s="8" t="s">
        <v>2073</v>
      </c>
      <c r="H2435" s="8">
        <v>1</v>
      </c>
      <c r="I2435" s="8">
        <v>1</v>
      </c>
      <c r="J2435" s="8" t="s">
        <v>8877</v>
      </c>
      <c r="K2435" s="8" t="s">
        <v>490</v>
      </c>
      <c r="L2435" s="9">
        <v>46319</v>
      </c>
      <c r="M2435" s="8" t="s">
        <v>5864</v>
      </c>
      <c r="N2435" s="8" t="s">
        <v>5883</v>
      </c>
    </row>
    <row r="2436" spans="1:14" ht="40" customHeight="1">
      <c r="A2436" s="4" t="s">
        <v>8878</v>
      </c>
      <c r="B2436" s="4" t="s">
        <v>486</v>
      </c>
      <c r="C2436" s="4" t="s">
        <v>487</v>
      </c>
      <c r="D2436" s="4" t="s">
        <v>2969</v>
      </c>
      <c r="E2436" s="4" t="s">
        <v>41</v>
      </c>
      <c r="F2436" s="4" t="s">
        <v>5891</v>
      </c>
      <c r="G2436" s="4" t="s">
        <v>2073</v>
      </c>
      <c r="H2436" s="4">
        <v>1</v>
      </c>
      <c r="I2436" s="4">
        <v>1</v>
      </c>
      <c r="J2436" s="4" t="s">
        <v>8879</v>
      </c>
      <c r="K2436" s="4" t="s">
        <v>490</v>
      </c>
      <c r="L2436" s="6">
        <v>46319</v>
      </c>
      <c r="M2436" s="4" t="s">
        <v>5864</v>
      </c>
      <c r="N2436" s="4" t="s">
        <v>5883</v>
      </c>
    </row>
    <row r="2437" spans="1:14" ht="54" customHeight="1">
      <c r="A2437" s="8" t="s">
        <v>8880</v>
      </c>
      <c r="B2437" s="8" t="s">
        <v>486</v>
      </c>
      <c r="C2437" s="8" t="s">
        <v>487</v>
      </c>
      <c r="D2437" s="8" t="s">
        <v>2969</v>
      </c>
      <c r="E2437" s="8" t="s">
        <v>41</v>
      </c>
      <c r="F2437" s="8" t="s">
        <v>5894</v>
      </c>
      <c r="G2437" s="8" t="s">
        <v>2073</v>
      </c>
      <c r="H2437" s="8">
        <v>1</v>
      </c>
      <c r="I2437" s="8">
        <v>1</v>
      </c>
      <c r="J2437" s="8" t="s">
        <v>8881</v>
      </c>
      <c r="K2437" s="8" t="s">
        <v>490</v>
      </c>
      <c r="L2437" s="9">
        <v>46319</v>
      </c>
      <c r="M2437" s="8" t="s">
        <v>5864</v>
      </c>
      <c r="N2437" s="8" t="s">
        <v>5883</v>
      </c>
    </row>
    <row r="2438" spans="1:14" ht="54" customHeight="1">
      <c r="A2438" s="4" t="s">
        <v>8882</v>
      </c>
      <c r="B2438" s="4" t="s">
        <v>486</v>
      </c>
      <c r="C2438" s="4" t="s">
        <v>487</v>
      </c>
      <c r="D2438" s="4" t="s">
        <v>2969</v>
      </c>
      <c r="E2438" s="4" t="s">
        <v>41</v>
      </c>
      <c r="F2438" s="4" t="s">
        <v>5897</v>
      </c>
      <c r="G2438" s="4" t="s">
        <v>2073</v>
      </c>
      <c r="H2438" s="4">
        <v>1</v>
      </c>
      <c r="I2438" s="4">
        <v>1</v>
      </c>
      <c r="J2438" s="4" t="s">
        <v>8883</v>
      </c>
      <c r="K2438" s="4" t="s">
        <v>490</v>
      </c>
      <c r="L2438" s="6">
        <v>46319</v>
      </c>
      <c r="M2438" s="4" t="s">
        <v>5864</v>
      </c>
      <c r="N2438" s="4" t="s">
        <v>5883</v>
      </c>
    </row>
    <row r="2439" spans="1:14" ht="54" customHeight="1">
      <c r="A2439" s="8" t="s">
        <v>8884</v>
      </c>
      <c r="B2439" s="8" t="s">
        <v>486</v>
      </c>
      <c r="C2439" s="8" t="s">
        <v>487</v>
      </c>
      <c r="D2439" s="8" t="s">
        <v>2969</v>
      </c>
      <c r="E2439" s="8" t="s">
        <v>41</v>
      </c>
      <c r="F2439" s="8" t="s">
        <v>5900</v>
      </c>
      <c r="G2439" s="8" t="s">
        <v>2073</v>
      </c>
      <c r="H2439" s="8">
        <v>1</v>
      </c>
      <c r="I2439" s="8">
        <v>1</v>
      </c>
      <c r="J2439" s="8" t="s">
        <v>8885</v>
      </c>
      <c r="K2439" s="8" t="s">
        <v>490</v>
      </c>
      <c r="L2439" s="9">
        <v>46319</v>
      </c>
      <c r="M2439" s="8" t="s">
        <v>5864</v>
      </c>
      <c r="N2439" s="8" t="s">
        <v>5883</v>
      </c>
    </row>
    <row r="2440" spans="1:14" ht="40" customHeight="1">
      <c r="A2440" s="4" t="s">
        <v>8886</v>
      </c>
      <c r="B2440" s="4" t="s">
        <v>486</v>
      </c>
      <c r="C2440" s="4" t="s">
        <v>487</v>
      </c>
      <c r="D2440" s="4" t="s">
        <v>2969</v>
      </c>
      <c r="E2440" s="4" t="s">
        <v>41</v>
      </c>
      <c r="F2440" s="4" t="s">
        <v>5903</v>
      </c>
      <c r="G2440" s="4" t="s">
        <v>2073</v>
      </c>
      <c r="H2440" s="4">
        <v>1</v>
      </c>
      <c r="I2440" s="4">
        <v>1</v>
      </c>
      <c r="J2440" s="4" t="s">
        <v>8887</v>
      </c>
      <c r="K2440" s="4" t="s">
        <v>490</v>
      </c>
      <c r="L2440" s="6">
        <v>46319</v>
      </c>
      <c r="M2440" s="4" t="s">
        <v>5864</v>
      </c>
      <c r="N2440" s="4" t="s">
        <v>5883</v>
      </c>
    </row>
    <row r="2441" spans="1:14" ht="40" customHeight="1">
      <c r="A2441" s="8" t="s">
        <v>8888</v>
      </c>
      <c r="B2441" s="8" t="s">
        <v>486</v>
      </c>
      <c r="C2441" s="8" t="s">
        <v>487</v>
      </c>
      <c r="D2441" s="8" t="s">
        <v>2969</v>
      </c>
      <c r="E2441" s="8" t="s">
        <v>41</v>
      </c>
      <c r="F2441" s="8" t="s">
        <v>5906</v>
      </c>
      <c r="G2441" s="8" t="s">
        <v>2073</v>
      </c>
      <c r="H2441" s="8">
        <v>1</v>
      </c>
      <c r="I2441" s="8">
        <v>1</v>
      </c>
      <c r="J2441" s="8" t="s">
        <v>8889</v>
      </c>
      <c r="K2441" s="8" t="s">
        <v>490</v>
      </c>
      <c r="L2441" s="9">
        <v>46319</v>
      </c>
      <c r="M2441" s="8" t="s">
        <v>5864</v>
      </c>
      <c r="N2441" s="8" t="s">
        <v>5883</v>
      </c>
    </row>
    <row r="2442" spans="1:14" ht="40" customHeight="1">
      <c r="A2442" s="4" t="s">
        <v>8890</v>
      </c>
      <c r="B2442" s="4" t="s">
        <v>486</v>
      </c>
      <c r="C2442" s="4" t="s">
        <v>487</v>
      </c>
      <c r="D2442" s="4" t="s">
        <v>2969</v>
      </c>
      <c r="E2442" s="4" t="s">
        <v>41</v>
      </c>
      <c r="F2442" s="4" t="s">
        <v>5909</v>
      </c>
      <c r="G2442" s="4" t="s">
        <v>2073</v>
      </c>
      <c r="H2442" s="4">
        <v>1</v>
      </c>
      <c r="I2442" s="4">
        <v>1</v>
      </c>
      <c r="J2442" s="4" t="s">
        <v>6352</v>
      </c>
      <c r="K2442" s="4" t="s">
        <v>490</v>
      </c>
      <c r="L2442" s="6">
        <v>46319</v>
      </c>
      <c r="M2442" s="4" t="s">
        <v>5864</v>
      </c>
      <c r="N2442" s="4" t="s">
        <v>5883</v>
      </c>
    </row>
    <row r="2443" spans="1:14" ht="68" customHeight="1">
      <c r="A2443" s="8" t="s">
        <v>8891</v>
      </c>
      <c r="B2443" s="8" t="s">
        <v>486</v>
      </c>
      <c r="C2443" s="8" t="s">
        <v>487</v>
      </c>
      <c r="D2443" s="8" t="s">
        <v>2969</v>
      </c>
      <c r="E2443" s="8" t="s">
        <v>41</v>
      </c>
      <c r="F2443" s="8" t="s">
        <v>5912</v>
      </c>
      <c r="G2443" s="8" t="s">
        <v>2073</v>
      </c>
      <c r="H2443" s="8">
        <v>1</v>
      </c>
      <c r="I2443" s="8">
        <v>1</v>
      </c>
      <c r="J2443" s="8" t="s">
        <v>6355</v>
      </c>
      <c r="K2443" s="8" t="s">
        <v>490</v>
      </c>
      <c r="L2443" s="9">
        <v>46319</v>
      </c>
      <c r="M2443" s="8" t="s">
        <v>5864</v>
      </c>
      <c r="N2443" s="8" t="s">
        <v>5883</v>
      </c>
    </row>
    <row r="2444" spans="1:14" ht="40" customHeight="1">
      <c r="A2444" s="4" t="s">
        <v>8892</v>
      </c>
      <c r="B2444" s="4" t="s">
        <v>486</v>
      </c>
      <c r="C2444" s="4" t="s">
        <v>487</v>
      </c>
      <c r="D2444" s="4" t="s">
        <v>2969</v>
      </c>
      <c r="E2444" s="4" t="s">
        <v>41</v>
      </c>
      <c r="F2444" s="4" t="s">
        <v>5973</v>
      </c>
      <c r="G2444" s="4" t="s">
        <v>2073</v>
      </c>
      <c r="H2444" s="4">
        <v>1</v>
      </c>
      <c r="I2444" s="4">
        <v>1</v>
      </c>
      <c r="J2444" s="4" t="s">
        <v>6434</v>
      </c>
      <c r="K2444" s="4" t="s">
        <v>490</v>
      </c>
      <c r="L2444" s="6">
        <v>46319</v>
      </c>
      <c r="M2444" s="4" t="s">
        <v>5864</v>
      </c>
      <c r="N2444" s="4" t="s">
        <v>5883</v>
      </c>
    </row>
    <row r="2445" spans="1:14" ht="40" customHeight="1">
      <c r="A2445" s="8" t="s">
        <v>8893</v>
      </c>
      <c r="B2445" s="8" t="s">
        <v>486</v>
      </c>
      <c r="C2445" s="8" t="s">
        <v>487</v>
      </c>
      <c r="D2445" s="8" t="s">
        <v>2969</v>
      </c>
      <c r="E2445" s="8" t="s">
        <v>41</v>
      </c>
      <c r="F2445" s="8" t="s">
        <v>5976</v>
      </c>
      <c r="G2445" s="8" t="s">
        <v>2073</v>
      </c>
      <c r="H2445" s="8">
        <v>1</v>
      </c>
      <c r="I2445" s="8">
        <v>1</v>
      </c>
      <c r="J2445" s="8" t="s">
        <v>6358</v>
      </c>
      <c r="K2445" s="8" t="s">
        <v>490</v>
      </c>
      <c r="L2445" s="9">
        <v>46319</v>
      </c>
      <c r="M2445" s="8" t="s">
        <v>5864</v>
      </c>
      <c r="N2445" s="8" t="s">
        <v>5883</v>
      </c>
    </row>
    <row r="2446" spans="1:14" ht="40" customHeight="1">
      <c r="A2446" s="4" t="s">
        <v>8894</v>
      </c>
      <c r="B2446" s="4" t="s">
        <v>486</v>
      </c>
      <c r="C2446" s="4" t="s">
        <v>487</v>
      </c>
      <c r="D2446" s="4" t="s">
        <v>2969</v>
      </c>
      <c r="E2446" s="4" t="s">
        <v>41</v>
      </c>
      <c r="F2446" s="4" t="s">
        <v>5979</v>
      </c>
      <c r="G2446" s="4" t="s">
        <v>2073</v>
      </c>
      <c r="H2446" s="4">
        <v>1</v>
      </c>
      <c r="I2446" s="4">
        <v>1</v>
      </c>
      <c r="J2446" s="4" t="s">
        <v>6361</v>
      </c>
      <c r="K2446" s="4" t="s">
        <v>490</v>
      </c>
      <c r="L2446" s="6">
        <v>46319</v>
      </c>
      <c r="M2446" s="4" t="s">
        <v>5864</v>
      </c>
      <c r="N2446" s="4" t="s">
        <v>5883</v>
      </c>
    </row>
    <row r="2447" spans="1:14" ht="40" customHeight="1">
      <c r="A2447" s="8" t="s">
        <v>8895</v>
      </c>
      <c r="B2447" s="8" t="s">
        <v>486</v>
      </c>
      <c r="C2447" s="8" t="s">
        <v>487</v>
      </c>
      <c r="D2447" s="8" t="s">
        <v>2969</v>
      </c>
      <c r="E2447" s="8" t="s">
        <v>41</v>
      </c>
      <c r="F2447" s="8" t="s">
        <v>5982</v>
      </c>
      <c r="G2447" s="8" t="s">
        <v>2073</v>
      </c>
      <c r="H2447" s="8">
        <v>1</v>
      </c>
      <c r="I2447" s="8">
        <v>1</v>
      </c>
      <c r="J2447" s="8" t="s">
        <v>6364</v>
      </c>
      <c r="K2447" s="8" t="s">
        <v>490</v>
      </c>
      <c r="L2447" s="9">
        <v>46319</v>
      </c>
      <c r="M2447" s="8" t="s">
        <v>5864</v>
      </c>
      <c r="N2447" s="8" t="s">
        <v>5883</v>
      </c>
    </row>
    <row r="2448" spans="1:14" ht="40" customHeight="1">
      <c r="A2448" s="4" t="s">
        <v>8896</v>
      </c>
      <c r="B2448" s="4" t="s">
        <v>486</v>
      </c>
      <c r="C2448" s="4" t="s">
        <v>487</v>
      </c>
      <c r="D2448" s="4" t="s">
        <v>2969</v>
      </c>
      <c r="E2448" s="4" t="s">
        <v>41</v>
      </c>
      <c r="F2448" s="4" t="s">
        <v>5985</v>
      </c>
      <c r="G2448" s="4" t="s">
        <v>2073</v>
      </c>
      <c r="H2448" s="4">
        <v>1</v>
      </c>
      <c r="I2448" s="4">
        <v>1</v>
      </c>
      <c r="J2448" s="4" t="s">
        <v>6367</v>
      </c>
      <c r="K2448" s="4" t="s">
        <v>490</v>
      </c>
      <c r="L2448" s="6">
        <v>46319</v>
      </c>
      <c r="M2448" s="4" t="s">
        <v>5864</v>
      </c>
      <c r="N2448" s="4" t="s">
        <v>5883</v>
      </c>
    </row>
    <row r="2449" spans="1:14" ht="40" customHeight="1">
      <c r="A2449" s="8" t="s">
        <v>8897</v>
      </c>
      <c r="B2449" s="8" t="s">
        <v>486</v>
      </c>
      <c r="C2449" s="8" t="s">
        <v>487</v>
      </c>
      <c r="D2449" s="8" t="s">
        <v>2969</v>
      </c>
      <c r="E2449" s="8" t="s">
        <v>41</v>
      </c>
      <c r="F2449" s="8" t="s">
        <v>5988</v>
      </c>
      <c r="G2449" s="8" t="s">
        <v>2073</v>
      </c>
      <c r="H2449" s="8">
        <v>1</v>
      </c>
      <c r="I2449" s="8">
        <v>1</v>
      </c>
      <c r="J2449" s="8" t="s">
        <v>6370</v>
      </c>
      <c r="K2449" s="8" t="s">
        <v>490</v>
      </c>
      <c r="L2449" s="9">
        <v>46319</v>
      </c>
      <c r="M2449" s="8" t="s">
        <v>5864</v>
      </c>
      <c r="N2449" s="8" t="s">
        <v>5883</v>
      </c>
    </row>
    <row r="2450" spans="1:14" ht="68" customHeight="1">
      <c r="A2450" s="4" t="s">
        <v>8898</v>
      </c>
      <c r="B2450" s="4" t="s">
        <v>486</v>
      </c>
      <c r="C2450" s="4" t="s">
        <v>487</v>
      </c>
      <c r="D2450" s="4" t="s">
        <v>2969</v>
      </c>
      <c r="E2450" s="4" t="s">
        <v>41</v>
      </c>
      <c r="F2450" s="4" t="s">
        <v>5991</v>
      </c>
      <c r="G2450" s="4" t="s">
        <v>2073</v>
      </c>
      <c r="H2450" s="4">
        <v>1</v>
      </c>
      <c r="I2450" s="4">
        <v>1</v>
      </c>
      <c r="J2450" s="4" t="s">
        <v>6373</v>
      </c>
      <c r="K2450" s="4" t="s">
        <v>490</v>
      </c>
      <c r="L2450" s="6">
        <v>46319</v>
      </c>
      <c r="M2450" s="4" t="s">
        <v>5864</v>
      </c>
      <c r="N2450" s="4" t="s">
        <v>5883</v>
      </c>
    </row>
    <row r="2451" spans="1:14" ht="54" customHeight="1">
      <c r="A2451" s="8" t="s">
        <v>8899</v>
      </c>
      <c r="B2451" s="8" t="s">
        <v>486</v>
      </c>
      <c r="C2451" s="8" t="s">
        <v>487</v>
      </c>
      <c r="D2451" s="8" t="s">
        <v>2969</v>
      </c>
      <c r="E2451" s="8" t="s">
        <v>41</v>
      </c>
      <c r="F2451" s="8" t="s">
        <v>6327</v>
      </c>
      <c r="G2451" s="8" t="s">
        <v>2073</v>
      </c>
      <c r="H2451" s="8">
        <v>1</v>
      </c>
      <c r="I2451" s="8">
        <v>1</v>
      </c>
      <c r="J2451" s="8" t="s">
        <v>6376</v>
      </c>
      <c r="K2451" s="8" t="s">
        <v>490</v>
      </c>
      <c r="L2451" s="9">
        <v>46319</v>
      </c>
      <c r="M2451" s="8" t="s">
        <v>5864</v>
      </c>
      <c r="N2451" s="8" t="s">
        <v>5883</v>
      </c>
    </row>
    <row r="2452" spans="1:14" ht="54" customHeight="1">
      <c r="A2452" s="4" t="s">
        <v>8900</v>
      </c>
      <c r="B2452" s="4" t="s">
        <v>486</v>
      </c>
      <c r="C2452" s="4" t="s">
        <v>487</v>
      </c>
      <c r="D2452" s="4" t="s">
        <v>2969</v>
      </c>
      <c r="E2452" s="4" t="s">
        <v>41</v>
      </c>
      <c r="F2452" s="4" t="s">
        <v>6330</v>
      </c>
      <c r="G2452" s="4" t="s">
        <v>2073</v>
      </c>
      <c r="H2452" s="4">
        <v>1</v>
      </c>
      <c r="I2452" s="4">
        <v>1</v>
      </c>
      <c r="J2452" s="4" t="s">
        <v>8901</v>
      </c>
      <c r="K2452" s="4" t="s">
        <v>490</v>
      </c>
      <c r="L2452" s="6">
        <v>46319</v>
      </c>
      <c r="M2452" s="4" t="s">
        <v>5864</v>
      </c>
      <c r="N2452" s="4" t="s">
        <v>5883</v>
      </c>
    </row>
    <row r="2453" spans="1:14" ht="68" customHeight="1">
      <c r="A2453" s="8" t="s">
        <v>8902</v>
      </c>
      <c r="B2453" s="8" t="s">
        <v>486</v>
      </c>
      <c r="C2453" s="8" t="s">
        <v>487</v>
      </c>
      <c r="D2453" s="8" t="s">
        <v>2969</v>
      </c>
      <c r="E2453" s="8" t="s">
        <v>41</v>
      </c>
      <c r="F2453" s="8" t="s">
        <v>6333</v>
      </c>
      <c r="G2453" s="8" t="s">
        <v>2073</v>
      </c>
      <c r="H2453" s="8">
        <v>1</v>
      </c>
      <c r="I2453" s="8">
        <v>1</v>
      </c>
      <c r="J2453" s="8" t="s">
        <v>6379</v>
      </c>
      <c r="K2453" s="8" t="s">
        <v>490</v>
      </c>
      <c r="L2453" s="9">
        <v>46319</v>
      </c>
      <c r="M2453" s="8" t="s">
        <v>5864</v>
      </c>
      <c r="N2453" s="8" t="s">
        <v>5883</v>
      </c>
    </row>
    <row r="2454" spans="1:14" ht="54" customHeight="1">
      <c r="A2454" s="4" t="s">
        <v>8903</v>
      </c>
      <c r="B2454" s="4" t="s">
        <v>486</v>
      </c>
      <c r="C2454" s="4" t="s">
        <v>487</v>
      </c>
      <c r="D2454" s="4" t="s">
        <v>2969</v>
      </c>
      <c r="E2454" s="4" t="s">
        <v>41</v>
      </c>
      <c r="F2454" s="4" t="s">
        <v>6336</v>
      </c>
      <c r="G2454" s="4" t="s">
        <v>2073</v>
      </c>
      <c r="H2454" s="4">
        <v>1</v>
      </c>
      <c r="I2454" s="4">
        <v>1</v>
      </c>
      <c r="J2454" s="4" t="s">
        <v>6382</v>
      </c>
      <c r="K2454" s="4" t="s">
        <v>490</v>
      </c>
      <c r="L2454" s="6">
        <v>46319</v>
      </c>
      <c r="M2454" s="4" t="s">
        <v>5864</v>
      </c>
      <c r="N2454" s="4" t="s">
        <v>5883</v>
      </c>
    </row>
    <row r="2455" spans="1:14" ht="54" customHeight="1">
      <c r="A2455" s="8" t="s">
        <v>8904</v>
      </c>
      <c r="B2455" s="8" t="s">
        <v>486</v>
      </c>
      <c r="C2455" s="8" t="s">
        <v>487</v>
      </c>
      <c r="D2455" s="8" t="s">
        <v>2969</v>
      </c>
      <c r="E2455" s="8" t="s">
        <v>41</v>
      </c>
      <c r="F2455" s="8" t="s">
        <v>6339</v>
      </c>
      <c r="G2455" s="8" t="s">
        <v>2073</v>
      </c>
      <c r="H2455" s="8">
        <v>1</v>
      </c>
      <c r="I2455" s="8">
        <v>1</v>
      </c>
      <c r="J2455" s="8" t="s">
        <v>6385</v>
      </c>
      <c r="K2455" s="8" t="s">
        <v>490</v>
      </c>
      <c r="L2455" s="9">
        <v>46319</v>
      </c>
      <c r="M2455" s="8" t="s">
        <v>5864</v>
      </c>
      <c r="N2455" s="8" t="s">
        <v>5883</v>
      </c>
    </row>
    <row r="2456" spans="1:14" ht="40" customHeight="1">
      <c r="A2456" s="4" t="s">
        <v>8905</v>
      </c>
      <c r="B2456" s="4" t="s">
        <v>486</v>
      </c>
      <c r="C2456" s="4" t="s">
        <v>487</v>
      </c>
      <c r="D2456" s="4" t="s">
        <v>2969</v>
      </c>
      <c r="E2456" s="4" t="s">
        <v>41</v>
      </c>
      <c r="F2456" s="4" t="s">
        <v>6342</v>
      </c>
      <c r="G2456" s="4" t="s">
        <v>2073</v>
      </c>
      <c r="H2456" s="4">
        <v>1</v>
      </c>
      <c r="I2456" s="4">
        <v>1</v>
      </c>
      <c r="J2456" s="4" t="s">
        <v>8906</v>
      </c>
      <c r="K2456" s="4" t="s">
        <v>490</v>
      </c>
      <c r="L2456" s="6">
        <v>46319</v>
      </c>
      <c r="M2456" s="4" t="s">
        <v>5864</v>
      </c>
      <c r="N2456" s="4" t="s">
        <v>5883</v>
      </c>
    </row>
    <row r="2457" spans="1:14" ht="54" customHeight="1">
      <c r="A2457" s="8" t="s">
        <v>8907</v>
      </c>
      <c r="B2457" s="8" t="s">
        <v>486</v>
      </c>
      <c r="C2457" s="8" t="s">
        <v>487</v>
      </c>
      <c r="D2457" s="8" t="s">
        <v>2969</v>
      </c>
      <c r="E2457" s="8" t="s">
        <v>41</v>
      </c>
      <c r="F2457" s="8" t="s">
        <v>6345</v>
      </c>
      <c r="G2457" s="8" t="s">
        <v>2073</v>
      </c>
      <c r="H2457" s="8">
        <v>1</v>
      </c>
      <c r="I2457" s="8">
        <v>1</v>
      </c>
      <c r="J2457" s="8" t="s">
        <v>8908</v>
      </c>
      <c r="K2457" s="8" t="s">
        <v>490</v>
      </c>
      <c r="L2457" s="9">
        <v>46319</v>
      </c>
      <c r="M2457" s="8" t="s">
        <v>5864</v>
      </c>
      <c r="N2457" s="8" t="s">
        <v>5883</v>
      </c>
    </row>
    <row r="2458" spans="1:14" ht="96" customHeight="1">
      <c r="A2458" s="4" t="s">
        <v>8909</v>
      </c>
      <c r="B2458" s="4" t="s">
        <v>493</v>
      </c>
      <c r="C2458" s="4" t="s">
        <v>494</v>
      </c>
      <c r="D2458" s="4" t="s">
        <v>5861</v>
      </c>
      <c r="E2458" s="4" t="s">
        <v>41</v>
      </c>
      <c r="F2458" s="4" t="s">
        <v>5862</v>
      </c>
      <c r="G2458" s="4" t="s">
        <v>2097</v>
      </c>
      <c r="H2458" s="4">
        <v>1</v>
      </c>
      <c r="I2458" s="4">
        <v>1</v>
      </c>
      <c r="J2458" s="4" t="s">
        <v>8910</v>
      </c>
      <c r="K2458" s="4" t="s">
        <v>498</v>
      </c>
      <c r="L2458" s="6">
        <v>46319</v>
      </c>
      <c r="M2458" s="4" t="s">
        <v>5864</v>
      </c>
      <c r="N2458" s="4" t="s">
        <v>5865</v>
      </c>
    </row>
    <row r="2459" spans="1:14" ht="40" customHeight="1">
      <c r="A2459" s="8" t="s">
        <v>8911</v>
      </c>
      <c r="B2459" s="8" t="s">
        <v>493</v>
      </c>
      <c r="C2459" s="8" t="s">
        <v>494</v>
      </c>
      <c r="D2459" s="8" t="s">
        <v>5867</v>
      </c>
      <c r="E2459" s="8" t="s">
        <v>41</v>
      </c>
      <c r="F2459" s="8" t="s">
        <v>5868</v>
      </c>
      <c r="G2459" s="8" t="s">
        <v>2097</v>
      </c>
      <c r="H2459" s="8">
        <v>1</v>
      </c>
      <c r="I2459" s="8">
        <v>1</v>
      </c>
      <c r="J2459" s="8" t="s">
        <v>8912</v>
      </c>
      <c r="K2459" s="8" t="s">
        <v>498</v>
      </c>
      <c r="L2459" s="9">
        <v>46319</v>
      </c>
      <c r="M2459" s="8" t="s">
        <v>5864</v>
      </c>
      <c r="N2459" s="8" t="s">
        <v>5870</v>
      </c>
    </row>
    <row r="2460" spans="1:14" ht="40" customHeight="1">
      <c r="A2460" s="4" t="s">
        <v>8913</v>
      </c>
      <c r="B2460" s="4" t="s">
        <v>493</v>
      </c>
      <c r="C2460" s="4" t="s">
        <v>494</v>
      </c>
      <c r="D2460" s="4" t="s">
        <v>5867</v>
      </c>
      <c r="E2460" s="4" t="s">
        <v>41</v>
      </c>
      <c r="F2460" s="4" t="s">
        <v>5872</v>
      </c>
      <c r="G2460" s="4" t="s">
        <v>2097</v>
      </c>
      <c r="H2460" s="4">
        <v>1</v>
      </c>
      <c r="I2460" s="4">
        <v>1</v>
      </c>
      <c r="J2460" s="4" t="s">
        <v>8914</v>
      </c>
      <c r="K2460" s="4" t="s">
        <v>498</v>
      </c>
      <c r="L2460" s="6">
        <v>46319</v>
      </c>
      <c r="M2460" s="4" t="s">
        <v>5864</v>
      </c>
      <c r="N2460" s="4" t="s">
        <v>5870</v>
      </c>
    </row>
    <row r="2461" spans="1:14" ht="40" customHeight="1">
      <c r="A2461" s="8" t="s">
        <v>8915</v>
      </c>
      <c r="B2461" s="8" t="s">
        <v>493</v>
      </c>
      <c r="C2461" s="8" t="s">
        <v>494</v>
      </c>
      <c r="D2461" s="8" t="s">
        <v>637</v>
      </c>
      <c r="E2461" s="8" t="s">
        <v>41</v>
      </c>
      <c r="F2461" s="8" t="s">
        <v>904</v>
      </c>
      <c r="G2461" s="8" t="s">
        <v>2097</v>
      </c>
      <c r="H2461" s="8">
        <v>1</v>
      </c>
      <c r="I2461" s="8">
        <v>1</v>
      </c>
      <c r="J2461" s="8" t="s">
        <v>1072</v>
      </c>
      <c r="K2461" s="8" t="s">
        <v>498</v>
      </c>
      <c r="L2461" s="9">
        <v>46319</v>
      </c>
      <c r="M2461" s="8" t="s">
        <v>5864</v>
      </c>
      <c r="N2461" s="8" t="s">
        <v>5870</v>
      </c>
    </row>
    <row r="2462" spans="1:14" ht="40" customHeight="1">
      <c r="A2462" s="4" t="s">
        <v>8916</v>
      </c>
      <c r="B2462" s="4" t="s">
        <v>493</v>
      </c>
      <c r="C2462" s="4" t="s">
        <v>494</v>
      </c>
      <c r="D2462" s="4" t="s">
        <v>637</v>
      </c>
      <c r="E2462" s="4" t="s">
        <v>41</v>
      </c>
      <c r="F2462" s="4" t="s">
        <v>912</v>
      </c>
      <c r="G2462" s="4" t="s">
        <v>2097</v>
      </c>
      <c r="H2462" s="4">
        <v>1</v>
      </c>
      <c r="I2462" s="4">
        <v>1</v>
      </c>
      <c r="J2462" s="4" t="s">
        <v>2099</v>
      </c>
      <c r="K2462" s="4" t="s">
        <v>498</v>
      </c>
      <c r="L2462" s="6">
        <v>46319</v>
      </c>
      <c r="M2462" s="4" t="s">
        <v>5864</v>
      </c>
      <c r="N2462" s="4" t="s">
        <v>5870</v>
      </c>
    </row>
    <row r="2463" spans="1:14" ht="40" customHeight="1">
      <c r="A2463" s="8" t="s">
        <v>8917</v>
      </c>
      <c r="B2463" s="8" t="s">
        <v>493</v>
      </c>
      <c r="C2463" s="8" t="s">
        <v>494</v>
      </c>
      <c r="D2463" s="8" t="s">
        <v>637</v>
      </c>
      <c r="E2463" s="8" t="s">
        <v>41</v>
      </c>
      <c r="F2463" s="8" t="s">
        <v>1015</v>
      </c>
      <c r="G2463" s="8" t="s">
        <v>2097</v>
      </c>
      <c r="H2463" s="8">
        <v>1</v>
      </c>
      <c r="I2463" s="8">
        <v>1</v>
      </c>
      <c r="J2463" s="8" t="s">
        <v>2102</v>
      </c>
      <c r="K2463" s="8" t="s">
        <v>498</v>
      </c>
      <c r="L2463" s="9">
        <v>46319</v>
      </c>
      <c r="M2463" s="8" t="s">
        <v>5864</v>
      </c>
      <c r="N2463" s="8" t="s">
        <v>5870</v>
      </c>
    </row>
    <row r="2464" spans="1:14" ht="40" customHeight="1">
      <c r="A2464" s="4" t="s">
        <v>8918</v>
      </c>
      <c r="B2464" s="4" t="s">
        <v>493</v>
      </c>
      <c r="C2464" s="4" t="s">
        <v>494</v>
      </c>
      <c r="D2464" s="4" t="s">
        <v>637</v>
      </c>
      <c r="E2464" s="4" t="s">
        <v>41</v>
      </c>
      <c r="F2464" s="4" t="s">
        <v>1019</v>
      </c>
      <c r="G2464" s="4" t="s">
        <v>2097</v>
      </c>
      <c r="H2464" s="4">
        <v>1</v>
      </c>
      <c r="I2464" s="4">
        <v>1</v>
      </c>
      <c r="J2464" s="4" t="s">
        <v>2105</v>
      </c>
      <c r="K2464" s="4" t="s">
        <v>498</v>
      </c>
      <c r="L2464" s="6">
        <v>46319</v>
      </c>
      <c r="M2464" s="4" t="s">
        <v>5864</v>
      </c>
      <c r="N2464" s="4" t="s">
        <v>5870</v>
      </c>
    </row>
    <row r="2465" spans="1:14" ht="40" customHeight="1">
      <c r="A2465" s="8" t="s">
        <v>8919</v>
      </c>
      <c r="B2465" s="8" t="s">
        <v>493</v>
      </c>
      <c r="C2465" s="8" t="s">
        <v>494</v>
      </c>
      <c r="D2465" s="8" t="s">
        <v>637</v>
      </c>
      <c r="E2465" s="8" t="s">
        <v>41</v>
      </c>
      <c r="F2465" s="8" t="s">
        <v>1147</v>
      </c>
      <c r="G2465" s="8" t="s">
        <v>2097</v>
      </c>
      <c r="H2465" s="8">
        <v>1</v>
      </c>
      <c r="I2465" s="8">
        <v>1</v>
      </c>
      <c r="J2465" s="8" t="s">
        <v>2083</v>
      </c>
      <c r="K2465" s="8" t="s">
        <v>498</v>
      </c>
      <c r="L2465" s="9">
        <v>46319</v>
      </c>
      <c r="M2465" s="8" t="s">
        <v>5864</v>
      </c>
      <c r="N2465" s="8" t="s">
        <v>5870</v>
      </c>
    </row>
    <row r="2466" spans="1:14" ht="40" customHeight="1">
      <c r="A2466" s="4" t="s">
        <v>5644</v>
      </c>
      <c r="B2466" s="4" t="s">
        <v>493</v>
      </c>
      <c r="C2466" s="4" t="s">
        <v>494</v>
      </c>
      <c r="D2466" s="4" t="s">
        <v>7</v>
      </c>
      <c r="E2466" s="4" t="s">
        <v>41</v>
      </c>
      <c r="F2466" s="4" t="s">
        <v>6212</v>
      </c>
      <c r="G2466" s="4" t="s">
        <v>2097</v>
      </c>
      <c r="H2466" s="4">
        <v>1</v>
      </c>
      <c r="I2466" s="4">
        <v>1</v>
      </c>
      <c r="J2466" s="4" t="s">
        <v>4969</v>
      </c>
      <c r="K2466" s="4" t="s">
        <v>498</v>
      </c>
      <c r="L2466" s="6">
        <v>46319</v>
      </c>
      <c r="M2466" s="4" t="s">
        <v>5864</v>
      </c>
      <c r="N2466" s="4" t="s">
        <v>5870</v>
      </c>
    </row>
    <row r="2467" spans="1:14" ht="40" customHeight="1">
      <c r="A2467" s="8" t="s">
        <v>5645</v>
      </c>
      <c r="B2467" s="8" t="s">
        <v>493</v>
      </c>
      <c r="C2467" s="8" t="s">
        <v>494</v>
      </c>
      <c r="D2467" s="8" t="s">
        <v>7</v>
      </c>
      <c r="E2467" s="8" t="s">
        <v>41</v>
      </c>
      <c r="F2467" s="8" t="s">
        <v>6213</v>
      </c>
      <c r="G2467" s="8" t="s">
        <v>2097</v>
      </c>
      <c r="H2467" s="8">
        <v>1</v>
      </c>
      <c r="I2467" s="8">
        <v>1</v>
      </c>
      <c r="J2467" s="8" t="s">
        <v>4971</v>
      </c>
      <c r="K2467" s="8" t="s">
        <v>498</v>
      </c>
      <c r="L2467" s="9">
        <v>46319</v>
      </c>
      <c r="M2467" s="8" t="s">
        <v>5864</v>
      </c>
      <c r="N2467" s="8" t="s">
        <v>5870</v>
      </c>
    </row>
    <row r="2468" spans="1:14" ht="40" customHeight="1">
      <c r="A2468" s="4" t="s">
        <v>5646</v>
      </c>
      <c r="B2468" s="4" t="s">
        <v>493</v>
      </c>
      <c r="C2468" s="4" t="s">
        <v>494</v>
      </c>
      <c r="D2468" s="4" t="s">
        <v>7</v>
      </c>
      <c r="E2468" s="4" t="s">
        <v>41</v>
      </c>
      <c r="F2468" s="4" t="s">
        <v>6214</v>
      </c>
      <c r="G2468" s="4" t="s">
        <v>2097</v>
      </c>
      <c r="H2468" s="4">
        <v>1</v>
      </c>
      <c r="I2468" s="4">
        <v>1</v>
      </c>
      <c r="J2468" s="4" t="s">
        <v>5647</v>
      </c>
      <c r="K2468" s="4" t="s">
        <v>498</v>
      </c>
      <c r="L2468" s="6">
        <v>46319</v>
      </c>
      <c r="M2468" s="4" t="s">
        <v>5864</v>
      </c>
      <c r="N2468" s="4" t="s">
        <v>5870</v>
      </c>
    </row>
    <row r="2469" spans="1:14" ht="40" customHeight="1">
      <c r="A2469" s="8" t="s">
        <v>5648</v>
      </c>
      <c r="B2469" s="8" t="s">
        <v>493</v>
      </c>
      <c r="C2469" s="8" t="s">
        <v>494</v>
      </c>
      <c r="D2469" s="8" t="s">
        <v>7</v>
      </c>
      <c r="E2469" s="8" t="s">
        <v>41</v>
      </c>
      <c r="F2469" s="8" t="s">
        <v>6215</v>
      </c>
      <c r="G2469" s="8" t="s">
        <v>2097</v>
      </c>
      <c r="H2469" s="8">
        <v>1</v>
      </c>
      <c r="I2469" s="8">
        <v>1</v>
      </c>
      <c r="J2469" s="8" t="s">
        <v>4973</v>
      </c>
      <c r="K2469" s="8" t="s">
        <v>498</v>
      </c>
      <c r="L2469" s="9">
        <v>46319</v>
      </c>
      <c r="M2469" s="8" t="s">
        <v>5864</v>
      </c>
      <c r="N2469" s="8" t="s">
        <v>5870</v>
      </c>
    </row>
    <row r="2470" spans="1:14" ht="40" customHeight="1">
      <c r="A2470" s="4" t="s">
        <v>5649</v>
      </c>
      <c r="B2470" s="4" t="s">
        <v>493</v>
      </c>
      <c r="C2470" s="4" t="s">
        <v>494</v>
      </c>
      <c r="D2470" s="4" t="s">
        <v>7</v>
      </c>
      <c r="E2470" s="4" t="s">
        <v>41</v>
      </c>
      <c r="F2470" s="4" t="s">
        <v>6216</v>
      </c>
      <c r="G2470" s="4" t="s">
        <v>2097</v>
      </c>
      <c r="H2470" s="4">
        <v>1</v>
      </c>
      <c r="I2470" s="4">
        <v>1</v>
      </c>
      <c r="J2470" s="4" t="s">
        <v>5479</v>
      </c>
      <c r="K2470" s="4" t="s">
        <v>498</v>
      </c>
      <c r="L2470" s="6">
        <v>46319</v>
      </c>
      <c r="M2470" s="4" t="s">
        <v>5864</v>
      </c>
      <c r="N2470" s="4" t="s">
        <v>5870</v>
      </c>
    </row>
    <row r="2471" spans="1:14" ht="40" customHeight="1">
      <c r="A2471" s="8" t="s">
        <v>5650</v>
      </c>
      <c r="B2471" s="8" t="s">
        <v>493</v>
      </c>
      <c r="C2471" s="8" t="s">
        <v>494</v>
      </c>
      <c r="D2471" s="8" t="s">
        <v>7</v>
      </c>
      <c r="E2471" s="8" t="s">
        <v>41</v>
      </c>
      <c r="F2471" s="8" t="s">
        <v>6284</v>
      </c>
      <c r="G2471" s="8" t="s">
        <v>2097</v>
      </c>
      <c r="H2471" s="8">
        <v>1</v>
      </c>
      <c r="I2471" s="8">
        <v>1</v>
      </c>
      <c r="J2471" s="8" t="s">
        <v>4975</v>
      </c>
      <c r="K2471" s="8" t="s">
        <v>498</v>
      </c>
      <c r="L2471" s="9">
        <v>46319</v>
      </c>
      <c r="M2471" s="8" t="s">
        <v>5864</v>
      </c>
      <c r="N2471" s="8" t="s">
        <v>5870</v>
      </c>
    </row>
    <row r="2472" spans="1:14" ht="40" customHeight="1">
      <c r="A2472" s="4" t="s">
        <v>5651</v>
      </c>
      <c r="B2472" s="4" t="s">
        <v>493</v>
      </c>
      <c r="C2472" s="4" t="s">
        <v>494</v>
      </c>
      <c r="D2472" s="4" t="s">
        <v>7</v>
      </c>
      <c r="E2472" s="4" t="s">
        <v>41</v>
      </c>
      <c r="F2472" s="4" t="s">
        <v>6285</v>
      </c>
      <c r="G2472" s="4" t="s">
        <v>2097</v>
      </c>
      <c r="H2472" s="4">
        <v>1</v>
      </c>
      <c r="I2472" s="4">
        <v>1</v>
      </c>
      <c r="J2472" s="4" t="s">
        <v>5652</v>
      </c>
      <c r="K2472" s="4" t="s">
        <v>498</v>
      </c>
      <c r="L2472" s="6">
        <v>46319</v>
      </c>
      <c r="M2472" s="4" t="s">
        <v>5864</v>
      </c>
      <c r="N2472" s="4" t="s">
        <v>5870</v>
      </c>
    </row>
    <row r="2473" spans="1:14" ht="40" customHeight="1">
      <c r="A2473" s="8" t="s">
        <v>4734</v>
      </c>
      <c r="B2473" s="8" t="s">
        <v>493</v>
      </c>
      <c r="C2473" s="8" t="s">
        <v>494</v>
      </c>
      <c r="D2473" s="8" t="s">
        <v>5879</v>
      </c>
      <c r="E2473" s="8" t="s">
        <v>41</v>
      </c>
      <c r="F2473" s="8" t="s">
        <v>3449</v>
      </c>
      <c r="G2473" s="8" t="s">
        <v>2097</v>
      </c>
      <c r="H2473" s="8">
        <v>1</v>
      </c>
      <c r="I2473" s="8">
        <v>1</v>
      </c>
      <c r="J2473" s="8" t="s">
        <v>4735</v>
      </c>
      <c r="K2473" s="8" t="s">
        <v>498</v>
      </c>
      <c r="L2473" s="9">
        <v>46319</v>
      </c>
      <c r="M2473" s="8" t="s">
        <v>5864</v>
      </c>
      <c r="N2473" s="8" t="s">
        <v>5865</v>
      </c>
    </row>
    <row r="2474" spans="1:14" ht="40" customHeight="1">
      <c r="A2474" s="4" t="s">
        <v>4736</v>
      </c>
      <c r="B2474" s="4" t="s">
        <v>493</v>
      </c>
      <c r="C2474" s="4" t="s">
        <v>494</v>
      </c>
      <c r="D2474" s="4" t="s">
        <v>5879</v>
      </c>
      <c r="E2474" s="4" t="s">
        <v>41</v>
      </c>
      <c r="F2474" s="4" t="s">
        <v>3466</v>
      </c>
      <c r="G2474" s="4" t="s">
        <v>2097</v>
      </c>
      <c r="H2474" s="4">
        <v>1</v>
      </c>
      <c r="I2474" s="4">
        <v>1</v>
      </c>
      <c r="J2474" s="4" t="s">
        <v>3692</v>
      </c>
      <c r="K2474" s="4" t="s">
        <v>498</v>
      </c>
      <c r="L2474" s="6">
        <v>46319</v>
      </c>
      <c r="M2474" s="4" t="s">
        <v>5864</v>
      </c>
      <c r="N2474" s="4" t="s">
        <v>5865</v>
      </c>
    </row>
    <row r="2475" spans="1:14" ht="40" customHeight="1">
      <c r="A2475" s="8" t="s">
        <v>4737</v>
      </c>
      <c r="B2475" s="8" t="s">
        <v>493</v>
      </c>
      <c r="C2475" s="8" t="s">
        <v>494</v>
      </c>
      <c r="D2475" s="8" t="s">
        <v>5879</v>
      </c>
      <c r="E2475" s="8" t="s">
        <v>41</v>
      </c>
      <c r="F2475" s="8" t="s">
        <v>3469</v>
      </c>
      <c r="G2475" s="8" t="s">
        <v>2097</v>
      </c>
      <c r="H2475" s="8">
        <v>1</v>
      </c>
      <c r="I2475" s="8">
        <v>1</v>
      </c>
      <c r="J2475" s="8" t="s">
        <v>4738</v>
      </c>
      <c r="K2475" s="8" t="s">
        <v>498</v>
      </c>
      <c r="L2475" s="9">
        <v>46319</v>
      </c>
      <c r="M2475" s="8" t="s">
        <v>5864</v>
      </c>
      <c r="N2475" s="8" t="s">
        <v>5865</v>
      </c>
    </row>
    <row r="2476" spans="1:14" ht="40" customHeight="1">
      <c r="A2476" s="4" t="s">
        <v>4739</v>
      </c>
      <c r="B2476" s="4" t="s">
        <v>493</v>
      </c>
      <c r="C2476" s="4" t="s">
        <v>494</v>
      </c>
      <c r="D2476" s="4" t="s">
        <v>5879</v>
      </c>
      <c r="E2476" s="4" t="s">
        <v>41</v>
      </c>
      <c r="F2476" s="4" t="s">
        <v>3472</v>
      </c>
      <c r="G2476" s="4" t="s">
        <v>2097</v>
      </c>
      <c r="H2476" s="4">
        <v>1</v>
      </c>
      <c r="I2476" s="4">
        <v>1</v>
      </c>
      <c r="J2476" s="4" t="s">
        <v>4740</v>
      </c>
      <c r="K2476" s="4" t="s">
        <v>498</v>
      </c>
      <c r="L2476" s="6">
        <v>46319</v>
      </c>
      <c r="M2476" s="4" t="s">
        <v>5864</v>
      </c>
      <c r="N2476" s="4" t="s">
        <v>5865</v>
      </c>
    </row>
    <row r="2477" spans="1:14" ht="40" customHeight="1">
      <c r="A2477" s="8" t="s">
        <v>8920</v>
      </c>
      <c r="B2477" s="8" t="s">
        <v>493</v>
      </c>
      <c r="C2477" s="8" t="s">
        <v>494</v>
      </c>
      <c r="D2477" s="8" t="s">
        <v>2969</v>
      </c>
      <c r="E2477" s="8" t="s">
        <v>41</v>
      </c>
      <c r="F2477" s="8" t="s">
        <v>5881</v>
      </c>
      <c r="G2477" s="8" t="s">
        <v>2097</v>
      </c>
      <c r="H2477" s="8">
        <v>1</v>
      </c>
      <c r="I2477" s="8">
        <v>1</v>
      </c>
      <c r="J2477" s="8" t="s">
        <v>8921</v>
      </c>
      <c r="K2477" s="8" t="s">
        <v>498</v>
      </c>
      <c r="L2477" s="9">
        <v>46319</v>
      </c>
      <c r="M2477" s="8" t="s">
        <v>5864</v>
      </c>
      <c r="N2477" s="8" t="s">
        <v>5883</v>
      </c>
    </row>
    <row r="2478" spans="1:14" ht="54" customHeight="1">
      <c r="A2478" s="4" t="s">
        <v>8922</v>
      </c>
      <c r="B2478" s="4" t="s">
        <v>493</v>
      </c>
      <c r="C2478" s="4" t="s">
        <v>494</v>
      </c>
      <c r="D2478" s="4" t="s">
        <v>2969</v>
      </c>
      <c r="E2478" s="4" t="s">
        <v>41</v>
      </c>
      <c r="F2478" s="4" t="s">
        <v>5885</v>
      </c>
      <c r="G2478" s="4" t="s">
        <v>2097</v>
      </c>
      <c r="H2478" s="4">
        <v>1</v>
      </c>
      <c r="I2478" s="4">
        <v>1</v>
      </c>
      <c r="J2478" s="4" t="s">
        <v>8923</v>
      </c>
      <c r="K2478" s="4" t="s">
        <v>498</v>
      </c>
      <c r="L2478" s="6">
        <v>46319</v>
      </c>
      <c r="M2478" s="4" t="s">
        <v>5864</v>
      </c>
      <c r="N2478" s="4" t="s">
        <v>5883</v>
      </c>
    </row>
    <row r="2479" spans="1:14" ht="40" customHeight="1">
      <c r="A2479" s="8" t="s">
        <v>8924</v>
      </c>
      <c r="B2479" s="8" t="s">
        <v>493</v>
      </c>
      <c r="C2479" s="8" t="s">
        <v>494</v>
      </c>
      <c r="D2479" s="8" t="s">
        <v>2969</v>
      </c>
      <c r="E2479" s="8" t="s">
        <v>41</v>
      </c>
      <c r="F2479" s="8" t="s">
        <v>5888</v>
      </c>
      <c r="G2479" s="8" t="s">
        <v>2097</v>
      </c>
      <c r="H2479" s="8">
        <v>1</v>
      </c>
      <c r="I2479" s="8">
        <v>1</v>
      </c>
      <c r="J2479" s="8" t="s">
        <v>8925</v>
      </c>
      <c r="K2479" s="8" t="s">
        <v>498</v>
      </c>
      <c r="L2479" s="9">
        <v>46319</v>
      </c>
      <c r="M2479" s="8" t="s">
        <v>5864</v>
      </c>
      <c r="N2479" s="8" t="s">
        <v>5883</v>
      </c>
    </row>
    <row r="2480" spans="1:14" ht="40" customHeight="1">
      <c r="A2480" s="4" t="s">
        <v>8926</v>
      </c>
      <c r="B2480" s="4" t="s">
        <v>493</v>
      </c>
      <c r="C2480" s="4" t="s">
        <v>494</v>
      </c>
      <c r="D2480" s="4" t="s">
        <v>2969</v>
      </c>
      <c r="E2480" s="4" t="s">
        <v>41</v>
      </c>
      <c r="F2480" s="4" t="s">
        <v>5891</v>
      </c>
      <c r="G2480" s="4" t="s">
        <v>2097</v>
      </c>
      <c r="H2480" s="4">
        <v>1</v>
      </c>
      <c r="I2480" s="4">
        <v>1</v>
      </c>
      <c r="J2480" s="4" t="s">
        <v>8927</v>
      </c>
      <c r="K2480" s="4" t="s">
        <v>498</v>
      </c>
      <c r="L2480" s="6">
        <v>46319</v>
      </c>
      <c r="M2480" s="4" t="s">
        <v>5864</v>
      </c>
      <c r="N2480" s="4" t="s">
        <v>5883</v>
      </c>
    </row>
    <row r="2481" spans="1:14" ht="54" customHeight="1">
      <c r="A2481" s="8" t="s">
        <v>8928</v>
      </c>
      <c r="B2481" s="8" t="s">
        <v>493</v>
      </c>
      <c r="C2481" s="8" t="s">
        <v>494</v>
      </c>
      <c r="D2481" s="8" t="s">
        <v>2969</v>
      </c>
      <c r="E2481" s="8" t="s">
        <v>41</v>
      </c>
      <c r="F2481" s="8" t="s">
        <v>5894</v>
      </c>
      <c r="G2481" s="8" t="s">
        <v>2097</v>
      </c>
      <c r="H2481" s="8">
        <v>1</v>
      </c>
      <c r="I2481" s="8">
        <v>1</v>
      </c>
      <c r="J2481" s="8" t="s">
        <v>8929</v>
      </c>
      <c r="K2481" s="8" t="s">
        <v>498</v>
      </c>
      <c r="L2481" s="9">
        <v>46319</v>
      </c>
      <c r="M2481" s="8" t="s">
        <v>5864</v>
      </c>
      <c r="N2481" s="8" t="s">
        <v>5883</v>
      </c>
    </row>
    <row r="2482" spans="1:14" ht="40" customHeight="1">
      <c r="A2482" s="4" t="s">
        <v>8930</v>
      </c>
      <c r="B2482" s="4" t="s">
        <v>493</v>
      </c>
      <c r="C2482" s="4" t="s">
        <v>494</v>
      </c>
      <c r="D2482" s="4" t="s">
        <v>2969</v>
      </c>
      <c r="E2482" s="4" t="s">
        <v>41</v>
      </c>
      <c r="F2482" s="4" t="s">
        <v>5897</v>
      </c>
      <c r="G2482" s="4" t="s">
        <v>2097</v>
      </c>
      <c r="H2482" s="4">
        <v>1</v>
      </c>
      <c r="I2482" s="4">
        <v>1</v>
      </c>
      <c r="J2482" s="4" t="s">
        <v>8931</v>
      </c>
      <c r="K2482" s="4" t="s">
        <v>498</v>
      </c>
      <c r="L2482" s="6">
        <v>46319</v>
      </c>
      <c r="M2482" s="4" t="s">
        <v>5864</v>
      </c>
      <c r="N2482" s="4" t="s">
        <v>5883</v>
      </c>
    </row>
    <row r="2483" spans="1:14" ht="40" customHeight="1">
      <c r="A2483" s="8" t="s">
        <v>8932</v>
      </c>
      <c r="B2483" s="8" t="s">
        <v>493</v>
      </c>
      <c r="C2483" s="8" t="s">
        <v>494</v>
      </c>
      <c r="D2483" s="8" t="s">
        <v>2969</v>
      </c>
      <c r="E2483" s="8" t="s">
        <v>41</v>
      </c>
      <c r="F2483" s="8" t="s">
        <v>5900</v>
      </c>
      <c r="G2483" s="8" t="s">
        <v>2097</v>
      </c>
      <c r="H2483" s="8">
        <v>1</v>
      </c>
      <c r="I2483" s="8">
        <v>1</v>
      </c>
      <c r="J2483" s="8" t="s">
        <v>8933</v>
      </c>
      <c r="K2483" s="8" t="s">
        <v>498</v>
      </c>
      <c r="L2483" s="9">
        <v>46319</v>
      </c>
      <c r="M2483" s="8" t="s">
        <v>5864</v>
      </c>
      <c r="N2483" s="8" t="s">
        <v>5883</v>
      </c>
    </row>
    <row r="2484" spans="1:14" ht="54" customHeight="1">
      <c r="A2484" s="4" t="s">
        <v>8934</v>
      </c>
      <c r="B2484" s="4" t="s">
        <v>493</v>
      </c>
      <c r="C2484" s="4" t="s">
        <v>494</v>
      </c>
      <c r="D2484" s="4" t="s">
        <v>2969</v>
      </c>
      <c r="E2484" s="4" t="s">
        <v>41</v>
      </c>
      <c r="F2484" s="4" t="s">
        <v>5903</v>
      </c>
      <c r="G2484" s="4" t="s">
        <v>2097</v>
      </c>
      <c r="H2484" s="4">
        <v>1</v>
      </c>
      <c r="I2484" s="4">
        <v>1</v>
      </c>
      <c r="J2484" s="4" t="s">
        <v>8935</v>
      </c>
      <c r="K2484" s="4" t="s">
        <v>498</v>
      </c>
      <c r="L2484" s="6">
        <v>46319</v>
      </c>
      <c r="M2484" s="4" t="s">
        <v>5864</v>
      </c>
      <c r="N2484" s="4" t="s">
        <v>5883</v>
      </c>
    </row>
    <row r="2485" spans="1:14" ht="54" customHeight="1">
      <c r="A2485" s="8" t="s">
        <v>8936</v>
      </c>
      <c r="B2485" s="8" t="s">
        <v>493</v>
      </c>
      <c r="C2485" s="8" t="s">
        <v>494</v>
      </c>
      <c r="D2485" s="8" t="s">
        <v>2969</v>
      </c>
      <c r="E2485" s="8" t="s">
        <v>41</v>
      </c>
      <c r="F2485" s="8" t="s">
        <v>5906</v>
      </c>
      <c r="G2485" s="8" t="s">
        <v>2097</v>
      </c>
      <c r="H2485" s="8">
        <v>1</v>
      </c>
      <c r="I2485" s="8">
        <v>1</v>
      </c>
      <c r="J2485" s="8" t="s">
        <v>8937</v>
      </c>
      <c r="K2485" s="8" t="s">
        <v>498</v>
      </c>
      <c r="L2485" s="9">
        <v>46319</v>
      </c>
      <c r="M2485" s="8" t="s">
        <v>5864</v>
      </c>
      <c r="N2485" s="8" t="s">
        <v>5883</v>
      </c>
    </row>
    <row r="2486" spans="1:14" ht="54" customHeight="1">
      <c r="A2486" s="4" t="s">
        <v>8938</v>
      </c>
      <c r="B2486" s="4" t="s">
        <v>493</v>
      </c>
      <c r="C2486" s="4" t="s">
        <v>494</v>
      </c>
      <c r="D2486" s="4" t="s">
        <v>2969</v>
      </c>
      <c r="E2486" s="4" t="s">
        <v>41</v>
      </c>
      <c r="F2486" s="4" t="s">
        <v>5909</v>
      </c>
      <c r="G2486" s="4" t="s">
        <v>2097</v>
      </c>
      <c r="H2486" s="4">
        <v>1</v>
      </c>
      <c r="I2486" s="4">
        <v>1</v>
      </c>
      <c r="J2486" s="4" t="s">
        <v>8939</v>
      </c>
      <c r="K2486" s="4" t="s">
        <v>498</v>
      </c>
      <c r="L2486" s="6">
        <v>46319</v>
      </c>
      <c r="M2486" s="4" t="s">
        <v>5864</v>
      </c>
      <c r="N2486" s="4" t="s">
        <v>5883</v>
      </c>
    </row>
    <row r="2487" spans="1:14" ht="40" customHeight="1">
      <c r="A2487" s="8" t="s">
        <v>8940</v>
      </c>
      <c r="B2487" s="8" t="s">
        <v>493</v>
      </c>
      <c r="C2487" s="8" t="s">
        <v>494</v>
      </c>
      <c r="D2487" s="8" t="s">
        <v>2969</v>
      </c>
      <c r="E2487" s="8" t="s">
        <v>41</v>
      </c>
      <c r="F2487" s="8" t="s">
        <v>5912</v>
      </c>
      <c r="G2487" s="8" t="s">
        <v>2097</v>
      </c>
      <c r="H2487" s="8">
        <v>1</v>
      </c>
      <c r="I2487" s="8">
        <v>1</v>
      </c>
      <c r="J2487" s="8" t="s">
        <v>8889</v>
      </c>
      <c r="K2487" s="8" t="s">
        <v>498</v>
      </c>
      <c r="L2487" s="9">
        <v>46319</v>
      </c>
      <c r="M2487" s="8" t="s">
        <v>5864</v>
      </c>
      <c r="N2487" s="8" t="s">
        <v>5883</v>
      </c>
    </row>
    <row r="2488" spans="1:14" ht="68" customHeight="1">
      <c r="A2488" s="4" t="s">
        <v>8941</v>
      </c>
      <c r="B2488" s="4" t="s">
        <v>493</v>
      </c>
      <c r="C2488" s="4" t="s">
        <v>494</v>
      </c>
      <c r="D2488" s="4" t="s">
        <v>2969</v>
      </c>
      <c r="E2488" s="4" t="s">
        <v>41</v>
      </c>
      <c r="F2488" s="4" t="s">
        <v>5973</v>
      </c>
      <c r="G2488" s="4" t="s">
        <v>2097</v>
      </c>
      <c r="H2488" s="4">
        <v>1</v>
      </c>
      <c r="I2488" s="4">
        <v>1</v>
      </c>
      <c r="J2488" s="4" t="s">
        <v>6355</v>
      </c>
      <c r="K2488" s="4" t="s">
        <v>498</v>
      </c>
      <c r="L2488" s="6">
        <v>46319</v>
      </c>
      <c r="M2488" s="4" t="s">
        <v>5864</v>
      </c>
      <c r="N2488" s="4" t="s">
        <v>5883</v>
      </c>
    </row>
    <row r="2489" spans="1:14" ht="40" customHeight="1">
      <c r="A2489" s="8" t="s">
        <v>8942</v>
      </c>
      <c r="B2489" s="8" t="s">
        <v>493</v>
      </c>
      <c r="C2489" s="8" t="s">
        <v>494</v>
      </c>
      <c r="D2489" s="8" t="s">
        <v>2969</v>
      </c>
      <c r="E2489" s="8" t="s">
        <v>41</v>
      </c>
      <c r="F2489" s="8" t="s">
        <v>5976</v>
      </c>
      <c r="G2489" s="8" t="s">
        <v>2097</v>
      </c>
      <c r="H2489" s="8">
        <v>1</v>
      </c>
      <c r="I2489" s="8">
        <v>1</v>
      </c>
      <c r="J2489" s="8" t="s">
        <v>6358</v>
      </c>
      <c r="K2489" s="8" t="s">
        <v>498</v>
      </c>
      <c r="L2489" s="9">
        <v>46319</v>
      </c>
      <c r="M2489" s="8" t="s">
        <v>5864</v>
      </c>
      <c r="N2489" s="8" t="s">
        <v>5883</v>
      </c>
    </row>
    <row r="2490" spans="1:14" ht="40" customHeight="1">
      <c r="A2490" s="4" t="s">
        <v>8943</v>
      </c>
      <c r="B2490" s="4" t="s">
        <v>493</v>
      </c>
      <c r="C2490" s="4" t="s">
        <v>494</v>
      </c>
      <c r="D2490" s="4" t="s">
        <v>2969</v>
      </c>
      <c r="E2490" s="4" t="s">
        <v>41</v>
      </c>
      <c r="F2490" s="4" t="s">
        <v>5979</v>
      </c>
      <c r="G2490" s="4" t="s">
        <v>2097</v>
      </c>
      <c r="H2490" s="4">
        <v>1</v>
      </c>
      <c r="I2490" s="4">
        <v>1</v>
      </c>
      <c r="J2490" s="4" t="s">
        <v>6361</v>
      </c>
      <c r="K2490" s="4" t="s">
        <v>498</v>
      </c>
      <c r="L2490" s="6">
        <v>46319</v>
      </c>
      <c r="M2490" s="4" t="s">
        <v>5864</v>
      </c>
      <c r="N2490" s="4" t="s">
        <v>5883</v>
      </c>
    </row>
    <row r="2491" spans="1:14" ht="40" customHeight="1">
      <c r="A2491" s="8" t="s">
        <v>8944</v>
      </c>
      <c r="B2491" s="8" t="s">
        <v>493</v>
      </c>
      <c r="C2491" s="8" t="s">
        <v>494</v>
      </c>
      <c r="D2491" s="8" t="s">
        <v>2969</v>
      </c>
      <c r="E2491" s="8" t="s">
        <v>41</v>
      </c>
      <c r="F2491" s="8" t="s">
        <v>5982</v>
      </c>
      <c r="G2491" s="8" t="s">
        <v>2097</v>
      </c>
      <c r="H2491" s="8">
        <v>1</v>
      </c>
      <c r="I2491" s="8">
        <v>1</v>
      </c>
      <c r="J2491" s="8" t="s">
        <v>6364</v>
      </c>
      <c r="K2491" s="8" t="s">
        <v>498</v>
      </c>
      <c r="L2491" s="9">
        <v>46319</v>
      </c>
      <c r="M2491" s="8" t="s">
        <v>5864</v>
      </c>
      <c r="N2491" s="8" t="s">
        <v>5883</v>
      </c>
    </row>
    <row r="2492" spans="1:14" ht="40" customHeight="1">
      <c r="A2492" s="4" t="s">
        <v>8945</v>
      </c>
      <c r="B2492" s="4" t="s">
        <v>493</v>
      </c>
      <c r="C2492" s="4" t="s">
        <v>494</v>
      </c>
      <c r="D2492" s="4" t="s">
        <v>2969</v>
      </c>
      <c r="E2492" s="4" t="s">
        <v>41</v>
      </c>
      <c r="F2492" s="4" t="s">
        <v>5985</v>
      </c>
      <c r="G2492" s="4" t="s">
        <v>2097</v>
      </c>
      <c r="H2492" s="4">
        <v>1</v>
      </c>
      <c r="I2492" s="4">
        <v>1</v>
      </c>
      <c r="J2492" s="4" t="s">
        <v>6367</v>
      </c>
      <c r="K2492" s="4" t="s">
        <v>498</v>
      </c>
      <c r="L2492" s="6">
        <v>46319</v>
      </c>
      <c r="M2492" s="4" t="s">
        <v>5864</v>
      </c>
      <c r="N2492" s="4" t="s">
        <v>5883</v>
      </c>
    </row>
    <row r="2493" spans="1:14" ht="40" customHeight="1">
      <c r="A2493" s="8" t="s">
        <v>8946</v>
      </c>
      <c r="B2493" s="8" t="s">
        <v>493</v>
      </c>
      <c r="C2493" s="8" t="s">
        <v>494</v>
      </c>
      <c r="D2493" s="8" t="s">
        <v>2969</v>
      </c>
      <c r="E2493" s="8" t="s">
        <v>41</v>
      </c>
      <c r="F2493" s="8" t="s">
        <v>5988</v>
      </c>
      <c r="G2493" s="8" t="s">
        <v>2097</v>
      </c>
      <c r="H2493" s="8">
        <v>1</v>
      </c>
      <c r="I2493" s="8">
        <v>1</v>
      </c>
      <c r="J2493" s="8" t="s">
        <v>6370</v>
      </c>
      <c r="K2493" s="8" t="s">
        <v>498</v>
      </c>
      <c r="L2493" s="9">
        <v>46319</v>
      </c>
      <c r="M2493" s="8" t="s">
        <v>5864</v>
      </c>
      <c r="N2493" s="8" t="s">
        <v>5883</v>
      </c>
    </row>
    <row r="2494" spans="1:14" ht="68" customHeight="1">
      <c r="A2494" s="4" t="s">
        <v>8947</v>
      </c>
      <c r="B2494" s="4" t="s">
        <v>493</v>
      </c>
      <c r="C2494" s="4" t="s">
        <v>494</v>
      </c>
      <c r="D2494" s="4" t="s">
        <v>2969</v>
      </c>
      <c r="E2494" s="4" t="s">
        <v>41</v>
      </c>
      <c r="F2494" s="4" t="s">
        <v>5991</v>
      </c>
      <c r="G2494" s="4" t="s">
        <v>2097</v>
      </c>
      <c r="H2494" s="4">
        <v>1</v>
      </c>
      <c r="I2494" s="4">
        <v>1</v>
      </c>
      <c r="J2494" s="4" t="s">
        <v>6373</v>
      </c>
      <c r="K2494" s="4" t="s">
        <v>498</v>
      </c>
      <c r="L2494" s="6">
        <v>46319</v>
      </c>
      <c r="M2494" s="4" t="s">
        <v>5864</v>
      </c>
      <c r="N2494" s="4" t="s">
        <v>5883</v>
      </c>
    </row>
    <row r="2495" spans="1:14" ht="54" customHeight="1">
      <c r="A2495" s="8" t="s">
        <v>8948</v>
      </c>
      <c r="B2495" s="8" t="s">
        <v>493</v>
      </c>
      <c r="C2495" s="8" t="s">
        <v>494</v>
      </c>
      <c r="D2495" s="8" t="s">
        <v>2969</v>
      </c>
      <c r="E2495" s="8" t="s">
        <v>41</v>
      </c>
      <c r="F2495" s="8" t="s">
        <v>6327</v>
      </c>
      <c r="G2495" s="8" t="s">
        <v>2097</v>
      </c>
      <c r="H2495" s="8">
        <v>1</v>
      </c>
      <c r="I2495" s="8">
        <v>1</v>
      </c>
      <c r="J2495" s="8" t="s">
        <v>6376</v>
      </c>
      <c r="K2495" s="8" t="s">
        <v>498</v>
      </c>
      <c r="L2495" s="9">
        <v>46319</v>
      </c>
      <c r="M2495" s="8" t="s">
        <v>5864</v>
      </c>
      <c r="N2495" s="8" t="s">
        <v>5883</v>
      </c>
    </row>
    <row r="2496" spans="1:14" ht="54" customHeight="1">
      <c r="A2496" s="4" t="s">
        <v>8949</v>
      </c>
      <c r="B2496" s="4" t="s">
        <v>493</v>
      </c>
      <c r="C2496" s="4" t="s">
        <v>494</v>
      </c>
      <c r="D2496" s="4" t="s">
        <v>2969</v>
      </c>
      <c r="E2496" s="4" t="s">
        <v>41</v>
      </c>
      <c r="F2496" s="4" t="s">
        <v>6330</v>
      </c>
      <c r="G2496" s="4" t="s">
        <v>2097</v>
      </c>
      <c r="H2496" s="4">
        <v>1</v>
      </c>
      <c r="I2496" s="4">
        <v>1</v>
      </c>
      <c r="J2496" s="4" t="s">
        <v>8901</v>
      </c>
      <c r="K2496" s="4" t="s">
        <v>498</v>
      </c>
      <c r="L2496" s="6">
        <v>46319</v>
      </c>
      <c r="M2496" s="4" t="s">
        <v>5864</v>
      </c>
      <c r="N2496" s="4" t="s">
        <v>5883</v>
      </c>
    </row>
    <row r="2497" spans="1:14" ht="68" customHeight="1">
      <c r="A2497" s="8" t="s">
        <v>8950</v>
      </c>
      <c r="B2497" s="8" t="s">
        <v>493</v>
      </c>
      <c r="C2497" s="8" t="s">
        <v>494</v>
      </c>
      <c r="D2497" s="8" t="s">
        <v>2969</v>
      </c>
      <c r="E2497" s="8" t="s">
        <v>41</v>
      </c>
      <c r="F2497" s="8" t="s">
        <v>6333</v>
      </c>
      <c r="G2497" s="8" t="s">
        <v>2097</v>
      </c>
      <c r="H2497" s="8">
        <v>1</v>
      </c>
      <c r="I2497" s="8">
        <v>1</v>
      </c>
      <c r="J2497" s="8" t="s">
        <v>6379</v>
      </c>
      <c r="K2497" s="8" t="s">
        <v>498</v>
      </c>
      <c r="L2497" s="9">
        <v>46319</v>
      </c>
      <c r="M2497" s="8" t="s">
        <v>5864</v>
      </c>
      <c r="N2497" s="8" t="s">
        <v>5883</v>
      </c>
    </row>
    <row r="2498" spans="1:14" ht="54" customHeight="1">
      <c r="A2498" s="4" t="s">
        <v>8951</v>
      </c>
      <c r="B2498" s="4" t="s">
        <v>493</v>
      </c>
      <c r="C2498" s="4" t="s">
        <v>494</v>
      </c>
      <c r="D2498" s="4" t="s">
        <v>2969</v>
      </c>
      <c r="E2498" s="4" t="s">
        <v>41</v>
      </c>
      <c r="F2498" s="4" t="s">
        <v>6336</v>
      </c>
      <c r="G2498" s="4" t="s">
        <v>2097</v>
      </c>
      <c r="H2498" s="4">
        <v>1</v>
      </c>
      <c r="I2498" s="4">
        <v>1</v>
      </c>
      <c r="J2498" s="4" t="s">
        <v>6382</v>
      </c>
      <c r="K2498" s="4" t="s">
        <v>498</v>
      </c>
      <c r="L2498" s="6">
        <v>46319</v>
      </c>
      <c r="M2498" s="4" t="s">
        <v>5864</v>
      </c>
      <c r="N2498" s="4" t="s">
        <v>5883</v>
      </c>
    </row>
    <row r="2499" spans="1:14" ht="54" customHeight="1">
      <c r="A2499" s="8" t="s">
        <v>8952</v>
      </c>
      <c r="B2499" s="8" t="s">
        <v>493</v>
      </c>
      <c r="C2499" s="8" t="s">
        <v>494</v>
      </c>
      <c r="D2499" s="8" t="s">
        <v>2969</v>
      </c>
      <c r="E2499" s="8" t="s">
        <v>41</v>
      </c>
      <c r="F2499" s="8" t="s">
        <v>6339</v>
      </c>
      <c r="G2499" s="8" t="s">
        <v>2097</v>
      </c>
      <c r="H2499" s="8">
        <v>1</v>
      </c>
      <c r="I2499" s="8">
        <v>1</v>
      </c>
      <c r="J2499" s="8" t="s">
        <v>6385</v>
      </c>
      <c r="K2499" s="8" t="s">
        <v>498</v>
      </c>
      <c r="L2499" s="9">
        <v>46319</v>
      </c>
      <c r="M2499" s="8" t="s">
        <v>5864</v>
      </c>
      <c r="N2499" s="8" t="s">
        <v>5883</v>
      </c>
    </row>
    <row r="2500" spans="1:14" ht="40" customHeight="1">
      <c r="A2500" s="4" t="s">
        <v>8953</v>
      </c>
      <c r="B2500" s="4" t="s">
        <v>493</v>
      </c>
      <c r="C2500" s="4" t="s">
        <v>494</v>
      </c>
      <c r="D2500" s="4" t="s">
        <v>2969</v>
      </c>
      <c r="E2500" s="4" t="s">
        <v>41</v>
      </c>
      <c r="F2500" s="4" t="s">
        <v>6342</v>
      </c>
      <c r="G2500" s="4" t="s">
        <v>2097</v>
      </c>
      <c r="H2500" s="4">
        <v>1</v>
      </c>
      <c r="I2500" s="4">
        <v>1</v>
      </c>
      <c r="J2500" s="4" t="s">
        <v>8906</v>
      </c>
      <c r="K2500" s="4" t="s">
        <v>498</v>
      </c>
      <c r="L2500" s="6">
        <v>46319</v>
      </c>
      <c r="M2500" s="4" t="s">
        <v>5864</v>
      </c>
      <c r="N2500" s="4" t="s">
        <v>5883</v>
      </c>
    </row>
    <row r="2501" spans="1:14" ht="54" customHeight="1">
      <c r="A2501" s="8" t="s">
        <v>8954</v>
      </c>
      <c r="B2501" s="8" t="s">
        <v>493</v>
      </c>
      <c r="C2501" s="8" t="s">
        <v>494</v>
      </c>
      <c r="D2501" s="8" t="s">
        <v>2969</v>
      </c>
      <c r="E2501" s="8" t="s">
        <v>41</v>
      </c>
      <c r="F2501" s="8" t="s">
        <v>6345</v>
      </c>
      <c r="G2501" s="8" t="s">
        <v>2097</v>
      </c>
      <c r="H2501" s="8">
        <v>1</v>
      </c>
      <c r="I2501" s="8">
        <v>1</v>
      </c>
      <c r="J2501" s="8" t="s">
        <v>8908</v>
      </c>
      <c r="K2501" s="8" t="s">
        <v>498</v>
      </c>
      <c r="L2501" s="9">
        <v>46319</v>
      </c>
      <c r="M2501" s="8" t="s">
        <v>5864</v>
      </c>
      <c r="N2501" s="8" t="s">
        <v>5883</v>
      </c>
    </row>
    <row r="2502" spans="1:14" ht="152" customHeight="1">
      <c r="A2502" s="4" t="s">
        <v>8955</v>
      </c>
      <c r="B2502" s="4" t="s">
        <v>501</v>
      </c>
      <c r="C2502" s="4" t="s">
        <v>502</v>
      </c>
      <c r="D2502" s="4" t="s">
        <v>5861</v>
      </c>
      <c r="E2502" s="4" t="s">
        <v>41</v>
      </c>
      <c r="F2502" s="4" t="s">
        <v>5862</v>
      </c>
      <c r="G2502" s="4" t="s">
        <v>2112</v>
      </c>
      <c r="H2502" s="4">
        <v>1</v>
      </c>
      <c r="I2502" s="4">
        <v>1</v>
      </c>
      <c r="J2502" s="4" t="s">
        <v>8956</v>
      </c>
      <c r="K2502" s="4" t="s">
        <v>505</v>
      </c>
      <c r="L2502" s="6">
        <v>46319</v>
      </c>
      <c r="M2502" s="4" t="s">
        <v>5864</v>
      </c>
      <c r="N2502" s="4" t="s">
        <v>5865</v>
      </c>
    </row>
    <row r="2503" spans="1:14" ht="40" customHeight="1">
      <c r="A2503" s="8" t="s">
        <v>8957</v>
      </c>
      <c r="B2503" s="8" t="s">
        <v>501</v>
      </c>
      <c r="C2503" s="8" t="s">
        <v>502</v>
      </c>
      <c r="D2503" s="8" t="s">
        <v>5867</v>
      </c>
      <c r="E2503" s="8" t="s">
        <v>41</v>
      </c>
      <c r="F2503" s="8" t="s">
        <v>5868</v>
      </c>
      <c r="G2503" s="8" t="s">
        <v>2112</v>
      </c>
      <c r="H2503" s="8">
        <v>1</v>
      </c>
      <c r="I2503" s="8">
        <v>1</v>
      </c>
      <c r="J2503" s="8" t="s">
        <v>8958</v>
      </c>
      <c r="K2503" s="8" t="s">
        <v>505</v>
      </c>
      <c r="L2503" s="9">
        <v>46319</v>
      </c>
      <c r="M2503" s="8" t="s">
        <v>5864</v>
      </c>
      <c r="N2503" s="8" t="s">
        <v>5870</v>
      </c>
    </row>
    <row r="2504" spans="1:14" ht="40" customHeight="1">
      <c r="A2504" s="4" t="s">
        <v>8959</v>
      </c>
      <c r="B2504" s="4" t="s">
        <v>501</v>
      </c>
      <c r="C2504" s="4" t="s">
        <v>502</v>
      </c>
      <c r="D2504" s="4" t="s">
        <v>637</v>
      </c>
      <c r="E2504" s="4" t="s">
        <v>41</v>
      </c>
      <c r="F2504" s="4" t="s">
        <v>904</v>
      </c>
      <c r="G2504" s="4" t="s">
        <v>2112</v>
      </c>
      <c r="H2504" s="4">
        <v>1</v>
      </c>
      <c r="I2504" s="4">
        <v>1</v>
      </c>
      <c r="J2504" s="4" t="s">
        <v>1072</v>
      </c>
      <c r="K2504" s="4" t="s">
        <v>505</v>
      </c>
      <c r="L2504" s="6">
        <v>46319</v>
      </c>
      <c r="M2504" s="4" t="s">
        <v>5864</v>
      </c>
      <c r="N2504" s="4" t="s">
        <v>5870</v>
      </c>
    </row>
    <row r="2505" spans="1:14" ht="40" customHeight="1">
      <c r="A2505" s="8" t="s">
        <v>8960</v>
      </c>
      <c r="B2505" s="8" t="s">
        <v>501</v>
      </c>
      <c r="C2505" s="8" t="s">
        <v>502</v>
      </c>
      <c r="D2505" s="8" t="s">
        <v>637</v>
      </c>
      <c r="E2505" s="8" t="s">
        <v>41</v>
      </c>
      <c r="F2505" s="8" t="s">
        <v>912</v>
      </c>
      <c r="G2505" s="8" t="s">
        <v>2112</v>
      </c>
      <c r="H2505" s="8">
        <v>1</v>
      </c>
      <c r="I2505" s="8">
        <v>1</v>
      </c>
      <c r="J2505" s="8" t="s">
        <v>2114</v>
      </c>
      <c r="K2505" s="8" t="s">
        <v>505</v>
      </c>
      <c r="L2505" s="9">
        <v>46319</v>
      </c>
      <c r="M2505" s="8" t="s">
        <v>5864</v>
      </c>
      <c r="N2505" s="8" t="s">
        <v>5870</v>
      </c>
    </row>
    <row r="2506" spans="1:14" ht="40" customHeight="1">
      <c r="A2506" s="4" t="s">
        <v>8961</v>
      </c>
      <c r="B2506" s="4" t="s">
        <v>501</v>
      </c>
      <c r="C2506" s="4" t="s">
        <v>502</v>
      </c>
      <c r="D2506" s="4" t="s">
        <v>637</v>
      </c>
      <c r="E2506" s="4" t="s">
        <v>41</v>
      </c>
      <c r="F2506" s="4" t="s">
        <v>1015</v>
      </c>
      <c r="G2506" s="4" t="s">
        <v>2112</v>
      </c>
      <c r="H2506" s="4">
        <v>1</v>
      </c>
      <c r="I2506" s="4">
        <v>1</v>
      </c>
      <c r="J2506" s="4" t="s">
        <v>2102</v>
      </c>
      <c r="K2506" s="4" t="s">
        <v>505</v>
      </c>
      <c r="L2506" s="6">
        <v>46319</v>
      </c>
      <c r="M2506" s="4" t="s">
        <v>5864</v>
      </c>
      <c r="N2506" s="4" t="s">
        <v>5870</v>
      </c>
    </row>
    <row r="2507" spans="1:14" ht="40" customHeight="1">
      <c r="A2507" s="8" t="s">
        <v>8962</v>
      </c>
      <c r="B2507" s="8" t="s">
        <v>501</v>
      </c>
      <c r="C2507" s="8" t="s">
        <v>502</v>
      </c>
      <c r="D2507" s="8" t="s">
        <v>637</v>
      </c>
      <c r="E2507" s="8" t="s">
        <v>41</v>
      </c>
      <c r="F2507" s="8" t="s">
        <v>1019</v>
      </c>
      <c r="G2507" s="8" t="s">
        <v>2112</v>
      </c>
      <c r="H2507" s="8">
        <v>1</v>
      </c>
      <c r="I2507" s="8">
        <v>1</v>
      </c>
      <c r="J2507" s="8" t="s">
        <v>2119</v>
      </c>
      <c r="K2507" s="8" t="s">
        <v>505</v>
      </c>
      <c r="L2507" s="9">
        <v>46319</v>
      </c>
      <c r="M2507" s="8" t="s">
        <v>5864</v>
      </c>
      <c r="N2507" s="8" t="s">
        <v>5870</v>
      </c>
    </row>
    <row r="2508" spans="1:14" ht="40" customHeight="1">
      <c r="A2508" s="4" t="s">
        <v>8963</v>
      </c>
      <c r="B2508" s="4" t="s">
        <v>501</v>
      </c>
      <c r="C2508" s="4" t="s">
        <v>502</v>
      </c>
      <c r="D2508" s="4" t="s">
        <v>637</v>
      </c>
      <c r="E2508" s="4" t="s">
        <v>41</v>
      </c>
      <c r="F2508" s="4" t="s">
        <v>1147</v>
      </c>
      <c r="G2508" s="4" t="s">
        <v>2112</v>
      </c>
      <c r="H2508" s="4">
        <v>1</v>
      </c>
      <c r="I2508" s="4">
        <v>1</v>
      </c>
      <c r="J2508" s="4" t="s">
        <v>2122</v>
      </c>
      <c r="K2508" s="4" t="s">
        <v>505</v>
      </c>
      <c r="L2508" s="6">
        <v>46319</v>
      </c>
      <c r="M2508" s="4" t="s">
        <v>5864</v>
      </c>
      <c r="N2508" s="4" t="s">
        <v>5870</v>
      </c>
    </row>
    <row r="2509" spans="1:14" ht="40" customHeight="1">
      <c r="A2509" s="8" t="s">
        <v>8964</v>
      </c>
      <c r="B2509" s="8" t="s">
        <v>501</v>
      </c>
      <c r="C2509" s="8" t="s">
        <v>502</v>
      </c>
      <c r="D2509" s="8" t="s">
        <v>637</v>
      </c>
      <c r="E2509" s="8" t="s">
        <v>41</v>
      </c>
      <c r="F2509" s="8" t="s">
        <v>1254</v>
      </c>
      <c r="G2509" s="8" t="s">
        <v>2112</v>
      </c>
      <c r="H2509" s="8">
        <v>1</v>
      </c>
      <c r="I2509" s="8">
        <v>1</v>
      </c>
      <c r="J2509" s="8" t="s">
        <v>2125</v>
      </c>
      <c r="K2509" s="8" t="s">
        <v>505</v>
      </c>
      <c r="L2509" s="9">
        <v>46319</v>
      </c>
      <c r="M2509" s="8" t="s">
        <v>5864</v>
      </c>
      <c r="N2509" s="8" t="s">
        <v>5870</v>
      </c>
    </row>
    <row r="2510" spans="1:14" ht="40" customHeight="1">
      <c r="A2510" s="4" t="s">
        <v>8965</v>
      </c>
      <c r="B2510" s="4" t="s">
        <v>501</v>
      </c>
      <c r="C2510" s="4" t="s">
        <v>502</v>
      </c>
      <c r="D2510" s="4" t="s">
        <v>637</v>
      </c>
      <c r="E2510" s="4" t="s">
        <v>41</v>
      </c>
      <c r="F2510" s="4" t="s">
        <v>1258</v>
      </c>
      <c r="G2510" s="4" t="s">
        <v>2112</v>
      </c>
      <c r="H2510" s="4">
        <v>1</v>
      </c>
      <c r="I2510" s="4">
        <v>1</v>
      </c>
      <c r="J2510" s="4" t="s">
        <v>2128</v>
      </c>
      <c r="K2510" s="4" t="s">
        <v>505</v>
      </c>
      <c r="L2510" s="6">
        <v>46319</v>
      </c>
      <c r="M2510" s="4" t="s">
        <v>5864</v>
      </c>
      <c r="N2510" s="4" t="s">
        <v>5870</v>
      </c>
    </row>
    <row r="2511" spans="1:14" ht="40" customHeight="1">
      <c r="A2511" s="8" t="s">
        <v>5653</v>
      </c>
      <c r="B2511" s="8" t="s">
        <v>501</v>
      </c>
      <c r="C2511" s="8" t="s">
        <v>502</v>
      </c>
      <c r="D2511" s="8" t="s">
        <v>7</v>
      </c>
      <c r="E2511" s="8" t="s">
        <v>41</v>
      </c>
      <c r="F2511" s="8" t="s">
        <v>6212</v>
      </c>
      <c r="G2511" s="8" t="s">
        <v>2112</v>
      </c>
      <c r="H2511" s="8">
        <v>1</v>
      </c>
      <c r="I2511" s="8">
        <v>1</v>
      </c>
      <c r="J2511" s="8" t="s">
        <v>4969</v>
      </c>
      <c r="K2511" s="8" t="s">
        <v>505</v>
      </c>
      <c r="L2511" s="9">
        <v>46319</v>
      </c>
      <c r="M2511" s="8" t="s">
        <v>5864</v>
      </c>
      <c r="N2511" s="8" t="s">
        <v>5870</v>
      </c>
    </row>
    <row r="2512" spans="1:14" ht="40" customHeight="1">
      <c r="A2512" s="4" t="s">
        <v>5654</v>
      </c>
      <c r="B2512" s="4" t="s">
        <v>501</v>
      </c>
      <c r="C2512" s="4" t="s">
        <v>502</v>
      </c>
      <c r="D2512" s="4" t="s">
        <v>7</v>
      </c>
      <c r="E2512" s="4" t="s">
        <v>41</v>
      </c>
      <c r="F2512" s="4" t="s">
        <v>6213</v>
      </c>
      <c r="G2512" s="4" t="s">
        <v>2112</v>
      </c>
      <c r="H2512" s="4">
        <v>1</v>
      </c>
      <c r="I2512" s="4">
        <v>1</v>
      </c>
      <c r="J2512" s="4" t="s">
        <v>5655</v>
      </c>
      <c r="K2512" s="4" t="s">
        <v>505</v>
      </c>
      <c r="L2512" s="6">
        <v>46319</v>
      </c>
      <c r="M2512" s="4" t="s">
        <v>5864</v>
      </c>
      <c r="N2512" s="4" t="s">
        <v>5870</v>
      </c>
    </row>
    <row r="2513" spans="1:14" ht="40" customHeight="1">
      <c r="A2513" s="8" t="s">
        <v>5656</v>
      </c>
      <c r="B2513" s="8" t="s">
        <v>501</v>
      </c>
      <c r="C2513" s="8" t="s">
        <v>502</v>
      </c>
      <c r="D2513" s="8" t="s">
        <v>7</v>
      </c>
      <c r="E2513" s="8" t="s">
        <v>41</v>
      </c>
      <c r="F2513" s="8" t="s">
        <v>6214</v>
      </c>
      <c r="G2513" s="8" t="s">
        <v>2112</v>
      </c>
      <c r="H2513" s="8">
        <v>1</v>
      </c>
      <c r="I2513" s="8">
        <v>1</v>
      </c>
      <c r="J2513" s="8" t="s">
        <v>5657</v>
      </c>
      <c r="K2513" s="8" t="s">
        <v>505</v>
      </c>
      <c r="L2513" s="9">
        <v>46319</v>
      </c>
      <c r="M2513" s="8" t="s">
        <v>5864</v>
      </c>
      <c r="N2513" s="8" t="s">
        <v>5870</v>
      </c>
    </row>
    <row r="2514" spans="1:14" ht="40" customHeight="1">
      <c r="A2514" s="4" t="s">
        <v>5658</v>
      </c>
      <c r="B2514" s="4" t="s">
        <v>501</v>
      </c>
      <c r="C2514" s="4" t="s">
        <v>502</v>
      </c>
      <c r="D2514" s="4" t="s">
        <v>7</v>
      </c>
      <c r="E2514" s="4" t="s">
        <v>41</v>
      </c>
      <c r="F2514" s="4" t="s">
        <v>6215</v>
      </c>
      <c r="G2514" s="4" t="s">
        <v>2112</v>
      </c>
      <c r="H2514" s="4">
        <v>1</v>
      </c>
      <c r="I2514" s="4">
        <v>1</v>
      </c>
      <c r="J2514" s="4" t="s">
        <v>4973</v>
      </c>
      <c r="K2514" s="4" t="s">
        <v>505</v>
      </c>
      <c r="L2514" s="6">
        <v>46319</v>
      </c>
      <c r="M2514" s="4" t="s">
        <v>5864</v>
      </c>
      <c r="N2514" s="4" t="s">
        <v>5870</v>
      </c>
    </row>
    <row r="2515" spans="1:14" ht="40" customHeight="1">
      <c r="A2515" s="8" t="s">
        <v>5659</v>
      </c>
      <c r="B2515" s="8" t="s">
        <v>501</v>
      </c>
      <c r="C2515" s="8" t="s">
        <v>502</v>
      </c>
      <c r="D2515" s="8" t="s">
        <v>7</v>
      </c>
      <c r="E2515" s="8" t="s">
        <v>41</v>
      </c>
      <c r="F2515" s="8" t="s">
        <v>6216</v>
      </c>
      <c r="G2515" s="8" t="s">
        <v>2112</v>
      </c>
      <c r="H2515" s="8">
        <v>1</v>
      </c>
      <c r="I2515" s="8">
        <v>1</v>
      </c>
      <c r="J2515" s="8" t="s">
        <v>5660</v>
      </c>
      <c r="K2515" s="8" t="s">
        <v>505</v>
      </c>
      <c r="L2515" s="9">
        <v>46319</v>
      </c>
      <c r="M2515" s="8" t="s">
        <v>5864</v>
      </c>
      <c r="N2515" s="8" t="s">
        <v>5870</v>
      </c>
    </row>
    <row r="2516" spans="1:14" ht="40" customHeight="1">
      <c r="A2516" s="4" t="s">
        <v>5661</v>
      </c>
      <c r="B2516" s="4" t="s">
        <v>501</v>
      </c>
      <c r="C2516" s="4" t="s">
        <v>502</v>
      </c>
      <c r="D2516" s="4" t="s">
        <v>7</v>
      </c>
      <c r="E2516" s="4" t="s">
        <v>41</v>
      </c>
      <c r="F2516" s="4" t="s">
        <v>6284</v>
      </c>
      <c r="G2516" s="4" t="s">
        <v>2112</v>
      </c>
      <c r="H2516" s="4">
        <v>1</v>
      </c>
      <c r="I2516" s="4">
        <v>1</v>
      </c>
      <c r="J2516" s="4" t="s">
        <v>5662</v>
      </c>
      <c r="K2516" s="4" t="s">
        <v>505</v>
      </c>
      <c r="L2516" s="6">
        <v>46319</v>
      </c>
      <c r="M2516" s="4" t="s">
        <v>5864</v>
      </c>
      <c r="N2516" s="4" t="s">
        <v>5870</v>
      </c>
    </row>
    <row r="2517" spans="1:14" ht="40" customHeight="1">
      <c r="A2517" s="8" t="s">
        <v>5663</v>
      </c>
      <c r="B2517" s="8" t="s">
        <v>501</v>
      </c>
      <c r="C2517" s="8" t="s">
        <v>502</v>
      </c>
      <c r="D2517" s="8" t="s">
        <v>7</v>
      </c>
      <c r="E2517" s="8" t="s">
        <v>41</v>
      </c>
      <c r="F2517" s="8" t="s">
        <v>6285</v>
      </c>
      <c r="G2517" s="8" t="s">
        <v>2112</v>
      </c>
      <c r="H2517" s="8">
        <v>1</v>
      </c>
      <c r="I2517" s="8">
        <v>1</v>
      </c>
      <c r="J2517" s="8" t="s">
        <v>5664</v>
      </c>
      <c r="K2517" s="8" t="s">
        <v>505</v>
      </c>
      <c r="L2517" s="9">
        <v>46319</v>
      </c>
      <c r="M2517" s="8" t="s">
        <v>5864</v>
      </c>
      <c r="N2517" s="8" t="s">
        <v>5870</v>
      </c>
    </row>
    <row r="2518" spans="1:14" ht="40" customHeight="1">
      <c r="A2518" s="4" t="s">
        <v>5665</v>
      </c>
      <c r="B2518" s="4" t="s">
        <v>501</v>
      </c>
      <c r="C2518" s="4" t="s">
        <v>502</v>
      </c>
      <c r="D2518" s="4" t="s">
        <v>7</v>
      </c>
      <c r="E2518" s="4" t="s">
        <v>41</v>
      </c>
      <c r="F2518" s="4" t="s">
        <v>6286</v>
      </c>
      <c r="G2518" s="4" t="s">
        <v>2112</v>
      </c>
      <c r="H2518" s="4">
        <v>1</v>
      </c>
      <c r="I2518" s="4">
        <v>1</v>
      </c>
      <c r="J2518" s="4" t="s">
        <v>4975</v>
      </c>
      <c r="K2518" s="4" t="s">
        <v>505</v>
      </c>
      <c r="L2518" s="6">
        <v>46319</v>
      </c>
      <c r="M2518" s="4" t="s">
        <v>5864</v>
      </c>
      <c r="N2518" s="4" t="s">
        <v>5870</v>
      </c>
    </row>
    <row r="2519" spans="1:14" ht="40" customHeight="1">
      <c r="A2519" s="8" t="s">
        <v>5666</v>
      </c>
      <c r="B2519" s="8" t="s">
        <v>501</v>
      </c>
      <c r="C2519" s="8" t="s">
        <v>502</v>
      </c>
      <c r="D2519" s="8" t="s">
        <v>7</v>
      </c>
      <c r="E2519" s="8" t="s">
        <v>41</v>
      </c>
      <c r="F2519" s="8" t="s">
        <v>6287</v>
      </c>
      <c r="G2519" s="8" t="s">
        <v>2112</v>
      </c>
      <c r="H2519" s="8">
        <v>1</v>
      </c>
      <c r="I2519" s="8">
        <v>1</v>
      </c>
      <c r="J2519" s="8" t="s">
        <v>5667</v>
      </c>
      <c r="K2519" s="8" t="s">
        <v>505</v>
      </c>
      <c r="L2519" s="9">
        <v>46319</v>
      </c>
      <c r="M2519" s="8" t="s">
        <v>5864</v>
      </c>
      <c r="N2519" s="8" t="s">
        <v>5870</v>
      </c>
    </row>
    <row r="2520" spans="1:14" ht="40" customHeight="1">
      <c r="A2520" s="4" t="s">
        <v>4741</v>
      </c>
      <c r="B2520" s="4" t="s">
        <v>501</v>
      </c>
      <c r="C2520" s="4" t="s">
        <v>502</v>
      </c>
      <c r="D2520" s="4" t="s">
        <v>5879</v>
      </c>
      <c r="E2520" s="4" t="s">
        <v>41</v>
      </c>
      <c r="F2520" s="4" t="s">
        <v>3449</v>
      </c>
      <c r="G2520" s="4" t="s">
        <v>2112</v>
      </c>
      <c r="H2520" s="4">
        <v>1</v>
      </c>
      <c r="I2520" s="4">
        <v>1</v>
      </c>
      <c r="J2520" s="4" t="s">
        <v>4742</v>
      </c>
      <c r="K2520" s="4" t="s">
        <v>505</v>
      </c>
      <c r="L2520" s="6">
        <v>46319</v>
      </c>
      <c r="M2520" s="4" t="s">
        <v>5864</v>
      </c>
      <c r="N2520" s="4" t="s">
        <v>5865</v>
      </c>
    </row>
    <row r="2521" spans="1:14" ht="40" customHeight="1">
      <c r="A2521" s="8" t="s">
        <v>4743</v>
      </c>
      <c r="B2521" s="8" t="s">
        <v>501</v>
      </c>
      <c r="C2521" s="8" t="s">
        <v>502</v>
      </c>
      <c r="D2521" s="8" t="s">
        <v>5879</v>
      </c>
      <c r="E2521" s="8" t="s">
        <v>41</v>
      </c>
      <c r="F2521" s="8" t="s">
        <v>3466</v>
      </c>
      <c r="G2521" s="8" t="s">
        <v>2112</v>
      </c>
      <c r="H2521" s="8">
        <v>1</v>
      </c>
      <c r="I2521" s="8">
        <v>1</v>
      </c>
      <c r="J2521" s="8" t="s">
        <v>4744</v>
      </c>
      <c r="K2521" s="8" t="s">
        <v>505</v>
      </c>
      <c r="L2521" s="9">
        <v>46319</v>
      </c>
      <c r="M2521" s="8" t="s">
        <v>5864</v>
      </c>
      <c r="N2521" s="8" t="s">
        <v>5865</v>
      </c>
    </row>
    <row r="2522" spans="1:14" ht="40" customHeight="1">
      <c r="A2522" s="4" t="s">
        <v>4745</v>
      </c>
      <c r="B2522" s="4" t="s">
        <v>501</v>
      </c>
      <c r="C2522" s="4" t="s">
        <v>502</v>
      </c>
      <c r="D2522" s="4" t="s">
        <v>5879</v>
      </c>
      <c r="E2522" s="4" t="s">
        <v>41</v>
      </c>
      <c r="F2522" s="4" t="s">
        <v>3469</v>
      </c>
      <c r="G2522" s="4" t="s">
        <v>2112</v>
      </c>
      <c r="H2522" s="4">
        <v>1</v>
      </c>
      <c r="I2522" s="4">
        <v>1</v>
      </c>
      <c r="J2522" s="4" t="s">
        <v>4746</v>
      </c>
      <c r="K2522" s="4" t="s">
        <v>505</v>
      </c>
      <c r="L2522" s="6">
        <v>46319</v>
      </c>
      <c r="M2522" s="4" t="s">
        <v>5864</v>
      </c>
      <c r="N2522" s="4" t="s">
        <v>5865</v>
      </c>
    </row>
    <row r="2523" spans="1:14" ht="40" customHeight="1">
      <c r="A2523" s="8" t="s">
        <v>4747</v>
      </c>
      <c r="B2523" s="8" t="s">
        <v>501</v>
      </c>
      <c r="C2523" s="8" t="s">
        <v>502</v>
      </c>
      <c r="D2523" s="8" t="s">
        <v>5879</v>
      </c>
      <c r="E2523" s="8" t="s">
        <v>41</v>
      </c>
      <c r="F2523" s="8" t="s">
        <v>3472</v>
      </c>
      <c r="G2523" s="8" t="s">
        <v>2112</v>
      </c>
      <c r="H2523" s="8">
        <v>1</v>
      </c>
      <c r="I2523" s="8">
        <v>1</v>
      </c>
      <c r="J2523" s="8" t="s">
        <v>4748</v>
      </c>
      <c r="K2523" s="8" t="s">
        <v>505</v>
      </c>
      <c r="L2523" s="9">
        <v>46319</v>
      </c>
      <c r="M2523" s="8" t="s">
        <v>5864</v>
      </c>
      <c r="N2523" s="8" t="s">
        <v>5865</v>
      </c>
    </row>
    <row r="2524" spans="1:14" ht="54" customHeight="1">
      <c r="A2524" s="4" t="s">
        <v>8966</v>
      </c>
      <c r="B2524" s="4" t="s">
        <v>501</v>
      </c>
      <c r="C2524" s="4" t="s">
        <v>502</v>
      </c>
      <c r="D2524" s="4" t="s">
        <v>2969</v>
      </c>
      <c r="E2524" s="4" t="s">
        <v>41</v>
      </c>
      <c r="F2524" s="4" t="s">
        <v>5881</v>
      </c>
      <c r="G2524" s="4" t="s">
        <v>2112</v>
      </c>
      <c r="H2524" s="4">
        <v>1</v>
      </c>
      <c r="I2524" s="4">
        <v>1</v>
      </c>
      <c r="J2524" s="4" t="s">
        <v>8967</v>
      </c>
      <c r="K2524" s="4" t="s">
        <v>505</v>
      </c>
      <c r="L2524" s="6">
        <v>46319</v>
      </c>
      <c r="M2524" s="4" t="s">
        <v>5864</v>
      </c>
      <c r="N2524" s="4" t="s">
        <v>5883</v>
      </c>
    </row>
    <row r="2525" spans="1:14" ht="40" customHeight="1">
      <c r="A2525" s="8" t="s">
        <v>8968</v>
      </c>
      <c r="B2525" s="8" t="s">
        <v>501</v>
      </c>
      <c r="C2525" s="8" t="s">
        <v>502</v>
      </c>
      <c r="D2525" s="8" t="s">
        <v>2969</v>
      </c>
      <c r="E2525" s="8" t="s">
        <v>41</v>
      </c>
      <c r="F2525" s="8" t="s">
        <v>5885</v>
      </c>
      <c r="G2525" s="8" t="s">
        <v>2112</v>
      </c>
      <c r="H2525" s="8">
        <v>1</v>
      </c>
      <c r="I2525" s="8">
        <v>1</v>
      </c>
      <c r="J2525" s="8" t="s">
        <v>8969</v>
      </c>
      <c r="K2525" s="8" t="s">
        <v>505</v>
      </c>
      <c r="L2525" s="9">
        <v>46319</v>
      </c>
      <c r="M2525" s="8" t="s">
        <v>5864</v>
      </c>
      <c r="N2525" s="8" t="s">
        <v>5883</v>
      </c>
    </row>
    <row r="2526" spans="1:14" ht="40" customHeight="1">
      <c r="A2526" s="4" t="s">
        <v>8970</v>
      </c>
      <c r="B2526" s="4" t="s">
        <v>501</v>
      </c>
      <c r="C2526" s="4" t="s">
        <v>502</v>
      </c>
      <c r="D2526" s="4" t="s">
        <v>2969</v>
      </c>
      <c r="E2526" s="4" t="s">
        <v>41</v>
      </c>
      <c r="F2526" s="4" t="s">
        <v>5888</v>
      </c>
      <c r="G2526" s="4" t="s">
        <v>2112</v>
      </c>
      <c r="H2526" s="4">
        <v>1</v>
      </c>
      <c r="I2526" s="4">
        <v>1</v>
      </c>
      <c r="J2526" s="4" t="s">
        <v>8971</v>
      </c>
      <c r="K2526" s="4" t="s">
        <v>505</v>
      </c>
      <c r="L2526" s="6">
        <v>46319</v>
      </c>
      <c r="M2526" s="4" t="s">
        <v>5864</v>
      </c>
      <c r="N2526" s="4" t="s">
        <v>5883</v>
      </c>
    </row>
    <row r="2527" spans="1:14" ht="40" customHeight="1">
      <c r="A2527" s="8" t="s">
        <v>8972</v>
      </c>
      <c r="B2527" s="8" t="s">
        <v>501</v>
      </c>
      <c r="C2527" s="8" t="s">
        <v>502</v>
      </c>
      <c r="D2527" s="8" t="s">
        <v>2969</v>
      </c>
      <c r="E2527" s="8" t="s">
        <v>41</v>
      </c>
      <c r="F2527" s="8" t="s">
        <v>5891</v>
      </c>
      <c r="G2527" s="8" t="s">
        <v>2112</v>
      </c>
      <c r="H2527" s="8">
        <v>1</v>
      </c>
      <c r="I2527" s="8">
        <v>1</v>
      </c>
      <c r="J2527" s="8" t="s">
        <v>8973</v>
      </c>
      <c r="K2527" s="8" t="s">
        <v>505</v>
      </c>
      <c r="L2527" s="9">
        <v>46319</v>
      </c>
      <c r="M2527" s="8" t="s">
        <v>5864</v>
      </c>
      <c r="N2527" s="8" t="s">
        <v>5883</v>
      </c>
    </row>
    <row r="2528" spans="1:14" ht="40" customHeight="1">
      <c r="A2528" s="4" t="s">
        <v>8974</v>
      </c>
      <c r="B2528" s="4" t="s">
        <v>501</v>
      </c>
      <c r="C2528" s="4" t="s">
        <v>502</v>
      </c>
      <c r="D2528" s="4" t="s">
        <v>2969</v>
      </c>
      <c r="E2528" s="4" t="s">
        <v>41</v>
      </c>
      <c r="F2528" s="4" t="s">
        <v>5894</v>
      </c>
      <c r="G2528" s="4" t="s">
        <v>2112</v>
      </c>
      <c r="H2528" s="4">
        <v>1</v>
      </c>
      <c r="I2528" s="4">
        <v>1</v>
      </c>
      <c r="J2528" s="4" t="s">
        <v>8975</v>
      </c>
      <c r="K2528" s="4" t="s">
        <v>505</v>
      </c>
      <c r="L2528" s="6">
        <v>46319</v>
      </c>
      <c r="M2528" s="4" t="s">
        <v>5864</v>
      </c>
      <c r="N2528" s="4" t="s">
        <v>5883</v>
      </c>
    </row>
    <row r="2529" spans="1:14" ht="68" customHeight="1">
      <c r="A2529" s="8" t="s">
        <v>8976</v>
      </c>
      <c r="B2529" s="8" t="s">
        <v>501</v>
      </c>
      <c r="C2529" s="8" t="s">
        <v>502</v>
      </c>
      <c r="D2529" s="8" t="s">
        <v>2969</v>
      </c>
      <c r="E2529" s="8" t="s">
        <v>41</v>
      </c>
      <c r="F2529" s="8" t="s">
        <v>5897</v>
      </c>
      <c r="G2529" s="8" t="s">
        <v>2112</v>
      </c>
      <c r="H2529" s="8">
        <v>1</v>
      </c>
      <c r="I2529" s="8">
        <v>1</v>
      </c>
      <c r="J2529" s="8" t="s">
        <v>8977</v>
      </c>
      <c r="K2529" s="8" t="s">
        <v>505</v>
      </c>
      <c r="L2529" s="9">
        <v>46319</v>
      </c>
      <c r="M2529" s="8" t="s">
        <v>5864</v>
      </c>
      <c r="N2529" s="8" t="s">
        <v>5883</v>
      </c>
    </row>
    <row r="2530" spans="1:14" ht="40" customHeight="1">
      <c r="A2530" s="4" t="s">
        <v>8978</v>
      </c>
      <c r="B2530" s="4" t="s">
        <v>501</v>
      </c>
      <c r="C2530" s="4" t="s">
        <v>502</v>
      </c>
      <c r="D2530" s="4" t="s">
        <v>2969</v>
      </c>
      <c r="E2530" s="4" t="s">
        <v>41</v>
      </c>
      <c r="F2530" s="4" t="s">
        <v>5900</v>
      </c>
      <c r="G2530" s="4" t="s">
        <v>2112</v>
      </c>
      <c r="H2530" s="4">
        <v>1</v>
      </c>
      <c r="I2530" s="4">
        <v>1</v>
      </c>
      <c r="J2530" s="4" t="s">
        <v>8979</v>
      </c>
      <c r="K2530" s="4" t="s">
        <v>505</v>
      </c>
      <c r="L2530" s="6">
        <v>46319</v>
      </c>
      <c r="M2530" s="4" t="s">
        <v>5864</v>
      </c>
      <c r="N2530" s="4" t="s">
        <v>5883</v>
      </c>
    </row>
    <row r="2531" spans="1:14" ht="54" customHeight="1">
      <c r="A2531" s="8" t="s">
        <v>8980</v>
      </c>
      <c r="B2531" s="8" t="s">
        <v>501</v>
      </c>
      <c r="C2531" s="8" t="s">
        <v>502</v>
      </c>
      <c r="D2531" s="8" t="s">
        <v>2969</v>
      </c>
      <c r="E2531" s="8" t="s">
        <v>41</v>
      </c>
      <c r="F2531" s="8" t="s">
        <v>5903</v>
      </c>
      <c r="G2531" s="8" t="s">
        <v>2112</v>
      </c>
      <c r="H2531" s="8">
        <v>1</v>
      </c>
      <c r="I2531" s="8">
        <v>1</v>
      </c>
      <c r="J2531" s="8" t="s">
        <v>8981</v>
      </c>
      <c r="K2531" s="8" t="s">
        <v>505</v>
      </c>
      <c r="L2531" s="9">
        <v>46319</v>
      </c>
      <c r="M2531" s="8" t="s">
        <v>5864</v>
      </c>
      <c r="N2531" s="8" t="s">
        <v>5883</v>
      </c>
    </row>
    <row r="2532" spans="1:14" ht="40" customHeight="1">
      <c r="A2532" s="4" t="s">
        <v>8982</v>
      </c>
      <c r="B2532" s="4" t="s">
        <v>501</v>
      </c>
      <c r="C2532" s="4" t="s">
        <v>502</v>
      </c>
      <c r="D2532" s="4" t="s">
        <v>2969</v>
      </c>
      <c r="E2532" s="4" t="s">
        <v>41</v>
      </c>
      <c r="F2532" s="4" t="s">
        <v>5906</v>
      </c>
      <c r="G2532" s="4" t="s">
        <v>2112</v>
      </c>
      <c r="H2532" s="4">
        <v>1</v>
      </c>
      <c r="I2532" s="4">
        <v>1</v>
      </c>
      <c r="J2532" s="4" t="s">
        <v>6361</v>
      </c>
      <c r="K2532" s="4" t="s">
        <v>505</v>
      </c>
      <c r="L2532" s="6">
        <v>46319</v>
      </c>
      <c r="M2532" s="4" t="s">
        <v>5864</v>
      </c>
      <c r="N2532" s="4" t="s">
        <v>5883</v>
      </c>
    </row>
    <row r="2533" spans="1:14" ht="68" customHeight="1">
      <c r="A2533" s="8" t="s">
        <v>8983</v>
      </c>
      <c r="B2533" s="8" t="s">
        <v>501</v>
      </c>
      <c r="C2533" s="8" t="s">
        <v>502</v>
      </c>
      <c r="D2533" s="8" t="s">
        <v>2969</v>
      </c>
      <c r="E2533" s="8" t="s">
        <v>41</v>
      </c>
      <c r="F2533" s="8" t="s">
        <v>5909</v>
      </c>
      <c r="G2533" s="8" t="s">
        <v>2112</v>
      </c>
      <c r="H2533" s="8">
        <v>1</v>
      </c>
      <c r="I2533" s="8">
        <v>1</v>
      </c>
      <c r="J2533" s="8" t="s">
        <v>6373</v>
      </c>
      <c r="K2533" s="8" t="s">
        <v>505</v>
      </c>
      <c r="L2533" s="9">
        <v>46319</v>
      </c>
      <c r="M2533" s="8" t="s">
        <v>5864</v>
      </c>
      <c r="N2533" s="8" t="s">
        <v>5883</v>
      </c>
    </row>
    <row r="2534" spans="1:14" ht="54" customHeight="1">
      <c r="A2534" s="4" t="s">
        <v>8984</v>
      </c>
      <c r="B2534" s="4" t="s">
        <v>501</v>
      </c>
      <c r="C2534" s="4" t="s">
        <v>502</v>
      </c>
      <c r="D2534" s="4" t="s">
        <v>2969</v>
      </c>
      <c r="E2534" s="4" t="s">
        <v>41</v>
      </c>
      <c r="F2534" s="4" t="s">
        <v>5912</v>
      </c>
      <c r="G2534" s="4" t="s">
        <v>2112</v>
      </c>
      <c r="H2534" s="4">
        <v>1</v>
      </c>
      <c r="I2534" s="4">
        <v>1</v>
      </c>
      <c r="J2534" s="4" t="s">
        <v>8985</v>
      </c>
      <c r="K2534" s="4" t="s">
        <v>505</v>
      </c>
      <c r="L2534" s="6">
        <v>46319</v>
      </c>
      <c r="M2534" s="4" t="s">
        <v>5864</v>
      </c>
      <c r="N2534" s="4" t="s">
        <v>5883</v>
      </c>
    </row>
    <row r="2535" spans="1:14" ht="40" customHeight="1">
      <c r="A2535" s="8" t="s">
        <v>8986</v>
      </c>
      <c r="B2535" s="8" t="s">
        <v>501</v>
      </c>
      <c r="C2535" s="8" t="s">
        <v>502</v>
      </c>
      <c r="D2535" s="8" t="s">
        <v>2969</v>
      </c>
      <c r="E2535" s="8" t="s">
        <v>41</v>
      </c>
      <c r="F2535" s="8" t="s">
        <v>5973</v>
      </c>
      <c r="G2535" s="8" t="s">
        <v>2112</v>
      </c>
      <c r="H2535" s="8">
        <v>1</v>
      </c>
      <c r="I2535" s="8">
        <v>1</v>
      </c>
      <c r="J2535" s="8" t="s">
        <v>8987</v>
      </c>
      <c r="K2535" s="8" t="s">
        <v>505</v>
      </c>
      <c r="L2535" s="9">
        <v>46319</v>
      </c>
      <c r="M2535" s="8" t="s">
        <v>5864</v>
      </c>
      <c r="N2535" s="8" t="s">
        <v>5883</v>
      </c>
    </row>
    <row r="2536" spans="1:14" ht="54" customHeight="1">
      <c r="A2536" s="4" t="s">
        <v>8988</v>
      </c>
      <c r="B2536" s="4" t="s">
        <v>501</v>
      </c>
      <c r="C2536" s="4" t="s">
        <v>502</v>
      </c>
      <c r="D2536" s="4" t="s">
        <v>2969</v>
      </c>
      <c r="E2536" s="4" t="s">
        <v>41</v>
      </c>
      <c r="F2536" s="4" t="s">
        <v>5976</v>
      </c>
      <c r="G2536" s="4" t="s">
        <v>2112</v>
      </c>
      <c r="H2536" s="4">
        <v>1</v>
      </c>
      <c r="I2536" s="4">
        <v>1</v>
      </c>
      <c r="J2536" s="4" t="s">
        <v>8989</v>
      </c>
      <c r="K2536" s="4" t="s">
        <v>505</v>
      </c>
      <c r="L2536" s="6">
        <v>46319</v>
      </c>
      <c r="M2536" s="4" t="s">
        <v>5864</v>
      </c>
      <c r="N2536" s="4" t="s">
        <v>5883</v>
      </c>
    </row>
    <row r="2537" spans="1:14" ht="54" customHeight="1">
      <c r="A2537" s="8" t="s">
        <v>8990</v>
      </c>
      <c r="B2537" s="8" t="s">
        <v>501</v>
      </c>
      <c r="C2537" s="8" t="s">
        <v>502</v>
      </c>
      <c r="D2537" s="8" t="s">
        <v>2969</v>
      </c>
      <c r="E2537" s="8" t="s">
        <v>41</v>
      </c>
      <c r="F2537" s="8" t="s">
        <v>5979</v>
      </c>
      <c r="G2537" s="8" t="s">
        <v>2112</v>
      </c>
      <c r="H2537" s="8">
        <v>1</v>
      </c>
      <c r="I2537" s="8">
        <v>1</v>
      </c>
      <c r="J2537" s="8" t="s">
        <v>8991</v>
      </c>
      <c r="K2537" s="8" t="s">
        <v>505</v>
      </c>
      <c r="L2537" s="9">
        <v>46319</v>
      </c>
      <c r="M2537" s="8" t="s">
        <v>5864</v>
      </c>
      <c r="N2537" s="8" t="s">
        <v>5883</v>
      </c>
    </row>
    <row r="2538" spans="1:14" ht="40" customHeight="1">
      <c r="A2538" s="4" t="s">
        <v>8992</v>
      </c>
      <c r="B2538" s="4" t="s">
        <v>501</v>
      </c>
      <c r="C2538" s="4" t="s">
        <v>502</v>
      </c>
      <c r="D2538" s="4" t="s">
        <v>2969</v>
      </c>
      <c r="E2538" s="4" t="s">
        <v>41</v>
      </c>
      <c r="F2538" s="4" t="s">
        <v>5982</v>
      </c>
      <c r="G2538" s="4" t="s">
        <v>2112</v>
      </c>
      <c r="H2538" s="4">
        <v>1</v>
      </c>
      <c r="I2538" s="4">
        <v>1</v>
      </c>
      <c r="J2538" s="4" t="s">
        <v>8993</v>
      </c>
      <c r="K2538" s="4" t="s">
        <v>505</v>
      </c>
      <c r="L2538" s="6">
        <v>46319</v>
      </c>
      <c r="M2538" s="4" t="s">
        <v>5864</v>
      </c>
      <c r="N2538" s="4" t="s">
        <v>5883</v>
      </c>
    </row>
    <row r="2539" spans="1:14" ht="40" customHeight="1">
      <c r="A2539" s="8" t="s">
        <v>8994</v>
      </c>
      <c r="B2539" s="8" t="s">
        <v>501</v>
      </c>
      <c r="C2539" s="8" t="s">
        <v>502</v>
      </c>
      <c r="D2539" s="8" t="s">
        <v>2969</v>
      </c>
      <c r="E2539" s="8" t="s">
        <v>41</v>
      </c>
      <c r="F2539" s="8" t="s">
        <v>5985</v>
      </c>
      <c r="G2539" s="8" t="s">
        <v>2112</v>
      </c>
      <c r="H2539" s="8">
        <v>1</v>
      </c>
      <c r="I2539" s="8">
        <v>1</v>
      </c>
      <c r="J2539" s="8" t="s">
        <v>8995</v>
      </c>
      <c r="K2539" s="8" t="s">
        <v>505</v>
      </c>
      <c r="L2539" s="9">
        <v>46319</v>
      </c>
      <c r="M2539" s="8" t="s">
        <v>5864</v>
      </c>
      <c r="N2539" s="8" t="s">
        <v>5883</v>
      </c>
    </row>
    <row r="2540" spans="1:14" ht="54" customHeight="1">
      <c r="A2540" s="4" t="s">
        <v>8996</v>
      </c>
      <c r="B2540" s="4" t="s">
        <v>501</v>
      </c>
      <c r="C2540" s="4" t="s">
        <v>502</v>
      </c>
      <c r="D2540" s="4" t="s">
        <v>2969</v>
      </c>
      <c r="E2540" s="4" t="s">
        <v>41</v>
      </c>
      <c r="F2540" s="4" t="s">
        <v>5988</v>
      </c>
      <c r="G2540" s="4" t="s">
        <v>2112</v>
      </c>
      <c r="H2540" s="4">
        <v>1</v>
      </c>
      <c r="I2540" s="4">
        <v>1</v>
      </c>
      <c r="J2540" s="4" t="s">
        <v>8997</v>
      </c>
      <c r="K2540" s="4" t="s">
        <v>505</v>
      </c>
      <c r="L2540" s="6">
        <v>46319</v>
      </c>
      <c r="M2540" s="4" t="s">
        <v>5864</v>
      </c>
      <c r="N2540" s="4" t="s">
        <v>5883</v>
      </c>
    </row>
    <row r="2541" spans="1:14" ht="40" customHeight="1">
      <c r="A2541" s="8" t="s">
        <v>8998</v>
      </c>
      <c r="B2541" s="8" t="s">
        <v>501</v>
      </c>
      <c r="C2541" s="8" t="s">
        <v>502</v>
      </c>
      <c r="D2541" s="8" t="s">
        <v>2969</v>
      </c>
      <c r="E2541" s="8" t="s">
        <v>41</v>
      </c>
      <c r="F2541" s="8" t="s">
        <v>5991</v>
      </c>
      <c r="G2541" s="8" t="s">
        <v>2112</v>
      </c>
      <c r="H2541" s="8">
        <v>1</v>
      </c>
      <c r="I2541" s="8">
        <v>1</v>
      </c>
      <c r="J2541" s="8" t="s">
        <v>8999</v>
      </c>
      <c r="K2541" s="8" t="s">
        <v>505</v>
      </c>
      <c r="L2541" s="9">
        <v>46319</v>
      </c>
      <c r="M2541" s="8" t="s">
        <v>5864</v>
      </c>
      <c r="N2541" s="8" t="s">
        <v>5883</v>
      </c>
    </row>
    <row r="2542" spans="1:14" ht="110" customHeight="1">
      <c r="A2542" s="4" t="s">
        <v>9000</v>
      </c>
      <c r="B2542" s="4" t="s">
        <v>508</v>
      </c>
      <c r="C2542" s="4" t="s">
        <v>509</v>
      </c>
      <c r="D2542" s="4" t="s">
        <v>5861</v>
      </c>
      <c r="E2542" s="4" t="s">
        <v>41</v>
      </c>
      <c r="F2542" s="4" t="s">
        <v>9001</v>
      </c>
      <c r="G2542" s="4" t="s">
        <v>2134</v>
      </c>
      <c r="H2542" s="4">
        <v>1</v>
      </c>
      <c r="I2542" s="4">
        <v>1</v>
      </c>
      <c r="J2542" s="4" t="s">
        <v>9002</v>
      </c>
      <c r="K2542" s="4" t="s">
        <v>513</v>
      </c>
      <c r="L2542" s="6">
        <v>46319</v>
      </c>
      <c r="M2542" s="4" t="s">
        <v>5864</v>
      </c>
      <c r="N2542" s="4" t="s">
        <v>5865</v>
      </c>
    </row>
    <row r="2543" spans="1:14" ht="40" customHeight="1">
      <c r="A2543" s="8" t="s">
        <v>9003</v>
      </c>
      <c r="B2543" s="8" t="s">
        <v>508</v>
      </c>
      <c r="C2543" s="8" t="s">
        <v>509</v>
      </c>
      <c r="D2543" s="8" t="s">
        <v>5867</v>
      </c>
      <c r="E2543" s="8" t="s">
        <v>41</v>
      </c>
      <c r="F2543" s="8" t="s">
        <v>6248</v>
      </c>
      <c r="G2543" s="8" t="s">
        <v>2134</v>
      </c>
      <c r="H2543" s="8">
        <v>1</v>
      </c>
      <c r="I2543" s="8">
        <v>1</v>
      </c>
      <c r="J2543" s="8" t="s">
        <v>9004</v>
      </c>
      <c r="K2543" s="8" t="s">
        <v>513</v>
      </c>
      <c r="L2543" s="9">
        <v>46319</v>
      </c>
      <c r="M2543" s="8" t="s">
        <v>5864</v>
      </c>
      <c r="N2543" s="8" t="s">
        <v>5865</v>
      </c>
    </row>
    <row r="2544" spans="1:14" ht="40" customHeight="1">
      <c r="A2544" s="4" t="s">
        <v>9005</v>
      </c>
      <c r="B2544" s="4" t="s">
        <v>508</v>
      </c>
      <c r="C2544" s="4" t="s">
        <v>509</v>
      </c>
      <c r="D2544" s="4" t="s">
        <v>5867</v>
      </c>
      <c r="E2544" s="4" t="s">
        <v>41</v>
      </c>
      <c r="F2544" s="4" t="s">
        <v>6142</v>
      </c>
      <c r="G2544" s="4" t="s">
        <v>2134</v>
      </c>
      <c r="H2544" s="4">
        <v>1</v>
      </c>
      <c r="I2544" s="4">
        <v>1</v>
      </c>
      <c r="J2544" s="4" t="s">
        <v>9006</v>
      </c>
      <c r="K2544" s="4" t="s">
        <v>513</v>
      </c>
      <c r="L2544" s="6">
        <v>46319</v>
      </c>
      <c r="M2544" s="4" t="s">
        <v>5864</v>
      </c>
      <c r="N2544" s="4" t="s">
        <v>5865</v>
      </c>
    </row>
    <row r="2545" spans="1:14" ht="40" customHeight="1">
      <c r="A2545" s="8" t="s">
        <v>9007</v>
      </c>
      <c r="B2545" s="8" t="s">
        <v>508</v>
      </c>
      <c r="C2545" s="8" t="s">
        <v>509</v>
      </c>
      <c r="D2545" s="8" t="s">
        <v>5867</v>
      </c>
      <c r="E2545" s="8" t="s">
        <v>41</v>
      </c>
      <c r="F2545" s="8" t="s">
        <v>6391</v>
      </c>
      <c r="G2545" s="8" t="s">
        <v>2134</v>
      </c>
      <c r="H2545" s="8">
        <v>1</v>
      </c>
      <c r="I2545" s="8">
        <v>1</v>
      </c>
      <c r="J2545" s="8" t="s">
        <v>9008</v>
      </c>
      <c r="K2545" s="8" t="s">
        <v>513</v>
      </c>
      <c r="L2545" s="9">
        <v>46319</v>
      </c>
      <c r="M2545" s="8" t="s">
        <v>5864</v>
      </c>
      <c r="N2545" s="8" t="s">
        <v>5865</v>
      </c>
    </row>
    <row r="2546" spans="1:14" ht="40" customHeight="1">
      <c r="A2546" s="4" t="s">
        <v>9009</v>
      </c>
      <c r="B2546" s="4" t="s">
        <v>508</v>
      </c>
      <c r="C2546" s="4" t="s">
        <v>509</v>
      </c>
      <c r="D2546" s="4" t="s">
        <v>637</v>
      </c>
      <c r="E2546" s="4" t="s">
        <v>41</v>
      </c>
      <c r="F2546" s="4" t="s">
        <v>904</v>
      </c>
      <c r="G2546" s="4" t="s">
        <v>2134</v>
      </c>
      <c r="H2546" s="4">
        <v>1</v>
      </c>
      <c r="I2546" s="4">
        <v>1</v>
      </c>
      <c r="J2546" s="4" t="s">
        <v>2132</v>
      </c>
      <c r="K2546" s="4" t="s">
        <v>513</v>
      </c>
      <c r="L2546" s="6">
        <v>46319</v>
      </c>
      <c r="M2546" s="4" t="s">
        <v>5864</v>
      </c>
      <c r="N2546" s="4" t="s">
        <v>5870</v>
      </c>
    </row>
    <row r="2547" spans="1:14" ht="40" customHeight="1">
      <c r="A2547" s="8" t="s">
        <v>9010</v>
      </c>
      <c r="B2547" s="8" t="s">
        <v>508</v>
      </c>
      <c r="C2547" s="8" t="s">
        <v>509</v>
      </c>
      <c r="D2547" s="8" t="s">
        <v>637</v>
      </c>
      <c r="E2547" s="8" t="s">
        <v>41</v>
      </c>
      <c r="F2547" s="8" t="s">
        <v>912</v>
      </c>
      <c r="G2547" s="8" t="s">
        <v>2134</v>
      </c>
      <c r="H2547" s="8">
        <v>1</v>
      </c>
      <c r="I2547" s="8">
        <v>1</v>
      </c>
      <c r="J2547" s="8" t="s">
        <v>2136</v>
      </c>
      <c r="K2547" s="8" t="s">
        <v>513</v>
      </c>
      <c r="L2547" s="9">
        <v>46319</v>
      </c>
      <c r="M2547" s="8" t="s">
        <v>5864</v>
      </c>
      <c r="N2547" s="8" t="s">
        <v>5870</v>
      </c>
    </row>
    <row r="2548" spans="1:14" ht="40" customHeight="1">
      <c r="A2548" s="4" t="s">
        <v>9011</v>
      </c>
      <c r="B2548" s="4" t="s">
        <v>508</v>
      </c>
      <c r="C2548" s="4" t="s">
        <v>509</v>
      </c>
      <c r="D2548" s="4" t="s">
        <v>637</v>
      </c>
      <c r="E2548" s="4" t="s">
        <v>41</v>
      </c>
      <c r="F2548" s="4" t="s">
        <v>1015</v>
      </c>
      <c r="G2548" s="4" t="s">
        <v>2134</v>
      </c>
      <c r="H2548" s="4">
        <v>1</v>
      </c>
      <c r="I2548" s="4">
        <v>1</v>
      </c>
      <c r="J2548" s="4" t="s">
        <v>2139</v>
      </c>
      <c r="K2548" s="4" t="s">
        <v>513</v>
      </c>
      <c r="L2548" s="6">
        <v>46319</v>
      </c>
      <c r="M2548" s="4" t="s">
        <v>5864</v>
      </c>
      <c r="N2548" s="4" t="s">
        <v>5870</v>
      </c>
    </row>
    <row r="2549" spans="1:14" ht="40" customHeight="1">
      <c r="A2549" s="8" t="s">
        <v>9012</v>
      </c>
      <c r="B2549" s="8" t="s">
        <v>508</v>
      </c>
      <c r="C2549" s="8" t="s">
        <v>509</v>
      </c>
      <c r="D2549" s="8" t="s">
        <v>637</v>
      </c>
      <c r="E2549" s="8" t="s">
        <v>41</v>
      </c>
      <c r="F2549" s="8" t="s">
        <v>1019</v>
      </c>
      <c r="G2549" s="8" t="s">
        <v>2134</v>
      </c>
      <c r="H2549" s="8">
        <v>1</v>
      </c>
      <c r="I2549" s="8">
        <v>1</v>
      </c>
      <c r="J2549" s="8" t="s">
        <v>2142</v>
      </c>
      <c r="K2549" s="8" t="s">
        <v>513</v>
      </c>
      <c r="L2549" s="9">
        <v>46319</v>
      </c>
      <c r="M2549" s="8" t="s">
        <v>5864</v>
      </c>
      <c r="N2549" s="8" t="s">
        <v>5870</v>
      </c>
    </row>
    <row r="2550" spans="1:14" ht="40" customHeight="1">
      <c r="A2550" s="4" t="s">
        <v>9013</v>
      </c>
      <c r="B2550" s="4" t="s">
        <v>508</v>
      </c>
      <c r="C2550" s="4" t="s">
        <v>509</v>
      </c>
      <c r="D2550" s="4" t="s">
        <v>637</v>
      </c>
      <c r="E2550" s="4" t="s">
        <v>41</v>
      </c>
      <c r="F2550" s="4" t="s">
        <v>1147</v>
      </c>
      <c r="G2550" s="4" t="s">
        <v>2134</v>
      </c>
      <c r="H2550" s="4">
        <v>1</v>
      </c>
      <c r="I2550" s="4">
        <v>1</v>
      </c>
      <c r="J2550" s="4" t="s">
        <v>2145</v>
      </c>
      <c r="K2550" s="4" t="s">
        <v>513</v>
      </c>
      <c r="L2550" s="6">
        <v>46319</v>
      </c>
      <c r="M2550" s="4" t="s">
        <v>5864</v>
      </c>
      <c r="N2550" s="4" t="s">
        <v>5870</v>
      </c>
    </row>
    <row r="2551" spans="1:14" ht="40" customHeight="1">
      <c r="A2551" s="8" t="s">
        <v>9014</v>
      </c>
      <c r="B2551" s="8" t="s">
        <v>508</v>
      </c>
      <c r="C2551" s="8" t="s">
        <v>509</v>
      </c>
      <c r="D2551" s="8" t="s">
        <v>637</v>
      </c>
      <c r="E2551" s="8" t="s">
        <v>41</v>
      </c>
      <c r="F2551" s="8" t="s">
        <v>1254</v>
      </c>
      <c r="G2551" s="8" t="s">
        <v>2134</v>
      </c>
      <c r="H2551" s="8">
        <v>1</v>
      </c>
      <c r="I2551" s="8">
        <v>1</v>
      </c>
      <c r="J2551" s="8" t="s">
        <v>2148</v>
      </c>
      <c r="K2551" s="8" t="s">
        <v>513</v>
      </c>
      <c r="L2551" s="9">
        <v>46319</v>
      </c>
      <c r="M2551" s="8" t="s">
        <v>5864</v>
      </c>
      <c r="N2551" s="8" t="s">
        <v>5870</v>
      </c>
    </row>
    <row r="2552" spans="1:14" ht="40" customHeight="1">
      <c r="A2552" s="4" t="s">
        <v>9015</v>
      </c>
      <c r="B2552" s="4" t="s">
        <v>508</v>
      </c>
      <c r="C2552" s="4" t="s">
        <v>509</v>
      </c>
      <c r="D2552" s="4" t="s">
        <v>637</v>
      </c>
      <c r="E2552" s="4" t="s">
        <v>41</v>
      </c>
      <c r="F2552" s="4" t="s">
        <v>1258</v>
      </c>
      <c r="G2552" s="4" t="s">
        <v>2134</v>
      </c>
      <c r="H2552" s="4">
        <v>1</v>
      </c>
      <c r="I2552" s="4">
        <v>1</v>
      </c>
      <c r="J2552" s="4" t="s">
        <v>2151</v>
      </c>
      <c r="K2552" s="4" t="s">
        <v>513</v>
      </c>
      <c r="L2552" s="6">
        <v>46319</v>
      </c>
      <c r="M2552" s="4" t="s">
        <v>5864</v>
      </c>
      <c r="N2552" s="4" t="s">
        <v>5870</v>
      </c>
    </row>
    <row r="2553" spans="1:14" ht="40" customHeight="1">
      <c r="A2553" s="8" t="s">
        <v>9016</v>
      </c>
      <c r="B2553" s="8" t="s">
        <v>508</v>
      </c>
      <c r="C2553" s="8" t="s">
        <v>509</v>
      </c>
      <c r="D2553" s="8" t="s">
        <v>637</v>
      </c>
      <c r="E2553" s="8" t="s">
        <v>41</v>
      </c>
      <c r="F2553" s="8" t="s">
        <v>1262</v>
      </c>
      <c r="G2553" s="8" t="s">
        <v>2134</v>
      </c>
      <c r="H2553" s="8">
        <v>1</v>
      </c>
      <c r="I2553" s="8">
        <v>1</v>
      </c>
      <c r="J2553" s="8" t="s">
        <v>2154</v>
      </c>
      <c r="K2553" s="8" t="s">
        <v>513</v>
      </c>
      <c r="L2553" s="9">
        <v>46319</v>
      </c>
      <c r="M2553" s="8" t="s">
        <v>5864</v>
      </c>
      <c r="N2553" s="8" t="s">
        <v>5870</v>
      </c>
    </row>
    <row r="2554" spans="1:14" ht="40" customHeight="1">
      <c r="A2554" s="4" t="s">
        <v>5668</v>
      </c>
      <c r="B2554" s="4" t="s">
        <v>508</v>
      </c>
      <c r="C2554" s="4" t="s">
        <v>509</v>
      </c>
      <c r="D2554" s="4" t="s">
        <v>7</v>
      </c>
      <c r="E2554" s="4" t="s">
        <v>41</v>
      </c>
      <c r="F2554" s="4" t="s">
        <v>6212</v>
      </c>
      <c r="G2554" s="4" t="s">
        <v>2134</v>
      </c>
      <c r="H2554" s="4">
        <v>1</v>
      </c>
      <c r="I2554" s="4">
        <v>1</v>
      </c>
      <c r="J2554" s="4" t="s">
        <v>5669</v>
      </c>
      <c r="K2554" s="4" t="s">
        <v>513</v>
      </c>
      <c r="L2554" s="6">
        <v>46319</v>
      </c>
      <c r="M2554" s="4" t="s">
        <v>5864</v>
      </c>
      <c r="N2554" s="4" t="s">
        <v>5870</v>
      </c>
    </row>
    <row r="2555" spans="1:14" ht="40" customHeight="1">
      <c r="A2555" s="8" t="s">
        <v>5670</v>
      </c>
      <c r="B2555" s="8" t="s">
        <v>508</v>
      </c>
      <c r="C2555" s="8" t="s">
        <v>509</v>
      </c>
      <c r="D2555" s="8" t="s">
        <v>7</v>
      </c>
      <c r="E2555" s="8" t="s">
        <v>41</v>
      </c>
      <c r="F2555" s="8" t="s">
        <v>6213</v>
      </c>
      <c r="G2555" s="8" t="s">
        <v>2134</v>
      </c>
      <c r="H2555" s="8">
        <v>1</v>
      </c>
      <c r="I2555" s="8">
        <v>1</v>
      </c>
      <c r="J2555" s="8" t="s">
        <v>5671</v>
      </c>
      <c r="K2555" s="8" t="s">
        <v>513</v>
      </c>
      <c r="L2555" s="9">
        <v>46319</v>
      </c>
      <c r="M2555" s="8" t="s">
        <v>5864</v>
      </c>
      <c r="N2555" s="8" t="s">
        <v>5870</v>
      </c>
    </row>
    <row r="2556" spans="1:14" ht="40" customHeight="1">
      <c r="A2556" s="4" t="s">
        <v>5672</v>
      </c>
      <c r="B2556" s="4" t="s">
        <v>508</v>
      </c>
      <c r="C2556" s="4" t="s">
        <v>509</v>
      </c>
      <c r="D2556" s="4" t="s">
        <v>7</v>
      </c>
      <c r="E2556" s="4" t="s">
        <v>41</v>
      </c>
      <c r="F2556" s="4" t="s">
        <v>6214</v>
      </c>
      <c r="G2556" s="4" t="s">
        <v>2134</v>
      </c>
      <c r="H2556" s="4">
        <v>1</v>
      </c>
      <c r="I2556" s="4">
        <v>1</v>
      </c>
      <c r="J2556" s="4" t="s">
        <v>5673</v>
      </c>
      <c r="K2556" s="4" t="s">
        <v>513</v>
      </c>
      <c r="L2556" s="6">
        <v>46319</v>
      </c>
      <c r="M2556" s="4" t="s">
        <v>5864</v>
      </c>
      <c r="N2556" s="4" t="s">
        <v>5870</v>
      </c>
    </row>
    <row r="2557" spans="1:14" ht="40" customHeight="1">
      <c r="A2557" s="8" t="s">
        <v>5674</v>
      </c>
      <c r="B2557" s="8" t="s">
        <v>508</v>
      </c>
      <c r="C2557" s="8" t="s">
        <v>509</v>
      </c>
      <c r="D2557" s="8" t="s">
        <v>7</v>
      </c>
      <c r="E2557" s="8" t="s">
        <v>41</v>
      </c>
      <c r="F2557" s="8" t="s">
        <v>6215</v>
      </c>
      <c r="G2557" s="8" t="s">
        <v>2134</v>
      </c>
      <c r="H2557" s="8">
        <v>1</v>
      </c>
      <c r="I2557" s="8">
        <v>1</v>
      </c>
      <c r="J2557" s="8" t="s">
        <v>5675</v>
      </c>
      <c r="K2557" s="8" t="s">
        <v>513</v>
      </c>
      <c r="L2557" s="9">
        <v>46319</v>
      </c>
      <c r="M2557" s="8" t="s">
        <v>5864</v>
      </c>
      <c r="N2557" s="8" t="s">
        <v>5870</v>
      </c>
    </row>
    <row r="2558" spans="1:14" ht="40" customHeight="1">
      <c r="A2558" s="4" t="s">
        <v>5676</v>
      </c>
      <c r="B2558" s="4" t="s">
        <v>508</v>
      </c>
      <c r="C2558" s="4" t="s">
        <v>509</v>
      </c>
      <c r="D2558" s="4" t="s">
        <v>7</v>
      </c>
      <c r="E2558" s="4" t="s">
        <v>41</v>
      </c>
      <c r="F2558" s="4" t="s">
        <v>6216</v>
      </c>
      <c r="G2558" s="4" t="s">
        <v>2134</v>
      </c>
      <c r="H2558" s="4">
        <v>1</v>
      </c>
      <c r="I2558" s="4">
        <v>1</v>
      </c>
      <c r="J2558" s="4" t="s">
        <v>5677</v>
      </c>
      <c r="K2558" s="4" t="s">
        <v>513</v>
      </c>
      <c r="L2558" s="6">
        <v>46319</v>
      </c>
      <c r="M2558" s="4" t="s">
        <v>5864</v>
      </c>
      <c r="N2558" s="4" t="s">
        <v>5870</v>
      </c>
    </row>
    <row r="2559" spans="1:14" ht="40" customHeight="1">
      <c r="A2559" s="8" t="s">
        <v>5678</v>
      </c>
      <c r="B2559" s="8" t="s">
        <v>508</v>
      </c>
      <c r="C2559" s="8" t="s">
        <v>509</v>
      </c>
      <c r="D2559" s="8" t="s">
        <v>7</v>
      </c>
      <c r="E2559" s="8" t="s">
        <v>41</v>
      </c>
      <c r="F2559" s="8" t="s">
        <v>6284</v>
      </c>
      <c r="G2559" s="8" t="s">
        <v>2134</v>
      </c>
      <c r="H2559" s="8">
        <v>1</v>
      </c>
      <c r="I2559" s="8">
        <v>1</v>
      </c>
      <c r="J2559" s="8" t="s">
        <v>5679</v>
      </c>
      <c r="K2559" s="8" t="s">
        <v>513</v>
      </c>
      <c r="L2559" s="9">
        <v>46319</v>
      </c>
      <c r="M2559" s="8" t="s">
        <v>5864</v>
      </c>
      <c r="N2559" s="8" t="s">
        <v>5870</v>
      </c>
    </row>
    <row r="2560" spans="1:14" ht="40" customHeight="1">
      <c r="A2560" s="4" t="s">
        <v>5680</v>
      </c>
      <c r="B2560" s="4" t="s">
        <v>508</v>
      </c>
      <c r="C2560" s="4" t="s">
        <v>509</v>
      </c>
      <c r="D2560" s="4" t="s">
        <v>7</v>
      </c>
      <c r="E2560" s="4" t="s">
        <v>41</v>
      </c>
      <c r="F2560" s="4" t="s">
        <v>6285</v>
      </c>
      <c r="G2560" s="4" t="s">
        <v>2134</v>
      </c>
      <c r="H2560" s="4">
        <v>1</v>
      </c>
      <c r="I2560" s="4">
        <v>1</v>
      </c>
      <c r="J2560" s="4" t="s">
        <v>5681</v>
      </c>
      <c r="K2560" s="4" t="s">
        <v>513</v>
      </c>
      <c r="L2560" s="6">
        <v>46319</v>
      </c>
      <c r="M2560" s="4" t="s">
        <v>5864</v>
      </c>
      <c r="N2560" s="4" t="s">
        <v>5870</v>
      </c>
    </row>
    <row r="2561" spans="1:14" ht="40" customHeight="1">
      <c r="A2561" s="8" t="s">
        <v>5682</v>
      </c>
      <c r="B2561" s="8" t="s">
        <v>508</v>
      </c>
      <c r="C2561" s="8" t="s">
        <v>509</v>
      </c>
      <c r="D2561" s="8" t="s">
        <v>7</v>
      </c>
      <c r="E2561" s="8" t="s">
        <v>41</v>
      </c>
      <c r="F2561" s="8" t="s">
        <v>6286</v>
      </c>
      <c r="G2561" s="8" t="s">
        <v>2134</v>
      </c>
      <c r="H2561" s="8">
        <v>1</v>
      </c>
      <c r="I2561" s="8">
        <v>1</v>
      </c>
      <c r="J2561" s="8" t="s">
        <v>5683</v>
      </c>
      <c r="K2561" s="8" t="s">
        <v>513</v>
      </c>
      <c r="L2561" s="9">
        <v>46319</v>
      </c>
      <c r="M2561" s="8" t="s">
        <v>5864</v>
      </c>
      <c r="N2561" s="8" t="s">
        <v>5870</v>
      </c>
    </row>
    <row r="2562" spans="1:14" ht="54" customHeight="1">
      <c r="A2562" s="4" t="s">
        <v>4749</v>
      </c>
      <c r="B2562" s="4" t="s">
        <v>508</v>
      </c>
      <c r="C2562" s="4" t="s">
        <v>509</v>
      </c>
      <c r="D2562" s="4" t="s">
        <v>5879</v>
      </c>
      <c r="E2562" s="4" t="s">
        <v>41</v>
      </c>
      <c r="F2562" s="4" t="s">
        <v>3449</v>
      </c>
      <c r="G2562" s="4" t="s">
        <v>2134</v>
      </c>
      <c r="H2562" s="4">
        <v>1</v>
      </c>
      <c r="I2562" s="4">
        <v>1</v>
      </c>
      <c r="J2562" s="4" t="s">
        <v>4750</v>
      </c>
      <c r="K2562" s="4" t="s">
        <v>513</v>
      </c>
      <c r="L2562" s="6">
        <v>46319</v>
      </c>
      <c r="M2562" s="4" t="s">
        <v>5864</v>
      </c>
      <c r="N2562" s="4" t="s">
        <v>5865</v>
      </c>
    </row>
    <row r="2563" spans="1:14" ht="54" customHeight="1">
      <c r="A2563" s="8" t="s">
        <v>4751</v>
      </c>
      <c r="B2563" s="8" t="s">
        <v>508</v>
      </c>
      <c r="C2563" s="8" t="s">
        <v>509</v>
      </c>
      <c r="D2563" s="8" t="s">
        <v>5879</v>
      </c>
      <c r="E2563" s="8" t="s">
        <v>41</v>
      </c>
      <c r="F2563" s="8" t="s">
        <v>3466</v>
      </c>
      <c r="G2563" s="8" t="s">
        <v>2134</v>
      </c>
      <c r="H2563" s="8">
        <v>1</v>
      </c>
      <c r="I2563" s="8">
        <v>1</v>
      </c>
      <c r="J2563" s="8" t="s">
        <v>4752</v>
      </c>
      <c r="K2563" s="8" t="s">
        <v>513</v>
      </c>
      <c r="L2563" s="9">
        <v>46319</v>
      </c>
      <c r="M2563" s="8" t="s">
        <v>5864</v>
      </c>
      <c r="N2563" s="8" t="s">
        <v>5865</v>
      </c>
    </row>
    <row r="2564" spans="1:14" ht="54" customHeight="1">
      <c r="A2564" s="4" t="s">
        <v>4753</v>
      </c>
      <c r="B2564" s="4" t="s">
        <v>508</v>
      </c>
      <c r="C2564" s="4" t="s">
        <v>509</v>
      </c>
      <c r="D2564" s="4" t="s">
        <v>5879</v>
      </c>
      <c r="E2564" s="4" t="s">
        <v>41</v>
      </c>
      <c r="F2564" s="4" t="s">
        <v>3469</v>
      </c>
      <c r="G2564" s="4" t="s">
        <v>2134</v>
      </c>
      <c r="H2564" s="4">
        <v>1</v>
      </c>
      <c r="I2564" s="4">
        <v>1</v>
      </c>
      <c r="J2564" s="4" t="s">
        <v>4754</v>
      </c>
      <c r="K2564" s="4" t="s">
        <v>513</v>
      </c>
      <c r="L2564" s="6">
        <v>46319</v>
      </c>
      <c r="M2564" s="4" t="s">
        <v>5864</v>
      </c>
      <c r="N2564" s="4" t="s">
        <v>5865</v>
      </c>
    </row>
    <row r="2565" spans="1:14" ht="54" customHeight="1">
      <c r="A2565" s="8" t="s">
        <v>4755</v>
      </c>
      <c r="B2565" s="8" t="s">
        <v>508</v>
      </c>
      <c r="C2565" s="8" t="s">
        <v>509</v>
      </c>
      <c r="D2565" s="8" t="s">
        <v>5879</v>
      </c>
      <c r="E2565" s="8" t="s">
        <v>41</v>
      </c>
      <c r="F2565" s="8" t="s">
        <v>3472</v>
      </c>
      <c r="G2565" s="8" t="s">
        <v>2134</v>
      </c>
      <c r="H2565" s="8">
        <v>1</v>
      </c>
      <c r="I2565" s="8">
        <v>1</v>
      </c>
      <c r="J2565" s="8" t="s">
        <v>4756</v>
      </c>
      <c r="K2565" s="8" t="s">
        <v>513</v>
      </c>
      <c r="L2565" s="9">
        <v>46319</v>
      </c>
      <c r="M2565" s="8" t="s">
        <v>5864</v>
      </c>
      <c r="N2565" s="8" t="s">
        <v>5865</v>
      </c>
    </row>
    <row r="2566" spans="1:14" ht="40" customHeight="1">
      <c r="A2566" s="4" t="s">
        <v>4757</v>
      </c>
      <c r="B2566" s="4" t="s">
        <v>508</v>
      </c>
      <c r="C2566" s="4" t="s">
        <v>509</v>
      </c>
      <c r="D2566" s="4" t="s">
        <v>5879</v>
      </c>
      <c r="E2566" s="4" t="s">
        <v>41</v>
      </c>
      <c r="F2566" s="4" t="s">
        <v>3475</v>
      </c>
      <c r="G2566" s="4" t="s">
        <v>2134</v>
      </c>
      <c r="H2566" s="4">
        <v>1</v>
      </c>
      <c r="I2566" s="4">
        <v>1</v>
      </c>
      <c r="J2566" s="4" t="s">
        <v>4758</v>
      </c>
      <c r="K2566" s="4" t="s">
        <v>513</v>
      </c>
      <c r="L2566" s="6">
        <v>46319</v>
      </c>
      <c r="M2566" s="4" t="s">
        <v>5864</v>
      </c>
      <c r="N2566" s="4" t="s">
        <v>5865</v>
      </c>
    </row>
    <row r="2567" spans="1:14" ht="54" customHeight="1">
      <c r="A2567" s="8" t="s">
        <v>9017</v>
      </c>
      <c r="B2567" s="8" t="s">
        <v>508</v>
      </c>
      <c r="C2567" s="8" t="s">
        <v>509</v>
      </c>
      <c r="D2567" s="8" t="s">
        <v>2969</v>
      </c>
      <c r="E2567" s="8" t="s">
        <v>41</v>
      </c>
      <c r="F2567" s="8" t="s">
        <v>5881</v>
      </c>
      <c r="G2567" s="8" t="s">
        <v>2134</v>
      </c>
      <c r="H2567" s="8">
        <v>1</v>
      </c>
      <c r="I2567" s="8">
        <v>1</v>
      </c>
      <c r="J2567" s="8" t="s">
        <v>9018</v>
      </c>
      <c r="K2567" s="8" t="s">
        <v>513</v>
      </c>
      <c r="L2567" s="9">
        <v>46319</v>
      </c>
      <c r="M2567" s="8" t="s">
        <v>5864</v>
      </c>
      <c r="N2567" s="8" t="s">
        <v>5883</v>
      </c>
    </row>
    <row r="2568" spans="1:14" ht="40" customHeight="1">
      <c r="A2568" s="4" t="s">
        <v>9019</v>
      </c>
      <c r="B2568" s="4" t="s">
        <v>508</v>
      </c>
      <c r="C2568" s="4" t="s">
        <v>509</v>
      </c>
      <c r="D2568" s="4" t="s">
        <v>2969</v>
      </c>
      <c r="E2568" s="4" t="s">
        <v>41</v>
      </c>
      <c r="F2568" s="4" t="s">
        <v>5885</v>
      </c>
      <c r="G2568" s="4" t="s">
        <v>2134</v>
      </c>
      <c r="H2568" s="4">
        <v>1</v>
      </c>
      <c r="I2568" s="4">
        <v>1</v>
      </c>
      <c r="J2568" s="4" t="s">
        <v>9020</v>
      </c>
      <c r="K2568" s="4" t="s">
        <v>513</v>
      </c>
      <c r="L2568" s="6">
        <v>46319</v>
      </c>
      <c r="M2568" s="4" t="s">
        <v>5864</v>
      </c>
      <c r="N2568" s="4" t="s">
        <v>5883</v>
      </c>
    </row>
    <row r="2569" spans="1:14" ht="40" customHeight="1">
      <c r="A2569" s="8" t="s">
        <v>9021</v>
      </c>
      <c r="B2569" s="8" t="s">
        <v>508</v>
      </c>
      <c r="C2569" s="8" t="s">
        <v>509</v>
      </c>
      <c r="D2569" s="8" t="s">
        <v>2969</v>
      </c>
      <c r="E2569" s="8" t="s">
        <v>41</v>
      </c>
      <c r="F2569" s="8" t="s">
        <v>5888</v>
      </c>
      <c r="G2569" s="8" t="s">
        <v>2134</v>
      </c>
      <c r="H2569" s="8">
        <v>1</v>
      </c>
      <c r="I2569" s="8">
        <v>1</v>
      </c>
      <c r="J2569" s="8" t="s">
        <v>9022</v>
      </c>
      <c r="K2569" s="8" t="s">
        <v>513</v>
      </c>
      <c r="L2569" s="9">
        <v>46319</v>
      </c>
      <c r="M2569" s="8" t="s">
        <v>5864</v>
      </c>
      <c r="N2569" s="8" t="s">
        <v>5883</v>
      </c>
    </row>
    <row r="2570" spans="1:14" ht="40" customHeight="1">
      <c r="A2570" s="4" t="s">
        <v>9023</v>
      </c>
      <c r="B2570" s="4" t="s">
        <v>508</v>
      </c>
      <c r="C2570" s="4" t="s">
        <v>509</v>
      </c>
      <c r="D2570" s="4" t="s">
        <v>2969</v>
      </c>
      <c r="E2570" s="4" t="s">
        <v>41</v>
      </c>
      <c r="F2570" s="4" t="s">
        <v>5891</v>
      </c>
      <c r="G2570" s="4" t="s">
        <v>2134</v>
      </c>
      <c r="H2570" s="4">
        <v>1</v>
      </c>
      <c r="I2570" s="4">
        <v>1</v>
      </c>
      <c r="J2570" s="4" t="s">
        <v>9024</v>
      </c>
      <c r="K2570" s="4" t="s">
        <v>513</v>
      </c>
      <c r="L2570" s="6">
        <v>46319</v>
      </c>
      <c r="M2570" s="4" t="s">
        <v>5864</v>
      </c>
      <c r="N2570" s="4" t="s">
        <v>5883</v>
      </c>
    </row>
    <row r="2571" spans="1:14" ht="40" customHeight="1">
      <c r="A2571" s="8" t="s">
        <v>9025</v>
      </c>
      <c r="B2571" s="8" t="s">
        <v>508</v>
      </c>
      <c r="C2571" s="8" t="s">
        <v>509</v>
      </c>
      <c r="D2571" s="8" t="s">
        <v>2969</v>
      </c>
      <c r="E2571" s="8" t="s">
        <v>41</v>
      </c>
      <c r="F2571" s="8" t="s">
        <v>5894</v>
      </c>
      <c r="G2571" s="8" t="s">
        <v>2134</v>
      </c>
      <c r="H2571" s="8">
        <v>1</v>
      </c>
      <c r="I2571" s="8">
        <v>1</v>
      </c>
      <c r="J2571" s="8" t="s">
        <v>9026</v>
      </c>
      <c r="K2571" s="8" t="s">
        <v>513</v>
      </c>
      <c r="L2571" s="9">
        <v>46319</v>
      </c>
      <c r="M2571" s="8" t="s">
        <v>5864</v>
      </c>
      <c r="N2571" s="8" t="s">
        <v>5883</v>
      </c>
    </row>
    <row r="2572" spans="1:14" ht="54" customHeight="1">
      <c r="A2572" s="4" t="s">
        <v>9027</v>
      </c>
      <c r="B2572" s="4" t="s">
        <v>508</v>
      </c>
      <c r="C2572" s="4" t="s">
        <v>509</v>
      </c>
      <c r="D2572" s="4" t="s">
        <v>2969</v>
      </c>
      <c r="E2572" s="4" t="s">
        <v>41</v>
      </c>
      <c r="F2572" s="4" t="s">
        <v>5897</v>
      </c>
      <c r="G2572" s="4" t="s">
        <v>2134</v>
      </c>
      <c r="H2572" s="4">
        <v>1</v>
      </c>
      <c r="I2572" s="4">
        <v>1</v>
      </c>
      <c r="J2572" s="4" t="s">
        <v>9028</v>
      </c>
      <c r="K2572" s="4" t="s">
        <v>513</v>
      </c>
      <c r="L2572" s="6">
        <v>46319</v>
      </c>
      <c r="M2572" s="4" t="s">
        <v>5864</v>
      </c>
      <c r="N2572" s="4" t="s">
        <v>5883</v>
      </c>
    </row>
    <row r="2573" spans="1:14" ht="40" customHeight="1">
      <c r="A2573" s="8" t="s">
        <v>9029</v>
      </c>
      <c r="B2573" s="8" t="s">
        <v>508</v>
      </c>
      <c r="C2573" s="8" t="s">
        <v>509</v>
      </c>
      <c r="D2573" s="8" t="s">
        <v>2969</v>
      </c>
      <c r="E2573" s="8" t="s">
        <v>41</v>
      </c>
      <c r="F2573" s="8" t="s">
        <v>5900</v>
      </c>
      <c r="G2573" s="8" t="s">
        <v>2134</v>
      </c>
      <c r="H2573" s="8">
        <v>1</v>
      </c>
      <c r="I2573" s="8">
        <v>1</v>
      </c>
      <c r="J2573" s="8" t="s">
        <v>9030</v>
      </c>
      <c r="K2573" s="8" t="s">
        <v>513</v>
      </c>
      <c r="L2573" s="9">
        <v>46319</v>
      </c>
      <c r="M2573" s="8" t="s">
        <v>5864</v>
      </c>
      <c r="N2573" s="8" t="s">
        <v>5883</v>
      </c>
    </row>
    <row r="2574" spans="1:14" ht="40" customHeight="1">
      <c r="A2574" s="4" t="s">
        <v>9031</v>
      </c>
      <c r="B2574" s="4" t="s">
        <v>508</v>
      </c>
      <c r="C2574" s="4" t="s">
        <v>509</v>
      </c>
      <c r="D2574" s="4" t="s">
        <v>2969</v>
      </c>
      <c r="E2574" s="4" t="s">
        <v>41</v>
      </c>
      <c r="F2574" s="4" t="s">
        <v>5903</v>
      </c>
      <c r="G2574" s="4" t="s">
        <v>2134</v>
      </c>
      <c r="H2574" s="4">
        <v>1</v>
      </c>
      <c r="I2574" s="4">
        <v>1</v>
      </c>
      <c r="J2574" s="4" t="s">
        <v>9032</v>
      </c>
      <c r="K2574" s="4" t="s">
        <v>513</v>
      </c>
      <c r="L2574" s="6">
        <v>46319</v>
      </c>
      <c r="M2574" s="4" t="s">
        <v>5864</v>
      </c>
      <c r="N2574" s="4" t="s">
        <v>5883</v>
      </c>
    </row>
    <row r="2575" spans="1:14" ht="54" customHeight="1">
      <c r="A2575" s="8" t="s">
        <v>9033</v>
      </c>
      <c r="B2575" s="8" t="s">
        <v>508</v>
      </c>
      <c r="C2575" s="8" t="s">
        <v>509</v>
      </c>
      <c r="D2575" s="8" t="s">
        <v>2969</v>
      </c>
      <c r="E2575" s="8" t="s">
        <v>41</v>
      </c>
      <c r="F2575" s="8" t="s">
        <v>5906</v>
      </c>
      <c r="G2575" s="8" t="s">
        <v>2134</v>
      </c>
      <c r="H2575" s="8">
        <v>1</v>
      </c>
      <c r="I2575" s="8">
        <v>1</v>
      </c>
      <c r="J2575" s="8" t="s">
        <v>9034</v>
      </c>
      <c r="K2575" s="8" t="s">
        <v>513</v>
      </c>
      <c r="L2575" s="9">
        <v>46319</v>
      </c>
      <c r="M2575" s="8" t="s">
        <v>5864</v>
      </c>
      <c r="N2575" s="8" t="s">
        <v>5883</v>
      </c>
    </row>
    <row r="2576" spans="1:14" ht="40" customHeight="1">
      <c r="A2576" s="4" t="s">
        <v>9035</v>
      </c>
      <c r="B2576" s="4" t="s">
        <v>508</v>
      </c>
      <c r="C2576" s="4" t="s">
        <v>509</v>
      </c>
      <c r="D2576" s="4" t="s">
        <v>2969</v>
      </c>
      <c r="E2576" s="4" t="s">
        <v>41</v>
      </c>
      <c r="F2576" s="4" t="s">
        <v>5909</v>
      </c>
      <c r="G2576" s="4" t="s">
        <v>2134</v>
      </c>
      <c r="H2576" s="4">
        <v>1</v>
      </c>
      <c r="I2576" s="4">
        <v>1</v>
      </c>
      <c r="J2576" s="4" t="s">
        <v>9036</v>
      </c>
      <c r="K2576" s="4" t="s">
        <v>513</v>
      </c>
      <c r="L2576" s="6">
        <v>46319</v>
      </c>
      <c r="M2576" s="4" t="s">
        <v>5864</v>
      </c>
      <c r="N2576" s="4" t="s">
        <v>5883</v>
      </c>
    </row>
    <row r="2577" spans="1:14" ht="40" customHeight="1">
      <c r="A2577" s="8" t="s">
        <v>9037</v>
      </c>
      <c r="B2577" s="8" t="s">
        <v>508</v>
      </c>
      <c r="C2577" s="8" t="s">
        <v>509</v>
      </c>
      <c r="D2577" s="8" t="s">
        <v>2969</v>
      </c>
      <c r="E2577" s="8" t="s">
        <v>41</v>
      </c>
      <c r="F2577" s="8" t="s">
        <v>5912</v>
      </c>
      <c r="G2577" s="8" t="s">
        <v>2134</v>
      </c>
      <c r="H2577" s="8">
        <v>1</v>
      </c>
      <c r="I2577" s="8">
        <v>1</v>
      </c>
      <c r="J2577" s="8" t="s">
        <v>9038</v>
      </c>
      <c r="K2577" s="8" t="s">
        <v>513</v>
      </c>
      <c r="L2577" s="9">
        <v>46319</v>
      </c>
      <c r="M2577" s="8" t="s">
        <v>5864</v>
      </c>
      <c r="N2577" s="8" t="s">
        <v>5883</v>
      </c>
    </row>
    <row r="2578" spans="1:14" ht="110" customHeight="1">
      <c r="A2578" s="4" t="s">
        <v>9039</v>
      </c>
      <c r="B2578" s="4" t="s">
        <v>517</v>
      </c>
      <c r="C2578" s="4" t="s">
        <v>518</v>
      </c>
      <c r="D2578" s="4" t="s">
        <v>5861</v>
      </c>
      <c r="E2578" s="4" t="s">
        <v>41</v>
      </c>
      <c r="F2578" s="4" t="s">
        <v>9001</v>
      </c>
      <c r="G2578" s="4" t="s">
        <v>2159</v>
      </c>
      <c r="H2578" s="4">
        <v>1</v>
      </c>
      <c r="I2578" s="4">
        <v>1</v>
      </c>
      <c r="J2578" s="4" t="s">
        <v>9040</v>
      </c>
      <c r="K2578" s="4" t="s">
        <v>522</v>
      </c>
      <c r="L2578" s="6">
        <v>46319</v>
      </c>
      <c r="M2578" s="4" t="s">
        <v>5864</v>
      </c>
      <c r="N2578" s="4" t="s">
        <v>5865</v>
      </c>
    </row>
    <row r="2579" spans="1:14" ht="40" customHeight="1">
      <c r="A2579" s="8" t="s">
        <v>9041</v>
      </c>
      <c r="B2579" s="8" t="s">
        <v>517</v>
      </c>
      <c r="C2579" s="8" t="s">
        <v>518</v>
      </c>
      <c r="D2579" s="8" t="s">
        <v>5867</v>
      </c>
      <c r="E2579" s="8" t="s">
        <v>41</v>
      </c>
      <c r="F2579" s="8" t="s">
        <v>6248</v>
      </c>
      <c r="G2579" s="8" t="s">
        <v>2159</v>
      </c>
      <c r="H2579" s="8">
        <v>1</v>
      </c>
      <c r="I2579" s="8">
        <v>1</v>
      </c>
      <c r="J2579" s="8" t="s">
        <v>9042</v>
      </c>
      <c r="K2579" s="8" t="s">
        <v>522</v>
      </c>
      <c r="L2579" s="9">
        <v>46319</v>
      </c>
      <c r="M2579" s="8" t="s">
        <v>5864</v>
      </c>
      <c r="N2579" s="8" t="s">
        <v>5865</v>
      </c>
    </row>
    <row r="2580" spans="1:14" ht="40" customHeight="1">
      <c r="A2580" s="4" t="s">
        <v>9043</v>
      </c>
      <c r="B2580" s="4" t="s">
        <v>517</v>
      </c>
      <c r="C2580" s="4" t="s">
        <v>518</v>
      </c>
      <c r="D2580" s="4" t="s">
        <v>637</v>
      </c>
      <c r="E2580" s="4" t="s">
        <v>41</v>
      </c>
      <c r="F2580" s="4" t="s">
        <v>904</v>
      </c>
      <c r="G2580" s="4" t="s">
        <v>2159</v>
      </c>
      <c r="H2580" s="4">
        <v>1</v>
      </c>
      <c r="I2580" s="4">
        <v>1</v>
      </c>
      <c r="J2580" s="4" t="s">
        <v>2136</v>
      </c>
      <c r="K2580" s="4" t="s">
        <v>522</v>
      </c>
      <c r="L2580" s="6">
        <v>46319</v>
      </c>
      <c r="M2580" s="4" t="s">
        <v>5864</v>
      </c>
      <c r="N2580" s="4" t="s">
        <v>5870</v>
      </c>
    </row>
    <row r="2581" spans="1:14" ht="40" customHeight="1">
      <c r="A2581" s="8" t="s">
        <v>9044</v>
      </c>
      <c r="B2581" s="8" t="s">
        <v>517</v>
      </c>
      <c r="C2581" s="8" t="s">
        <v>518</v>
      </c>
      <c r="D2581" s="8" t="s">
        <v>637</v>
      </c>
      <c r="E2581" s="8" t="s">
        <v>41</v>
      </c>
      <c r="F2581" s="8" t="s">
        <v>912</v>
      </c>
      <c r="G2581" s="8" t="s">
        <v>2159</v>
      </c>
      <c r="H2581" s="8">
        <v>1</v>
      </c>
      <c r="I2581" s="8">
        <v>1</v>
      </c>
      <c r="J2581" s="8" t="s">
        <v>2139</v>
      </c>
      <c r="K2581" s="8" t="s">
        <v>522</v>
      </c>
      <c r="L2581" s="9">
        <v>46319</v>
      </c>
      <c r="M2581" s="8" t="s">
        <v>5864</v>
      </c>
      <c r="N2581" s="8" t="s">
        <v>5870</v>
      </c>
    </row>
    <row r="2582" spans="1:14" ht="40" customHeight="1">
      <c r="A2582" s="4" t="s">
        <v>9045</v>
      </c>
      <c r="B2582" s="4" t="s">
        <v>517</v>
      </c>
      <c r="C2582" s="4" t="s">
        <v>518</v>
      </c>
      <c r="D2582" s="4" t="s">
        <v>637</v>
      </c>
      <c r="E2582" s="4" t="s">
        <v>41</v>
      </c>
      <c r="F2582" s="4" t="s">
        <v>1015</v>
      </c>
      <c r="G2582" s="4" t="s">
        <v>2159</v>
      </c>
      <c r="H2582" s="4">
        <v>1</v>
      </c>
      <c r="I2582" s="4">
        <v>1</v>
      </c>
      <c r="J2582" s="4" t="s">
        <v>2163</v>
      </c>
      <c r="K2582" s="4" t="s">
        <v>522</v>
      </c>
      <c r="L2582" s="6">
        <v>46319</v>
      </c>
      <c r="M2582" s="4" t="s">
        <v>5864</v>
      </c>
      <c r="N2582" s="4" t="s">
        <v>5870</v>
      </c>
    </row>
    <row r="2583" spans="1:14" ht="40" customHeight="1">
      <c r="A2583" s="8" t="s">
        <v>9046</v>
      </c>
      <c r="B2583" s="8" t="s">
        <v>517</v>
      </c>
      <c r="C2583" s="8" t="s">
        <v>518</v>
      </c>
      <c r="D2583" s="8" t="s">
        <v>637</v>
      </c>
      <c r="E2583" s="8" t="s">
        <v>41</v>
      </c>
      <c r="F2583" s="8" t="s">
        <v>1019</v>
      </c>
      <c r="G2583" s="8" t="s">
        <v>2159</v>
      </c>
      <c r="H2583" s="8">
        <v>1</v>
      </c>
      <c r="I2583" s="8">
        <v>1</v>
      </c>
      <c r="J2583" s="8" t="s">
        <v>2132</v>
      </c>
      <c r="K2583" s="8" t="s">
        <v>522</v>
      </c>
      <c r="L2583" s="9">
        <v>46319</v>
      </c>
      <c r="M2583" s="8" t="s">
        <v>5864</v>
      </c>
      <c r="N2583" s="8" t="s">
        <v>5870</v>
      </c>
    </row>
    <row r="2584" spans="1:14" ht="40" customHeight="1">
      <c r="A2584" s="4" t="s">
        <v>9047</v>
      </c>
      <c r="B2584" s="4" t="s">
        <v>517</v>
      </c>
      <c r="C2584" s="4" t="s">
        <v>518</v>
      </c>
      <c r="D2584" s="4" t="s">
        <v>637</v>
      </c>
      <c r="E2584" s="4" t="s">
        <v>41</v>
      </c>
      <c r="F2584" s="4" t="s">
        <v>1147</v>
      </c>
      <c r="G2584" s="4" t="s">
        <v>2159</v>
      </c>
      <c r="H2584" s="4">
        <v>1</v>
      </c>
      <c r="I2584" s="4">
        <v>1</v>
      </c>
      <c r="J2584" s="4" t="s">
        <v>2168</v>
      </c>
      <c r="K2584" s="4" t="s">
        <v>522</v>
      </c>
      <c r="L2584" s="6">
        <v>46319</v>
      </c>
      <c r="M2584" s="4" t="s">
        <v>5864</v>
      </c>
      <c r="N2584" s="4" t="s">
        <v>5870</v>
      </c>
    </row>
    <row r="2585" spans="1:14" ht="40" customHeight="1">
      <c r="A2585" s="8" t="s">
        <v>9048</v>
      </c>
      <c r="B2585" s="8" t="s">
        <v>517</v>
      </c>
      <c r="C2585" s="8" t="s">
        <v>518</v>
      </c>
      <c r="D2585" s="8" t="s">
        <v>637</v>
      </c>
      <c r="E2585" s="8" t="s">
        <v>41</v>
      </c>
      <c r="F2585" s="8" t="s">
        <v>1254</v>
      </c>
      <c r="G2585" s="8" t="s">
        <v>2159</v>
      </c>
      <c r="H2585" s="8">
        <v>1</v>
      </c>
      <c r="I2585" s="8">
        <v>1</v>
      </c>
      <c r="J2585" s="8" t="s">
        <v>2171</v>
      </c>
      <c r="K2585" s="8" t="s">
        <v>522</v>
      </c>
      <c r="L2585" s="9">
        <v>46319</v>
      </c>
      <c r="M2585" s="8" t="s">
        <v>5864</v>
      </c>
      <c r="N2585" s="8" t="s">
        <v>5870</v>
      </c>
    </row>
    <row r="2586" spans="1:14" ht="40" customHeight="1">
      <c r="A2586" s="4" t="s">
        <v>9049</v>
      </c>
      <c r="B2586" s="4" t="s">
        <v>517</v>
      </c>
      <c r="C2586" s="4" t="s">
        <v>518</v>
      </c>
      <c r="D2586" s="4" t="s">
        <v>637</v>
      </c>
      <c r="E2586" s="4" t="s">
        <v>41</v>
      </c>
      <c r="F2586" s="4" t="s">
        <v>1258</v>
      </c>
      <c r="G2586" s="4" t="s">
        <v>2159</v>
      </c>
      <c r="H2586" s="4">
        <v>1</v>
      </c>
      <c r="I2586" s="4">
        <v>1</v>
      </c>
      <c r="J2586" s="4" t="s">
        <v>2174</v>
      </c>
      <c r="K2586" s="4" t="s">
        <v>522</v>
      </c>
      <c r="L2586" s="6">
        <v>46319</v>
      </c>
      <c r="M2586" s="4" t="s">
        <v>5864</v>
      </c>
      <c r="N2586" s="4" t="s">
        <v>5870</v>
      </c>
    </row>
    <row r="2587" spans="1:14" ht="40" customHeight="1">
      <c r="A2587" s="8" t="s">
        <v>9050</v>
      </c>
      <c r="B2587" s="8" t="s">
        <v>517</v>
      </c>
      <c r="C2587" s="8" t="s">
        <v>518</v>
      </c>
      <c r="D2587" s="8" t="s">
        <v>637</v>
      </c>
      <c r="E2587" s="8" t="s">
        <v>2177</v>
      </c>
      <c r="F2587" s="8" t="s">
        <v>1087</v>
      </c>
      <c r="G2587" s="8" t="s">
        <v>2159</v>
      </c>
      <c r="H2587" s="8">
        <v>1</v>
      </c>
      <c r="I2587" s="8">
        <v>1</v>
      </c>
      <c r="J2587" s="8" t="s">
        <v>2177</v>
      </c>
      <c r="K2587" s="8" t="s">
        <v>522</v>
      </c>
      <c r="L2587" s="9">
        <v>46319</v>
      </c>
      <c r="M2587" s="8" t="s">
        <v>5864</v>
      </c>
      <c r="N2587" s="8" t="s">
        <v>5865</v>
      </c>
    </row>
    <row r="2588" spans="1:14" ht="40" customHeight="1">
      <c r="A2588" s="4" t="s">
        <v>9051</v>
      </c>
      <c r="B2588" s="4" t="s">
        <v>517</v>
      </c>
      <c r="C2588" s="4" t="s">
        <v>518</v>
      </c>
      <c r="D2588" s="4" t="s">
        <v>637</v>
      </c>
      <c r="E2588" s="4" t="s">
        <v>2177</v>
      </c>
      <c r="F2588" s="4" t="s">
        <v>1091</v>
      </c>
      <c r="G2588" s="4" t="s">
        <v>2159</v>
      </c>
      <c r="H2588" s="4">
        <v>1</v>
      </c>
      <c r="I2588" s="4">
        <v>1</v>
      </c>
      <c r="J2588" s="4" t="s">
        <v>2180</v>
      </c>
      <c r="K2588" s="4" t="s">
        <v>522</v>
      </c>
      <c r="L2588" s="6">
        <v>46319</v>
      </c>
      <c r="M2588" s="4" t="s">
        <v>5864</v>
      </c>
      <c r="N2588" s="4" t="s">
        <v>5865</v>
      </c>
    </row>
    <row r="2589" spans="1:14" ht="40" customHeight="1">
      <c r="A2589" s="8" t="s">
        <v>5684</v>
      </c>
      <c r="B2589" s="8" t="s">
        <v>517</v>
      </c>
      <c r="C2589" s="8" t="s">
        <v>518</v>
      </c>
      <c r="D2589" s="8" t="s">
        <v>7</v>
      </c>
      <c r="E2589" s="8" t="s">
        <v>41</v>
      </c>
      <c r="F2589" s="8" t="s">
        <v>6150</v>
      </c>
      <c r="G2589" s="8" t="s">
        <v>2159</v>
      </c>
      <c r="H2589" s="8">
        <v>1</v>
      </c>
      <c r="I2589" s="8">
        <v>1</v>
      </c>
      <c r="J2589" s="8" t="s">
        <v>5685</v>
      </c>
      <c r="K2589" s="8" t="s">
        <v>522</v>
      </c>
      <c r="L2589" s="9">
        <v>46319</v>
      </c>
      <c r="M2589" s="8" t="s">
        <v>5864</v>
      </c>
      <c r="N2589" s="8" t="s">
        <v>5865</v>
      </c>
    </row>
    <row r="2590" spans="1:14" ht="54" customHeight="1">
      <c r="A2590" s="4" t="s">
        <v>4759</v>
      </c>
      <c r="B2590" s="4" t="s">
        <v>517</v>
      </c>
      <c r="C2590" s="4" t="s">
        <v>518</v>
      </c>
      <c r="D2590" s="4" t="s">
        <v>5879</v>
      </c>
      <c r="E2590" s="4" t="s">
        <v>41</v>
      </c>
      <c r="F2590" s="4" t="s">
        <v>3449</v>
      </c>
      <c r="G2590" s="4" t="s">
        <v>2159</v>
      </c>
      <c r="H2590" s="4">
        <v>1</v>
      </c>
      <c r="I2590" s="4">
        <v>1</v>
      </c>
      <c r="J2590" s="4" t="s">
        <v>4760</v>
      </c>
      <c r="K2590" s="4" t="s">
        <v>522</v>
      </c>
      <c r="L2590" s="6">
        <v>46319</v>
      </c>
      <c r="M2590" s="4" t="s">
        <v>5864</v>
      </c>
      <c r="N2590" s="4" t="s">
        <v>5865</v>
      </c>
    </row>
    <row r="2591" spans="1:14" ht="54" customHeight="1">
      <c r="A2591" s="8" t="s">
        <v>4761</v>
      </c>
      <c r="B2591" s="8" t="s">
        <v>517</v>
      </c>
      <c r="C2591" s="8" t="s">
        <v>518</v>
      </c>
      <c r="D2591" s="8" t="s">
        <v>5879</v>
      </c>
      <c r="E2591" s="8" t="s">
        <v>41</v>
      </c>
      <c r="F2591" s="8" t="s">
        <v>3466</v>
      </c>
      <c r="G2591" s="8" t="s">
        <v>2159</v>
      </c>
      <c r="H2591" s="8">
        <v>1</v>
      </c>
      <c r="I2591" s="8">
        <v>1</v>
      </c>
      <c r="J2591" s="8" t="s">
        <v>4752</v>
      </c>
      <c r="K2591" s="8" t="s">
        <v>522</v>
      </c>
      <c r="L2591" s="9">
        <v>46319</v>
      </c>
      <c r="M2591" s="8" t="s">
        <v>5864</v>
      </c>
      <c r="N2591" s="8" t="s">
        <v>5865</v>
      </c>
    </row>
    <row r="2592" spans="1:14" ht="40" customHeight="1">
      <c r="A2592" s="4" t="s">
        <v>4762</v>
      </c>
      <c r="B2592" s="4" t="s">
        <v>517</v>
      </c>
      <c r="C2592" s="4" t="s">
        <v>518</v>
      </c>
      <c r="D2592" s="4" t="s">
        <v>5879</v>
      </c>
      <c r="E2592" s="4" t="s">
        <v>41</v>
      </c>
      <c r="F2592" s="4" t="s">
        <v>3469</v>
      </c>
      <c r="G2592" s="4" t="s">
        <v>2159</v>
      </c>
      <c r="H2592" s="4">
        <v>1</v>
      </c>
      <c r="I2592" s="4">
        <v>1</v>
      </c>
      <c r="J2592" s="4" t="s">
        <v>4763</v>
      </c>
      <c r="K2592" s="4" t="s">
        <v>522</v>
      </c>
      <c r="L2592" s="6">
        <v>46319</v>
      </c>
      <c r="M2592" s="4" t="s">
        <v>5864</v>
      </c>
      <c r="N2592" s="4" t="s">
        <v>5865</v>
      </c>
    </row>
    <row r="2593" spans="1:14" ht="54" customHeight="1">
      <c r="A2593" s="8" t="s">
        <v>4764</v>
      </c>
      <c r="B2593" s="8" t="s">
        <v>517</v>
      </c>
      <c r="C2593" s="8" t="s">
        <v>518</v>
      </c>
      <c r="D2593" s="8" t="s">
        <v>5879</v>
      </c>
      <c r="E2593" s="8" t="s">
        <v>41</v>
      </c>
      <c r="F2593" s="8" t="s">
        <v>3472</v>
      </c>
      <c r="G2593" s="8" t="s">
        <v>2159</v>
      </c>
      <c r="H2593" s="8">
        <v>1</v>
      </c>
      <c r="I2593" s="8">
        <v>1</v>
      </c>
      <c r="J2593" s="8" t="s">
        <v>4756</v>
      </c>
      <c r="K2593" s="8" t="s">
        <v>522</v>
      </c>
      <c r="L2593" s="9">
        <v>46319</v>
      </c>
      <c r="M2593" s="8" t="s">
        <v>5864</v>
      </c>
      <c r="N2593" s="8" t="s">
        <v>5865</v>
      </c>
    </row>
    <row r="2594" spans="1:14" ht="40" customHeight="1">
      <c r="A2594" s="4" t="s">
        <v>4765</v>
      </c>
      <c r="B2594" s="4" t="s">
        <v>517</v>
      </c>
      <c r="C2594" s="4" t="s">
        <v>518</v>
      </c>
      <c r="D2594" s="4" t="s">
        <v>5879</v>
      </c>
      <c r="E2594" s="4" t="s">
        <v>41</v>
      </c>
      <c r="F2594" s="4" t="s">
        <v>3475</v>
      </c>
      <c r="G2594" s="4" t="s">
        <v>2159</v>
      </c>
      <c r="H2594" s="4">
        <v>1</v>
      </c>
      <c r="I2594" s="4">
        <v>1</v>
      </c>
      <c r="J2594" s="4" t="s">
        <v>4758</v>
      </c>
      <c r="K2594" s="4" t="s">
        <v>522</v>
      </c>
      <c r="L2594" s="6">
        <v>46319</v>
      </c>
      <c r="M2594" s="4" t="s">
        <v>5864</v>
      </c>
      <c r="N2594" s="4" t="s">
        <v>5865</v>
      </c>
    </row>
    <row r="2595" spans="1:14" ht="54" customHeight="1">
      <c r="A2595" s="8" t="s">
        <v>9052</v>
      </c>
      <c r="B2595" s="8" t="s">
        <v>517</v>
      </c>
      <c r="C2595" s="8" t="s">
        <v>518</v>
      </c>
      <c r="D2595" s="8" t="s">
        <v>2969</v>
      </c>
      <c r="E2595" s="8" t="s">
        <v>41</v>
      </c>
      <c r="F2595" s="8" t="s">
        <v>5881</v>
      </c>
      <c r="G2595" s="8" t="s">
        <v>2159</v>
      </c>
      <c r="H2595" s="8">
        <v>1</v>
      </c>
      <c r="I2595" s="8">
        <v>1</v>
      </c>
      <c r="J2595" s="8" t="s">
        <v>9053</v>
      </c>
      <c r="K2595" s="8" t="s">
        <v>522</v>
      </c>
      <c r="L2595" s="9">
        <v>46319</v>
      </c>
      <c r="M2595" s="8" t="s">
        <v>5864</v>
      </c>
      <c r="N2595" s="8" t="s">
        <v>5883</v>
      </c>
    </row>
    <row r="2596" spans="1:14" ht="54" customHeight="1">
      <c r="A2596" s="4" t="s">
        <v>9054</v>
      </c>
      <c r="B2596" s="4" t="s">
        <v>517</v>
      </c>
      <c r="C2596" s="4" t="s">
        <v>518</v>
      </c>
      <c r="D2596" s="4" t="s">
        <v>2969</v>
      </c>
      <c r="E2596" s="4" t="s">
        <v>41</v>
      </c>
      <c r="F2596" s="4" t="s">
        <v>5885</v>
      </c>
      <c r="G2596" s="4" t="s">
        <v>2159</v>
      </c>
      <c r="H2596" s="4">
        <v>1</v>
      </c>
      <c r="I2596" s="4">
        <v>1</v>
      </c>
      <c r="J2596" s="4" t="s">
        <v>9055</v>
      </c>
      <c r="K2596" s="4" t="s">
        <v>522</v>
      </c>
      <c r="L2596" s="6">
        <v>46319</v>
      </c>
      <c r="M2596" s="4" t="s">
        <v>5864</v>
      </c>
      <c r="N2596" s="4" t="s">
        <v>5883</v>
      </c>
    </row>
    <row r="2597" spans="1:14" ht="54" customHeight="1">
      <c r="A2597" s="8" t="s">
        <v>9056</v>
      </c>
      <c r="B2597" s="8" t="s">
        <v>517</v>
      </c>
      <c r="C2597" s="8" t="s">
        <v>518</v>
      </c>
      <c r="D2597" s="8" t="s">
        <v>2969</v>
      </c>
      <c r="E2597" s="8" t="s">
        <v>41</v>
      </c>
      <c r="F2597" s="8" t="s">
        <v>5888</v>
      </c>
      <c r="G2597" s="8" t="s">
        <v>2159</v>
      </c>
      <c r="H2597" s="8">
        <v>1</v>
      </c>
      <c r="I2597" s="8">
        <v>1</v>
      </c>
      <c r="J2597" s="8" t="s">
        <v>9057</v>
      </c>
      <c r="K2597" s="8" t="s">
        <v>522</v>
      </c>
      <c r="L2597" s="9">
        <v>46319</v>
      </c>
      <c r="M2597" s="8" t="s">
        <v>5864</v>
      </c>
      <c r="N2597" s="8" t="s">
        <v>5883</v>
      </c>
    </row>
    <row r="2598" spans="1:14" ht="82" customHeight="1">
      <c r="A2598" s="4" t="s">
        <v>9058</v>
      </c>
      <c r="B2598" s="4" t="s">
        <v>517</v>
      </c>
      <c r="C2598" s="4" t="s">
        <v>518</v>
      </c>
      <c r="D2598" s="4" t="s">
        <v>2969</v>
      </c>
      <c r="E2598" s="4" t="s">
        <v>41</v>
      </c>
      <c r="F2598" s="4" t="s">
        <v>5891</v>
      </c>
      <c r="G2598" s="4" t="s">
        <v>2159</v>
      </c>
      <c r="H2598" s="4">
        <v>1</v>
      </c>
      <c r="I2598" s="4">
        <v>1</v>
      </c>
      <c r="J2598" s="4" t="s">
        <v>9059</v>
      </c>
      <c r="K2598" s="4" t="s">
        <v>522</v>
      </c>
      <c r="L2598" s="6">
        <v>46319</v>
      </c>
      <c r="M2598" s="4" t="s">
        <v>5864</v>
      </c>
      <c r="N2598" s="4" t="s">
        <v>5883</v>
      </c>
    </row>
    <row r="2599" spans="1:14" ht="68" customHeight="1">
      <c r="A2599" s="8" t="s">
        <v>9060</v>
      </c>
      <c r="B2599" s="8" t="s">
        <v>517</v>
      </c>
      <c r="C2599" s="8" t="s">
        <v>518</v>
      </c>
      <c r="D2599" s="8" t="s">
        <v>2969</v>
      </c>
      <c r="E2599" s="8" t="s">
        <v>41</v>
      </c>
      <c r="F2599" s="8" t="s">
        <v>5894</v>
      </c>
      <c r="G2599" s="8" t="s">
        <v>2159</v>
      </c>
      <c r="H2599" s="8">
        <v>1</v>
      </c>
      <c r="I2599" s="8">
        <v>1</v>
      </c>
      <c r="J2599" s="8" t="s">
        <v>9061</v>
      </c>
      <c r="K2599" s="8" t="s">
        <v>522</v>
      </c>
      <c r="L2599" s="9">
        <v>46319</v>
      </c>
      <c r="M2599" s="8" t="s">
        <v>5864</v>
      </c>
      <c r="N2599" s="8" t="s">
        <v>5883</v>
      </c>
    </row>
    <row r="2600" spans="1:14" ht="68" customHeight="1">
      <c r="A2600" s="4" t="s">
        <v>9062</v>
      </c>
      <c r="B2600" s="4" t="s">
        <v>517</v>
      </c>
      <c r="C2600" s="4" t="s">
        <v>518</v>
      </c>
      <c r="D2600" s="4" t="s">
        <v>2969</v>
      </c>
      <c r="E2600" s="4" t="s">
        <v>41</v>
      </c>
      <c r="F2600" s="4" t="s">
        <v>5897</v>
      </c>
      <c r="G2600" s="4" t="s">
        <v>2159</v>
      </c>
      <c r="H2600" s="4">
        <v>1</v>
      </c>
      <c r="I2600" s="4">
        <v>1</v>
      </c>
      <c r="J2600" s="4" t="s">
        <v>9063</v>
      </c>
      <c r="K2600" s="4" t="s">
        <v>522</v>
      </c>
      <c r="L2600" s="6">
        <v>46319</v>
      </c>
      <c r="M2600" s="4" t="s">
        <v>5864</v>
      </c>
      <c r="N2600" s="4" t="s">
        <v>5883</v>
      </c>
    </row>
    <row r="2601" spans="1:14" ht="54" customHeight="1">
      <c r="A2601" s="8" t="s">
        <v>9064</v>
      </c>
      <c r="B2601" s="8" t="s">
        <v>517</v>
      </c>
      <c r="C2601" s="8" t="s">
        <v>518</v>
      </c>
      <c r="D2601" s="8" t="s">
        <v>2969</v>
      </c>
      <c r="E2601" s="8" t="s">
        <v>41</v>
      </c>
      <c r="F2601" s="8" t="s">
        <v>5900</v>
      </c>
      <c r="G2601" s="8" t="s">
        <v>2159</v>
      </c>
      <c r="H2601" s="8">
        <v>1</v>
      </c>
      <c r="I2601" s="8">
        <v>1</v>
      </c>
      <c r="J2601" s="8" t="s">
        <v>9065</v>
      </c>
      <c r="K2601" s="8" t="s">
        <v>522</v>
      </c>
      <c r="L2601" s="9">
        <v>46319</v>
      </c>
      <c r="M2601" s="8" t="s">
        <v>5864</v>
      </c>
      <c r="N2601" s="8" t="s">
        <v>5883</v>
      </c>
    </row>
    <row r="2602" spans="1:14" ht="54" customHeight="1">
      <c r="A2602" s="4" t="s">
        <v>9066</v>
      </c>
      <c r="B2602" s="4" t="s">
        <v>517</v>
      </c>
      <c r="C2602" s="4" t="s">
        <v>518</v>
      </c>
      <c r="D2602" s="4" t="s">
        <v>2969</v>
      </c>
      <c r="E2602" s="4" t="s">
        <v>41</v>
      </c>
      <c r="F2602" s="4" t="s">
        <v>5903</v>
      </c>
      <c r="G2602" s="4" t="s">
        <v>2159</v>
      </c>
      <c r="H2602" s="4">
        <v>1</v>
      </c>
      <c r="I2602" s="4">
        <v>1</v>
      </c>
      <c r="J2602" s="4" t="s">
        <v>9067</v>
      </c>
      <c r="K2602" s="4" t="s">
        <v>522</v>
      </c>
      <c r="L2602" s="6">
        <v>46319</v>
      </c>
      <c r="M2602" s="4" t="s">
        <v>5864</v>
      </c>
      <c r="N2602" s="4" t="s">
        <v>5883</v>
      </c>
    </row>
    <row r="2603" spans="1:14" ht="68" customHeight="1">
      <c r="A2603" s="8" t="s">
        <v>9068</v>
      </c>
      <c r="B2603" s="8" t="s">
        <v>517</v>
      </c>
      <c r="C2603" s="8" t="s">
        <v>518</v>
      </c>
      <c r="D2603" s="8" t="s">
        <v>2969</v>
      </c>
      <c r="E2603" s="8" t="s">
        <v>41</v>
      </c>
      <c r="F2603" s="8" t="s">
        <v>5906</v>
      </c>
      <c r="G2603" s="8" t="s">
        <v>2159</v>
      </c>
      <c r="H2603" s="8">
        <v>1</v>
      </c>
      <c r="I2603" s="8">
        <v>1</v>
      </c>
      <c r="J2603" s="8" t="s">
        <v>9069</v>
      </c>
      <c r="K2603" s="8" t="s">
        <v>522</v>
      </c>
      <c r="L2603" s="9">
        <v>46319</v>
      </c>
      <c r="M2603" s="8" t="s">
        <v>5864</v>
      </c>
      <c r="N2603" s="8" t="s">
        <v>5883</v>
      </c>
    </row>
    <row r="2604" spans="1:14" ht="68" customHeight="1">
      <c r="A2604" s="4" t="s">
        <v>9070</v>
      </c>
      <c r="B2604" s="4" t="s">
        <v>517</v>
      </c>
      <c r="C2604" s="4" t="s">
        <v>518</v>
      </c>
      <c r="D2604" s="4" t="s">
        <v>2969</v>
      </c>
      <c r="E2604" s="4" t="s">
        <v>41</v>
      </c>
      <c r="F2604" s="4" t="s">
        <v>5909</v>
      </c>
      <c r="G2604" s="4" t="s">
        <v>2159</v>
      </c>
      <c r="H2604" s="4">
        <v>1</v>
      </c>
      <c r="I2604" s="4">
        <v>1</v>
      </c>
      <c r="J2604" s="4" t="s">
        <v>9071</v>
      </c>
      <c r="K2604" s="4" t="s">
        <v>522</v>
      </c>
      <c r="L2604" s="6">
        <v>46319</v>
      </c>
      <c r="M2604" s="4" t="s">
        <v>5864</v>
      </c>
      <c r="N2604" s="4" t="s">
        <v>5883</v>
      </c>
    </row>
    <row r="2605" spans="1:14" ht="54" customHeight="1">
      <c r="A2605" s="8" t="s">
        <v>9072</v>
      </c>
      <c r="B2605" s="8" t="s">
        <v>517</v>
      </c>
      <c r="C2605" s="8" t="s">
        <v>518</v>
      </c>
      <c r="D2605" s="8" t="s">
        <v>2969</v>
      </c>
      <c r="E2605" s="8" t="s">
        <v>41</v>
      </c>
      <c r="F2605" s="8" t="s">
        <v>5912</v>
      </c>
      <c r="G2605" s="8" t="s">
        <v>2159</v>
      </c>
      <c r="H2605" s="8">
        <v>1</v>
      </c>
      <c r="I2605" s="8">
        <v>1</v>
      </c>
      <c r="J2605" s="8" t="s">
        <v>9073</v>
      </c>
      <c r="K2605" s="8" t="s">
        <v>522</v>
      </c>
      <c r="L2605" s="9">
        <v>46319</v>
      </c>
      <c r="M2605" s="8" t="s">
        <v>5864</v>
      </c>
      <c r="N2605" s="8" t="s">
        <v>5883</v>
      </c>
    </row>
    <row r="2606" spans="1:14" ht="54" customHeight="1">
      <c r="A2606" s="4" t="s">
        <v>9074</v>
      </c>
      <c r="B2606" s="4" t="s">
        <v>517</v>
      </c>
      <c r="C2606" s="4" t="s">
        <v>518</v>
      </c>
      <c r="D2606" s="4" t="s">
        <v>2969</v>
      </c>
      <c r="E2606" s="4" t="s">
        <v>41</v>
      </c>
      <c r="F2606" s="4" t="s">
        <v>5973</v>
      </c>
      <c r="G2606" s="4" t="s">
        <v>2159</v>
      </c>
      <c r="H2606" s="4">
        <v>1</v>
      </c>
      <c r="I2606" s="4">
        <v>1</v>
      </c>
      <c r="J2606" s="4" t="s">
        <v>9075</v>
      </c>
      <c r="K2606" s="4" t="s">
        <v>522</v>
      </c>
      <c r="L2606" s="6">
        <v>46319</v>
      </c>
      <c r="M2606" s="4" t="s">
        <v>5864</v>
      </c>
      <c r="N2606" s="4" t="s">
        <v>5883</v>
      </c>
    </row>
    <row r="2607" spans="1:14" ht="54" customHeight="1">
      <c r="A2607" s="8" t="s">
        <v>9076</v>
      </c>
      <c r="B2607" s="8" t="s">
        <v>517</v>
      </c>
      <c r="C2607" s="8" t="s">
        <v>518</v>
      </c>
      <c r="D2607" s="8" t="s">
        <v>2969</v>
      </c>
      <c r="E2607" s="8" t="s">
        <v>41</v>
      </c>
      <c r="F2607" s="8" t="s">
        <v>5976</v>
      </c>
      <c r="G2607" s="8" t="s">
        <v>2159</v>
      </c>
      <c r="H2607" s="8">
        <v>1</v>
      </c>
      <c r="I2607" s="8">
        <v>1</v>
      </c>
      <c r="J2607" s="8" t="s">
        <v>9077</v>
      </c>
      <c r="K2607" s="8" t="s">
        <v>522</v>
      </c>
      <c r="L2607" s="9">
        <v>46319</v>
      </c>
      <c r="M2607" s="8" t="s">
        <v>5864</v>
      </c>
      <c r="N2607" s="8" t="s">
        <v>5883</v>
      </c>
    </row>
    <row r="2608" spans="1:14" ht="68" customHeight="1">
      <c r="A2608" s="4" t="s">
        <v>9078</v>
      </c>
      <c r="B2608" s="4" t="s">
        <v>517</v>
      </c>
      <c r="C2608" s="4" t="s">
        <v>518</v>
      </c>
      <c r="D2608" s="4" t="s">
        <v>2969</v>
      </c>
      <c r="E2608" s="4" t="s">
        <v>41</v>
      </c>
      <c r="F2608" s="4" t="s">
        <v>5979</v>
      </c>
      <c r="G2608" s="4" t="s">
        <v>2159</v>
      </c>
      <c r="H2608" s="4">
        <v>1</v>
      </c>
      <c r="I2608" s="4">
        <v>1</v>
      </c>
      <c r="J2608" s="4" t="s">
        <v>9079</v>
      </c>
      <c r="K2608" s="4" t="s">
        <v>522</v>
      </c>
      <c r="L2608" s="6">
        <v>46319</v>
      </c>
      <c r="M2608" s="4" t="s">
        <v>5864</v>
      </c>
      <c r="N2608" s="4" t="s">
        <v>5883</v>
      </c>
    </row>
    <row r="2609" spans="1:14" ht="96" customHeight="1">
      <c r="A2609" s="8" t="s">
        <v>9080</v>
      </c>
      <c r="B2609" s="8" t="s">
        <v>525</v>
      </c>
      <c r="C2609" s="8" t="s">
        <v>526</v>
      </c>
      <c r="D2609" s="8" t="s">
        <v>5861</v>
      </c>
      <c r="E2609" s="8" t="s">
        <v>41</v>
      </c>
      <c r="F2609" s="8" t="s">
        <v>5862</v>
      </c>
      <c r="G2609" s="8" t="s">
        <v>2185</v>
      </c>
      <c r="H2609" s="8">
        <v>1</v>
      </c>
      <c r="I2609" s="8">
        <v>1</v>
      </c>
      <c r="J2609" s="8" t="s">
        <v>9081</v>
      </c>
      <c r="K2609" s="8" t="s">
        <v>529</v>
      </c>
      <c r="L2609" s="9">
        <v>46319</v>
      </c>
      <c r="M2609" s="8" t="s">
        <v>5864</v>
      </c>
      <c r="N2609" s="8" t="s">
        <v>5865</v>
      </c>
    </row>
    <row r="2610" spans="1:14" ht="40" customHeight="1">
      <c r="A2610" s="4" t="s">
        <v>9082</v>
      </c>
      <c r="B2610" s="4" t="s">
        <v>525</v>
      </c>
      <c r="C2610" s="4" t="s">
        <v>526</v>
      </c>
      <c r="D2610" s="4" t="s">
        <v>5867</v>
      </c>
      <c r="E2610" s="4" t="s">
        <v>41</v>
      </c>
      <c r="F2610" s="4" t="s">
        <v>5868</v>
      </c>
      <c r="G2610" s="4" t="s">
        <v>2185</v>
      </c>
      <c r="H2610" s="4">
        <v>1</v>
      </c>
      <c r="I2610" s="4">
        <v>1</v>
      </c>
      <c r="J2610" s="4" t="s">
        <v>9083</v>
      </c>
      <c r="K2610" s="4" t="s">
        <v>529</v>
      </c>
      <c r="L2610" s="6">
        <v>46319</v>
      </c>
      <c r="M2610" s="4" t="s">
        <v>5864</v>
      </c>
      <c r="N2610" s="4" t="s">
        <v>5870</v>
      </c>
    </row>
    <row r="2611" spans="1:14" ht="40" customHeight="1">
      <c r="A2611" s="8" t="s">
        <v>9084</v>
      </c>
      <c r="B2611" s="8" t="s">
        <v>525</v>
      </c>
      <c r="C2611" s="8" t="s">
        <v>526</v>
      </c>
      <c r="D2611" s="8" t="s">
        <v>5867</v>
      </c>
      <c r="E2611" s="8" t="s">
        <v>41</v>
      </c>
      <c r="F2611" s="8" t="s">
        <v>5872</v>
      </c>
      <c r="G2611" s="8" t="s">
        <v>2185</v>
      </c>
      <c r="H2611" s="8">
        <v>1</v>
      </c>
      <c r="I2611" s="8">
        <v>1</v>
      </c>
      <c r="J2611" s="8" t="s">
        <v>9085</v>
      </c>
      <c r="K2611" s="8" t="s">
        <v>529</v>
      </c>
      <c r="L2611" s="9">
        <v>46319</v>
      </c>
      <c r="M2611" s="8" t="s">
        <v>5864</v>
      </c>
      <c r="N2611" s="8" t="s">
        <v>5870</v>
      </c>
    </row>
    <row r="2612" spans="1:14" ht="40" customHeight="1">
      <c r="A2612" s="4" t="s">
        <v>9086</v>
      </c>
      <c r="B2612" s="4" t="s">
        <v>525</v>
      </c>
      <c r="C2612" s="4" t="s">
        <v>526</v>
      </c>
      <c r="D2612" s="4" t="s">
        <v>5867</v>
      </c>
      <c r="E2612" s="4" t="s">
        <v>41</v>
      </c>
      <c r="F2612" s="4" t="s">
        <v>5875</v>
      </c>
      <c r="G2612" s="4" t="s">
        <v>2185</v>
      </c>
      <c r="H2612" s="4">
        <v>1</v>
      </c>
      <c r="I2612" s="4">
        <v>1</v>
      </c>
      <c r="J2612" s="4" t="s">
        <v>9087</v>
      </c>
      <c r="K2612" s="4" t="s">
        <v>529</v>
      </c>
      <c r="L2612" s="6">
        <v>46319</v>
      </c>
      <c r="M2612" s="4" t="s">
        <v>5864</v>
      </c>
      <c r="N2612" s="4" t="s">
        <v>5870</v>
      </c>
    </row>
    <row r="2613" spans="1:14" ht="40" customHeight="1">
      <c r="A2613" s="8" t="s">
        <v>9088</v>
      </c>
      <c r="B2613" s="8" t="s">
        <v>525</v>
      </c>
      <c r="C2613" s="8" t="s">
        <v>526</v>
      </c>
      <c r="D2613" s="8" t="s">
        <v>637</v>
      </c>
      <c r="E2613" s="8" t="s">
        <v>41</v>
      </c>
      <c r="F2613" s="8" t="s">
        <v>904</v>
      </c>
      <c r="G2613" s="8" t="s">
        <v>2185</v>
      </c>
      <c r="H2613" s="8">
        <v>1</v>
      </c>
      <c r="I2613" s="8">
        <v>1</v>
      </c>
      <c r="J2613" s="8" t="s">
        <v>1072</v>
      </c>
      <c r="K2613" s="8" t="s">
        <v>529</v>
      </c>
      <c r="L2613" s="9">
        <v>46319</v>
      </c>
      <c r="M2613" s="8" t="s">
        <v>5864</v>
      </c>
      <c r="N2613" s="8" t="s">
        <v>5870</v>
      </c>
    </row>
    <row r="2614" spans="1:14" ht="40" customHeight="1">
      <c r="A2614" s="4" t="s">
        <v>9089</v>
      </c>
      <c r="B2614" s="4" t="s">
        <v>525</v>
      </c>
      <c r="C2614" s="4" t="s">
        <v>526</v>
      </c>
      <c r="D2614" s="4" t="s">
        <v>637</v>
      </c>
      <c r="E2614" s="4" t="s">
        <v>41</v>
      </c>
      <c r="F2614" s="4" t="s">
        <v>912</v>
      </c>
      <c r="G2614" s="4" t="s">
        <v>2185</v>
      </c>
      <c r="H2614" s="4">
        <v>1</v>
      </c>
      <c r="I2614" s="4">
        <v>1</v>
      </c>
      <c r="J2614" s="4" t="s">
        <v>2102</v>
      </c>
      <c r="K2614" s="4" t="s">
        <v>529</v>
      </c>
      <c r="L2614" s="6">
        <v>46319</v>
      </c>
      <c r="M2614" s="4" t="s">
        <v>5864</v>
      </c>
      <c r="N2614" s="4" t="s">
        <v>5870</v>
      </c>
    </row>
    <row r="2615" spans="1:14" ht="40" customHeight="1">
      <c r="A2615" s="8" t="s">
        <v>9090</v>
      </c>
      <c r="B2615" s="8" t="s">
        <v>525</v>
      </c>
      <c r="C2615" s="8" t="s">
        <v>526</v>
      </c>
      <c r="D2615" s="8" t="s">
        <v>637</v>
      </c>
      <c r="E2615" s="8" t="s">
        <v>41</v>
      </c>
      <c r="F2615" s="8" t="s">
        <v>1015</v>
      </c>
      <c r="G2615" s="8" t="s">
        <v>2185</v>
      </c>
      <c r="H2615" s="8">
        <v>1</v>
      </c>
      <c r="I2615" s="8">
        <v>1</v>
      </c>
      <c r="J2615" s="8" t="s">
        <v>2080</v>
      </c>
      <c r="K2615" s="8" t="s">
        <v>529</v>
      </c>
      <c r="L2615" s="9">
        <v>46319</v>
      </c>
      <c r="M2615" s="8" t="s">
        <v>5864</v>
      </c>
      <c r="N2615" s="8" t="s">
        <v>5870</v>
      </c>
    </row>
    <row r="2616" spans="1:14" ht="40" customHeight="1">
      <c r="A2616" s="4" t="s">
        <v>9091</v>
      </c>
      <c r="B2616" s="4" t="s">
        <v>525</v>
      </c>
      <c r="C2616" s="4" t="s">
        <v>526</v>
      </c>
      <c r="D2616" s="4" t="s">
        <v>637</v>
      </c>
      <c r="E2616" s="4" t="s">
        <v>41</v>
      </c>
      <c r="F2616" s="4" t="s">
        <v>1019</v>
      </c>
      <c r="G2616" s="4" t="s">
        <v>2185</v>
      </c>
      <c r="H2616" s="4">
        <v>1</v>
      </c>
      <c r="I2616" s="4">
        <v>1</v>
      </c>
      <c r="J2616" s="4" t="s">
        <v>2083</v>
      </c>
      <c r="K2616" s="4" t="s">
        <v>529</v>
      </c>
      <c r="L2616" s="6">
        <v>46319</v>
      </c>
      <c r="M2616" s="4" t="s">
        <v>5864</v>
      </c>
      <c r="N2616" s="4" t="s">
        <v>5870</v>
      </c>
    </row>
    <row r="2617" spans="1:14" ht="40" customHeight="1">
      <c r="A2617" s="8" t="s">
        <v>9092</v>
      </c>
      <c r="B2617" s="8" t="s">
        <v>525</v>
      </c>
      <c r="C2617" s="8" t="s">
        <v>526</v>
      </c>
      <c r="D2617" s="8" t="s">
        <v>637</v>
      </c>
      <c r="E2617" s="8" t="s">
        <v>41</v>
      </c>
      <c r="F2617" s="8" t="s">
        <v>1147</v>
      </c>
      <c r="G2617" s="8" t="s">
        <v>2185</v>
      </c>
      <c r="H2617" s="8">
        <v>1</v>
      </c>
      <c r="I2617" s="8">
        <v>1</v>
      </c>
      <c r="J2617" s="8" t="s">
        <v>2193</v>
      </c>
      <c r="K2617" s="8" t="s">
        <v>529</v>
      </c>
      <c r="L2617" s="9">
        <v>46319</v>
      </c>
      <c r="M2617" s="8" t="s">
        <v>5864</v>
      </c>
      <c r="N2617" s="8" t="s">
        <v>5870</v>
      </c>
    </row>
    <row r="2618" spans="1:14" ht="40" customHeight="1">
      <c r="A2618" s="4" t="s">
        <v>9093</v>
      </c>
      <c r="B2618" s="4" t="s">
        <v>525</v>
      </c>
      <c r="C2618" s="4" t="s">
        <v>526</v>
      </c>
      <c r="D2618" s="4" t="s">
        <v>637</v>
      </c>
      <c r="E2618" s="4" t="s">
        <v>41</v>
      </c>
      <c r="F2618" s="4" t="s">
        <v>1254</v>
      </c>
      <c r="G2618" s="4" t="s">
        <v>2185</v>
      </c>
      <c r="H2618" s="4">
        <v>1</v>
      </c>
      <c r="I2618" s="4">
        <v>1</v>
      </c>
      <c r="J2618" s="4" t="s">
        <v>2196</v>
      </c>
      <c r="K2618" s="4" t="s">
        <v>529</v>
      </c>
      <c r="L2618" s="6">
        <v>46319</v>
      </c>
      <c r="M2618" s="4" t="s">
        <v>5864</v>
      </c>
      <c r="N2618" s="4" t="s">
        <v>5870</v>
      </c>
    </row>
    <row r="2619" spans="1:14" ht="40" customHeight="1">
      <c r="A2619" s="8" t="s">
        <v>5686</v>
      </c>
      <c r="B2619" s="8" t="s">
        <v>525</v>
      </c>
      <c r="C2619" s="8" t="s">
        <v>526</v>
      </c>
      <c r="D2619" s="8" t="s">
        <v>7</v>
      </c>
      <c r="E2619" s="8" t="s">
        <v>41</v>
      </c>
      <c r="F2619" s="8" t="s">
        <v>6212</v>
      </c>
      <c r="G2619" s="8" t="s">
        <v>2185</v>
      </c>
      <c r="H2619" s="8">
        <v>1</v>
      </c>
      <c r="I2619" s="8">
        <v>1</v>
      </c>
      <c r="J2619" s="8" t="s">
        <v>4969</v>
      </c>
      <c r="K2619" s="8" t="s">
        <v>529</v>
      </c>
      <c r="L2619" s="9">
        <v>46319</v>
      </c>
      <c r="M2619" s="8" t="s">
        <v>5864</v>
      </c>
      <c r="N2619" s="8" t="s">
        <v>5870</v>
      </c>
    </row>
    <row r="2620" spans="1:14" ht="40" customHeight="1">
      <c r="A2620" s="4" t="s">
        <v>5687</v>
      </c>
      <c r="B2620" s="4" t="s">
        <v>525</v>
      </c>
      <c r="C2620" s="4" t="s">
        <v>526</v>
      </c>
      <c r="D2620" s="4" t="s">
        <v>7</v>
      </c>
      <c r="E2620" s="4" t="s">
        <v>41</v>
      </c>
      <c r="F2620" s="4" t="s">
        <v>6213</v>
      </c>
      <c r="G2620" s="4" t="s">
        <v>2185</v>
      </c>
      <c r="H2620" s="4">
        <v>1</v>
      </c>
      <c r="I2620" s="4">
        <v>1</v>
      </c>
      <c r="J2620" s="4" t="s">
        <v>5688</v>
      </c>
      <c r="K2620" s="4" t="s">
        <v>529</v>
      </c>
      <c r="L2620" s="6">
        <v>46319</v>
      </c>
      <c r="M2620" s="4" t="s">
        <v>5864</v>
      </c>
      <c r="N2620" s="4" t="s">
        <v>5870</v>
      </c>
    </row>
    <row r="2621" spans="1:14" ht="40" customHeight="1">
      <c r="A2621" s="8" t="s">
        <v>5689</v>
      </c>
      <c r="B2621" s="8" t="s">
        <v>525</v>
      </c>
      <c r="C2621" s="8" t="s">
        <v>526</v>
      </c>
      <c r="D2621" s="8" t="s">
        <v>7</v>
      </c>
      <c r="E2621" s="8" t="s">
        <v>41</v>
      </c>
      <c r="F2621" s="8" t="s">
        <v>6214</v>
      </c>
      <c r="G2621" s="8" t="s">
        <v>2185</v>
      </c>
      <c r="H2621" s="8">
        <v>1</v>
      </c>
      <c r="I2621" s="8">
        <v>1</v>
      </c>
      <c r="J2621" s="8" t="s">
        <v>4971</v>
      </c>
      <c r="K2621" s="8" t="s">
        <v>529</v>
      </c>
      <c r="L2621" s="9">
        <v>46319</v>
      </c>
      <c r="M2621" s="8" t="s">
        <v>5864</v>
      </c>
      <c r="N2621" s="8" t="s">
        <v>5870</v>
      </c>
    </row>
    <row r="2622" spans="1:14" ht="40" customHeight="1">
      <c r="A2622" s="4" t="s">
        <v>5690</v>
      </c>
      <c r="B2622" s="4" t="s">
        <v>525</v>
      </c>
      <c r="C2622" s="4" t="s">
        <v>526</v>
      </c>
      <c r="D2622" s="4" t="s">
        <v>7</v>
      </c>
      <c r="E2622" s="4" t="s">
        <v>41</v>
      </c>
      <c r="F2622" s="4" t="s">
        <v>6215</v>
      </c>
      <c r="G2622" s="4" t="s">
        <v>2185</v>
      </c>
      <c r="H2622" s="4">
        <v>1</v>
      </c>
      <c r="I2622" s="4">
        <v>1</v>
      </c>
      <c r="J2622" s="4" t="s">
        <v>4973</v>
      </c>
      <c r="K2622" s="4" t="s">
        <v>529</v>
      </c>
      <c r="L2622" s="6">
        <v>46319</v>
      </c>
      <c r="M2622" s="4" t="s">
        <v>5864</v>
      </c>
      <c r="N2622" s="4" t="s">
        <v>5870</v>
      </c>
    </row>
    <row r="2623" spans="1:14" ht="40" customHeight="1">
      <c r="A2623" s="8" t="s">
        <v>5691</v>
      </c>
      <c r="B2623" s="8" t="s">
        <v>525</v>
      </c>
      <c r="C2623" s="8" t="s">
        <v>526</v>
      </c>
      <c r="D2623" s="8" t="s">
        <v>7</v>
      </c>
      <c r="E2623" s="8" t="s">
        <v>41</v>
      </c>
      <c r="F2623" s="8" t="s">
        <v>6216</v>
      </c>
      <c r="G2623" s="8" t="s">
        <v>2185</v>
      </c>
      <c r="H2623" s="8">
        <v>1</v>
      </c>
      <c r="I2623" s="8">
        <v>1</v>
      </c>
      <c r="J2623" s="8" t="s">
        <v>5479</v>
      </c>
      <c r="K2623" s="8" t="s">
        <v>529</v>
      </c>
      <c r="L2623" s="9">
        <v>46319</v>
      </c>
      <c r="M2623" s="8" t="s">
        <v>5864</v>
      </c>
      <c r="N2623" s="8" t="s">
        <v>5870</v>
      </c>
    </row>
    <row r="2624" spans="1:14" ht="40" customHeight="1">
      <c r="A2624" s="4" t="s">
        <v>5692</v>
      </c>
      <c r="B2624" s="4" t="s">
        <v>525</v>
      </c>
      <c r="C2624" s="4" t="s">
        <v>526</v>
      </c>
      <c r="D2624" s="4" t="s">
        <v>7</v>
      </c>
      <c r="E2624" s="4" t="s">
        <v>41</v>
      </c>
      <c r="F2624" s="4" t="s">
        <v>6284</v>
      </c>
      <c r="G2624" s="4" t="s">
        <v>2185</v>
      </c>
      <c r="H2624" s="4">
        <v>1</v>
      </c>
      <c r="I2624" s="4">
        <v>1</v>
      </c>
      <c r="J2624" s="4" t="s">
        <v>4975</v>
      </c>
      <c r="K2624" s="4" t="s">
        <v>529</v>
      </c>
      <c r="L2624" s="6">
        <v>46319</v>
      </c>
      <c r="M2624" s="4" t="s">
        <v>5864</v>
      </c>
      <c r="N2624" s="4" t="s">
        <v>5870</v>
      </c>
    </row>
    <row r="2625" spans="1:14" ht="40" customHeight="1">
      <c r="A2625" s="8" t="s">
        <v>5693</v>
      </c>
      <c r="B2625" s="8" t="s">
        <v>525</v>
      </c>
      <c r="C2625" s="8" t="s">
        <v>526</v>
      </c>
      <c r="D2625" s="8" t="s">
        <v>7</v>
      </c>
      <c r="E2625" s="8" t="s">
        <v>41</v>
      </c>
      <c r="F2625" s="8" t="s">
        <v>6285</v>
      </c>
      <c r="G2625" s="8" t="s">
        <v>2185</v>
      </c>
      <c r="H2625" s="8">
        <v>1</v>
      </c>
      <c r="I2625" s="8">
        <v>1</v>
      </c>
      <c r="J2625" s="8" t="s">
        <v>4977</v>
      </c>
      <c r="K2625" s="8" t="s">
        <v>529</v>
      </c>
      <c r="L2625" s="9">
        <v>46319</v>
      </c>
      <c r="M2625" s="8" t="s">
        <v>5864</v>
      </c>
      <c r="N2625" s="8" t="s">
        <v>5870</v>
      </c>
    </row>
    <row r="2626" spans="1:14" ht="40" customHeight="1">
      <c r="A2626" s="4" t="s">
        <v>4766</v>
      </c>
      <c r="B2626" s="4" t="s">
        <v>525</v>
      </c>
      <c r="C2626" s="4" t="s">
        <v>526</v>
      </c>
      <c r="D2626" s="4" t="s">
        <v>5879</v>
      </c>
      <c r="E2626" s="4" t="s">
        <v>41</v>
      </c>
      <c r="F2626" s="4" t="s">
        <v>3449</v>
      </c>
      <c r="G2626" s="4" t="s">
        <v>2185</v>
      </c>
      <c r="H2626" s="4">
        <v>1</v>
      </c>
      <c r="I2626" s="4">
        <v>1</v>
      </c>
      <c r="J2626" s="4" t="s">
        <v>4767</v>
      </c>
      <c r="K2626" s="4" t="s">
        <v>529</v>
      </c>
      <c r="L2626" s="6">
        <v>46319</v>
      </c>
      <c r="M2626" s="4" t="s">
        <v>5864</v>
      </c>
      <c r="N2626" s="4" t="s">
        <v>5865</v>
      </c>
    </row>
    <row r="2627" spans="1:14" ht="40" customHeight="1">
      <c r="A2627" s="8" t="s">
        <v>4768</v>
      </c>
      <c r="B2627" s="8" t="s">
        <v>525</v>
      </c>
      <c r="C2627" s="8" t="s">
        <v>526</v>
      </c>
      <c r="D2627" s="8" t="s">
        <v>5879</v>
      </c>
      <c r="E2627" s="8" t="s">
        <v>41</v>
      </c>
      <c r="F2627" s="8" t="s">
        <v>3466</v>
      </c>
      <c r="G2627" s="8" t="s">
        <v>2185</v>
      </c>
      <c r="H2627" s="8">
        <v>1</v>
      </c>
      <c r="I2627" s="8">
        <v>1</v>
      </c>
      <c r="J2627" s="8" t="s">
        <v>3692</v>
      </c>
      <c r="K2627" s="8" t="s">
        <v>529</v>
      </c>
      <c r="L2627" s="9">
        <v>46319</v>
      </c>
      <c r="M2627" s="8" t="s">
        <v>5864</v>
      </c>
      <c r="N2627" s="8" t="s">
        <v>5865</v>
      </c>
    </row>
    <row r="2628" spans="1:14" ht="40" customHeight="1">
      <c r="A2628" s="4" t="s">
        <v>4769</v>
      </c>
      <c r="B2628" s="4" t="s">
        <v>525</v>
      </c>
      <c r="C2628" s="4" t="s">
        <v>526</v>
      </c>
      <c r="D2628" s="4" t="s">
        <v>5879</v>
      </c>
      <c r="E2628" s="4" t="s">
        <v>41</v>
      </c>
      <c r="F2628" s="4" t="s">
        <v>3469</v>
      </c>
      <c r="G2628" s="4" t="s">
        <v>2185</v>
      </c>
      <c r="H2628" s="4">
        <v>1</v>
      </c>
      <c r="I2628" s="4">
        <v>1</v>
      </c>
      <c r="J2628" s="4" t="s">
        <v>4770</v>
      </c>
      <c r="K2628" s="4" t="s">
        <v>529</v>
      </c>
      <c r="L2628" s="6">
        <v>46319</v>
      </c>
      <c r="M2628" s="4" t="s">
        <v>5864</v>
      </c>
      <c r="N2628" s="4" t="s">
        <v>5865</v>
      </c>
    </row>
    <row r="2629" spans="1:14" ht="40" customHeight="1">
      <c r="A2629" s="8" t="s">
        <v>4771</v>
      </c>
      <c r="B2629" s="8" t="s">
        <v>525</v>
      </c>
      <c r="C2629" s="8" t="s">
        <v>526</v>
      </c>
      <c r="D2629" s="8" t="s">
        <v>5879</v>
      </c>
      <c r="E2629" s="8" t="s">
        <v>41</v>
      </c>
      <c r="F2629" s="8" t="s">
        <v>3472</v>
      </c>
      <c r="G2629" s="8" t="s">
        <v>2185</v>
      </c>
      <c r="H2629" s="8">
        <v>1</v>
      </c>
      <c r="I2629" s="8">
        <v>1</v>
      </c>
      <c r="J2629" s="8" t="s">
        <v>4772</v>
      </c>
      <c r="K2629" s="8" t="s">
        <v>529</v>
      </c>
      <c r="L2629" s="9">
        <v>46319</v>
      </c>
      <c r="M2629" s="8" t="s">
        <v>5864</v>
      </c>
      <c r="N2629" s="8" t="s">
        <v>5865</v>
      </c>
    </row>
    <row r="2630" spans="1:14" ht="54" customHeight="1">
      <c r="A2630" s="4" t="s">
        <v>9094</v>
      </c>
      <c r="B2630" s="4" t="s">
        <v>525</v>
      </c>
      <c r="C2630" s="4" t="s">
        <v>526</v>
      </c>
      <c r="D2630" s="4" t="s">
        <v>2969</v>
      </c>
      <c r="E2630" s="4" t="s">
        <v>41</v>
      </c>
      <c r="F2630" s="4" t="s">
        <v>5881</v>
      </c>
      <c r="G2630" s="4" t="s">
        <v>2185</v>
      </c>
      <c r="H2630" s="4">
        <v>1</v>
      </c>
      <c r="I2630" s="4">
        <v>1</v>
      </c>
      <c r="J2630" s="4" t="s">
        <v>9095</v>
      </c>
      <c r="K2630" s="4" t="s">
        <v>529</v>
      </c>
      <c r="L2630" s="6">
        <v>46319</v>
      </c>
      <c r="M2630" s="4" t="s">
        <v>5864</v>
      </c>
      <c r="N2630" s="4" t="s">
        <v>5883</v>
      </c>
    </row>
    <row r="2631" spans="1:14" ht="54" customHeight="1">
      <c r="A2631" s="8" t="s">
        <v>9096</v>
      </c>
      <c r="B2631" s="8" t="s">
        <v>525</v>
      </c>
      <c r="C2631" s="8" t="s">
        <v>526</v>
      </c>
      <c r="D2631" s="8" t="s">
        <v>2969</v>
      </c>
      <c r="E2631" s="8" t="s">
        <v>41</v>
      </c>
      <c r="F2631" s="8" t="s">
        <v>5885</v>
      </c>
      <c r="G2631" s="8" t="s">
        <v>2185</v>
      </c>
      <c r="H2631" s="8">
        <v>1</v>
      </c>
      <c r="I2631" s="8">
        <v>1</v>
      </c>
      <c r="J2631" s="8" t="s">
        <v>9097</v>
      </c>
      <c r="K2631" s="8" t="s">
        <v>529</v>
      </c>
      <c r="L2631" s="9">
        <v>46319</v>
      </c>
      <c r="M2631" s="8" t="s">
        <v>5864</v>
      </c>
      <c r="N2631" s="8" t="s">
        <v>5883</v>
      </c>
    </row>
    <row r="2632" spans="1:14" ht="40" customHeight="1">
      <c r="A2632" s="4" t="s">
        <v>9098</v>
      </c>
      <c r="B2632" s="4" t="s">
        <v>525</v>
      </c>
      <c r="C2632" s="4" t="s">
        <v>526</v>
      </c>
      <c r="D2632" s="4" t="s">
        <v>2969</v>
      </c>
      <c r="E2632" s="4" t="s">
        <v>41</v>
      </c>
      <c r="F2632" s="4" t="s">
        <v>5888</v>
      </c>
      <c r="G2632" s="4" t="s">
        <v>2185</v>
      </c>
      <c r="H2632" s="4">
        <v>1</v>
      </c>
      <c r="I2632" s="4">
        <v>1</v>
      </c>
      <c r="J2632" s="4" t="s">
        <v>9099</v>
      </c>
      <c r="K2632" s="4" t="s">
        <v>529</v>
      </c>
      <c r="L2632" s="6">
        <v>46319</v>
      </c>
      <c r="M2632" s="4" t="s">
        <v>5864</v>
      </c>
      <c r="N2632" s="4" t="s">
        <v>5883</v>
      </c>
    </row>
    <row r="2633" spans="1:14" ht="54" customHeight="1">
      <c r="A2633" s="8" t="s">
        <v>9100</v>
      </c>
      <c r="B2633" s="8" t="s">
        <v>525</v>
      </c>
      <c r="C2633" s="8" t="s">
        <v>526</v>
      </c>
      <c r="D2633" s="8" t="s">
        <v>2969</v>
      </c>
      <c r="E2633" s="8" t="s">
        <v>41</v>
      </c>
      <c r="F2633" s="8" t="s">
        <v>5891</v>
      </c>
      <c r="G2633" s="8" t="s">
        <v>2185</v>
      </c>
      <c r="H2633" s="8">
        <v>1</v>
      </c>
      <c r="I2633" s="8">
        <v>1</v>
      </c>
      <c r="J2633" s="8" t="s">
        <v>9101</v>
      </c>
      <c r="K2633" s="8" t="s">
        <v>529</v>
      </c>
      <c r="L2633" s="9">
        <v>46319</v>
      </c>
      <c r="M2633" s="8" t="s">
        <v>5864</v>
      </c>
      <c r="N2633" s="8" t="s">
        <v>5883</v>
      </c>
    </row>
    <row r="2634" spans="1:14" ht="40" customHeight="1">
      <c r="A2634" s="4" t="s">
        <v>9102</v>
      </c>
      <c r="B2634" s="4" t="s">
        <v>525</v>
      </c>
      <c r="C2634" s="4" t="s">
        <v>526</v>
      </c>
      <c r="D2634" s="4" t="s">
        <v>2969</v>
      </c>
      <c r="E2634" s="4" t="s">
        <v>41</v>
      </c>
      <c r="F2634" s="4" t="s">
        <v>5894</v>
      </c>
      <c r="G2634" s="4" t="s">
        <v>2185</v>
      </c>
      <c r="H2634" s="4">
        <v>1</v>
      </c>
      <c r="I2634" s="4">
        <v>1</v>
      </c>
      <c r="J2634" s="4" t="s">
        <v>9103</v>
      </c>
      <c r="K2634" s="4" t="s">
        <v>529</v>
      </c>
      <c r="L2634" s="6">
        <v>46319</v>
      </c>
      <c r="M2634" s="4" t="s">
        <v>5864</v>
      </c>
      <c r="N2634" s="4" t="s">
        <v>5883</v>
      </c>
    </row>
    <row r="2635" spans="1:14" ht="40" customHeight="1">
      <c r="A2635" s="8" t="s">
        <v>9104</v>
      </c>
      <c r="B2635" s="8" t="s">
        <v>525</v>
      </c>
      <c r="C2635" s="8" t="s">
        <v>526</v>
      </c>
      <c r="D2635" s="8" t="s">
        <v>2969</v>
      </c>
      <c r="E2635" s="8" t="s">
        <v>41</v>
      </c>
      <c r="F2635" s="8" t="s">
        <v>5897</v>
      </c>
      <c r="G2635" s="8" t="s">
        <v>2185</v>
      </c>
      <c r="H2635" s="8">
        <v>1</v>
      </c>
      <c r="I2635" s="8">
        <v>1</v>
      </c>
      <c r="J2635" s="8" t="s">
        <v>9105</v>
      </c>
      <c r="K2635" s="8" t="s">
        <v>529</v>
      </c>
      <c r="L2635" s="9">
        <v>46319</v>
      </c>
      <c r="M2635" s="8" t="s">
        <v>5864</v>
      </c>
      <c r="N2635" s="8" t="s">
        <v>5883</v>
      </c>
    </row>
    <row r="2636" spans="1:14" ht="40" customHeight="1">
      <c r="A2636" s="4" t="s">
        <v>9106</v>
      </c>
      <c r="B2636" s="4" t="s">
        <v>525</v>
      </c>
      <c r="C2636" s="4" t="s">
        <v>526</v>
      </c>
      <c r="D2636" s="4" t="s">
        <v>2969</v>
      </c>
      <c r="E2636" s="4" t="s">
        <v>41</v>
      </c>
      <c r="F2636" s="4" t="s">
        <v>5900</v>
      </c>
      <c r="G2636" s="4" t="s">
        <v>2185</v>
      </c>
      <c r="H2636" s="4">
        <v>1</v>
      </c>
      <c r="I2636" s="4">
        <v>1</v>
      </c>
      <c r="J2636" s="4" t="s">
        <v>8889</v>
      </c>
      <c r="K2636" s="4" t="s">
        <v>529</v>
      </c>
      <c r="L2636" s="6">
        <v>46319</v>
      </c>
      <c r="M2636" s="4" t="s">
        <v>5864</v>
      </c>
      <c r="N2636" s="4" t="s">
        <v>5883</v>
      </c>
    </row>
    <row r="2637" spans="1:14" ht="40" customHeight="1">
      <c r="A2637" s="8" t="s">
        <v>9107</v>
      </c>
      <c r="B2637" s="8" t="s">
        <v>525</v>
      </c>
      <c r="C2637" s="8" t="s">
        <v>526</v>
      </c>
      <c r="D2637" s="8" t="s">
        <v>2969</v>
      </c>
      <c r="E2637" s="8" t="s">
        <v>41</v>
      </c>
      <c r="F2637" s="8" t="s">
        <v>5903</v>
      </c>
      <c r="G2637" s="8" t="s">
        <v>2185</v>
      </c>
      <c r="H2637" s="8">
        <v>1</v>
      </c>
      <c r="I2637" s="8">
        <v>1</v>
      </c>
      <c r="J2637" s="8" t="s">
        <v>6352</v>
      </c>
      <c r="K2637" s="8" t="s">
        <v>529</v>
      </c>
      <c r="L2637" s="9">
        <v>46319</v>
      </c>
      <c r="M2637" s="8" t="s">
        <v>5864</v>
      </c>
      <c r="N2637" s="8" t="s">
        <v>5883</v>
      </c>
    </row>
    <row r="2638" spans="1:14" ht="68" customHeight="1">
      <c r="A2638" s="4" t="s">
        <v>9108</v>
      </c>
      <c r="B2638" s="4" t="s">
        <v>525</v>
      </c>
      <c r="C2638" s="4" t="s">
        <v>526</v>
      </c>
      <c r="D2638" s="4" t="s">
        <v>2969</v>
      </c>
      <c r="E2638" s="4" t="s">
        <v>41</v>
      </c>
      <c r="F2638" s="4" t="s">
        <v>5906</v>
      </c>
      <c r="G2638" s="4" t="s">
        <v>2185</v>
      </c>
      <c r="H2638" s="4">
        <v>1</v>
      </c>
      <c r="I2638" s="4">
        <v>1</v>
      </c>
      <c r="J2638" s="4" t="s">
        <v>6355</v>
      </c>
      <c r="K2638" s="4" t="s">
        <v>529</v>
      </c>
      <c r="L2638" s="6">
        <v>46319</v>
      </c>
      <c r="M2638" s="4" t="s">
        <v>5864</v>
      </c>
      <c r="N2638" s="4" t="s">
        <v>5883</v>
      </c>
    </row>
    <row r="2639" spans="1:14" ht="40" customHeight="1">
      <c r="A2639" s="8" t="s">
        <v>9109</v>
      </c>
      <c r="B2639" s="8" t="s">
        <v>525</v>
      </c>
      <c r="C2639" s="8" t="s">
        <v>526</v>
      </c>
      <c r="D2639" s="8" t="s">
        <v>2969</v>
      </c>
      <c r="E2639" s="8" t="s">
        <v>41</v>
      </c>
      <c r="F2639" s="8" t="s">
        <v>5909</v>
      </c>
      <c r="G2639" s="8" t="s">
        <v>2185</v>
      </c>
      <c r="H2639" s="8">
        <v>1</v>
      </c>
      <c r="I2639" s="8">
        <v>1</v>
      </c>
      <c r="J2639" s="8" t="s">
        <v>6434</v>
      </c>
      <c r="K2639" s="8" t="s">
        <v>529</v>
      </c>
      <c r="L2639" s="9">
        <v>46319</v>
      </c>
      <c r="M2639" s="8" t="s">
        <v>5864</v>
      </c>
      <c r="N2639" s="8" t="s">
        <v>5883</v>
      </c>
    </row>
    <row r="2640" spans="1:14" ht="40" customHeight="1">
      <c r="A2640" s="4" t="s">
        <v>9110</v>
      </c>
      <c r="B2640" s="4" t="s">
        <v>525</v>
      </c>
      <c r="C2640" s="4" t="s">
        <v>526</v>
      </c>
      <c r="D2640" s="4" t="s">
        <v>2969</v>
      </c>
      <c r="E2640" s="4" t="s">
        <v>41</v>
      </c>
      <c r="F2640" s="4" t="s">
        <v>5912</v>
      </c>
      <c r="G2640" s="4" t="s">
        <v>2185</v>
      </c>
      <c r="H2640" s="4">
        <v>1</v>
      </c>
      <c r="I2640" s="4">
        <v>1</v>
      </c>
      <c r="J2640" s="4" t="s">
        <v>6358</v>
      </c>
      <c r="K2640" s="4" t="s">
        <v>529</v>
      </c>
      <c r="L2640" s="6">
        <v>46319</v>
      </c>
      <c r="M2640" s="4" t="s">
        <v>5864</v>
      </c>
      <c r="N2640" s="4" t="s">
        <v>5883</v>
      </c>
    </row>
    <row r="2641" spans="1:14" ht="40" customHeight="1">
      <c r="A2641" s="8" t="s">
        <v>9111</v>
      </c>
      <c r="B2641" s="8" t="s">
        <v>525</v>
      </c>
      <c r="C2641" s="8" t="s">
        <v>526</v>
      </c>
      <c r="D2641" s="8" t="s">
        <v>2969</v>
      </c>
      <c r="E2641" s="8" t="s">
        <v>41</v>
      </c>
      <c r="F2641" s="8" t="s">
        <v>5973</v>
      </c>
      <c r="G2641" s="8" t="s">
        <v>2185</v>
      </c>
      <c r="H2641" s="8">
        <v>1</v>
      </c>
      <c r="I2641" s="8">
        <v>1</v>
      </c>
      <c r="J2641" s="8" t="s">
        <v>6364</v>
      </c>
      <c r="K2641" s="8" t="s">
        <v>529</v>
      </c>
      <c r="L2641" s="9">
        <v>46319</v>
      </c>
      <c r="M2641" s="8" t="s">
        <v>5864</v>
      </c>
      <c r="N2641" s="8" t="s">
        <v>5883</v>
      </c>
    </row>
    <row r="2642" spans="1:14" ht="40" customHeight="1">
      <c r="A2642" s="4" t="s">
        <v>9112</v>
      </c>
      <c r="B2642" s="4" t="s">
        <v>525</v>
      </c>
      <c r="C2642" s="4" t="s">
        <v>526</v>
      </c>
      <c r="D2642" s="4" t="s">
        <v>2969</v>
      </c>
      <c r="E2642" s="4" t="s">
        <v>41</v>
      </c>
      <c r="F2642" s="4" t="s">
        <v>5976</v>
      </c>
      <c r="G2642" s="4" t="s">
        <v>2185</v>
      </c>
      <c r="H2642" s="4">
        <v>1</v>
      </c>
      <c r="I2642" s="4">
        <v>1</v>
      </c>
      <c r="J2642" s="4" t="s">
        <v>6367</v>
      </c>
      <c r="K2642" s="4" t="s">
        <v>529</v>
      </c>
      <c r="L2642" s="6">
        <v>46319</v>
      </c>
      <c r="M2642" s="4" t="s">
        <v>5864</v>
      </c>
      <c r="N2642" s="4" t="s">
        <v>5883</v>
      </c>
    </row>
    <row r="2643" spans="1:14" ht="40" customHeight="1">
      <c r="A2643" s="8" t="s">
        <v>9113</v>
      </c>
      <c r="B2643" s="8" t="s">
        <v>525</v>
      </c>
      <c r="C2643" s="8" t="s">
        <v>526</v>
      </c>
      <c r="D2643" s="8" t="s">
        <v>2969</v>
      </c>
      <c r="E2643" s="8" t="s">
        <v>41</v>
      </c>
      <c r="F2643" s="8" t="s">
        <v>5979</v>
      </c>
      <c r="G2643" s="8" t="s">
        <v>2185</v>
      </c>
      <c r="H2643" s="8">
        <v>1</v>
      </c>
      <c r="I2643" s="8">
        <v>1</v>
      </c>
      <c r="J2643" s="8" t="s">
        <v>6370</v>
      </c>
      <c r="K2643" s="8" t="s">
        <v>529</v>
      </c>
      <c r="L2643" s="9">
        <v>46319</v>
      </c>
      <c r="M2643" s="8" t="s">
        <v>5864</v>
      </c>
      <c r="N2643" s="8" t="s">
        <v>5883</v>
      </c>
    </row>
    <row r="2644" spans="1:14" ht="68" customHeight="1">
      <c r="A2644" s="4" t="s">
        <v>9114</v>
      </c>
      <c r="B2644" s="4" t="s">
        <v>525</v>
      </c>
      <c r="C2644" s="4" t="s">
        <v>526</v>
      </c>
      <c r="D2644" s="4" t="s">
        <v>2969</v>
      </c>
      <c r="E2644" s="4" t="s">
        <v>41</v>
      </c>
      <c r="F2644" s="4" t="s">
        <v>5982</v>
      </c>
      <c r="G2644" s="4" t="s">
        <v>2185</v>
      </c>
      <c r="H2644" s="4">
        <v>1</v>
      </c>
      <c r="I2644" s="4">
        <v>1</v>
      </c>
      <c r="J2644" s="4" t="s">
        <v>6373</v>
      </c>
      <c r="K2644" s="4" t="s">
        <v>529</v>
      </c>
      <c r="L2644" s="6">
        <v>46319</v>
      </c>
      <c r="M2644" s="4" t="s">
        <v>5864</v>
      </c>
      <c r="N2644" s="4" t="s">
        <v>5883</v>
      </c>
    </row>
    <row r="2645" spans="1:14" ht="54" customHeight="1">
      <c r="A2645" s="8" t="s">
        <v>9115</v>
      </c>
      <c r="B2645" s="8" t="s">
        <v>525</v>
      </c>
      <c r="C2645" s="8" t="s">
        <v>526</v>
      </c>
      <c r="D2645" s="8" t="s">
        <v>2969</v>
      </c>
      <c r="E2645" s="8" t="s">
        <v>41</v>
      </c>
      <c r="F2645" s="8" t="s">
        <v>5985</v>
      </c>
      <c r="G2645" s="8" t="s">
        <v>2185</v>
      </c>
      <c r="H2645" s="8">
        <v>1</v>
      </c>
      <c r="I2645" s="8">
        <v>1</v>
      </c>
      <c r="J2645" s="8" t="s">
        <v>6376</v>
      </c>
      <c r="K2645" s="8" t="s">
        <v>529</v>
      </c>
      <c r="L2645" s="9">
        <v>46319</v>
      </c>
      <c r="M2645" s="8" t="s">
        <v>5864</v>
      </c>
      <c r="N2645" s="8" t="s">
        <v>5883</v>
      </c>
    </row>
    <row r="2646" spans="1:14" ht="54" customHeight="1">
      <c r="A2646" s="4" t="s">
        <v>9116</v>
      </c>
      <c r="B2646" s="4" t="s">
        <v>525</v>
      </c>
      <c r="C2646" s="4" t="s">
        <v>526</v>
      </c>
      <c r="D2646" s="4" t="s">
        <v>2969</v>
      </c>
      <c r="E2646" s="4" t="s">
        <v>41</v>
      </c>
      <c r="F2646" s="4" t="s">
        <v>5988</v>
      </c>
      <c r="G2646" s="4" t="s">
        <v>2185</v>
      </c>
      <c r="H2646" s="4">
        <v>1</v>
      </c>
      <c r="I2646" s="4">
        <v>1</v>
      </c>
      <c r="J2646" s="4" t="s">
        <v>8901</v>
      </c>
      <c r="K2646" s="4" t="s">
        <v>529</v>
      </c>
      <c r="L2646" s="6">
        <v>46319</v>
      </c>
      <c r="M2646" s="4" t="s">
        <v>5864</v>
      </c>
      <c r="N2646" s="4" t="s">
        <v>5883</v>
      </c>
    </row>
    <row r="2647" spans="1:14" ht="68" customHeight="1">
      <c r="A2647" s="8" t="s">
        <v>9117</v>
      </c>
      <c r="B2647" s="8" t="s">
        <v>525</v>
      </c>
      <c r="C2647" s="8" t="s">
        <v>526</v>
      </c>
      <c r="D2647" s="8" t="s">
        <v>2969</v>
      </c>
      <c r="E2647" s="8" t="s">
        <v>41</v>
      </c>
      <c r="F2647" s="8" t="s">
        <v>5991</v>
      </c>
      <c r="G2647" s="8" t="s">
        <v>2185</v>
      </c>
      <c r="H2647" s="8">
        <v>1</v>
      </c>
      <c r="I2647" s="8">
        <v>1</v>
      </c>
      <c r="J2647" s="8" t="s">
        <v>6379</v>
      </c>
      <c r="K2647" s="8" t="s">
        <v>529</v>
      </c>
      <c r="L2647" s="9">
        <v>46319</v>
      </c>
      <c r="M2647" s="8" t="s">
        <v>5864</v>
      </c>
      <c r="N2647" s="8" t="s">
        <v>5883</v>
      </c>
    </row>
    <row r="2648" spans="1:14" ht="54" customHeight="1">
      <c r="A2648" s="4" t="s">
        <v>9118</v>
      </c>
      <c r="B2648" s="4" t="s">
        <v>525</v>
      </c>
      <c r="C2648" s="4" t="s">
        <v>526</v>
      </c>
      <c r="D2648" s="4" t="s">
        <v>2969</v>
      </c>
      <c r="E2648" s="4" t="s">
        <v>41</v>
      </c>
      <c r="F2648" s="4" t="s">
        <v>6327</v>
      </c>
      <c r="G2648" s="4" t="s">
        <v>2185</v>
      </c>
      <c r="H2648" s="4">
        <v>1</v>
      </c>
      <c r="I2648" s="4">
        <v>1</v>
      </c>
      <c r="J2648" s="4" t="s">
        <v>6382</v>
      </c>
      <c r="K2648" s="4" t="s">
        <v>529</v>
      </c>
      <c r="L2648" s="6">
        <v>46319</v>
      </c>
      <c r="M2648" s="4" t="s">
        <v>5864</v>
      </c>
      <c r="N2648" s="4" t="s">
        <v>5883</v>
      </c>
    </row>
    <row r="2649" spans="1:14" ht="54" customHeight="1">
      <c r="A2649" s="8" t="s">
        <v>9119</v>
      </c>
      <c r="B2649" s="8" t="s">
        <v>525</v>
      </c>
      <c r="C2649" s="8" t="s">
        <v>526</v>
      </c>
      <c r="D2649" s="8" t="s">
        <v>2969</v>
      </c>
      <c r="E2649" s="8" t="s">
        <v>41</v>
      </c>
      <c r="F2649" s="8" t="s">
        <v>6330</v>
      </c>
      <c r="G2649" s="8" t="s">
        <v>2185</v>
      </c>
      <c r="H2649" s="8">
        <v>1</v>
      </c>
      <c r="I2649" s="8">
        <v>1</v>
      </c>
      <c r="J2649" s="8" t="s">
        <v>6385</v>
      </c>
      <c r="K2649" s="8" t="s">
        <v>529</v>
      </c>
      <c r="L2649" s="9">
        <v>46319</v>
      </c>
      <c r="M2649" s="8" t="s">
        <v>5864</v>
      </c>
      <c r="N2649" s="8" t="s">
        <v>5883</v>
      </c>
    </row>
    <row r="2650" spans="1:14" ht="40" customHeight="1">
      <c r="A2650" s="4" t="s">
        <v>9120</v>
      </c>
      <c r="B2650" s="4" t="s">
        <v>525</v>
      </c>
      <c r="C2650" s="4" t="s">
        <v>526</v>
      </c>
      <c r="D2650" s="4" t="s">
        <v>2969</v>
      </c>
      <c r="E2650" s="4" t="s">
        <v>41</v>
      </c>
      <c r="F2650" s="4" t="s">
        <v>6333</v>
      </c>
      <c r="G2650" s="4" t="s">
        <v>2185</v>
      </c>
      <c r="H2650" s="4">
        <v>1</v>
      </c>
      <c r="I2650" s="4">
        <v>1</v>
      </c>
      <c r="J2650" s="4" t="s">
        <v>8906</v>
      </c>
      <c r="K2650" s="4" t="s">
        <v>529</v>
      </c>
      <c r="L2650" s="6">
        <v>46319</v>
      </c>
      <c r="M2650" s="4" t="s">
        <v>5864</v>
      </c>
      <c r="N2650" s="4" t="s">
        <v>5883</v>
      </c>
    </row>
    <row r="2651" spans="1:14" ht="54" customHeight="1">
      <c r="A2651" s="8" t="s">
        <v>9121</v>
      </c>
      <c r="B2651" s="8" t="s">
        <v>525</v>
      </c>
      <c r="C2651" s="8" t="s">
        <v>526</v>
      </c>
      <c r="D2651" s="8" t="s">
        <v>2969</v>
      </c>
      <c r="E2651" s="8" t="s">
        <v>41</v>
      </c>
      <c r="F2651" s="8" t="s">
        <v>6336</v>
      </c>
      <c r="G2651" s="8" t="s">
        <v>2185</v>
      </c>
      <c r="H2651" s="8">
        <v>1</v>
      </c>
      <c r="I2651" s="8">
        <v>1</v>
      </c>
      <c r="J2651" s="8" t="s">
        <v>8908</v>
      </c>
      <c r="K2651" s="8" t="s">
        <v>529</v>
      </c>
      <c r="L2651" s="9">
        <v>46319</v>
      </c>
      <c r="M2651" s="8" t="s">
        <v>5864</v>
      </c>
      <c r="N2651" s="8" t="s">
        <v>5883</v>
      </c>
    </row>
    <row r="2652" spans="1:14" ht="96" customHeight="1">
      <c r="A2652" s="4" t="s">
        <v>9122</v>
      </c>
      <c r="B2652" s="4" t="s">
        <v>531</v>
      </c>
      <c r="C2652" s="4" t="s">
        <v>532</v>
      </c>
      <c r="D2652" s="4" t="s">
        <v>5861</v>
      </c>
      <c r="E2652" s="4" t="s">
        <v>41</v>
      </c>
      <c r="F2652" s="4" t="s">
        <v>5862</v>
      </c>
      <c r="G2652" s="4" t="s">
        <v>2201</v>
      </c>
      <c r="H2652" s="4">
        <v>1</v>
      </c>
      <c r="I2652" s="4">
        <v>1</v>
      </c>
      <c r="J2652" s="4" t="s">
        <v>9123</v>
      </c>
      <c r="K2652" s="4" t="s">
        <v>536</v>
      </c>
      <c r="L2652" s="6">
        <v>46319</v>
      </c>
      <c r="M2652" s="4" t="s">
        <v>5864</v>
      </c>
      <c r="N2652" s="4" t="s">
        <v>5865</v>
      </c>
    </row>
    <row r="2653" spans="1:14" ht="40" customHeight="1">
      <c r="A2653" s="8" t="s">
        <v>9124</v>
      </c>
      <c r="B2653" s="8" t="s">
        <v>531</v>
      </c>
      <c r="C2653" s="8" t="s">
        <v>532</v>
      </c>
      <c r="D2653" s="8" t="s">
        <v>5867</v>
      </c>
      <c r="E2653" s="8" t="s">
        <v>41</v>
      </c>
      <c r="F2653" s="8" t="s">
        <v>5868</v>
      </c>
      <c r="G2653" s="8" t="s">
        <v>2201</v>
      </c>
      <c r="H2653" s="8">
        <v>1</v>
      </c>
      <c r="I2653" s="8">
        <v>1</v>
      </c>
      <c r="J2653" s="8" t="s">
        <v>9125</v>
      </c>
      <c r="K2653" s="8" t="s">
        <v>536</v>
      </c>
      <c r="L2653" s="9">
        <v>46319</v>
      </c>
      <c r="M2653" s="8" t="s">
        <v>5864</v>
      </c>
      <c r="N2653" s="8" t="s">
        <v>5870</v>
      </c>
    </row>
    <row r="2654" spans="1:14" ht="40" customHeight="1">
      <c r="A2654" s="4" t="s">
        <v>9126</v>
      </c>
      <c r="B2654" s="4" t="s">
        <v>531</v>
      </c>
      <c r="C2654" s="4" t="s">
        <v>532</v>
      </c>
      <c r="D2654" s="4" t="s">
        <v>5867</v>
      </c>
      <c r="E2654" s="4" t="s">
        <v>41</v>
      </c>
      <c r="F2654" s="4" t="s">
        <v>5872</v>
      </c>
      <c r="G2654" s="4" t="s">
        <v>2201</v>
      </c>
      <c r="H2654" s="4">
        <v>1</v>
      </c>
      <c r="I2654" s="4">
        <v>1</v>
      </c>
      <c r="J2654" s="4" t="s">
        <v>9127</v>
      </c>
      <c r="K2654" s="4" t="s">
        <v>536</v>
      </c>
      <c r="L2654" s="6">
        <v>46319</v>
      </c>
      <c r="M2654" s="4" t="s">
        <v>5864</v>
      </c>
      <c r="N2654" s="4" t="s">
        <v>5870</v>
      </c>
    </row>
    <row r="2655" spans="1:14" ht="40" customHeight="1">
      <c r="A2655" s="8" t="s">
        <v>9128</v>
      </c>
      <c r="B2655" s="8" t="s">
        <v>531</v>
      </c>
      <c r="C2655" s="8" t="s">
        <v>532</v>
      </c>
      <c r="D2655" s="8" t="s">
        <v>637</v>
      </c>
      <c r="E2655" s="8" t="s">
        <v>41</v>
      </c>
      <c r="F2655" s="8" t="s">
        <v>904</v>
      </c>
      <c r="G2655" s="8" t="s">
        <v>2201</v>
      </c>
      <c r="H2655" s="8">
        <v>1</v>
      </c>
      <c r="I2655" s="8">
        <v>1</v>
      </c>
      <c r="J2655" s="8" t="s">
        <v>1072</v>
      </c>
      <c r="K2655" s="8" t="s">
        <v>536</v>
      </c>
      <c r="L2655" s="9">
        <v>46319</v>
      </c>
      <c r="M2655" s="8" t="s">
        <v>5864</v>
      </c>
      <c r="N2655" s="8" t="s">
        <v>5870</v>
      </c>
    </row>
    <row r="2656" spans="1:14" ht="40" customHeight="1">
      <c r="A2656" s="4" t="s">
        <v>9129</v>
      </c>
      <c r="B2656" s="4" t="s">
        <v>531</v>
      </c>
      <c r="C2656" s="4" t="s">
        <v>532</v>
      </c>
      <c r="D2656" s="4" t="s">
        <v>637</v>
      </c>
      <c r="E2656" s="4" t="s">
        <v>41</v>
      </c>
      <c r="F2656" s="4" t="s">
        <v>912</v>
      </c>
      <c r="G2656" s="4" t="s">
        <v>2201</v>
      </c>
      <c r="H2656" s="4">
        <v>1</v>
      </c>
      <c r="I2656" s="4">
        <v>1</v>
      </c>
      <c r="J2656" s="4" t="s">
        <v>2102</v>
      </c>
      <c r="K2656" s="4" t="s">
        <v>536</v>
      </c>
      <c r="L2656" s="6">
        <v>46319</v>
      </c>
      <c r="M2656" s="4" t="s">
        <v>5864</v>
      </c>
      <c r="N2656" s="4" t="s">
        <v>5870</v>
      </c>
    </row>
    <row r="2657" spans="1:14" ht="40" customHeight="1">
      <c r="A2657" s="8" t="s">
        <v>9130</v>
      </c>
      <c r="B2657" s="8" t="s">
        <v>531</v>
      </c>
      <c r="C2657" s="8" t="s">
        <v>532</v>
      </c>
      <c r="D2657" s="8" t="s">
        <v>637</v>
      </c>
      <c r="E2657" s="8" t="s">
        <v>41</v>
      </c>
      <c r="F2657" s="8" t="s">
        <v>1015</v>
      </c>
      <c r="G2657" s="8" t="s">
        <v>2201</v>
      </c>
      <c r="H2657" s="8">
        <v>1</v>
      </c>
      <c r="I2657" s="8">
        <v>1</v>
      </c>
      <c r="J2657" s="8" t="s">
        <v>2080</v>
      </c>
      <c r="K2657" s="8" t="s">
        <v>536</v>
      </c>
      <c r="L2657" s="9">
        <v>46319</v>
      </c>
      <c r="M2657" s="8" t="s">
        <v>5864</v>
      </c>
      <c r="N2657" s="8" t="s">
        <v>5870</v>
      </c>
    </row>
    <row r="2658" spans="1:14" ht="40" customHeight="1">
      <c r="A2658" s="4" t="s">
        <v>9131</v>
      </c>
      <c r="B2658" s="4" t="s">
        <v>531</v>
      </c>
      <c r="C2658" s="4" t="s">
        <v>532</v>
      </c>
      <c r="D2658" s="4" t="s">
        <v>637</v>
      </c>
      <c r="E2658" s="4" t="s">
        <v>41</v>
      </c>
      <c r="F2658" s="4" t="s">
        <v>1019</v>
      </c>
      <c r="G2658" s="4" t="s">
        <v>2201</v>
      </c>
      <c r="H2658" s="4">
        <v>1</v>
      </c>
      <c r="I2658" s="4">
        <v>1</v>
      </c>
      <c r="J2658" s="4" t="s">
        <v>2083</v>
      </c>
      <c r="K2658" s="4" t="s">
        <v>536</v>
      </c>
      <c r="L2658" s="6">
        <v>46319</v>
      </c>
      <c r="M2658" s="4" t="s">
        <v>5864</v>
      </c>
      <c r="N2658" s="4" t="s">
        <v>5870</v>
      </c>
    </row>
    <row r="2659" spans="1:14" ht="40" customHeight="1">
      <c r="A2659" s="8" t="s">
        <v>9132</v>
      </c>
      <c r="B2659" s="8" t="s">
        <v>531</v>
      </c>
      <c r="C2659" s="8" t="s">
        <v>532</v>
      </c>
      <c r="D2659" s="8" t="s">
        <v>637</v>
      </c>
      <c r="E2659" s="8" t="s">
        <v>41</v>
      </c>
      <c r="F2659" s="8" t="s">
        <v>1147</v>
      </c>
      <c r="G2659" s="8" t="s">
        <v>2201</v>
      </c>
      <c r="H2659" s="8">
        <v>1</v>
      </c>
      <c r="I2659" s="8">
        <v>1</v>
      </c>
      <c r="J2659" s="8" t="s">
        <v>2119</v>
      </c>
      <c r="K2659" s="8" t="s">
        <v>536</v>
      </c>
      <c r="L2659" s="9">
        <v>46319</v>
      </c>
      <c r="M2659" s="8" t="s">
        <v>5864</v>
      </c>
      <c r="N2659" s="8" t="s">
        <v>5870</v>
      </c>
    </row>
    <row r="2660" spans="1:14" ht="40" customHeight="1">
      <c r="A2660" s="4" t="s">
        <v>9133</v>
      </c>
      <c r="B2660" s="4" t="s">
        <v>531</v>
      </c>
      <c r="C2660" s="4" t="s">
        <v>532</v>
      </c>
      <c r="D2660" s="4" t="s">
        <v>637</v>
      </c>
      <c r="E2660" s="4" t="s">
        <v>41</v>
      </c>
      <c r="F2660" s="4" t="s">
        <v>1254</v>
      </c>
      <c r="G2660" s="4" t="s">
        <v>2201</v>
      </c>
      <c r="H2660" s="4">
        <v>1</v>
      </c>
      <c r="I2660" s="4">
        <v>1</v>
      </c>
      <c r="J2660" s="4" t="s">
        <v>2211</v>
      </c>
      <c r="K2660" s="4" t="s">
        <v>536</v>
      </c>
      <c r="L2660" s="6">
        <v>46319</v>
      </c>
      <c r="M2660" s="4" t="s">
        <v>5864</v>
      </c>
      <c r="N2660" s="4" t="s">
        <v>5870</v>
      </c>
    </row>
    <row r="2661" spans="1:14" ht="40" customHeight="1">
      <c r="A2661" s="8" t="s">
        <v>5694</v>
      </c>
      <c r="B2661" s="8" t="s">
        <v>531</v>
      </c>
      <c r="C2661" s="8" t="s">
        <v>532</v>
      </c>
      <c r="D2661" s="8" t="s">
        <v>7</v>
      </c>
      <c r="E2661" s="8" t="s">
        <v>41</v>
      </c>
      <c r="F2661" s="8" t="s">
        <v>6212</v>
      </c>
      <c r="G2661" s="8" t="s">
        <v>2201</v>
      </c>
      <c r="H2661" s="8">
        <v>1</v>
      </c>
      <c r="I2661" s="8">
        <v>1</v>
      </c>
      <c r="J2661" s="8" t="s">
        <v>4969</v>
      </c>
      <c r="K2661" s="8" t="s">
        <v>536</v>
      </c>
      <c r="L2661" s="9">
        <v>46319</v>
      </c>
      <c r="M2661" s="8" t="s">
        <v>5864</v>
      </c>
      <c r="N2661" s="8" t="s">
        <v>5870</v>
      </c>
    </row>
    <row r="2662" spans="1:14" ht="40" customHeight="1">
      <c r="A2662" s="4" t="s">
        <v>5695</v>
      </c>
      <c r="B2662" s="4" t="s">
        <v>531</v>
      </c>
      <c r="C2662" s="4" t="s">
        <v>532</v>
      </c>
      <c r="D2662" s="4" t="s">
        <v>7</v>
      </c>
      <c r="E2662" s="4" t="s">
        <v>41</v>
      </c>
      <c r="F2662" s="4" t="s">
        <v>6213</v>
      </c>
      <c r="G2662" s="4" t="s">
        <v>2201</v>
      </c>
      <c r="H2662" s="4">
        <v>1</v>
      </c>
      <c r="I2662" s="4">
        <v>1</v>
      </c>
      <c r="J2662" s="4" t="s">
        <v>5688</v>
      </c>
      <c r="K2662" s="4" t="s">
        <v>536</v>
      </c>
      <c r="L2662" s="6">
        <v>46319</v>
      </c>
      <c r="M2662" s="4" t="s">
        <v>5864</v>
      </c>
      <c r="N2662" s="4" t="s">
        <v>5870</v>
      </c>
    </row>
    <row r="2663" spans="1:14" ht="40" customHeight="1">
      <c r="A2663" s="8" t="s">
        <v>5696</v>
      </c>
      <c r="B2663" s="8" t="s">
        <v>531</v>
      </c>
      <c r="C2663" s="8" t="s">
        <v>532</v>
      </c>
      <c r="D2663" s="8" t="s">
        <v>7</v>
      </c>
      <c r="E2663" s="8" t="s">
        <v>41</v>
      </c>
      <c r="F2663" s="8" t="s">
        <v>6214</v>
      </c>
      <c r="G2663" s="8" t="s">
        <v>2201</v>
      </c>
      <c r="H2663" s="8">
        <v>1</v>
      </c>
      <c r="I2663" s="8">
        <v>1</v>
      </c>
      <c r="J2663" s="8" t="s">
        <v>4971</v>
      </c>
      <c r="K2663" s="8" t="s">
        <v>536</v>
      </c>
      <c r="L2663" s="9">
        <v>46319</v>
      </c>
      <c r="M2663" s="8" t="s">
        <v>5864</v>
      </c>
      <c r="N2663" s="8" t="s">
        <v>5870</v>
      </c>
    </row>
    <row r="2664" spans="1:14" ht="40" customHeight="1">
      <c r="A2664" s="4" t="s">
        <v>5697</v>
      </c>
      <c r="B2664" s="4" t="s">
        <v>531</v>
      </c>
      <c r="C2664" s="4" t="s">
        <v>532</v>
      </c>
      <c r="D2664" s="4" t="s">
        <v>7</v>
      </c>
      <c r="E2664" s="4" t="s">
        <v>41</v>
      </c>
      <c r="F2664" s="4" t="s">
        <v>6215</v>
      </c>
      <c r="G2664" s="4" t="s">
        <v>2201</v>
      </c>
      <c r="H2664" s="4">
        <v>1</v>
      </c>
      <c r="I2664" s="4">
        <v>1</v>
      </c>
      <c r="J2664" s="4" t="s">
        <v>4973</v>
      </c>
      <c r="K2664" s="4" t="s">
        <v>536</v>
      </c>
      <c r="L2664" s="6">
        <v>46319</v>
      </c>
      <c r="M2664" s="4" t="s">
        <v>5864</v>
      </c>
      <c r="N2664" s="4" t="s">
        <v>5870</v>
      </c>
    </row>
    <row r="2665" spans="1:14" ht="40" customHeight="1">
      <c r="A2665" s="8" t="s">
        <v>5698</v>
      </c>
      <c r="B2665" s="8" t="s">
        <v>531</v>
      </c>
      <c r="C2665" s="8" t="s">
        <v>532</v>
      </c>
      <c r="D2665" s="8" t="s">
        <v>7</v>
      </c>
      <c r="E2665" s="8" t="s">
        <v>41</v>
      </c>
      <c r="F2665" s="8" t="s">
        <v>6216</v>
      </c>
      <c r="G2665" s="8" t="s">
        <v>2201</v>
      </c>
      <c r="H2665" s="8">
        <v>1</v>
      </c>
      <c r="I2665" s="8">
        <v>1</v>
      </c>
      <c r="J2665" s="8" t="s">
        <v>5479</v>
      </c>
      <c r="K2665" s="8" t="s">
        <v>536</v>
      </c>
      <c r="L2665" s="9">
        <v>46319</v>
      </c>
      <c r="M2665" s="8" t="s">
        <v>5864</v>
      </c>
      <c r="N2665" s="8" t="s">
        <v>5870</v>
      </c>
    </row>
    <row r="2666" spans="1:14" ht="40" customHeight="1">
      <c r="A2666" s="4" t="s">
        <v>5699</v>
      </c>
      <c r="B2666" s="4" t="s">
        <v>531</v>
      </c>
      <c r="C2666" s="4" t="s">
        <v>532</v>
      </c>
      <c r="D2666" s="4" t="s">
        <v>7</v>
      </c>
      <c r="E2666" s="4" t="s">
        <v>41</v>
      </c>
      <c r="F2666" s="4" t="s">
        <v>6284</v>
      </c>
      <c r="G2666" s="4" t="s">
        <v>2201</v>
      </c>
      <c r="H2666" s="4">
        <v>1</v>
      </c>
      <c r="I2666" s="4">
        <v>1</v>
      </c>
      <c r="J2666" s="4" t="s">
        <v>5700</v>
      </c>
      <c r="K2666" s="4" t="s">
        <v>536</v>
      </c>
      <c r="L2666" s="6">
        <v>46319</v>
      </c>
      <c r="M2666" s="4" t="s">
        <v>5864</v>
      </c>
      <c r="N2666" s="4" t="s">
        <v>5870</v>
      </c>
    </row>
    <row r="2667" spans="1:14" ht="40" customHeight="1">
      <c r="A2667" s="8" t="s">
        <v>5701</v>
      </c>
      <c r="B2667" s="8" t="s">
        <v>531</v>
      </c>
      <c r="C2667" s="8" t="s">
        <v>532</v>
      </c>
      <c r="D2667" s="8" t="s">
        <v>7</v>
      </c>
      <c r="E2667" s="8" t="s">
        <v>41</v>
      </c>
      <c r="F2667" s="8" t="s">
        <v>6285</v>
      </c>
      <c r="G2667" s="8" t="s">
        <v>2201</v>
      </c>
      <c r="H2667" s="8">
        <v>1</v>
      </c>
      <c r="I2667" s="8">
        <v>1</v>
      </c>
      <c r="J2667" s="8" t="s">
        <v>4975</v>
      </c>
      <c r="K2667" s="8" t="s">
        <v>536</v>
      </c>
      <c r="L2667" s="9">
        <v>46319</v>
      </c>
      <c r="M2667" s="8" t="s">
        <v>5864</v>
      </c>
      <c r="N2667" s="8" t="s">
        <v>5870</v>
      </c>
    </row>
    <row r="2668" spans="1:14" ht="40" customHeight="1">
      <c r="A2668" s="4" t="s">
        <v>5702</v>
      </c>
      <c r="B2668" s="4" t="s">
        <v>531</v>
      </c>
      <c r="C2668" s="4" t="s">
        <v>532</v>
      </c>
      <c r="D2668" s="4" t="s">
        <v>7</v>
      </c>
      <c r="E2668" s="4" t="s">
        <v>41</v>
      </c>
      <c r="F2668" s="4" t="s">
        <v>6286</v>
      </c>
      <c r="G2668" s="4" t="s">
        <v>2201</v>
      </c>
      <c r="H2668" s="4">
        <v>1</v>
      </c>
      <c r="I2668" s="4">
        <v>1</v>
      </c>
      <c r="J2668" s="4" t="s">
        <v>4977</v>
      </c>
      <c r="K2668" s="4" t="s">
        <v>536</v>
      </c>
      <c r="L2668" s="6">
        <v>46319</v>
      </c>
      <c r="M2668" s="4" t="s">
        <v>5864</v>
      </c>
      <c r="N2668" s="4" t="s">
        <v>5870</v>
      </c>
    </row>
    <row r="2669" spans="1:14" ht="40" customHeight="1">
      <c r="A2669" s="8" t="s">
        <v>4773</v>
      </c>
      <c r="B2669" s="8" t="s">
        <v>531</v>
      </c>
      <c r="C2669" s="8" t="s">
        <v>532</v>
      </c>
      <c r="D2669" s="8" t="s">
        <v>5879</v>
      </c>
      <c r="E2669" s="8" t="s">
        <v>41</v>
      </c>
      <c r="F2669" s="8" t="s">
        <v>3449</v>
      </c>
      <c r="G2669" s="8" t="s">
        <v>2201</v>
      </c>
      <c r="H2669" s="8">
        <v>1</v>
      </c>
      <c r="I2669" s="8">
        <v>1</v>
      </c>
      <c r="J2669" s="8" t="s">
        <v>4767</v>
      </c>
      <c r="K2669" s="8" t="s">
        <v>536</v>
      </c>
      <c r="L2669" s="9">
        <v>46319</v>
      </c>
      <c r="M2669" s="8" t="s">
        <v>5864</v>
      </c>
      <c r="N2669" s="8" t="s">
        <v>5865</v>
      </c>
    </row>
    <row r="2670" spans="1:14" ht="40" customHeight="1">
      <c r="A2670" s="4" t="s">
        <v>4774</v>
      </c>
      <c r="B2670" s="4" t="s">
        <v>531</v>
      </c>
      <c r="C2670" s="4" t="s">
        <v>532</v>
      </c>
      <c r="D2670" s="4" t="s">
        <v>5879</v>
      </c>
      <c r="E2670" s="4" t="s">
        <v>41</v>
      </c>
      <c r="F2670" s="4" t="s">
        <v>3466</v>
      </c>
      <c r="G2670" s="4" t="s">
        <v>2201</v>
      </c>
      <c r="H2670" s="4">
        <v>1</v>
      </c>
      <c r="I2670" s="4">
        <v>1</v>
      </c>
      <c r="J2670" s="4" t="s">
        <v>3692</v>
      </c>
      <c r="K2670" s="4" t="s">
        <v>536</v>
      </c>
      <c r="L2670" s="6">
        <v>46319</v>
      </c>
      <c r="M2670" s="4" t="s">
        <v>5864</v>
      </c>
      <c r="N2670" s="4" t="s">
        <v>5865</v>
      </c>
    </row>
    <row r="2671" spans="1:14" ht="40" customHeight="1">
      <c r="A2671" s="8" t="s">
        <v>4775</v>
      </c>
      <c r="B2671" s="8" t="s">
        <v>531</v>
      </c>
      <c r="C2671" s="8" t="s">
        <v>532</v>
      </c>
      <c r="D2671" s="8" t="s">
        <v>5879</v>
      </c>
      <c r="E2671" s="8" t="s">
        <v>41</v>
      </c>
      <c r="F2671" s="8" t="s">
        <v>3469</v>
      </c>
      <c r="G2671" s="8" t="s">
        <v>2201</v>
      </c>
      <c r="H2671" s="8">
        <v>1</v>
      </c>
      <c r="I2671" s="8">
        <v>1</v>
      </c>
      <c r="J2671" s="8" t="s">
        <v>4770</v>
      </c>
      <c r="K2671" s="8" t="s">
        <v>536</v>
      </c>
      <c r="L2671" s="9">
        <v>46319</v>
      </c>
      <c r="M2671" s="8" t="s">
        <v>5864</v>
      </c>
      <c r="N2671" s="8" t="s">
        <v>5865</v>
      </c>
    </row>
    <row r="2672" spans="1:14" ht="40" customHeight="1">
      <c r="A2672" s="4" t="s">
        <v>4776</v>
      </c>
      <c r="B2672" s="4" t="s">
        <v>531</v>
      </c>
      <c r="C2672" s="4" t="s">
        <v>532</v>
      </c>
      <c r="D2672" s="4" t="s">
        <v>5879</v>
      </c>
      <c r="E2672" s="4" t="s">
        <v>41</v>
      </c>
      <c r="F2672" s="4" t="s">
        <v>3472</v>
      </c>
      <c r="G2672" s="4" t="s">
        <v>2201</v>
      </c>
      <c r="H2672" s="4">
        <v>1</v>
      </c>
      <c r="I2672" s="4">
        <v>1</v>
      </c>
      <c r="J2672" s="4" t="s">
        <v>4772</v>
      </c>
      <c r="K2672" s="4" t="s">
        <v>536</v>
      </c>
      <c r="L2672" s="6">
        <v>46319</v>
      </c>
      <c r="M2672" s="4" t="s">
        <v>5864</v>
      </c>
      <c r="N2672" s="4" t="s">
        <v>5865</v>
      </c>
    </row>
    <row r="2673" spans="1:14" ht="40" customHeight="1">
      <c r="A2673" s="8" t="s">
        <v>9134</v>
      </c>
      <c r="B2673" s="8" t="s">
        <v>531</v>
      </c>
      <c r="C2673" s="8" t="s">
        <v>532</v>
      </c>
      <c r="D2673" s="8" t="s">
        <v>2969</v>
      </c>
      <c r="E2673" s="8" t="s">
        <v>41</v>
      </c>
      <c r="F2673" s="8" t="s">
        <v>5881</v>
      </c>
      <c r="G2673" s="8" t="s">
        <v>2201</v>
      </c>
      <c r="H2673" s="8">
        <v>1</v>
      </c>
      <c r="I2673" s="8">
        <v>1</v>
      </c>
      <c r="J2673" s="8" t="s">
        <v>9135</v>
      </c>
      <c r="K2673" s="8" t="s">
        <v>536</v>
      </c>
      <c r="L2673" s="9">
        <v>46319</v>
      </c>
      <c r="M2673" s="8" t="s">
        <v>5864</v>
      </c>
      <c r="N2673" s="8" t="s">
        <v>5883</v>
      </c>
    </row>
    <row r="2674" spans="1:14" ht="54" customHeight="1">
      <c r="A2674" s="4" t="s">
        <v>9136</v>
      </c>
      <c r="B2674" s="4" t="s">
        <v>531</v>
      </c>
      <c r="C2674" s="4" t="s">
        <v>532</v>
      </c>
      <c r="D2674" s="4" t="s">
        <v>2969</v>
      </c>
      <c r="E2674" s="4" t="s">
        <v>41</v>
      </c>
      <c r="F2674" s="4" t="s">
        <v>5885</v>
      </c>
      <c r="G2674" s="4" t="s">
        <v>2201</v>
      </c>
      <c r="H2674" s="4">
        <v>1</v>
      </c>
      <c r="I2674" s="4">
        <v>1</v>
      </c>
      <c r="J2674" s="4" t="s">
        <v>9137</v>
      </c>
      <c r="K2674" s="4" t="s">
        <v>536</v>
      </c>
      <c r="L2674" s="6">
        <v>46319</v>
      </c>
      <c r="M2674" s="4" t="s">
        <v>5864</v>
      </c>
      <c r="N2674" s="4" t="s">
        <v>5883</v>
      </c>
    </row>
    <row r="2675" spans="1:14" ht="68" customHeight="1">
      <c r="A2675" s="8" t="s">
        <v>9138</v>
      </c>
      <c r="B2675" s="8" t="s">
        <v>531</v>
      </c>
      <c r="C2675" s="8" t="s">
        <v>532</v>
      </c>
      <c r="D2675" s="8" t="s">
        <v>2969</v>
      </c>
      <c r="E2675" s="8" t="s">
        <v>41</v>
      </c>
      <c r="F2675" s="8" t="s">
        <v>5888</v>
      </c>
      <c r="G2675" s="8" t="s">
        <v>2201</v>
      </c>
      <c r="H2675" s="8">
        <v>1</v>
      </c>
      <c r="I2675" s="8">
        <v>1</v>
      </c>
      <c r="J2675" s="8" t="s">
        <v>9139</v>
      </c>
      <c r="K2675" s="8" t="s">
        <v>536</v>
      </c>
      <c r="L2675" s="9">
        <v>46319</v>
      </c>
      <c r="M2675" s="8" t="s">
        <v>5864</v>
      </c>
      <c r="N2675" s="8" t="s">
        <v>5883</v>
      </c>
    </row>
    <row r="2676" spans="1:14" ht="54" customHeight="1">
      <c r="A2676" s="4" t="s">
        <v>9140</v>
      </c>
      <c r="B2676" s="4" t="s">
        <v>531</v>
      </c>
      <c r="C2676" s="4" t="s">
        <v>532</v>
      </c>
      <c r="D2676" s="4" t="s">
        <v>2969</v>
      </c>
      <c r="E2676" s="4" t="s">
        <v>41</v>
      </c>
      <c r="F2676" s="4" t="s">
        <v>5891</v>
      </c>
      <c r="G2676" s="4" t="s">
        <v>2201</v>
      </c>
      <c r="H2676" s="4">
        <v>1</v>
      </c>
      <c r="I2676" s="4">
        <v>1</v>
      </c>
      <c r="J2676" s="4" t="s">
        <v>9141</v>
      </c>
      <c r="K2676" s="4" t="s">
        <v>536</v>
      </c>
      <c r="L2676" s="6">
        <v>46319</v>
      </c>
      <c r="M2676" s="4" t="s">
        <v>5864</v>
      </c>
      <c r="N2676" s="4" t="s">
        <v>5883</v>
      </c>
    </row>
    <row r="2677" spans="1:14" ht="54" customHeight="1">
      <c r="A2677" s="8" t="s">
        <v>9142</v>
      </c>
      <c r="B2677" s="8" t="s">
        <v>531</v>
      </c>
      <c r="C2677" s="8" t="s">
        <v>532</v>
      </c>
      <c r="D2677" s="8" t="s">
        <v>2969</v>
      </c>
      <c r="E2677" s="8" t="s">
        <v>41</v>
      </c>
      <c r="F2677" s="8" t="s">
        <v>5894</v>
      </c>
      <c r="G2677" s="8" t="s">
        <v>2201</v>
      </c>
      <c r="H2677" s="8">
        <v>1</v>
      </c>
      <c r="I2677" s="8">
        <v>1</v>
      </c>
      <c r="J2677" s="8" t="s">
        <v>9143</v>
      </c>
      <c r="K2677" s="8" t="s">
        <v>536</v>
      </c>
      <c r="L2677" s="9">
        <v>46319</v>
      </c>
      <c r="M2677" s="8" t="s">
        <v>5864</v>
      </c>
      <c r="N2677" s="8" t="s">
        <v>5883</v>
      </c>
    </row>
    <row r="2678" spans="1:14" ht="40" customHeight="1">
      <c r="A2678" s="4" t="s">
        <v>9144</v>
      </c>
      <c r="B2678" s="4" t="s">
        <v>531</v>
      </c>
      <c r="C2678" s="4" t="s">
        <v>532</v>
      </c>
      <c r="D2678" s="4" t="s">
        <v>2969</v>
      </c>
      <c r="E2678" s="4" t="s">
        <v>41</v>
      </c>
      <c r="F2678" s="4" t="s">
        <v>5897</v>
      </c>
      <c r="G2678" s="4" t="s">
        <v>2201</v>
      </c>
      <c r="H2678" s="4">
        <v>1</v>
      </c>
      <c r="I2678" s="4">
        <v>1</v>
      </c>
      <c r="J2678" s="4" t="s">
        <v>9105</v>
      </c>
      <c r="K2678" s="4" t="s">
        <v>536</v>
      </c>
      <c r="L2678" s="6">
        <v>46319</v>
      </c>
      <c r="M2678" s="4" t="s">
        <v>5864</v>
      </c>
      <c r="N2678" s="4" t="s">
        <v>5883</v>
      </c>
    </row>
    <row r="2679" spans="1:14" ht="40" customHeight="1">
      <c r="A2679" s="8" t="s">
        <v>9145</v>
      </c>
      <c r="B2679" s="8" t="s">
        <v>531</v>
      </c>
      <c r="C2679" s="8" t="s">
        <v>532</v>
      </c>
      <c r="D2679" s="8" t="s">
        <v>2969</v>
      </c>
      <c r="E2679" s="8" t="s">
        <v>41</v>
      </c>
      <c r="F2679" s="8" t="s">
        <v>5900</v>
      </c>
      <c r="G2679" s="8" t="s">
        <v>2201</v>
      </c>
      <c r="H2679" s="8">
        <v>1</v>
      </c>
      <c r="I2679" s="8">
        <v>1</v>
      </c>
      <c r="J2679" s="8" t="s">
        <v>8889</v>
      </c>
      <c r="K2679" s="8" t="s">
        <v>536</v>
      </c>
      <c r="L2679" s="9">
        <v>46319</v>
      </c>
      <c r="M2679" s="8" t="s">
        <v>5864</v>
      </c>
      <c r="N2679" s="8" t="s">
        <v>5883</v>
      </c>
    </row>
    <row r="2680" spans="1:14" ht="40" customHeight="1">
      <c r="A2680" s="4" t="s">
        <v>9146</v>
      </c>
      <c r="B2680" s="4" t="s">
        <v>531</v>
      </c>
      <c r="C2680" s="4" t="s">
        <v>532</v>
      </c>
      <c r="D2680" s="4" t="s">
        <v>2969</v>
      </c>
      <c r="E2680" s="4" t="s">
        <v>41</v>
      </c>
      <c r="F2680" s="4" t="s">
        <v>5903</v>
      </c>
      <c r="G2680" s="4" t="s">
        <v>2201</v>
      </c>
      <c r="H2680" s="4">
        <v>1</v>
      </c>
      <c r="I2680" s="4">
        <v>1</v>
      </c>
      <c r="J2680" s="4" t="s">
        <v>6352</v>
      </c>
      <c r="K2680" s="4" t="s">
        <v>536</v>
      </c>
      <c r="L2680" s="6">
        <v>46319</v>
      </c>
      <c r="M2680" s="4" t="s">
        <v>5864</v>
      </c>
      <c r="N2680" s="4" t="s">
        <v>5883</v>
      </c>
    </row>
    <row r="2681" spans="1:14" ht="68" customHeight="1">
      <c r="A2681" s="8" t="s">
        <v>9147</v>
      </c>
      <c r="B2681" s="8" t="s">
        <v>531</v>
      </c>
      <c r="C2681" s="8" t="s">
        <v>532</v>
      </c>
      <c r="D2681" s="8" t="s">
        <v>2969</v>
      </c>
      <c r="E2681" s="8" t="s">
        <v>41</v>
      </c>
      <c r="F2681" s="8" t="s">
        <v>5906</v>
      </c>
      <c r="G2681" s="8" t="s">
        <v>2201</v>
      </c>
      <c r="H2681" s="8">
        <v>1</v>
      </c>
      <c r="I2681" s="8">
        <v>1</v>
      </c>
      <c r="J2681" s="8" t="s">
        <v>6355</v>
      </c>
      <c r="K2681" s="8" t="s">
        <v>536</v>
      </c>
      <c r="L2681" s="9">
        <v>46319</v>
      </c>
      <c r="M2681" s="8" t="s">
        <v>5864</v>
      </c>
      <c r="N2681" s="8" t="s">
        <v>5883</v>
      </c>
    </row>
    <row r="2682" spans="1:14" ht="40" customHeight="1">
      <c r="A2682" s="4" t="s">
        <v>9148</v>
      </c>
      <c r="B2682" s="4" t="s">
        <v>531</v>
      </c>
      <c r="C2682" s="4" t="s">
        <v>532</v>
      </c>
      <c r="D2682" s="4" t="s">
        <v>2969</v>
      </c>
      <c r="E2682" s="4" t="s">
        <v>41</v>
      </c>
      <c r="F2682" s="4" t="s">
        <v>5909</v>
      </c>
      <c r="G2682" s="4" t="s">
        <v>2201</v>
      </c>
      <c r="H2682" s="4">
        <v>1</v>
      </c>
      <c r="I2682" s="4">
        <v>1</v>
      </c>
      <c r="J2682" s="4" t="s">
        <v>6434</v>
      </c>
      <c r="K2682" s="4" t="s">
        <v>536</v>
      </c>
      <c r="L2682" s="6">
        <v>46319</v>
      </c>
      <c r="M2682" s="4" t="s">
        <v>5864</v>
      </c>
      <c r="N2682" s="4" t="s">
        <v>5883</v>
      </c>
    </row>
    <row r="2683" spans="1:14" ht="40" customHeight="1">
      <c r="A2683" s="8" t="s">
        <v>9149</v>
      </c>
      <c r="B2683" s="8" t="s">
        <v>531</v>
      </c>
      <c r="C2683" s="8" t="s">
        <v>532</v>
      </c>
      <c r="D2683" s="8" t="s">
        <v>2969</v>
      </c>
      <c r="E2683" s="8" t="s">
        <v>41</v>
      </c>
      <c r="F2683" s="8" t="s">
        <v>5912</v>
      </c>
      <c r="G2683" s="8" t="s">
        <v>2201</v>
      </c>
      <c r="H2683" s="8">
        <v>1</v>
      </c>
      <c r="I2683" s="8">
        <v>1</v>
      </c>
      <c r="J2683" s="8" t="s">
        <v>6358</v>
      </c>
      <c r="K2683" s="8" t="s">
        <v>536</v>
      </c>
      <c r="L2683" s="9">
        <v>46319</v>
      </c>
      <c r="M2683" s="8" t="s">
        <v>5864</v>
      </c>
      <c r="N2683" s="8" t="s">
        <v>5883</v>
      </c>
    </row>
    <row r="2684" spans="1:14" ht="40" customHeight="1">
      <c r="A2684" s="4" t="s">
        <v>9150</v>
      </c>
      <c r="B2684" s="4" t="s">
        <v>531</v>
      </c>
      <c r="C2684" s="4" t="s">
        <v>532</v>
      </c>
      <c r="D2684" s="4" t="s">
        <v>2969</v>
      </c>
      <c r="E2684" s="4" t="s">
        <v>41</v>
      </c>
      <c r="F2684" s="4" t="s">
        <v>5973</v>
      </c>
      <c r="G2684" s="4" t="s">
        <v>2201</v>
      </c>
      <c r="H2684" s="4">
        <v>1</v>
      </c>
      <c r="I2684" s="4">
        <v>1</v>
      </c>
      <c r="J2684" s="4" t="s">
        <v>6361</v>
      </c>
      <c r="K2684" s="4" t="s">
        <v>536</v>
      </c>
      <c r="L2684" s="6">
        <v>46319</v>
      </c>
      <c r="M2684" s="4" t="s">
        <v>5864</v>
      </c>
      <c r="N2684" s="4" t="s">
        <v>5883</v>
      </c>
    </row>
    <row r="2685" spans="1:14" ht="40" customHeight="1">
      <c r="A2685" s="8" t="s">
        <v>9151</v>
      </c>
      <c r="B2685" s="8" t="s">
        <v>531</v>
      </c>
      <c r="C2685" s="8" t="s">
        <v>532</v>
      </c>
      <c r="D2685" s="8" t="s">
        <v>2969</v>
      </c>
      <c r="E2685" s="8" t="s">
        <v>41</v>
      </c>
      <c r="F2685" s="8" t="s">
        <v>5976</v>
      </c>
      <c r="G2685" s="8" t="s">
        <v>2201</v>
      </c>
      <c r="H2685" s="8">
        <v>1</v>
      </c>
      <c r="I2685" s="8">
        <v>1</v>
      </c>
      <c r="J2685" s="8" t="s">
        <v>6364</v>
      </c>
      <c r="K2685" s="8" t="s">
        <v>536</v>
      </c>
      <c r="L2685" s="9">
        <v>46319</v>
      </c>
      <c r="M2685" s="8" t="s">
        <v>5864</v>
      </c>
      <c r="N2685" s="8" t="s">
        <v>5883</v>
      </c>
    </row>
    <row r="2686" spans="1:14" ht="40" customHeight="1">
      <c r="A2686" s="4" t="s">
        <v>9152</v>
      </c>
      <c r="B2686" s="4" t="s">
        <v>531</v>
      </c>
      <c r="C2686" s="4" t="s">
        <v>532</v>
      </c>
      <c r="D2686" s="4" t="s">
        <v>2969</v>
      </c>
      <c r="E2686" s="4" t="s">
        <v>41</v>
      </c>
      <c r="F2686" s="4" t="s">
        <v>5979</v>
      </c>
      <c r="G2686" s="4" t="s">
        <v>2201</v>
      </c>
      <c r="H2686" s="4">
        <v>1</v>
      </c>
      <c r="I2686" s="4">
        <v>1</v>
      </c>
      <c r="J2686" s="4" t="s">
        <v>6367</v>
      </c>
      <c r="K2686" s="4" t="s">
        <v>536</v>
      </c>
      <c r="L2686" s="6">
        <v>46319</v>
      </c>
      <c r="M2686" s="4" t="s">
        <v>5864</v>
      </c>
      <c r="N2686" s="4" t="s">
        <v>5883</v>
      </c>
    </row>
    <row r="2687" spans="1:14" ht="40" customHeight="1">
      <c r="A2687" s="8" t="s">
        <v>9153</v>
      </c>
      <c r="B2687" s="8" t="s">
        <v>531</v>
      </c>
      <c r="C2687" s="8" t="s">
        <v>532</v>
      </c>
      <c r="D2687" s="8" t="s">
        <v>2969</v>
      </c>
      <c r="E2687" s="8" t="s">
        <v>41</v>
      </c>
      <c r="F2687" s="8" t="s">
        <v>5982</v>
      </c>
      <c r="G2687" s="8" t="s">
        <v>2201</v>
      </c>
      <c r="H2687" s="8">
        <v>1</v>
      </c>
      <c r="I2687" s="8">
        <v>1</v>
      </c>
      <c r="J2687" s="8" t="s">
        <v>6370</v>
      </c>
      <c r="K2687" s="8" t="s">
        <v>536</v>
      </c>
      <c r="L2687" s="9">
        <v>46319</v>
      </c>
      <c r="M2687" s="8" t="s">
        <v>5864</v>
      </c>
      <c r="N2687" s="8" t="s">
        <v>5883</v>
      </c>
    </row>
    <row r="2688" spans="1:14" ht="68" customHeight="1">
      <c r="A2688" s="4" t="s">
        <v>9154</v>
      </c>
      <c r="B2688" s="4" t="s">
        <v>531</v>
      </c>
      <c r="C2688" s="4" t="s">
        <v>532</v>
      </c>
      <c r="D2688" s="4" t="s">
        <v>2969</v>
      </c>
      <c r="E2688" s="4" t="s">
        <v>41</v>
      </c>
      <c r="F2688" s="4" t="s">
        <v>5985</v>
      </c>
      <c r="G2688" s="4" t="s">
        <v>2201</v>
      </c>
      <c r="H2688" s="4">
        <v>1</v>
      </c>
      <c r="I2688" s="4">
        <v>1</v>
      </c>
      <c r="J2688" s="4" t="s">
        <v>6373</v>
      </c>
      <c r="K2688" s="4" t="s">
        <v>536</v>
      </c>
      <c r="L2688" s="6">
        <v>46319</v>
      </c>
      <c r="M2688" s="4" t="s">
        <v>5864</v>
      </c>
      <c r="N2688" s="4" t="s">
        <v>5883</v>
      </c>
    </row>
    <row r="2689" spans="1:14" ht="54" customHeight="1">
      <c r="A2689" s="8" t="s">
        <v>9155</v>
      </c>
      <c r="B2689" s="8" t="s">
        <v>531</v>
      </c>
      <c r="C2689" s="8" t="s">
        <v>532</v>
      </c>
      <c r="D2689" s="8" t="s">
        <v>2969</v>
      </c>
      <c r="E2689" s="8" t="s">
        <v>41</v>
      </c>
      <c r="F2689" s="8" t="s">
        <v>5988</v>
      </c>
      <c r="G2689" s="8" t="s">
        <v>2201</v>
      </c>
      <c r="H2689" s="8">
        <v>1</v>
      </c>
      <c r="I2689" s="8">
        <v>1</v>
      </c>
      <c r="J2689" s="8" t="s">
        <v>6376</v>
      </c>
      <c r="K2689" s="8" t="s">
        <v>536</v>
      </c>
      <c r="L2689" s="9">
        <v>46319</v>
      </c>
      <c r="M2689" s="8" t="s">
        <v>5864</v>
      </c>
      <c r="N2689" s="8" t="s">
        <v>5883</v>
      </c>
    </row>
    <row r="2690" spans="1:14" ht="54" customHeight="1">
      <c r="A2690" s="4" t="s">
        <v>9156</v>
      </c>
      <c r="B2690" s="4" t="s">
        <v>531</v>
      </c>
      <c r="C2690" s="4" t="s">
        <v>532</v>
      </c>
      <c r="D2690" s="4" t="s">
        <v>2969</v>
      </c>
      <c r="E2690" s="4" t="s">
        <v>41</v>
      </c>
      <c r="F2690" s="4" t="s">
        <v>5991</v>
      </c>
      <c r="G2690" s="4" t="s">
        <v>2201</v>
      </c>
      <c r="H2690" s="4">
        <v>1</v>
      </c>
      <c r="I2690" s="4">
        <v>1</v>
      </c>
      <c r="J2690" s="4" t="s">
        <v>8901</v>
      </c>
      <c r="K2690" s="4" t="s">
        <v>536</v>
      </c>
      <c r="L2690" s="6">
        <v>46319</v>
      </c>
      <c r="M2690" s="4" t="s">
        <v>5864</v>
      </c>
      <c r="N2690" s="4" t="s">
        <v>5883</v>
      </c>
    </row>
    <row r="2691" spans="1:14" ht="68" customHeight="1">
      <c r="A2691" s="8" t="s">
        <v>9157</v>
      </c>
      <c r="B2691" s="8" t="s">
        <v>531</v>
      </c>
      <c r="C2691" s="8" t="s">
        <v>532</v>
      </c>
      <c r="D2691" s="8" t="s">
        <v>2969</v>
      </c>
      <c r="E2691" s="8" t="s">
        <v>41</v>
      </c>
      <c r="F2691" s="8" t="s">
        <v>6327</v>
      </c>
      <c r="G2691" s="8" t="s">
        <v>2201</v>
      </c>
      <c r="H2691" s="8">
        <v>1</v>
      </c>
      <c r="I2691" s="8">
        <v>1</v>
      </c>
      <c r="J2691" s="8" t="s">
        <v>6379</v>
      </c>
      <c r="K2691" s="8" t="s">
        <v>536</v>
      </c>
      <c r="L2691" s="9">
        <v>46319</v>
      </c>
      <c r="M2691" s="8" t="s">
        <v>5864</v>
      </c>
      <c r="N2691" s="8" t="s">
        <v>5883</v>
      </c>
    </row>
    <row r="2692" spans="1:14" ht="54" customHeight="1">
      <c r="A2692" s="4" t="s">
        <v>9158</v>
      </c>
      <c r="B2692" s="4" t="s">
        <v>531</v>
      </c>
      <c r="C2692" s="4" t="s">
        <v>532</v>
      </c>
      <c r="D2692" s="4" t="s">
        <v>2969</v>
      </c>
      <c r="E2692" s="4" t="s">
        <v>41</v>
      </c>
      <c r="F2692" s="4" t="s">
        <v>6330</v>
      </c>
      <c r="G2692" s="4" t="s">
        <v>2201</v>
      </c>
      <c r="H2692" s="4">
        <v>1</v>
      </c>
      <c r="I2692" s="4">
        <v>1</v>
      </c>
      <c r="J2692" s="4" t="s">
        <v>6382</v>
      </c>
      <c r="K2692" s="4" t="s">
        <v>536</v>
      </c>
      <c r="L2692" s="6">
        <v>46319</v>
      </c>
      <c r="M2692" s="4" t="s">
        <v>5864</v>
      </c>
      <c r="N2692" s="4" t="s">
        <v>5883</v>
      </c>
    </row>
    <row r="2693" spans="1:14" ht="54" customHeight="1">
      <c r="A2693" s="8" t="s">
        <v>9159</v>
      </c>
      <c r="B2693" s="8" t="s">
        <v>531</v>
      </c>
      <c r="C2693" s="8" t="s">
        <v>532</v>
      </c>
      <c r="D2693" s="8" t="s">
        <v>2969</v>
      </c>
      <c r="E2693" s="8" t="s">
        <v>41</v>
      </c>
      <c r="F2693" s="8" t="s">
        <v>6333</v>
      </c>
      <c r="G2693" s="8" t="s">
        <v>2201</v>
      </c>
      <c r="H2693" s="8">
        <v>1</v>
      </c>
      <c r="I2693" s="8">
        <v>1</v>
      </c>
      <c r="J2693" s="8" t="s">
        <v>6385</v>
      </c>
      <c r="K2693" s="8" t="s">
        <v>536</v>
      </c>
      <c r="L2693" s="9">
        <v>46319</v>
      </c>
      <c r="M2693" s="8" t="s">
        <v>5864</v>
      </c>
      <c r="N2693" s="8" t="s">
        <v>5883</v>
      </c>
    </row>
    <row r="2694" spans="1:14" ht="40" customHeight="1">
      <c r="A2694" s="4" t="s">
        <v>9160</v>
      </c>
      <c r="B2694" s="4" t="s">
        <v>531</v>
      </c>
      <c r="C2694" s="4" t="s">
        <v>532</v>
      </c>
      <c r="D2694" s="4" t="s">
        <v>2969</v>
      </c>
      <c r="E2694" s="4" t="s">
        <v>41</v>
      </c>
      <c r="F2694" s="4" t="s">
        <v>6336</v>
      </c>
      <c r="G2694" s="4" t="s">
        <v>2201</v>
      </c>
      <c r="H2694" s="4">
        <v>1</v>
      </c>
      <c r="I2694" s="4">
        <v>1</v>
      </c>
      <c r="J2694" s="4" t="s">
        <v>8906</v>
      </c>
      <c r="K2694" s="4" t="s">
        <v>536</v>
      </c>
      <c r="L2694" s="6">
        <v>46319</v>
      </c>
      <c r="M2694" s="4" t="s">
        <v>5864</v>
      </c>
      <c r="N2694" s="4" t="s">
        <v>5883</v>
      </c>
    </row>
    <row r="2695" spans="1:14" ht="54" customHeight="1">
      <c r="A2695" s="8" t="s">
        <v>9161</v>
      </c>
      <c r="B2695" s="8" t="s">
        <v>531</v>
      </c>
      <c r="C2695" s="8" t="s">
        <v>532</v>
      </c>
      <c r="D2695" s="8" t="s">
        <v>2969</v>
      </c>
      <c r="E2695" s="8" t="s">
        <v>41</v>
      </c>
      <c r="F2695" s="8" t="s">
        <v>6339</v>
      </c>
      <c r="G2695" s="8" t="s">
        <v>2201</v>
      </c>
      <c r="H2695" s="8">
        <v>1</v>
      </c>
      <c r="I2695" s="8">
        <v>1</v>
      </c>
      <c r="J2695" s="8" t="s">
        <v>8908</v>
      </c>
      <c r="K2695" s="8" t="s">
        <v>536</v>
      </c>
      <c r="L2695" s="9">
        <v>46319</v>
      </c>
      <c r="M2695" s="8" t="s">
        <v>5864</v>
      </c>
      <c r="N2695" s="8" t="s">
        <v>5883</v>
      </c>
    </row>
    <row r="2696" spans="1:14" ht="68" customHeight="1">
      <c r="A2696" s="4" t="s">
        <v>9162</v>
      </c>
      <c r="B2696" s="4" t="s">
        <v>539</v>
      </c>
      <c r="C2696" s="4" t="s">
        <v>540</v>
      </c>
      <c r="D2696" s="4" t="s">
        <v>5861</v>
      </c>
      <c r="E2696" s="4" t="s">
        <v>41</v>
      </c>
      <c r="F2696" s="4" t="s">
        <v>5862</v>
      </c>
      <c r="G2696" s="4" t="s">
        <v>2217</v>
      </c>
      <c r="H2696" s="4">
        <v>1</v>
      </c>
      <c r="I2696" s="4">
        <v>1</v>
      </c>
      <c r="J2696" s="4" t="s">
        <v>9163</v>
      </c>
      <c r="K2696" s="4" t="s">
        <v>543</v>
      </c>
      <c r="L2696" s="6">
        <v>46319</v>
      </c>
      <c r="M2696" s="4" t="s">
        <v>5864</v>
      </c>
      <c r="N2696" s="4" t="s">
        <v>5865</v>
      </c>
    </row>
    <row r="2697" spans="1:14" ht="40" customHeight="1">
      <c r="A2697" s="8" t="s">
        <v>9164</v>
      </c>
      <c r="B2697" s="8" t="s">
        <v>539</v>
      </c>
      <c r="C2697" s="8" t="s">
        <v>540</v>
      </c>
      <c r="D2697" s="8" t="s">
        <v>5867</v>
      </c>
      <c r="E2697" s="8" t="s">
        <v>41</v>
      </c>
      <c r="F2697" s="8" t="s">
        <v>6248</v>
      </c>
      <c r="G2697" s="8" t="s">
        <v>2217</v>
      </c>
      <c r="H2697" s="8">
        <v>1</v>
      </c>
      <c r="I2697" s="8">
        <v>1</v>
      </c>
      <c r="J2697" s="8" t="s">
        <v>9165</v>
      </c>
      <c r="K2697" s="8" t="s">
        <v>543</v>
      </c>
      <c r="L2697" s="9">
        <v>46319</v>
      </c>
      <c r="M2697" s="8" t="s">
        <v>5864</v>
      </c>
      <c r="N2697" s="8" t="s">
        <v>5865</v>
      </c>
    </row>
    <row r="2698" spans="1:14" ht="40" customHeight="1">
      <c r="A2698" s="4" t="s">
        <v>9166</v>
      </c>
      <c r="B2698" s="4" t="s">
        <v>539</v>
      </c>
      <c r="C2698" s="4" t="s">
        <v>540</v>
      </c>
      <c r="D2698" s="4" t="s">
        <v>5867</v>
      </c>
      <c r="E2698" s="4" t="s">
        <v>41</v>
      </c>
      <c r="F2698" s="4" t="s">
        <v>6176</v>
      </c>
      <c r="G2698" s="4" t="s">
        <v>2217</v>
      </c>
      <c r="H2698" s="4">
        <v>1</v>
      </c>
      <c r="I2698" s="4">
        <v>1</v>
      </c>
      <c r="J2698" s="4" t="s">
        <v>9167</v>
      </c>
      <c r="K2698" s="4" t="s">
        <v>543</v>
      </c>
      <c r="L2698" s="6">
        <v>46319</v>
      </c>
      <c r="M2698" s="4" t="s">
        <v>5864</v>
      </c>
      <c r="N2698" s="4" t="s">
        <v>5870</v>
      </c>
    </row>
    <row r="2699" spans="1:14" ht="40" customHeight="1">
      <c r="A2699" s="8" t="s">
        <v>9168</v>
      </c>
      <c r="B2699" s="8" t="s">
        <v>539</v>
      </c>
      <c r="C2699" s="8" t="s">
        <v>540</v>
      </c>
      <c r="D2699" s="8" t="s">
        <v>5867</v>
      </c>
      <c r="E2699" s="8" t="s">
        <v>41</v>
      </c>
      <c r="F2699" s="8" t="s">
        <v>6179</v>
      </c>
      <c r="G2699" s="8" t="s">
        <v>2217</v>
      </c>
      <c r="H2699" s="8">
        <v>1</v>
      </c>
      <c r="I2699" s="8">
        <v>1</v>
      </c>
      <c r="J2699" s="8" t="s">
        <v>9169</v>
      </c>
      <c r="K2699" s="8" t="s">
        <v>543</v>
      </c>
      <c r="L2699" s="9">
        <v>46319</v>
      </c>
      <c r="M2699" s="8" t="s">
        <v>5864</v>
      </c>
      <c r="N2699" s="8" t="s">
        <v>5870</v>
      </c>
    </row>
    <row r="2700" spans="1:14" ht="40" customHeight="1">
      <c r="A2700" s="4" t="s">
        <v>9170</v>
      </c>
      <c r="B2700" s="4" t="s">
        <v>539</v>
      </c>
      <c r="C2700" s="4" t="s">
        <v>540</v>
      </c>
      <c r="D2700" s="4" t="s">
        <v>5867</v>
      </c>
      <c r="E2700" s="4" t="s">
        <v>41</v>
      </c>
      <c r="F2700" s="4" t="s">
        <v>6867</v>
      </c>
      <c r="G2700" s="4" t="s">
        <v>2217</v>
      </c>
      <c r="H2700" s="4">
        <v>1</v>
      </c>
      <c r="I2700" s="4">
        <v>1</v>
      </c>
      <c r="J2700" s="4" t="s">
        <v>9171</v>
      </c>
      <c r="K2700" s="4" t="s">
        <v>543</v>
      </c>
      <c r="L2700" s="6">
        <v>46319</v>
      </c>
      <c r="M2700" s="4" t="s">
        <v>5864</v>
      </c>
      <c r="N2700" s="4" t="s">
        <v>5870</v>
      </c>
    </row>
    <row r="2701" spans="1:14" ht="40" customHeight="1">
      <c r="A2701" s="8" t="s">
        <v>9172</v>
      </c>
      <c r="B2701" s="8" t="s">
        <v>539</v>
      </c>
      <c r="C2701" s="8" t="s">
        <v>540</v>
      </c>
      <c r="D2701" s="8" t="s">
        <v>637</v>
      </c>
      <c r="E2701" s="8" t="s">
        <v>41</v>
      </c>
      <c r="F2701" s="8" t="s">
        <v>920</v>
      </c>
      <c r="G2701" s="8" t="s">
        <v>2217</v>
      </c>
      <c r="H2701" s="8">
        <v>1</v>
      </c>
      <c r="I2701" s="8">
        <v>1</v>
      </c>
      <c r="J2701" s="8" t="s">
        <v>2215</v>
      </c>
      <c r="K2701" s="8" t="s">
        <v>543</v>
      </c>
      <c r="L2701" s="9">
        <v>46319</v>
      </c>
      <c r="M2701" s="8" t="s">
        <v>5864</v>
      </c>
      <c r="N2701" s="8" t="s">
        <v>5865</v>
      </c>
    </row>
    <row r="2702" spans="1:14" ht="40" customHeight="1">
      <c r="A2702" s="4" t="s">
        <v>9173</v>
      </c>
      <c r="B2702" s="4" t="s">
        <v>539</v>
      </c>
      <c r="C2702" s="4" t="s">
        <v>540</v>
      </c>
      <c r="D2702" s="4" t="s">
        <v>637</v>
      </c>
      <c r="E2702" s="4" t="s">
        <v>41</v>
      </c>
      <c r="F2702" s="4" t="s">
        <v>1087</v>
      </c>
      <c r="G2702" s="4" t="s">
        <v>2217</v>
      </c>
      <c r="H2702" s="4">
        <v>1</v>
      </c>
      <c r="I2702" s="4">
        <v>1</v>
      </c>
      <c r="J2702" s="4" t="s">
        <v>2219</v>
      </c>
      <c r="K2702" s="4" t="s">
        <v>543</v>
      </c>
      <c r="L2702" s="6">
        <v>46319</v>
      </c>
      <c r="M2702" s="4" t="s">
        <v>5864</v>
      </c>
      <c r="N2702" s="4" t="s">
        <v>5865</v>
      </c>
    </row>
    <row r="2703" spans="1:14" ht="40" customHeight="1">
      <c r="A2703" s="8" t="s">
        <v>9174</v>
      </c>
      <c r="B2703" s="8" t="s">
        <v>539</v>
      </c>
      <c r="C2703" s="8" t="s">
        <v>540</v>
      </c>
      <c r="D2703" s="8" t="s">
        <v>637</v>
      </c>
      <c r="E2703" s="8" t="s">
        <v>41</v>
      </c>
      <c r="F2703" s="8" t="s">
        <v>1055</v>
      </c>
      <c r="G2703" s="8" t="s">
        <v>2217</v>
      </c>
      <c r="H2703" s="8">
        <v>1</v>
      </c>
      <c r="I2703" s="8">
        <v>1</v>
      </c>
      <c r="J2703" s="8" t="s">
        <v>2222</v>
      </c>
      <c r="K2703" s="8" t="s">
        <v>543</v>
      </c>
      <c r="L2703" s="9">
        <v>46319</v>
      </c>
      <c r="M2703" s="8" t="s">
        <v>5864</v>
      </c>
      <c r="N2703" s="8" t="s">
        <v>5870</v>
      </c>
    </row>
    <row r="2704" spans="1:14" ht="40" customHeight="1">
      <c r="A2704" s="4" t="s">
        <v>9175</v>
      </c>
      <c r="B2704" s="4" t="s">
        <v>539</v>
      </c>
      <c r="C2704" s="4" t="s">
        <v>540</v>
      </c>
      <c r="D2704" s="4" t="s">
        <v>637</v>
      </c>
      <c r="E2704" s="4" t="s">
        <v>41</v>
      </c>
      <c r="F2704" s="4" t="s">
        <v>1059</v>
      </c>
      <c r="G2704" s="4" t="s">
        <v>2217</v>
      </c>
      <c r="H2704" s="4">
        <v>1</v>
      </c>
      <c r="I2704" s="4">
        <v>1</v>
      </c>
      <c r="J2704" s="4" t="s">
        <v>2225</v>
      </c>
      <c r="K2704" s="4" t="s">
        <v>543</v>
      </c>
      <c r="L2704" s="6">
        <v>46319</v>
      </c>
      <c r="M2704" s="4" t="s">
        <v>5864</v>
      </c>
      <c r="N2704" s="4" t="s">
        <v>5870</v>
      </c>
    </row>
    <row r="2705" spans="1:14" ht="40" customHeight="1">
      <c r="A2705" s="8" t="s">
        <v>9176</v>
      </c>
      <c r="B2705" s="8" t="s">
        <v>539</v>
      </c>
      <c r="C2705" s="8" t="s">
        <v>540</v>
      </c>
      <c r="D2705" s="8" t="s">
        <v>637</v>
      </c>
      <c r="E2705" s="8" t="s">
        <v>41</v>
      </c>
      <c r="F2705" s="8" t="s">
        <v>1323</v>
      </c>
      <c r="G2705" s="8" t="s">
        <v>2217</v>
      </c>
      <c r="H2705" s="8">
        <v>1</v>
      </c>
      <c r="I2705" s="8">
        <v>1</v>
      </c>
      <c r="J2705" s="8" t="s">
        <v>2228</v>
      </c>
      <c r="K2705" s="8" t="s">
        <v>543</v>
      </c>
      <c r="L2705" s="9">
        <v>46319</v>
      </c>
      <c r="M2705" s="8" t="s">
        <v>5864</v>
      </c>
      <c r="N2705" s="8" t="s">
        <v>5870</v>
      </c>
    </row>
    <row r="2706" spans="1:14" ht="40" customHeight="1">
      <c r="A2706" s="4" t="s">
        <v>9177</v>
      </c>
      <c r="B2706" s="4" t="s">
        <v>539</v>
      </c>
      <c r="C2706" s="4" t="s">
        <v>540</v>
      </c>
      <c r="D2706" s="4" t="s">
        <v>637</v>
      </c>
      <c r="E2706" s="4" t="s">
        <v>41</v>
      </c>
      <c r="F2706" s="4" t="s">
        <v>1095</v>
      </c>
      <c r="G2706" s="4" t="s">
        <v>2217</v>
      </c>
      <c r="H2706" s="4">
        <v>1</v>
      </c>
      <c r="I2706" s="4">
        <v>1</v>
      </c>
      <c r="J2706" s="4" t="s">
        <v>2231</v>
      </c>
      <c r="K2706" s="4" t="s">
        <v>543</v>
      </c>
      <c r="L2706" s="6">
        <v>46319</v>
      </c>
      <c r="M2706" s="4" t="s">
        <v>5864</v>
      </c>
      <c r="N2706" s="4" t="s">
        <v>5865</v>
      </c>
    </row>
    <row r="2707" spans="1:14" ht="40" customHeight="1">
      <c r="A2707" s="8" t="s">
        <v>9178</v>
      </c>
      <c r="B2707" s="8" t="s">
        <v>539</v>
      </c>
      <c r="C2707" s="8" t="s">
        <v>540</v>
      </c>
      <c r="D2707" s="8" t="s">
        <v>637</v>
      </c>
      <c r="E2707" s="8" t="s">
        <v>41</v>
      </c>
      <c r="F2707" s="8" t="s">
        <v>1099</v>
      </c>
      <c r="G2707" s="8" t="s">
        <v>2217</v>
      </c>
      <c r="H2707" s="8">
        <v>1</v>
      </c>
      <c r="I2707" s="8">
        <v>1</v>
      </c>
      <c r="J2707" s="8" t="s">
        <v>2234</v>
      </c>
      <c r="K2707" s="8" t="s">
        <v>543</v>
      </c>
      <c r="L2707" s="9">
        <v>46319</v>
      </c>
      <c r="M2707" s="8" t="s">
        <v>5864</v>
      </c>
      <c r="N2707" s="8" t="s">
        <v>5865</v>
      </c>
    </row>
    <row r="2708" spans="1:14" ht="40" customHeight="1">
      <c r="A2708" s="4" t="s">
        <v>9179</v>
      </c>
      <c r="B2708" s="4" t="s">
        <v>539</v>
      </c>
      <c r="C2708" s="4" t="s">
        <v>540</v>
      </c>
      <c r="D2708" s="4" t="s">
        <v>637</v>
      </c>
      <c r="E2708" s="4" t="s">
        <v>41</v>
      </c>
      <c r="F2708" s="4" t="s">
        <v>1103</v>
      </c>
      <c r="G2708" s="4" t="s">
        <v>2217</v>
      </c>
      <c r="H2708" s="4">
        <v>1</v>
      </c>
      <c r="I2708" s="4">
        <v>1</v>
      </c>
      <c r="J2708" s="4" t="s">
        <v>2237</v>
      </c>
      <c r="K2708" s="4" t="s">
        <v>543</v>
      </c>
      <c r="L2708" s="6">
        <v>46319</v>
      </c>
      <c r="M2708" s="4" t="s">
        <v>5864</v>
      </c>
      <c r="N2708" s="4" t="s">
        <v>5865</v>
      </c>
    </row>
    <row r="2709" spans="1:14" ht="40" customHeight="1">
      <c r="A2709" s="8" t="s">
        <v>9180</v>
      </c>
      <c r="B2709" s="8" t="s">
        <v>539</v>
      </c>
      <c r="C2709" s="8" t="s">
        <v>540</v>
      </c>
      <c r="D2709" s="8" t="s">
        <v>637</v>
      </c>
      <c r="E2709" s="8" t="s">
        <v>41</v>
      </c>
      <c r="F2709" s="8" t="s">
        <v>1620</v>
      </c>
      <c r="G2709" s="8" t="s">
        <v>2217</v>
      </c>
      <c r="H2709" s="8">
        <v>1</v>
      </c>
      <c r="I2709" s="8">
        <v>1</v>
      </c>
      <c r="J2709" s="8" t="s">
        <v>2240</v>
      </c>
      <c r="K2709" s="8" t="s">
        <v>543</v>
      </c>
      <c r="L2709" s="9">
        <v>46319</v>
      </c>
      <c r="M2709" s="8" t="s">
        <v>5864</v>
      </c>
      <c r="N2709" s="8" t="s">
        <v>6087</v>
      </c>
    </row>
    <row r="2710" spans="1:14" ht="40" customHeight="1">
      <c r="A2710" s="4" t="s">
        <v>9181</v>
      </c>
      <c r="B2710" s="4" t="s">
        <v>539</v>
      </c>
      <c r="C2710" s="4" t="s">
        <v>540</v>
      </c>
      <c r="D2710" s="4" t="s">
        <v>637</v>
      </c>
      <c r="E2710" s="4" t="s">
        <v>41</v>
      </c>
      <c r="F2710" s="4" t="s">
        <v>1111</v>
      </c>
      <c r="G2710" s="4" t="s">
        <v>2217</v>
      </c>
      <c r="H2710" s="4">
        <v>1</v>
      </c>
      <c r="I2710" s="4">
        <v>1</v>
      </c>
      <c r="J2710" s="4" t="s">
        <v>2243</v>
      </c>
      <c r="K2710" s="4" t="s">
        <v>543</v>
      </c>
      <c r="L2710" s="6">
        <v>46319</v>
      </c>
      <c r="M2710" s="4" t="s">
        <v>5864</v>
      </c>
      <c r="N2710" s="4" t="s">
        <v>5865</v>
      </c>
    </row>
    <row r="2711" spans="1:14" ht="40" customHeight="1">
      <c r="A2711" s="8" t="s">
        <v>5703</v>
      </c>
      <c r="B2711" s="8" t="s">
        <v>539</v>
      </c>
      <c r="C2711" s="8" t="s">
        <v>540</v>
      </c>
      <c r="D2711" s="8" t="s">
        <v>7</v>
      </c>
      <c r="E2711" s="8" t="s">
        <v>41</v>
      </c>
      <c r="F2711" s="8" t="s">
        <v>6212</v>
      </c>
      <c r="G2711" s="8" t="s">
        <v>2217</v>
      </c>
      <c r="H2711" s="8">
        <v>1</v>
      </c>
      <c r="I2711" s="8">
        <v>1</v>
      </c>
      <c r="J2711" s="8" t="s">
        <v>5704</v>
      </c>
      <c r="K2711" s="8" t="s">
        <v>543</v>
      </c>
      <c r="L2711" s="9">
        <v>46319</v>
      </c>
      <c r="M2711" s="8" t="s">
        <v>5864</v>
      </c>
      <c r="N2711" s="8" t="s">
        <v>5870</v>
      </c>
    </row>
    <row r="2712" spans="1:14" ht="40" customHeight="1">
      <c r="A2712" s="4" t="s">
        <v>5705</v>
      </c>
      <c r="B2712" s="4" t="s">
        <v>539</v>
      </c>
      <c r="C2712" s="4" t="s">
        <v>540</v>
      </c>
      <c r="D2712" s="4" t="s">
        <v>7</v>
      </c>
      <c r="E2712" s="4" t="s">
        <v>41</v>
      </c>
      <c r="F2712" s="4" t="s">
        <v>6213</v>
      </c>
      <c r="G2712" s="4" t="s">
        <v>2217</v>
      </c>
      <c r="H2712" s="4">
        <v>1</v>
      </c>
      <c r="I2712" s="4">
        <v>1</v>
      </c>
      <c r="J2712" s="4" t="s">
        <v>5706</v>
      </c>
      <c r="K2712" s="4" t="s">
        <v>543</v>
      </c>
      <c r="L2712" s="6">
        <v>46319</v>
      </c>
      <c r="M2712" s="4" t="s">
        <v>5864</v>
      </c>
      <c r="N2712" s="4" t="s">
        <v>5870</v>
      </c>
    </row>
    <row r="2713" spans="1:14" ht="40" customHeight="1">
      <c r="A2713" s="8" t="s">
        <v>5707</v>
      </c>
      <c r="B2713" s="8" t="s">
        <v>539</v>
      </c>
      <c r="C2713" s="8" t="s">
        <v>540</v>
      </c>
      <c r="D2713" s="8" t="s">
        <v>7</v>
      </c>
      <c r="E2713" s="8" t="s">
        <v>41</v>
      </c>
      <c r="F2713" s="8" t="s">
        <v>6214</v>
      </c>
      <c r="G2713" s="8" t="s">
        <v>2217</v>
      </c>
      <c r="H2713" s="8">
        <v>1</v>
      </c>
      <c r="I2713" s="8">
        <v>1</v>
      </c>
      <c r="J2713" s="8" t="s">
        <v>3487</v>
      </c>
      <c r="K2713" s="8" t="s">
        <v>543</v>
      </c>
      <c r="L2713" s="9">
        <v>46319</v>
      </c>
      <c r="M2713" s="8" t="s">
        <v>5864</v>
      </c>
      <c r="N2713" s="8" t="s">
        <v>5870</v>
      </c>
    </row>
    <row r="2714" spans="1:14" ht="40" customHeight="1">
      <c r="A2714" s="4" t="s">
        <v>5708</v>
      </c>
      <c r="B2714" s="4" t="s">
        <v>539</v>
      </c>
      <c r="C2714" s="4" t="s">
        <v>540</v>
      </c>
      <c r="D2714" s="4" t="s">
        <v>7</v>
      </c>
      <c r="E2714" s="4" t="s">
        <v>41</v>
      </c>
      <c r="F2714" s="4" t="s">
        <v>6215</v>
      </c>
      <c r="G2714" s="4" t="s">
        <v>2217</v>
      </c>
      <c r="H2714" s="4">
        <v>1</v>
      </c>
      <c r="I2714" s="4">
        <v>1</v>
      </c>
      <c r="J2714" s="4" t="s">
        <v>5709</v>
      </c>
      <c r="K2714" s="4" t="s">
        <v>543</v>
      </c>
      <c r="L2714" s="6">
        <v>46319</v>
      </c>
      <c r="M2714" s="4" t="s">
        <v>5864</v>
      </c>
      <c r="N2714" s="4" t="s">
        <v>5870</v>
      </c>
    </row>
    <row r="2715" spans="1:14" ht="40" customHeight="1">
      <c r="A2715" s="8" t="s">
        <v>5710</v>
      </c>
      <c r="B2715" s="8" t="s">
        <v>539</v>
      </c>
      <c r="C2715" s="8" t="s">
        <v>540</v>
      </c>
      <c r="D2715" s="8" t="s">
        <v>7</v>
      </c>
      <c r="E2715" s="8" t="s">
        <v>41</v>
      </c>
      <c r="F2715" s="8" t="s">
        <v>6216</v>
      </c>
      <c r="G2715" s="8" t="s">
        <v>2217</v>
      </c>
      <c r="H2715" s="8">
        <v>1</v>
      </c>
      <c r="I2715" s="8">
        <v>1</v>
      </c>
      <c r="J2715" s="8" t="s">
        <v>5711</v>
      </c>
      <c r="K2715" s="8" t="s">
        <v>543</v>
      </c>
      <c r="L2715" s="9">
        <v>46319</v>
      </c>
      <c r="M2715" s="8" t="s">
        <v>5864</v>
      </c>
      <c r="N2715" s="8" t="s">
        <v>5870</v>
      </c>
    </row>
    <row r="2716" spans="1:14" ht="40" customHeight="1">
      <c r="A2716" s="4" t="s">
        <v>5712</v>
      </c>
      <c r="B2716" s="4" t="s">
        <v>539</v>
      </c>
      <c r="C2716" s="4" t="s">
        <v>540</v>
      </c>
      <c r="D2716" s="4" t="s">
        <v>7</v>
      </c>
      <c r="E2716" s="4" t="s">
        <v>41</v>
      </c>
      <c r="F2716" s="4" t="s">
        <v>6284</v>
      </c>
      <c r="G2716" s="4" t="s">
        <v>2217</v>
      </c>
      <c r="H2716" s="4">
        <v>1</v>
      </c>
      <c r="I2716" s="4">
        <v>1</v>
      </c>
      <c r="J2716" s="4" t="s">
        <v>5713</v>
      </c>
      <c r="K2716" s="4" t="s">
        <v>543</v>
      </c>
      <c r="L2716" s="6">
        <v>46319</v>
      </c>
      <c r="M2716" s="4" t="s">
        <v>5864</v>
      </c>
      <c r="N2716" s="4" t="s">
        <v>5870</v>
      </c>
    </row>
    <row r="2717" spans="1:14" ht="54" customHeight="1">
      <c r="A2717" s="8" t="s">
        <v>4777</v>
      </c>
      <c r="B2717" s="8" t="s">
        <v>539</v>
      </c>
      <c r="C2717" s="8" t="s">
        <v>540</v>
      </c>
      <c r="D2717" s="8" t="s">
        <v>5879</v>
      </c>
      <c r="E2717" s="8" t="s">
        <v>41</v>
      </c>
      <c r="F2717" s="8" t="s">
        <v>3449</v>
      </c>
      <c r="G2717" s="8" t="s">
        <v>2217</v>
      </c>
      <c r="H2717" s="8">
        <v>1</v>
      </c>
      <c r="I2717" s="8">
        <v>1</v>
      </c>
      <c r="J2717" s="8" t="s">
        <v>4778</v>
      </c>
      <c r="K2717" s="8" t="s">
        <v>543</v>
      </c>
      <c r="L2717" s="9">
        <v>46319</v>
      </c>
      <c r="M2717" s="8" t="s">
        <v>5864</v>
      </c>
      <c r="N2717" s="8" t="s">
        <v>5865</v>
      </c>
    </row>
    <row r="2718" spans="1:14" ht="40" customHeight="1">
      <c r="A2718" s="4" t="s">
        <v>4779</v>
      </c>
      <c r="B2718" s="4" t="s">
        <v>539</v>
      </c>
      <c r="C2718" s="4" t="s">
        <v>540</v>
      </c>
      <c r="D2718" s="4" t="s">
        <v>5879</v>
      </c>
      <c r="E2718" s="4" t="s">
        <v>41</v>
      </c>
      <c r="F2718" s="4" t="s">
        <v>3454</v>
      </c>
      <c r="G2718" s="4" t="s">
        <v>2217</v>
      </c>
      <c r="H2718" s="4">
        <v>1</v>
      </c>
      <c r="I2718" s="4">
        <v>1</v>
      </c>
      <c r="J2718" s="4" t="s">
        <v>4780</v>
      </c>
      <c r="K2718" s="4" t="s">
        <v>543</v>
      </c>
      <c r="L2718" s="6">
        <v>46319</v>
      </c>
      <c r="M2718" s="4" t="s">
        <v>5864</v>
      </c>
      <c r="N2718" s="4" t="s">
        <v>5870</v>
      </c>
    </row>
    <row r="2719" spans="1:14" ht="40" customHeight="1">
      <c r="A2719" s="8" t="s">
        <v>4781</v>
      </c>
      <c r="B2719" s="8" t="s">
        <v>539</v>
      </c>
      <c r="C2719" s="8" t="s">
        <v>540</v>
      </c>
      <c r="D2719" s="8" t="s">
        <v>5879</v>
      </c>
      <c r="E2719" s="8" t="s">
        <v>41</v>
      </c>
      <c r="F2719" s="8" t="s">
        <v>3519</v>
      </c>
      <c r="G2719" s="8" t="s">
        <v>2217</v>
      </c>
      <c r="H2719" s="8">
        <v>1</v>
      </c>
      <c r="I2719" s="8">
        <v>1</v>
      </c>
      <c r="J2719" s="8" t="s">
        <v>4782</v>
      </c>
      <c r="K2719" s="8" t="s">
        <v>543</v>
      </c>
      <c r="L2719" s="9">
        <v>46319</v>
      </c>
      <c r="M2719" s="8" t="s">
        <v>5864</v>
      </c>
      <c r="N2719" s="8" t="s">
        <v>5870</v>
      </c>
    </row>
    <row r="2720" spans="1:14" ht="40" customHeight="1">
      <c r="A2720" s="4" t="s">
        <v>4783</v>
      </c>
      <c r="B2720" s="4" t="s">
        <v>539</v>
      </c>
      <c r="C2720" s="4" t="s">
        <v>540</v>
      </c>
      <c r="D2720" s="4" t="s">
        <v>5879</v>
      </c>
      <c r="E2720" s="4" t="s">
        <v>41</v>
      </c>
      <c r="F2720" s="4" t="s">
        <v>3522</v>
      </c>
      <c r="G2720" s="4" t="s">
        <v>2217</v>
      </c>
      <c r="H2720" s="4">
        <v>1</v>
      </c>
      <c r="I2720" s="4">
        <v>1</v>
      </c>
      <c r="J2720" s="4" t="s">
        <v>4784</v>
      </c>
      <c r="K2720" s="4" t="s">
        <v>543</v>
      </c>
      <c r="L2720" s="6">
        <v>46319</v>
      </c>
      <c r="M2720" s="4" t="s">
        <v>5864</v>
      </c>
      <c r="N2720" s="4" t="s">
        <v>5870</v>
      </c>
    </row>
    <row r="2721" spans="1:14" ht="54" customHeight="1">
      <c r="A2721" s="8" t="s">
        <v>4785</v>
      </c>
      <c r="B2721" s="8" t="s">
        <v>539</v>
      </c>
      <c r="C2721" s="8" t="s">
        <v>540</v>
      </c>
      <c r="D2721" s="8" t="s">
        <v>5879</v>
      </c>
      <c r="E2721" s="8" t="s">
        <v>41</v>
      </c>
      <c r="F2721" s="8" t="s">
        <v>3469</v>
      </c>
      <c r="G2721" s="8" t="s">
        <v>2217</v>
      </c>
      <c r="H2721" s="8">
        <v>1</v>
      </c>
      <c r="I2721" s="8">
        <v>1</v>
      </c>
      <c r="J2721" s="8" t="s">
        <v>4752</v>
      </c>
      <c r="K2721" s="8" t="s">
        <v>543</v>
      </c>
      <c r="L2721" s="9">
        <v>46319</v>
      </c>
      <c r="M2721" s="8" t="s">
        <v>5864</v>
      </c>
      <c r="N2721" s="8" t="s">
        <v>5865</v>
      </c>
    </row>
    <row r="2722" spans="1:14" ht="40" customHeight="1">
      <c r="A2722" s="4" t="s">
        <v>4786</v>
      </c>
      <c r="B2722" s="4" t="s">
        <v>539</v>
      </c>
      <c r="C2722" s="4" t="s">
        <v>540</v>
      </c>
      <c r="D2722" s="4" t="s">
        <v>5879</v>
      </c>
      <c r="E2722" s="4" t="s">
        <v>41</v>
      </c>
      <c r="F2722" s="4" t="s">
        <v>3472</v>
      </c>
      <c r="G2722" s="4" t="s">
        <v>2217</v>
      </c>
      <c r="H2722" s="4">
        <v>1</v>
      </c>
      <c r="I2722" s="4">
        <v>1</v>
      </c>
      <c r="J2722" s="4" t="s">
        <v>4787</v>
      </c>
      <c r="K2722" s="4" t="s">
        <v>543</v>
      </c>
      <c r="L2722" s="6">
        <v>46319</v>
      </c>
      <c r="M2722" s="4" t="s">
        <v>5864</v>
      </c>
      <c r="N2722" s="4" t="s">
        <v>5865</v>
      </c>
    </row>
    <row r="2723" spans="1:14" ht="54" customHeight="1">
      <c r="A2723" s="8" t="s">
        <v>4788</v>
      </c>
      <c r="B2723" s="8" t="s">
        <v>539</v>
      </c>
      <c r="C2723" s="8" t="s">
        <v>540</v>
      </c>
      <c r="D2723" s="8" t="s">
        <v>5879</v>
      </c>
      <c r="E2723" s="8" t="s">
        <v>41</v>
      </c>
      <c r="F2723" s="8" t="s">
        <v>3475</v>
      </c>
      <c r="G2723" s="8" t="s">
        <v>2217</v>
      </c>
      <c r="H2723" s="8">
        <v>1</v>
      </c>
      <c r="I2723" s="8">
        <v>1</v>
      </c>
      <c r="J2723" s="8" t="s">
        <v>4756</v>
      </c>
      <c r="K2723" s="8" t="s">
        <v>543</v>
      </c>
      <c r="L2723" s="9">
        <v>46319</v>
      </c>
      <c r="M2723" s="8" t="s">
        <v>5864</v>
      </c>
      <c r="N2723" s="8" t="s">
        <v>5865</v>
      </c>
    </row>
    <row r="2724" spans="1:14" ht="40" customHeight="1">
      <c r="A2724" s="4" t="s">
        <v>4789</v>
      </c>
      <c r="B2724" s="4" t="s">
        <v>539</v>
      </c>
      <c r="C2724" s="4" t="s">
        <v>540</v>
      </c>
      <c r="D2724" s="4" t="s">
        <v>5879</v>
      </c>
      <c r="E2724" s="4" t="s">
        <v>41</v>
      </c>
      <c r="F2724" s="4" t="s">
        <v>3478</v>
      </c>
      <c r="G2724" s="4" t="s">
        <v>2217</v>
      </c>
      <c r="H2724" s="4">
        <v>1</v>
      </c>
      <c r="I2724" s="4">
        <v>1</v>
      </c>
      <c r="J2724" s="4" t="s">
        <v>4758</v>
      </c>
      <c r="K2724" s="4" t="s">
        <v>543</v>
      </c>
      <c r="L2724" s="6">
        <v>46319</v>
      </c>
      <c r="M2724" s="4" t="s">
        <v>5864</v>
      </c>
      <c r="N2724" s="4" t="s">
        <v>5865</v>
      </c>
    </row>
    <row r="2725" spans="1:14" ht="68" customHeight="1">
      <c r="A2725" s="8" t="s">
        <v>9182</v>
      </c>
      <c r="B2725" s="8" t="s">
        <v>539</v>
      </c>
      <c r="C2725" s="8" t="s">
        <v>540</v>
      </c>
      <c r="D2725" s="8" t="s">
        <v>2969</v>
      </c>
      <c r="E2725" s="8" t="s">
        <v>41</v>
      </c>
      <c r="F2725" s="8" t="s">
        <v>5881</v>
      </c>
      <c r="G2725" s="8" t="s">
        <v>2217</v>
      </c>
      <c r="H2725" s="8">
        <v>1</v>
      </c>
      <c r="I2725" s="8">
        <v>1</v>
      </c>
      <c r="J2725" s="8" t="s">
        <v>9183</v>
      </c>
      <c r="K2725" s="8" t="s">
        <v>543</v>
      </c>
      <c r="L2725" s="9">
        <v>46319</v>
      </c>
      <c r="M2725" s="8" t="s">
        <v>5864</v>
      </c>
      <c r="N2725" s="8" t="s">
        <v>5883</v>
      </c>
    </row>
    <row r="2726" spans="1:14" ht="54" customHeight="1">
      <c r="A2726" s="4" t="s">
        <v>9184</v>
      </c>
      <c r="B2726" s="4" t="s">
        <v>539</v>
      </c>
      <c r="C2726" s="4" t="s">
        <v>540</v>
      </c>
      <c r="D2726" s="4" t="s">
        <v>2969</v>
      </c>
      <c r="E2726" s="4" t="s">
        <v>41</v>
      </c>
      <c r="F2726" s="4" t="s">
        <v>5885</v>
      </c>
      <c r="G2726" s="4" t="s">
        <v>2217</v>
      </c>
      <c r="H2726" s="4">
        <v>1</v>
      </c>
      <c r="I2726" s="4">
        <v>1</v>
      </c>
      <c r="J2726" s="4" t="s">
        <v>9185</v>
      </c>
      <c r="K2726" s="4" t="s">
        <v>543</v>
      </c>
      <c r="L2726" s="6">
        <v>46319</v>
      </c>
      <c r="M2726" s="4" t="s">
        <v>5864</v>
      </c>
      <c r="N2726" s="4" t="s">
        <v>5883</v>
      </c>
    </row>
    <row r="2727" spans="1:14" ht="54" customHeight="1">
      <c r="A2727" s="8" t="s">
        <v>9186</v>
      </c>
      <c r="B2727" s="8" t="s">
        <v>539</v>
      </c>
      <c r="C2727" s="8" t="s">
        <v>540</v>
      </c>
      <c r="D2727" s="8" t="s">
        <v>2969</v>
      </c>
      <c r="E2727" s="8" t="s">
        <v>41</v>
      </c>
      <c r="F2727" s="8" t="s">
        <v>5888</v>
      </c>
      <c r="G2727" s="8" t="s">
        <v>2217</v>
      </c>
      <c r="H2727" s="8">
        <v>1</v>
      </c>
      <c r="I2727" s="8">
        <v>1</v>
      </c>
      <c r="J2727" s="8" t="s">
        <v>9187</v>
      </c>
      <c r="K2727" s="8" t="s">
        <v>543</v>
      </c>
      <c r="L2727" s="9">
        <v>46319</v>
      </c>
      <c r="M2727" s="8" t="s">
        <v>5864</v>
      </c>
      <c r="N2727" s="8" t="s">
        <v>5883</v>
      </c>
    </row>
    <row r="2728" spans="1:14" ht="68" customHeight="1">
      <c r="A2728" s="4" t="s">
        <v>9188</v>
      </c>
      <c r="B2728" s="4" t="s">
        <v>539</v>
      </c>
      <c r="C2728" s="4" t="s">
        <v>540</v>
      </c>
      <c r="D2728" s="4" t="s">
        <v>2969</v>
      </c>
      <c r="E2728" s="4" t="s">
        <v>41</v>
      </c>
      <c r="F2728" s="4" t="s">
        <v>5891</v>
      </c>
      <c r="G2728" s="4" t="s">
        <v>2217</v>
      </c>
      <c r="H2728" s="4">
        <v>1</v>
      </c>
      <c r="I2728" s="4">
        <v>1</v>
      </c>
      <c r="J2728" s="4" t="s">
        <v>9189</v>
      </c>
      <c r="K2728" s="4" t="s">
        <v>543</v>
      </c>
      <c r="L2728" s="6">
        <v>46319</v>
      </c>
      <c r="M2728" s="4" t="s">
        <v>5864</v>
      </c>
      <c r="N2728" s="4" t="s">
        <v>5883</v>
      </c>
    </row>
    <row r="2729" spans="1:14" ht="54" customHeight="1">
      <c r="A2729" s="8" t="s">
        <v>9190</v>
      </c>
      <c r="B2729" s="8" t="s">
        <v>539</v>
      </c>
      <c r="C2729" s="8" t="s">
        <v>540</v>
      </c>
      <c r="D2729" s="8" t="s">
        <v>2969</v>
      </c>
      <c r="E2729" s="8" t="s">
        <v>41</v>
      </c>
      <c r="F2729" s="8" t="s">
        <v>5894</v>
      </c>
      <c r="G2729" s="8" t="s">
        <v>2217</v>
      </c>
      <c r="H2729" s="8">
        <v>1</v>
      </c>
      <c r="I2729" s="8">
        <v>1</v>
      </c>
      <c r="J2729" s="8" t="s">
        <v>9191</v>
      </c>
      <c r="K2729" s="8" t="s">
        <v>543</v>
      </c>
      <c r="L2729" s="9">
        <v>46319</v>
      </c>
      <c r="M2729" s="8" t="s">
        <v>5864</v>
      </c>
      <c r="N2729" s="8" t="s">
        <v>5883</v>
      </c>
    </row>
    <row r="2730" spans="1:14" ht="68" customHeight="1">
      <c r="A2730" s="4" t="s">
        <v>9192</v>
      </c>
      <c r="B2730" s="4" t="s">
        <v>539</v>
      </c>
      <c r="C2730" s="4" t="s">
        <v>540</v>
      </c>
      <c r="D2730" s="4" t="s">
        <v>2969</v>
      </c>
      <c r="E2730" s="4" t="s">
        <v>41</v>
      </c>
      <c r="F2730" s="4" t="s">
        <v>5897</v>
      </c>
      <c r="G2730" s="4" t="s">
        <v>2217</v>
      </c>
      <c r="H2730" s="4">
        <v>1</v>
      </c>
      <c r="I2730" s="4">
        <v>1</v>
      </c>
      <c r="J2730" s="4" t="s">
        <v>9193</v>
      </c>
      <c r="K2730" s="4" t="s">
        <v>543</v>
      </c>
      <c r="L2730" s="6">
        <v>46319</v>
      </c>
      <c r="M2730" s="4" t="s">
        <v>5864</v>
      </c>
      <c r="N2730" s="4" t="s">
        <v>5883</v>
      </c>
    </row>
    <row r="2731" spans="1:14" ht="40" customHeight="1">
      <c r="A2731" s="8" t="s">
        <v>9194</v>
      </c>
      <c r="B2731" s="8" t="s">
        <v>539</v>
      </c>
      <c r="C2731" s="8" t="s">
        <v>540</v>
      </c>
      <c r="D2731" s="8" t="s">
        <v>2969</v>
      </c>
      <c r="E2731" s="8" t="s">
        <v>41</v>
      </c>
      <c r="F2731" s="8" t="s">
        <v>5900</v>
      </c>
      <c r="G2731" s="8" t="s">
        <v>2217</v>
      </c>
      <c r="H2731" s="8">
        <v>1</v>
      </c>
      <c r="I2731" s="8">
        <v>1</v>
      </c>
      <c r="J2731" s="8" t="s">
        <v>9195</v>
      </c>
      <c r="K2731" s="8" t="s">
        <v>543</v>
      </c>
      <c r="L2731" s="9">
        <v>46319</v>
      </c>
      <c r="M2731" s="8" t="s">
        <v>5864</v>
      </c>
      <c r="N2731" s="8" t="s">
        <v>5883</v>
      </c>
    </row>
    <row r="2732" spans="1:14" ht="54" customHeight="1">
      <c r="A2732" s="4" t="s">
        <v>9196</v>
      </c>
      <c r="B2732" s="4" t="s">
        <v>539</v>
      </c>
      <c r="C2732" s="4" t="s">
        <v>540</v>
      </c>
      <c r="D2732" s="4" t="s">
        <v>2969</v>
      </c>
      <c r="E2732" s="4" t="s">
        <v>41</v>
      </c>
      <c r="F2732" s="4" t="s">
        <v>5903</v>
      </c>
      <c r="G2732" s="4" t="s">
        <v>2217</v>
      </c>
      <c r="H2732" s="4">
        <v>1</v>
      </c>
      <c r="I2732" s="4">
        <v>1</v>
      </c>
      <c r="J2732" s="4" t="s">
        <v>9197</v>
      </c>
      <c r="K2732" s="4" t="s">
        <v>543</v>
      </c>
      <c r="L2732" s="6">
        <v>46319</v>
      </c>
      <c r="M2732" s="4" t="s">
        <v>5864</v>
      </c>
      <c r="N2732" s="4" t="s">
        <v>5883</v>
      </c>
    </row>
    <row r="2733" spans="1:14" ht="40" customHeight="1">
      <c r="A2733" s="8" t="s">
        <v>9198</v>
      </c>
      <c r="B2733" s="8" t="s">
        <v>539</v>
      </c>
      <c r="C2733" s="8" t="s">
        <v>540</v>
      </c>
      <c r="D2733" s="8" t="s">
        <v>2969</v>
      </c>
      <c r="E2733" s="8" t="s">
        <v>41</v>
      </c>
      <c r="F2733" s="8" t="s">
        <v>5906</v>
      </c>
      <c r="G2733" s="8" t="s">
        <v>2217</v>
      </c>
      <c r="H2733" s="8">
        <v>1</v>
      </c>
      <c r="I2733" s="8">
        <v>1</v>
      </c>
      <c r="J2733" s="8" t="s">
        <v>9199</v>
      </c>
      <c r="K2733" s="8" t="s">
        <v>543</v>
      </c>
      <c r="L2733" s="9">
        <v>46319</v>
      </c>
      <c r="M2733" s="8" t="s">
        <v>5864</v>
      </c>
      <c r="N2733" s="8" t="s">
        <v>5883</v>
      </c>
    </row>
    <row r="2734" spans="1:14" ht="54" customHeight="1">
      <c r="A2734" s="4" t="s">
        <v>9200</v>
      </c>
      <c r="B2734" s="4" t="s">
        <v>539</v>
      </c>
      <c r="C2734" s="4" t="s">
        <v>540</v>
      </c>
      <c r="D2734" s="4" t="s">
        <v>2969</v>
      </c>
      <c r="E2734" s="4" t="s">
        <v>41</v>
      </c>
      <c r="F2734" s="4" t="s">
        <v>5909</v>
      </c>
      <c r="G2734" s="4" t="s">
        <v>2217</v>
      </c>
      <c r="H2734" s="4">
        <v>1</v>
      </c>
      <c r="I2734" s="4">
        <v>1</v>
      </c>
      <c r="J2734" s="4" t="s">
        <v>9201</v>
      </c>
      <c r="K2734" s="4" t="s">
        <v>543</v>
      </c>
      <c r="L2734" s="6">
        <v>46319</v>
      </c>
      <c r="M2734" s="4" t="s">
        <v>5864</v>
      </c>
      <c r="N2734" s="4" t="s">
        <v>5883</v>
      </c>
    </row>
    <row r="2735" spans="1:14" ht="40" customHeight="1">
      <c r="A2735" s="8" t="s">
        <v>9202</v>
      </c>
      <c r="B2735" s="8" t="s">
        <v>539</v>
      </c>
      <c r="C2735" s="8" t="s">
        <v>540</v>
      </c>
      <c r="D2735" s="8" t="s">
        <v>2969</v>
      </c>
      <c r="E2735" s="8" t="s">
        <v>41</v>
      </c>
      <c r="F2735" s="8" t="s">
        <v>5912</v>
      </c>
      <c r="G2735" s="8" t="s">
        <v>2217</v>
      </c>
      <c r="H2735" s="8">
        <v>1</v>
      </c>
      <c r="I2735" s="8">
        <v>1</v>
      </c>
      <c r="J2735" s="8" t="s">
        <v>9203</v>
      </c>
      <c r="K2735" s="8" t="s">
        <v>543</v>
      </c>
      <c r="L2735" s="9">
        <v>46319</v>
      </c>
      <c r="M2735" s="8" t="s">
        <v>5864</v>
      </c>
      <c r="N2735" s="8" t="s">
        <v>5883</v>
      </c>
    </row>
    <row r="2736" spans="1:14" ht="40" customHeight="1">
      <c r="A2736" s="4" t="s">
        <v>9204</v>
      </c>
      <c r="B2736" s="4" t="s">
        <v>546</v>
      </c>
      <c r="C2736" s="4" t="s">
        <v>547</v>
      </c>
      <c r="D2736" s="4" t="s">
        <v>5861</v>
      </c>
      <c r="E2736" s="4" t="s">
        <v>41</v>
      </c>
      <c r="F2736" s="4" t="s">
        <v>5862</v>
      </c>
      <c r="G2736" s="4" t="s">
        <v>2249</v>
      </c>
      <c r="H2736" s="4">
        <v>1</v>
      </c>
      <c r="I2736" s="4">
        <v>1</v>
      </c>
      <c r="J2736" s="4" t="s">
        <v>9205</v>
      </c>
      <c r="K2736" s="4" t="s">
        <v>551</v>
      </c>
      <c r="L2736" s="6">
        <v>46319</v>
      </c>
      <c r="M2736" s="4" t="s">
        <v>5864</v>
      </c>
      <c r="N2736" s="4" t="s">
        <v>5865</v>
      </c>
    </row>
    <row r="2737" spans="1:14" ht="40" customHeight="1">
      <c r="A2737" s="8" t="s">
        <v>9206</v>
      </c>
      <c r="B2737" s="8" t="s">
        <v>546</v>
      </c>
      <c r="C2737" s="8" t="s">
        <v>547</v>
      </c>
      <c r="D2737" s="8" t="s">
        <v>5861</v>
      </c>
      <c r="E2737" s="8" t="s">
        <v>41</v>
      </c>
      <c r="F2737" s="8" t="s">
        <v>5918</v>
      </c>
      <c r="G2737" s="8" t="s">
        <v>2249</v>
      </c>
      <c r="H2737" s="8">
        <v>1</v>
      </c>
      <c r="I2737" s="8">
        <v>1</v>
      </c>
      <c r="J2737" s="8" t="s">
        <v>9207</v>
      </c>
      <c r="K2737" s="8" t="s">
        <v>551</v>
      </c>
      <c r="L2737" s="9">
        <v>46319</v>
      </c>
      <c r="M2737" s="8" t="s">
        <v>5864</v>
      </c>
      <c r="N2737" s="8" t="s">
        <v>5865</v>
      </c>
    </row>
    <row r="2738" spans="1:14" ht="40" customHeight="1">
      <c r="A2738" s="4" t="s">
        <v>9208</v>
      </c>
      <c r="B2738" s="4" t="s">
        <v>546</v>
      </c>
      <c r="C2738" s="4" t="s">
        <v>547</v>
      </c>
      <c r="D2738" s="4" t="s">
        <v>5861</v>
      </c>
      <c r="E2738" s="4" t="s">
        <v>41</v>
      </c>
      <c r="F2738" s="4" t="s">
        <v>5920</v>
      </c>
      <c r="G2738" s="4" t="s">
        <v>2249</v>
      </c>
      <c r="H2738" s="4">
        <v>1</v>
      </c>
      <c r="I2738" s="4">
        <v>1</v>
      </c>
      <c r="J2738" s="4" t="s">
        <v>9209</v>
      </c>
      <c r="K2738" s="4" t="s">
        <v>551</v>
      </c>
      <c r="L2738" s="6">
        <v>46319</v>
      </c>
      <c r="M2738" s="4" t="s">
        <v>5864</v>
      </c>
      <c r="N2738" s="4" t="s">
        <v>5865</v>
      </c>
    </row>
    <row r="2739" spans="1:14" ht="40" customHeight="1">
      <c r="A2739" s="8" t="s">
        <v>9210</v>
      </c>
      <c r="B2739" s="8" t="s">
        <v>546</v>
      </c>
      <c r="C2739" s="8" t="s">
        <v>547</v>
      </c>
      <c r="D2739" s="8" t="s">
        <v>5867</v>
      </c>
      <c r="E2739" s="8" t="s">
        <v>41</v>
      </c>
      <c r="F2739" s="8" t="s">
        <v>6248</v>
      </c>
      <c r="G2739" s="8" t="s">
        <v>2249</v>
      </c>
      <c r="H2739" s="8">
        <v>1</v>
      </c>
      <c r="I2739" s="8">
        <v>1</v>
      </c>
      <c r="J2739" s="8" t="s">
        <v>9211</v>
      </c>
      <c r="K2739" s="8" t="s">
        <v>551</v>
      </c>
      <c r="L2739" s="9">
        <v>46319</v>
      </c>
      <c r="M2739" s="8" t="s">
        <v>5864</v>
      </c>
      <c r="N2739" s="8" t="s">
        <v>5865</v>
      </c>
    </row>
    <row r="2740" spans="1:14" ht="40" customHeight="1">
      <c r="A2740" s="4" t="s">
        <v>9212</v>
      </c>
      <c r="B2740" s="4" t="s">
        <v>546</v>
      </c>
      <c r="C2740" s="4" t="s">
        <v>547</v>
      </c>
      <c r="D2740" s="4" t="s">
        <v>5867</v>
      </c>
      <c r="E2740" s="4" t="s">
        <v>41</v>
      </c>
      <c r="F2740" s="4" t="s">
        <v>6142</v>
      </c>
      <c r="G2740" s="4" t="s">
        <v>2249</v>
      </c>
      <c r="H2740" s="4">
        <v>1</v>
      </c>
      <c r="I2740" s="4">
        <v>1</v>
      </c>
      <c r="J2740" s="4" t="s">
        <v>9213</v>
      </c>
      <c r="K2740" s="4" t="s">
        <v>551</v>
      </c>
      <c r="L2740" s="6">
        <v>46319</v>
      </c>
      <c r="M2740" s="4" t="s">
        <v>5864</v>
      </c>
      <c r="N2740" s="4" t="s">
        <v>5865</v>
      </c>
    </row>
    <row r="2741" spans="1:14" ht="40" customHeight="1">
      <c r="A2741" s="8" t="s">
        <v>9214</v>
      </c>
      <c r="B2741" s="8" t="s">
        <v>546</v>
      </c>
      <c r="C2741" s="8" t="s">
        <v>547</v>
      </c>
      <c r="D2741" s="8" t="s">
        <v>5867</v>
      </c>
      <c r="E2741" s="8" t="s">
        <v>41</v>
      </c>
      <c r="F2741" s="8" t="s">
        <v>6391</v>
      </c>
      <c r="G2741" s="8" t="s">
        <v>2249</v>
      </c>
      <c r="H2741" s="8">
        <v>1</v>
      </c>
      <c r="I2741" s="8">
        <v>1</v>
      </c>
      <c r="J2741" s="8" t="s">
        <v>9215</v>
      </c>
      <c r="K2741" s="8" t="s">
        <v>551</v>
      </c>
      <c r="L2741" s="9">
        <v>46319</v>
      </c>
      <c r="M2741" s="8" t="s">
        <v>5864</v>
      </c>
      <c r="N2741" s="8" t="s">
        <v>5865</v>
      </c>
    </row>
    <row r="2742" spans="1:14" ht="40" customHeight="1">
      <c r="A2742" s="4" t="s">
        <v>9216</v>
      </c>
      <c r="B2742" s="4" t="s">
        <v>546</v>
      </c>
      <c r="C2742" s="4" t="s">
        <v>547</v>
      </c>
      <c r="D2742" s="4" t="s">
        <v>5867</v>
      </c>
      <c r="E2742" s="4" t="s">
        <v>41</v>
      </c>
      <c r="F2742" s="4" t="s">
        <v>6765</v>
      </c>
      <c r="G2742" s="4" t="s">
        <v>2249</v>
      </c>
      <c r="H2742" s="4">
        <v>1</v>
      </c>
      <c r="I2742" s="4">
        <v>1</v>
      </c>
      <c r="J2742" s="4" t="s">
        <v>9217</v>
      </c>
      <c r="K2742" s="4" t="s">
        <v>551</v>
      </c>
      <c r="L2742" s="6">
        <v>46319</v>
      </c>
      <c r="M2742" s="4" t="s">
        <v>5864</v>
      </c>
      <c r="N2742" s="4" t="s">
        <v>5865</v>
      </c>
    </row>
    <row r="2743" spans="1:14" ht="40" customHeight="1">
      <c r="A2743" s="8" t="s">
        <v>9218</v>
      </c>
      <c r="B2743" s="8" t="s">
        <v>546</v>
      </c>
      <c r="C2743" s="8" t="s">
        <v>547</v>
      </c>
      <c r="D2743" s="8" t="s">
        <v>5867</v>
      </c>
      <c r="E2743" s="8" t="s">
        <v>41</v>
      </c>
      <c r="F2743" s="8" t="s">
        <v>6394</v>
      </c>
      <c r="G2743" s="8" t="s">
        <v>2249</v>
      </c>
      <c r="H2743" s="8">
        <v>1</v>
      </c>
      <c r="I2743" s="8">
        <v>1</v>
      </c>
      <c r="J2743" s="8" t="s">
        <v>9219</v>
      </c>
      <c r="K2743" s="8" t="s">
        <v>551</v>
      </c>
      <c r="L2743" s="9">
        <v>46319</v>
      </c>
      <c r="M2743" s="8" t="s">
        <v>5864</v>
      </c>
      <c r="N2743" s="8" t="s">
        <v>5865</v>
      </c>
    </row>
    <row r="2744" spans="1:14" ht="40" customHeight="1">
      <c r="A2744" s="4" t="s">
        <v>9220</v>
      </c>
      <c r="B2744" s="4" t="s">
        <v>546</v>
      </c>
      <c r="C2744" s="4" t="s">
        <v>547</v>
      </c>
      <c r="D2744" s="4" t="s">
        <v>5867</v>
      </c>
      <c r="E2744" s="4" t="s">
        <v>41</v>
      </c>
      <c r="F2744" s="4" t="s">
        <v>6774</v>
      </c>
      <c r="G2744" s="4" t="s">
        <v>2249</v>
      </c>
      <c r="H2744" s="4">
        <v>1</v>
      </c>
      <c r="I2744" s="4">
        <v>1</v>
      </c>
      <c r="J2744" s="4" t="s">
        <v>9221</v>
      </c>
      <c r="K2744" s="4" t="s">
        <v>551</v>
      </c>
      <c r="L2744" s="6">
        <v>46319</v>
      </c>
      <c r="M2744" s="4" t="s">
        <v>5864</v>
      </c>
      <c r="N2744" s="4" t="s">
        <v>5865</v>
      </c>
    </row>
    <row r="2745" spans="1:14" ht="40" customHeight="1">
      <c r="A2745" s="8" t="s">
        <v>9222</v>
      </c>
      <c r="B2745" s="8" t="s">
        <v>546</v>
      </c>
      <c r="C2745" s="8" t="s">
        <v>547</v>
      </c>
      <c r="D2745" s="8" t="s">
        <v>5867</v>
      </c>
      <c r="E2745" s="8" t="s">
        <v>41</v>
      </c>
      <c r="F2745" s="8" t="s">
        <v>7381</v>
      </c>
      <c r="G2745" s="8" t="s">
        <v>2249</v>
      </c>
      <c r="H2745" s="8">
        <v>1</v>
      </c>
      <c r="I2745" s="8">
        <v>1</v>
      </c>
      <c r="J2745" s="8" t="s">
        <v>9223</v>
      </c>
      <c r="K2745" s="8" t="s">
        <v>551</v>
      </c>
      <c r="L2745" s="9">
        <v>46319</v>
      </c>
      <c r="M2745" s="8" t="s">
        <v>5864</v>
      </c>
      <c r="N2745" s="8" t="s">
        <v>5865</v>
      </c>
    </row>
    <row r="2746" spans="1:14" ht="40" customHeight="1">
      <c r="A2746" s="4" t="s">
        <v>9224</v>
      </c>
      <c r="B2746" s="4" t="s">
        <v>546</v>
      </c>
      <c r="C2746" s="4" t="s">
        <v>547</v>
      </c>
      <c r="D2746" s="4" t="s">
        <v>5867</v>
      </c>
      <c r="E2746" s="4" t="s">
        <v>41</v>
      </c>
      <c r="F2746" s="4" t="s">
        <v>7449</v>
      </c>
      <c r="G2746" s="4" t="s">
        <v>2249</v>
      </c>
      <c r="H2746" s="4">
        <v>1</v>
      </c>
      <c r="I2746" s="4">
        <v>1</v>
      </c>
      <c r="J2746" s="4" t="s">
        <v>9225</v>
      </c>
      <c r="K2746" s="4" t="s">
        <v>551</v>
      </c>
      <c r="L2746" s="6">
        <v>46319</v>
      </c>
      <c r="M2746" s="4" t="s">
        <v>5864</v>
      </c>
      <c r="N2746" s="4" t="s">
        <v>5865</v>
      </c>
    </row>
    <row r="2747" spans="1:14" ht="40" customHeight="1">
      <c r="A2747" s="8" t="s">
        <v>9226</v>
      </c>
      <c r="B2747" s="8" t="s">
        <v>546</v>
      </c>
      <c r="C2747" s="8" t="s">
        <v>547</v>
      </c>
      <c r="D2747" s="8" t="s">
        <v>5867</v>
      </c>
      <c r="E2747" s="8" t="s">
        <v>41</v>
      </c>
      <c r="F2747" s="8" t="s">
        <v>7453</v>
      </c>
      <c r="G2747" s="8" t="s">
        <v>2249</v>
      </c>
      <c r="H2747" s="8">
        <v>1</v>
      </c>
      <c r="I2747" s="8">
        <v>1</v>
      </c>
      <c r="J2747" s="8" t="s">
        <v>9227</v>
      </c>
      <c r="K2747" s="8" t="s">
        <v>551</v>
      </c>
      <c r="L2747" s="9">
        <v>46319</v>
      </c>
      <c r="M2747" s="8" t="s">
        <v>5864</v>
      </c>
      <c r="N2747" s="8" t="s">
        <v>5865</v>
      </c>
    </row>
    <row r="2748" spans="1:14" ht="40" customHeight="1">
      <c r="A2748" s="4" t="s">
        <v>9228</v>
      </c>
      <c r="B2748" s="4" t="s">
        <v>546</v>
      </c>
      <c r="C2748" s="4" t="s">
        <v>547</v>
      </c>
      <c r="D2748" s="4" t="s">
        <v>637</v>
      </c>
      <c r="E2748" s="4" t="s">
        <v>41</v>
      </c>
      <c r="F2748" s="4" t="s">
        <v>920</v>
      </c>
      <c r="G2748" s="4" t="s">
        <v>2249</v>
      </c>
      <c r="H2748" s="4">
        <v>1</v>
      </c>
      <c r="I2748" s="4">
        <v>1</v>
      </c>
      <c r="J2748" s="4" t="s">
        <v>2247</v>
      </c>
      <c r="K2748" s="4" t="s">
        <v>551</v>
      </c>
      <c r="L2748" s="6">
        <v>46319</v>
      </c>
      <c r="M2748" s="4" t="s">
        <v>5864</v>
      </c>
      <c r="N2748" s="4" t="s">
        <v>5865</v>
      </c>
    </row>
    <row r="2749" spans="1:14" ht="40" customHeight="1">
      <c r="A2749" s="8" t="s">
        <v>9229</v>
      </c>
      <c r="B2749" s="8" t="s">
        <v>546</v>
      </c>
      <c r="C2749" s="8" t="s">
        <v>547</v>
      </c>
      <c r="D2749" s="8" t="s">
        <v>914</v>
      </c>
      <c r="E2749" s="8" t="s">
        <v>41</v>
      </c>
      <c r="F2749" s="8" t="s">
        <v>1023</v>
      </c>
      <c r="G2749" s="8" t="s">
        <v>2249</v>
      </c>
      <c r="H2749" s="8">
        <v>1</v>
      </c>
      <c r="I2749" s="8">
        <v>1</v>
      </c>
      <c r="J2749" s="8" t="s">
        <v>2251</v>
      </c>
      <c r="K2749" s="8" t="s">
        <v>551</v>
      </c>
      <c r="L2749" s="9">
        <v>46319</v>
      </c>
      <c r="M2749" s="8" t="s">
        <v>5864</v>
      </c>
      <c r="N2749" s="8" t="s">
        <v>5865</v>
      </c>
    </row>
    <row r="2750" spans="1:14" ht="40" customHeight="1">
      <c r="A2750" s="4" t="s">
        <v>9230</v>
      </c>
      <c r="B2750" s="4" t="s">
        <v>546</v>
      </c>
      <c r="C2750" s="4" t="s">
        <v>547</v>
      </c>
      <c r="D2750" s="4" t="s">
        <v>914</v>
      </c>
      <c r="E2750" s="4" t="s">
        <v>41</v>
      </c>
      <c r="F2750" s="4" t="s">
        <v>1458</v>
      </c>
      <c r="G2750" s="4" t="s">
        <v>2249</v>
      </c>
      <c r="H2750" s="4">
        <v>1</v>
      </c>
      <c r="I2750" s="4">
        <v>1</v>
      </c>
      <c r="J2750" s="4" t="s">
        <v>2254</v>
      </c>
      <c r="K2750" s="4" t="s">
        <v>551</v>
      </c>
      <c r="L2750" s="6">
        <v>46319</v>
      </c>
      <c r="M2750" s="4" t="s">
        <v>5864</v>
      </c>
      <c r="N2750" s="4" t="s">
        <v>5865</v>
      </c>
    </row>
    <row r="2751" spans="1:14" ht="40" customHeight="1">
      <c r="A2751" s="8" t="s">
        <v>9231</v>
      </c>
      <c r="B2751" s="8" t="s">
        <v>546</v>
      </c>
      <c r="C2751" s="8" t="s">
        <v>547</v>
      </c>
      <c r="D2751" s="8" t="s">
        <v>914</v>
      </c>
      <c r="E2751" s="8" t="s">
        <v>41</v>
      </c>
      <c r="F2751" s="8" t="s">
        <v>1524</v>
      </c>
      <c r="G2751" s="8" t="s">
        <v>2249</v>
      </c>
      <c r="H2751" s="8">
        <v>1</v>
      </c>
      <c r="I2751" s="8">
        <v>1</v>
      </c>
      <c r="J2751" s="8" t="s">
        <v>2257</v>
      </c>
      <c r="K2751" s="8" t="s">
        <v>551</v>
      </c>
      <c r="L2751" s="9">
        <v>46319</v>
      </c>
      <c r="M2751" s="8" t="s">
        <v>5864</v>
      </c>
      <c r="N2751" s="8" t="s">
        <v>5865</v>
      </c>
    </row>
    <row r="2752" spans="1:14" ht="40" customHeight="1">
      <c r="A2752" s="4" t="s">
        <v>9232</v>
      </c>
      <c r="B2752" s="4" t="s">
        <v>546</v>
      </c>
      <c r="C2752" s="4" t="s">
        <v>547</v>
      </c>
      <c r="D2752" s="4" t="s">
        <v>914</v>
      </c>
      <c r="E2752" s="4" t="s">
        <v>41</v>
      </c>
      <c r="F2752" s="4" t="s">
        <v>2262</v>
      </c>
      <c r="G2752" s="4" t="s">
        <v>2249</v>
      </c>
      <c r="H2752" s="4">
        <v>1</v>
      </c>
      <c r="I2752" s="4">
        <v>1</v>
      </c>
      <c r="J2752" s="4" t="s">
        <v>2260</v>
      </c>
      <c r="K2752" s="4" t="s">
        <v>551</v>
      </c>
      <c r="L2752" s="6">
        <v>46319</v>
      </c>
      <c r="M2752" s="4" t="s">
        <v>5864</v>
      </c>
      <c r="N2752" s="4" t="s">
        <v>5870</v>
      </c>
    </row>
    <row r="2753" spans="1:14" ht="54" customHeight="1">
      <c r="A2753" s="8" t="s">
        <v>9233</v>
      </c>
      <c r="B2753" s="8" t="s">
        <v>546</v>
      </c>
      <c r="C2753" s="8" t="s">
        <v>547</v>
      </c>
      <c r="D2753" s="8" t="s">
        <v>914</v>
      </c>
      <c r="E2753" s="8" t="s">
        <v>41</v>
      </c>
      <c r="F2753" s="8" t="s">
        <v>2265</v>
      </c>
      <c r="G2753" s="8" t="s">
        <v>2249</v>
      </c>
      <c r="H2753" s="8">
        <v>1</v>
      </c>
      <c r="I2753" s="8">
        <v>1</v>
      </c>
      <c r="J2753" s="8" t="s">
        <v>970</v>
      </c>
      <c r="K2753" s="8" t="s">
        <v>551</v>
      </c>
      <c r="L2753" s="9">
        <v>46319</v>
      </c>
      <c r="M2753" s="8" t="s">
        <v>5864</v>
      </c>
      <c r="N2753" s="8" t="s">
        <v>5870</v>
      </c>
    </row>
    <row r="2754" spans="1:14" ht="68" customHeight="1">
      <c r="A2754" s="4" t="s">
        <v>9234</v>
      </c>
      <c r="B2754" s="4" t="s">
        <v>546</v>
      </c>
      <c r="C2754" s="4" t="s">
        <v>547</v>
      </c>
      <c r="D2754" s="4" t="s">
        <v>914</v>
      </c>
      <c r="E2754" s="4" t="s">
        <v>41</v>
      </c>
      <c r="F2754" s="4" t="s">
        <v>2269</v>
      </c>
      <c r="G2754" s="4" t="s">
        <v>2249</v>
      </c>
      <c r="H2754" s="4">
        <v>1</v>
      </c>
      <c r="I2754" s="4">
        <v>1</v>
      </c>
      <c r="J2754" s="4" t="s">
        <v>2267</v>
      </c>
      <c r="K2754" s="4" t="s">
        <v>551</v>
      </c>
      <c r="L2754" s="6">
        <v>46319</v>
      </c>
      <c r="M2754" s="4" t="s">
        <v>5864</v>
      </c>
      <c r="N2754" s="4" t="s">
        <v>5870</v>
      </c>
    </row>
    <row r="2755" spans="1:14" ht="40" customHeight="1">
      <c r="A2755" s="8" t="s">
        <v>9235</v>
      </c>
      <c r="B2755" s="8" t="s">
        <v>546</v>
      </c>
      <c r="C2755" s="8" t="s">
        <v>547</v>
      </c>
      <c r="D2755" s="8" t="s">
        <v>914</v>
      </c>
      <c r="E2755" s="8" t="s">
        <v>41</v>
      </c>
      <c r="F2755" s="8" t="s">
        <v>2273</v>
      </c>
      <c r="G2755" s="8" t="s">
        <v>2249</v>
      </c>
      <c r="H2755" s="8">
        <v>1</v>
      </c>
      <c r="I2755" s="8">
        <v>1</v>
      </c>
      <c r="J2755" s="8" t="s">
        <v>2271</v>
      </c>
      <c r="K2755" s="8" t="s">
        <v>551</v>
      </c>
      <c r="L2755" s="9">
        <v>46319</v>
      </c>
      <c r="M2755" s="8" t="s">
        <v>5864</v>
      </c>
      <c r="N2755" s="8" t="s">
        <v>5870</v>
      </c>
    </row>
    <row r="2756" spans="1:14" ht="40" customHeight="1">
      <c r="A2756" s="4" t="s">
        <v>9236</v>
      </c>
      <c r="B2756" s="4" t="s">
        <v>546</v>
      </c>
      <c r="C2756" s="4" t="s">
        <v>547</v>
      </c>
      <c r="D2756" s="4" t="s">
        <v>914</v>
      </c>
      <c r="E2756" s="4" t="s">
        <v>41</v>
      </c>
      <c r="F2756" s="4" t="s">
        <v>2277</v>
      </c>
      <c r="G2756" s="4" t="s">
        <v>2249</v>
      </c>
      <c r="H2756" s="4">
        <v>1</v>
      </c>
      <c r="I2756" s="4">
        <v>1</v>
      </c>
      <c r="J2756" s="4" t="s">
        <v>2275</v>
      </c>
      <c r="K2756" s="4" t="s">
        <v>551</v>
      </c>
      <c r="L2756" s="6">
        <v>46319</v>
      </c>
      <c r="M2756" s="4" t="s">
        <v>5864</v>
      </c>
      <c r="N2756" s="4" t="s">
        <v>5870</v>
      </c>
    </row>
    <row r="2757" spans="1:14" ht="40" customHeight="1">
      <c r="A2757" s="8" t="s">
        <v>9237</v>
      </c>
      <c r="B2757" s="8" t="s">
        <v>546</v>
      </c>
      <c r="C2757" s="8" t="s">
        <v>547</v>
      </c>
      <c r="D2757" s="8" t="s">
        <v>914</v>
      </c>
      <c r="E2757" s="8" t="s">
        <v>41</v>
      </c>
      <c r="F2757" s="8" t="s">
        <v>2281</v>
      </c>
      <c r="G2757" s="8" t="s">
        <v>2249</v>
      </c>
      <c r="H2757" s="8">
        <v>1</v>
      </c>
      <c r="I2757" s="8">
        <v>1</v>
      </c>
      <c r="J2757" s="8" t="s">
        <v>2279</v>
      </c>
      <c r="K2757" s="8" t="s">
        <v>551</v>
      </c>
      <c r="L2757" s="9">
        <v>46319</v>
      </c>
      <c r="M2757" s="8" t="s">
        <v>5864</v>
      </c>
      <c r="N2757" s="8" t="s">
        <v>5870</v>
      </c>
    </row>
    <row r="2758" spans="1:14" ht="40" customHeight="1">
      <c r="A2758" s="4" t="s">
        <v>9238</v>
      </c>
      <c r="B2758" s="4" t="s">
        <v>546</v>
      </c>
      <c r="C2758" s="4" t="s">
        <v>547</v>
      </c>
      <c r="D2758" s="4" t="s">
        <v>914</v>
      </c>
      <c r="E2758" s="4" t="s">
        <v>41</v>
      </c>
      <c r="F2758" s="4" t="s">
        <v>2285</v>
      </c>
      <c r="G2758" s="4" t="s">
        <v>2249</v>
      </c>
      <c r="H2758" s="4">
        <v>1</v>
      </c>
      <c r="I2758" s="4">
        <v>1</v>
      </c>
      <c r="J2758" s="4" t="s">
        <v>2283</v>
      </c>
      <c r="K2758" s="4" t="s">
        <v>551</v>
      </c>
      <c r="L2758" s="6">
        <v>46319</v>
      </c>
      <c r="M2758" s="4" t="s">
        <v>5864</v>
      </c>
      <c r="N2758" s="4" t="s">
        <v>5870</v>
      </c>
    </row>
    <row r="2759" spans="1:14" ht="40" customHeight="1">
      <c r="A2759" s="8" t="s">
        <v>5714</v>
      </c>
      <c r="B2759" s="8" t="s">
        <v>546</v>
      </c>
      <c r="C2759" s="8" t="s">
        <v>547</v>
      </c>
      <c r="D2759" s="8" t="s">
        <v>7</v>
      </c>
      <c r="E2759" s="8" t="s">
        <v>41</v>
      </c>
      <c r="F2759" s="8" t="s">
        <v>6150</v>
      </c>
      <c r="G2759" s="8" t="s">
        <v>2249</v>
      </c>
      <c r="H2759" s="8">
        <v>1</v>
      </c>
      <c r="I2759" s="8">
        <v>1</v>
      </c>
      <c r="J2759" s="8" t="s">
        <v>5715</v>
      </c>
      <c r="K2759" s="8" t="s">
        <v>551</v>
      </c>
      <c r="L2759" s="9">
        <v>46319</v>
      </c>
      <c r="M2759" s="8" t="s">
        <v>5864</v>
      </c>
      <c r="N2759" s="8" t="s">
        <v>5865</v>
      </c>
    </row>
    <row r="2760" spans="1:14" ht="40" customHeight="1">
      <c r="A2760" s="4" t="s">
        <v>5716</v>
      </c>
      <c r="B2760" s="4" t="s">
        <v>546</v>
      </c>
      <c r="C2760" s="4" t="s">
        <v>547</v>
      </c>
      <c r="D2760" s="4" t="s">
        <v>7</v>
      </c>
      <c r="E2760" s="4" t="s">
        <v>41</v>
      </c>
      <c r="F2760" s="4" t="s">
        <v>6834</v>
      </c>
      <c r="G2760" s="4" t="s">
        <v>2249</v>
      </c>
      <c r="H2760" s="4">
        <v>1</v>
      </c>
      <c r="I2760" s="4">
        <v>1</v>
      </c>
      <c r="J2760" s="4" t="s">
        <v>5717</v>
      </c>
      <c r="K2760" s="4" t="s">
        <v>551</v>
      </c>
      <c r="L2760" s="6">
        <v>46319</v>
      </c>
      <c r="M2760" s="4" t="s">
        <v>5864</v>
      </c>
      <c r="N2760" s="4" t="s">
        <v>5865</v>
      </c>
    </row>
    <row r="2761" spans="1:14" ht="40" customHeight="1">
      <c r="A2761" s="8" t="s">
        <v>5718</v>
      </c>
      <c r="B2761" s="8" t="s">
        <v>546</v>
      </c>
      <c r="C2761" s="8" t="s">
        <v>547</v>
      </c>
      <c r="D2761" s="8" t="s">
        <v>7</v>
      </c>
      <c r="E2761" s="8" t="s">
        <v>41</v>
      </c>
      <c r="F2761" s="8" t="s">
        <v>7172</v>
      </c>
      <c r="G2761" s="8" t="s">
        <v>2249</v>
      </c>
      <c r="H2761" s="8">
        <v>1</v>
      </c>
      <c r="I2761" s="8">
        <v>1</v>
      </c>
      <c r="J2761" s="8" t="s">
        <v>5719</v>
      </c>
      <c r="K2761" s="8" t="s">
        <v>551</v>
      </c>
      <c r="L2761" s="9">
        <v>46319</v>
      </c>
      <c r="M2761" s="8" t="s">
        <v>5864</v>
      </c>
      <c r="N2761" s="8" t="s">
        <v>5865</v>
      </c>
    </row>
    <row r="2762" spans="1:14" ht="40" customHeight="1">
      <c r="A2762" s="4" t="s">
        <v>5720</v>
      </c>
      <c r="B2762" s="4" t="s">
        <v>546</v>
      </c>
      <c r="C2762" s="4" t="s">
        <v>547</v>
      </c>
      <c r="D2762" s="4" t="s">
        <v>7</v>
      </c>
      <c r="E2762" s="4" t="s">
        <v>41</v>
      </c>
      <c r="F2762" s="4" t="s">
        <v>6921</v>
      </c>
      <c r="G2762" s="4" t="s">
        <v>2249</v>
      </c>
      <c r="H2762" s="4">
        <v>1</v>
      </c>
      <c r="I2762" s="4">
        <v>1</v>
      </c>
      <c r="J2762" s="4" t="s">
        <v>5721</v>
      </c>
      <c r="K2762" s="4" t="s">
        <v>551</v>
      </c>
      <c r="L2762" s="6">
        <v>46319</v>
      </c>
      <c r="M2762" s="4" t="s">
        <v>5864</v>
      </c>
      <c r="N2762" s="4" t="s">
        <v>5865</v>
      </c>
    </row>
    <row r="2763" spans="1:14" ht="40" customHeight="1">
      <c r="A2763" s="8" t="s">
        <v>5722</v>
      </c>
      <c r="B2763" s="8" t="s">
        <v>546</v>
      </c>
      <c r="C2763" s="8" t="s">
        <v>547</v>
      </c>
      <c r="D2763" s="8" t="s">
        <v>7</v>
      </c>
      <c r="E2763" s="8" t="s">
        <v>41</v>
      </c>
      <c r="F2763" s="8" t="s">
        <v>7173</v>
      </c>
      <c r="G2763" s="8" t="s">
        <v>2249</v>
      </c>
      <c r="H2763" s="8">
        <v>1</v>
      </c>
      <c r="I2763" s="8">
        <v>1</v>
      </c>
      <c r="J2763" s="8" t="s">
        <v>5723</v>
      </c>
      <c r="K2763" s="8" t="s">
        <v>551</v>
      </c>
      <c r="L2763" s="9">
        <v>46319</v>
      </c>
      <c r="M2763" s="8" t="s">
        <v>5864</v>
      </c>
      <c r="N2763" s="8" t="s">
        <v>5865</v>
      </c>
    </row>
    <row r="2764" spans="1:14" ht="40" customHeight="1">
      <c r="A2764" s="4" t="s">
        <v>4790</v>
      </c>
      <c r="B2764" s="4" t="s">
        <v>546</v>
      </c>
      <c r="C2764" s="4" t="s">
        <v>547</v>
      </c>
      <c r="D2764" s="4" t="s">
        <v>5879</v>
      </c>
      <c r="E2764" s="4" t="s">
        <v>41</v>
      </c>
      <c r="F2764" s="4" t="s">
        <v>3449</v>
      </c>
      <c r="G2764" s="4" t="s">
        <v>2249</v>
      </c>
      <c r="H2764" s="4">
        <v>1</v>
      </c>
      <c r="I2764" s="4">
        <v>1</v>
      </c>
      <c r="J2764" s="4" t="s">
        <v>4791</v>
      </c>
      <c r="K2764" s="4" t="s">
        <v>551</v>
      </c>
      <c r="L2764" s="6">
        <v>46319</v>
      </c>
      <c r="M2764" s="4" t="s">
        <v>5864</v>
      </c>
      <c r="N2764" s="4" t="s">
        <v>5865</v>
      </c>
    </row>
    <row r="2765" spans="1:14" ht="40" customHeight="1">
      <c r="A2765" s="8" t="s">
        <v>4792</v>
      </c>
      <c r="B2765" s="8" t="s">
        <v>546</v>
      </c>
      <c r="C2765" s="8" t="s">
        <v>547</v>
      </c>
      <c r="D2765" s="8" t="s">
        <v>5879</v>
      </c>
      <c r="E2765" s="8" t="s">
        <v>41</v>
      </c>
      <c r="F2765" s="8" t="s">
        <v>3466</v>
      </c>
      <c r="G2765" s="8" t="s">
        <v>2249</v>
      </c>
      <c r="H2765" s="8">
        <v>1</v>
      </c>
      <c r="I2765" s="8">
        <v>1</v>
      </c>
      <c r="J2765" s="8" t="s">
        <v>4793</v>
      </c>
      <c r="K2765" s="8" t="s">
        <v>551</v>
      </c>
      <c r="L2765" s="9">
        <v>46319</v>
      </c>
      <c r="M2765" s="8" t="s">
        <v>5864</v>
      </c>
      <c r="N2765" s="8" t="s">
        <v>5865</v>
      </c>
    </row>
    <row r="2766" spans="1:14" ht="40" customHeight="1">
      <c r="A2766" s="4" t="s">
        <v>4794</v>
      </c>
      <c r="B2766" s="4" t="s">
        <v>546</v>
      </c>
      <c r="C2766" s="4" t="s">
        <v>547</v>
      </c>
      <c r="D2766" s="4" t="s">
        <v>5879</v>
      </c>
      <c r="E2766" s="4" t="s">
        <v>41</v>
      </c>
      <c r="F2766" s="4" t="s">
        <v>3469</v>
      </c>
      <c r="G2766" s="4" t="s">
        <v>2249</v>
      </c>
      <c r="H2766" s="4">
        <v>1</v>
      </c>
      <c r="I2766" s="4">
        <v>1</v>
      </c>
      <c r="J2766" s="4" t="s">
        <v>4795</v>
      </c>
      <c r="K2766" s="4" t="s">
        <v>551</v>
      </c>
      <c r="L2766" s="6">
        <v>46319</v>
      </c>
      <c r="M2766" s="4" t="s">
        <v>5864</v>
      </c>
      <c r="N2766" s="4" t="s">
        <v>5865</v>
      </c>
    </row>
    <row r="2767" spans="1:14" ht="40" customHeight="1">
      <c r="A2767" s="8" t="s">
        <v>4796</v>
      </c>
      <c r="B2767" s="8" t="s">
        <v>546</v>
      </c>
      <c r="C2767" s="8" t="s">
        <v>547</v>
      </c>
      <c r="D2767" s="8" t="s">
        <v>5879</v>
      </c>
      <c r="E2767" s="8" t="s">
        <v>41</v>
      </c>
      <c r="F2767" s="8" t="s">
        <v>3472</v>
      </c>
      <c r="G2767" s="8" t="s">
        <v>2249</v>
      </c>
      <c r="H2767" s="8">
        <v>1</v>
      </c>
      <c r="I2767" s="8">
        <v>1</v>
      </c>
      <c r="J2767" s="8" t="s">
        <v>4797</v>
      </c>
      <c r="K2767" s="8" t="s">
        <v>551</v>
      </c>
      <c r="L2767" s="9">
        <v>46319</v>
      </c>
      <c r="M2767" s="8" t="s">
        <v>5864</v>
      </c>
      <c r="N2767" s="8" t="s">
        <v>5865</v>
      </c>
    </row>
    <row r="2768" spans="1:14" ht="40" customHeight="1">
      <c r="A2768" s="4" t="s">
        <v>4798</v>
      </c>
      <c r="B2768" s="4" t="s">
        <v>546</v>
      </c>
      <c r="C2768" s="4" t="s">
        <v>547</v>
      </c>
      <c r="D2768" s="4" t="s">
        <v>5879</v>
      </c>
      <c r="E2768" s="4" t="s">
        <v>41</v>
      </c>
      <c r="F2768" s="4" t="s">
        <v>3475</v>
      </c>
      <c r="G2768" s="4" t="s">
        <v>2249</v>
      </c>
      <c r="H2768" s="4">
        <v>1</v>
      </c>
      <c r="I2768" s="4">
        <v>1</v>
      </c>
      <c r="J2768" s="4" t="s">
        <v>4799</v>
      </c>
      <c r="K2768" s="4" t="s">
        <v>551</v>
      </c>
      <c r="L2768" s="6">
        <v>46319</v>
      </c>
      <c r="M2768" s="4" t="s">
        <v>5864</v>
      </c>
      <c r="N2768" s="4" t="s">
        <v>5865</v>
      </c>
    </row>
    <row r="2769" spans="1:14" ht="40" customHeight="1">
      <c r="A2769" s="8" t="s">
        <v>4800</v>
      </c>
      <c r="B2769" s="8" t="s">
        <v>546</v>
      </c>
      <c r="C2769" s="8" t="s">
        <v>547</v>
      </c>
      <c r="D2769" s="8" t="s">
        <v>5879</v>
      </c>
      <c r="E2769" s="8" t="s">
        <v>41</v>
      </c>
      <c r="F2769" s="8" t="s">
        <v>3478</v>
      </c>
      <c r="G2769" s="8" t="s">
        <v>2249</v>
      </c>
      <c r="H2769" s="8">
        <v>1</v>
      </c>
      <c r="I2769" s="8">
        <v>1</v>
      </c>
      <c r="J2769" s="8" t="s">
        <v>4801</v>
      </c>
      <c r="K2769" s="8" t="s">
        <v>551</v>
      </c>
      <c r="L2769" s="9">
        <v>46319</v>
      </c>
      <c r="M2769" s="8" t="s">
        <v>5864</v>
      </c>
      <c r="N2769" s="8" t="s">
        <v>5865</v>
      </c>
    </row>
    <row r="2770" spans="1:14" ht="40" customHeight="1">
      <c r="A2770" s="4" t="s">
        <v>9239</v>
      </c>
      <c r="B2770" s="4" t="s">
        <v>546</v>
      </c>
      <c r="C2770" s="4" t="s">
        <v>547</v>
      </c>
      <c r="D2770" s="4" t="s">
        <v>2969</v>
      </c>
      <c r="E2770" s="4" t="s">
        <v>41</v>
      </c>
      <c r="F2770" s="4" t="s">
        <v>5881</v>
      </c>
      <c r="G2770" s="4" t="s">
        <v>2249</v>
      </c>
      <c r="H2770" s="4">
        <v>1</v>
      </c>
      <c r="I2770" s="4">
        <v>1</v>
      </c>
      <c r="J2770" s="4" t="s">
        <v>9240</v>
      </c>
      <c r="K2770" s="4" t="s">
        <v>551</v>
      </c>
      <c r="L2770" s="6">
        <v>46319</v>
      </c>
      <c r="M2770" s="4" t="s">
        <v>5864</v>
      </c>
      <c r="N2770" s="4" t="s">
        <v>5883</v>
      </c>
    </row>
    <row r="2771" spans="1:14" ht="40" customHeight="1">
      <c r="A2771" s="8" t="s">
        <v>9241</v>
      </c>
      <c r="B2771" s="8" t="s">
        <v>546</v>
      </c>
      <c r="C2771" s="8" t="s">
        <v>547</v>
      </c>
      <c r="D2771" s="8" t="s">
        <v>2969</v>
      </c>
      <c r="E2771" s="8" t="s">
        <v>41</v>
      </c>
      <c r="F2771" s="8" t="s">
        <v>5885</v>
      </c>
      <c r="G2771" s="8" t="s">
        <v>2249</v>
      </c>
      <c r="H2771" s="8">
        <v>1</v>
      </c>
      <c r="I2771" s="8">
        <v>1</v>
      </c>
      <c r="J2771" s="8" t="s">
        <v>9242</v>
      </c>
      <c r="K2771" s="8" t="s">
        <v>551</v>
      </c>
      <c r="L2771" s="9">
        <v>46319</v>
      </c>
      <c r="M2771" s="8" t="s">
        <v>5864</v>
      </c>
      <c r="N2771" s="8" t="s">
        <v>5883</v>
      </c>
    </row>
    <row r="2772" spans="1:14" ht="40" customHeight="1">
      <c r="A2772" s="4" t="s">
        <v>9243</v>
      </c>
      <c r="B2772" s="4" t="s">
        <v>546</v>
      </c>
      <c r="C2772" s="4" t="s">
        <v>547</v>
      </c>
      <c r="D2772" s="4" t="s">
        <v>2969</v>
      </c>
      <c r="E2772" s="4" t="s">
        <v>41</v>
      </c>
      <c r="F2772" s="4" t="s">
        <v>5888</v>
      </c>
      <c r="G2772" s="4" t="s">
        <v>2249</v>
      </c>
      <c r="H2772" s="4">
        <v>1</v>
      </c>
      <c r="I2772" s="4">
        <v>1</v>
      </c>
      <c r="J2772" s="4" t="s">
        <v>9244</v>
      </c>
      <c r="K2772" s="4" t="s">
        <v>551</v>
      </c>
      <c r="L2772" s="6">
        <v>46319</v>
      </c>
      <c r="M2772" s="4" t="s">
        <v>5864</v>
      </c>
      <c r="N2772" s="4" t="s">
        <v>5883</v>
      </c>
    </row>
    <row r="2773" spans="1:14" ht="40" customHeight="1">
      <c r="A2773" s="8" t="s">
        <v>9245</v>
      </c>
      <c r="B2773" s="8" t="s">
        <v>546</v>
      </c>
      <c r="C2773" s="8" t="s">
        <v>547</v>
      </c>
      <c r="D2773" s="8" t="s">
        <v>2969</v>
      </c>
      <c r="E2773" s="8" t="s">
        <v>41</v>
      </c>
      <c r="F2773" s="8" t="s">
        <v>5891</v>
      </c>
      <c r="G2773" s="8" t="s">
        <v>2249</v>
      </c>
      <c r="H2773" s="8">
        <v>1</v>
      </c>
      <c r="I2773" s="8">
        <v>1</v>
      </c>
      <c r="J2773" s="8" t="s">
        <v>9246</v>
      </c>
      <c r="K2773" s="8" t="s">
        <v>551</v>
      </c>
      <c r="L2773" s="9">
        <v>46319</v>
      </c>
      <c r="M2773" s="8" t="s">
        <v>5864</v>
      </c>
      <c r="N2773" s="8" t="s">
        <v>5883</v>
      </c>
    </row>
    <row r="2774" spans="1:14" ht="40" customHeight="1">
      <c r="A2774" s="4" t="s">
        <v>9247</v>
      </c>
      <c r="B2774" s="4" t="s">
        <v>546</v>
      </c>
      <c r="C2774" s="4" t="s">
        <v>547</v>
      </c>
      <c r="D2774" s="4" t="s">
        <v>2969</v>
      </c>
      <c r="E2774" s="4" t="s">
        <v>41</v>
      </c>
      <c r="F2774" s="4" t="s">
        <v>5894</v>
      </c>
      <c r="G2774" s="4" t="s">
        <v>2249</v>
      </c>
      <c r="H2774" s="4">
        <v>1</v>
      </c>
      <c r="I2774" s="4">
        <v>1</v>
      </c>
      <c r="J2774" s="4" t="s">
        <v>9248</v>
      </c>
      <c r="K2774" s="4" t="s">
        <v>551</v>
      </c>
      <c r="L2774" s="6">
        <v>46319</v>
      </c>
      <c r="M2774" s="4" t="s">
        <v>5864</v>
      </c>
      <c r="N2774" s="4" t="s">
        <v>5883</v>
      </c>
    </row>
    <row r="2775" spans="1:14" ht="40" customHeight="1">
      <c r="A2775" s="8" t="s">
        <v>9249</v>
      </c>
      <c r="B2775" s="8" t="s">
        <v>546</v>
      </c>
      <c r="C2775" s="8" t="s">
        <v>547</v>
      </c>
      <c r="D2775" s="8" t="s">
        <v>2969</v>
      </c>
      <c r="E2775" s="8" t="s">
        <v>41</v>
      </c>
      <c r="F2775" s="8" t="s">
        <v>5897</v>
      </c>
      <c r="G2775" s="8" t="s">
        <v>2249</v>
      </c>
      <c r="H2775" s="8">
        <v>1</v>
      </c>
      <c r="I2775" s="8">
        <v>1</v>
      </c>
      <c r="J2775" s="8" t="s">
        <v>9250</v>
      </c>
      <c r="K2775" s="8" t="s">
        <v>551</v>
      </c>
      <c r="L2775" s="9">
        <v>46319</v>
      </c>
      <c r="M2775" s="8" t="s">
        <v>5864</v>
      </c>
      <c r="N2775" s="8" t="s">
        <v>5883</v>
      </c>
    </row>
    <row r="2776" spans="1:14" ht="54" customHeight="1">
      <c r="A2776" s="4" t="s">
        <v>9251</v>
      </c>
      <c r="B2776" s="4" t="s">
        <v>546</v>
      </c>
      <c r="C2776" s="4" t="s">
        <v>547</v>
      </c>
      <c r="D2776" s="4" t="s">
        <v>2969</v>
      </c>
      <c r="E2776" s="4" t="s">
        <v>41</v>
      </c>
      <c r="F2776" s="4" t="s">
        <v>5900</v>
      </c>
      <c r="G2776" s="4" t="s">
        <v>2249</v>
      </c>
      <c r="H2776" s="4">
        <v>1</v>
      </c>
      <c r="I2776" s="4">
        <v>1</v>
      </c>
      <c r="J2776" s="4" t="s">
        <v>9252</v>
      </c>
      <c r="K2776" s="4" t="s">
        <v>551</v>
      </c>
      <c r="L2776" s="6">
        <v>46319</v>
      </c>
      <c r="M2776" s="4" t="s">
        <v>5864</v>
      </c>
      <c r="N2776" s="4" t="s">
        <v>5883</v>
      </c>
    </row>
    <row r="2777" spans="1:14" ht="40" customHeight="1">
      <c r="A2777" s="8" t="s">
        <v>9253</v>
      </c>
      <c r="B2777" s="8" t="s">
        <v>546</v>
      </c>
      <c r="C2777" s="8" t="s">
        <v>547</v>
      </c>
      <c r="D2777" s="8" t="s">
        <v>2969</v>
      </c>
      <c r="E2777" s="8" t="s">
        <v>41</v>
      </c>
      <c r="F2777" s="8" t="s">
        <v>5903</v>
      </c>
      <c r="G2777" s="8" t="s">
        <v>2249</v>
      </c>
      <c r="H2777" s="8">
        <v>1</v>
      </c>
      <c r="I2777" s="8">
        <v>1</v>
      </c>
      <c r="J2777" s="8" t="s">
        <v>9254</v>
      </c>
      <c r="K2777" s="8" t="s">
        <v>551</v>
      </c>
      <c r="L2777" s="9">
        <v>46319</v>
      </c>
      <c r="M2777" s="8" t="s">
        <v>5864</v>
      </c>
      <c r="N2777" s="8" t="s">
        <v>5883</v>
      </c>
    </row>
    <row r="2778" spans="1:14" ht="40" customHeight="1">
      <c r="A2778" s="4" t="s">
        <v>9255</v>
      </c>
      <c r="B2778" s="4" t="s">
        <v>546</v>
      </c>
      <c r="C2778" s="4" t="s">
        <v>547</v>
      </c>
      <c r="D2778" s="4" t="s">
        <v>2969</v>
      </c>
      <c r="E2778" s="4" t="s">
        <v>41</v>
      </c>
      <c r="F2778" s="4" t="s">
        <v>5906</v>
      </c>
      <c r="G2778" s="4" t="s">
        <v>2249</v>
      </c>
      <c r="H2778" s="4">
        <v>1</v>
      </c>
      <c r="I2778" s="4">
        <v>1</v>
      </c>
      <c r="J2778" s="4" t="s">
        <v>9256</v>
      </c>
      <c r="K2778" s="4" t="s">
        <v>551</v>
      </c>
      <c r="L2778" s="6">
        <v>46319</v>
      </c>
      <c r="M2778" s="4" t="s">
        <v>5864</v>
      </c>
      <c r="N2778" s="4" t="s">
        <v>5883</v>
      </c>
    </row>
    <row r="2779" spans="1:14" ht="96" customHeight="1">
      <c r="A2779" s="8" t="s">
        <v>9257</v>
      </c>
      <c r="B2779" s="8" t="s">
        <v>546</v>
      </c>
      <c r="C2779" s="8" t="s">
        <v>547</v>
      </c>
      <c r="D2779" s="8" t="s">
        <v>2969</v>
      </c>
      <c r="E2779" s="8" t="s">
        <v>41</v>
      </c>
      <c r="F2779" s="8" t="s">
        <v>5909</v>
      </c>
      <c r="G2779" s="8" t="s">
        <v>2249</v>
      </c>
      <c r="H2779" s="8">
        <v>1</v>
      </c>
      <c r="I2779" s="8">
        <v>1</v>
      </c>
      <c r="J2779" s="8" t="s">
        <v>9258</v>
      </c>
      <c r="K2779" s="8" t="s">
        <v>551</v>
      </c>
      <c r="L2779" s="9">
        <v>46319</v>
      </c>
      <c r="M2779" s="8" t="s">
        <v>5864</v>
      </c>
      <c r="N2779" s="8" t="s">
        <v>5883</v>
      </c>
    </row>
    <row r="2780" spans="1:14" ht="96" customHeight="1">
      <c r="A2780" s="4" t="s">
        <v>9259</v>
      </c>
      <c r="B2780" s="4" t="s">
        <v>546</v>
      </c>
      <c r="C2780" s="4" t="s">
        <v>547</v>
      </c>
      <c r="D2780" s="4" t="s">
        <v>2969</v>
      </c>
      <c r="E2780" s="4" t="s">
        <v>41</v>
      </c>
      <c r="F2780" s="4" t="s">
        <v>5912</v>
      </c>
      <c r="G2780" s="4" t="s">
        <v>2249</v>
      </c>
      <c r="H2780" s="4">
        <v>1</v>
      </c>
      <c r="I2780" s="4">
        <v>1</v>
      </c>
      <c r="J2780" s="4" t="s">
        <v>9260</v>
      </c>
      <c r="K2780" s="4" t="s">
        <v>551</v>
      </c>
      <c r="L2780" s="6">
        <v>46319</v>
      </c>
      <c r="M2780" s="4" t="s">
        <v>5864</v>
      </c>
      <c r="N2780" s="4" t="s">
        <v>5883</v>
      </c>
    </row>
    <row r="2781" spans="1:14" ht="82" customHeight="1">
      <c r="A2781" s="8" t="s">
        <v>9261</v>
      </c>
      <c r="B2781" s="8" t="s">
        <v>546</v>
      </c>
      <c r="C2781" s="8" t="s">
        <v>547</v>
      </c>
      <c r="D2781" s="8" t="s">
        <v>2969</v>
      </c>
      <c r="E2781" s="8" t="s">
        <v>41</v>
      </c>
      <c r="F2781" s="8" t="s">
        <v>5973</v>
      </c>
      <c r="G2781" s="8" t="s">
        <v>2249</v>
      </c>
      <c r="H2781" s="8">
        <v>1</v>
      </c>
      <c r="I2781" s="8">
        <v>1</v>
      </c>
      <c r="J2781" s="8" t="s">
        <v>9262</v>
      </c>
      <c r="K2781" s="8" t="s">
        <v>551</v>
      </c>
      <c r="L2781" s="9">
        <v>46319</v>
      </c>
      <c r="M2781" s="8" t="s">
        <v>5864</v>
      </c>
      <c r="N2781" s="8" t="s">
        <v>5883</v>
      </c>
    </row>
    <row r="2782" spans="1:14" ht="68" customHeight="1">
      <c r="A2782" s="4" t="s">
        <v>9263</v>
      </c>
      <c r="B2782" s="4" t="s">
        <v>546</v>
      </c>
      <c r="C2782" s="4" t="s">
        <v>547</v>
      </c>
      <c r="D2782" s="4" t="s">
        <v>2969</v>
      </c>
      <c r="E2782" s="4" t="s">
        <v>41</v>
      </c>
      <c r="F2782" s="4" t="s">
        <v>5976</v>
      </c>
      <c r="G2782" s="4" t="s">
        <v>2249</v>
      </c>
      <c r="H2782" s="4">
        <v>1</v>
      </c>
      <c r="I2782" s="4">
        <v>1</v>
      </c>
      <c r="J2782" s="4" t="s">
        <v>9264</v>
      </c>
      <c r="K2782" s="4" t="s">
        <v>551</v>
      </c>
      <c r="L2782" s="6">
        <v>46319</v>
      </c>
      <c r="M2782" s="4" t="s">
        <v>5864</v>
      </c>
      <c r="N2782" s="4" t="s">
        <v>5883</v>
      </c>
    </row>
    <row r="2783" spans="1:14" ht="82" customHeight="1">
      <c r="A2783" s="8" t="s">
        <v>9265</v>
      </c>
      <c r="B2783" s="8" t="s">
        <v>554</v>
      </c>
      <c r="C2783" s="8" t="s">
        <v>555</v>
      </c>
      <c r="D2783" s="8" t="s">
        <v>5861</v>
      </c>
      <c r="E2783" s="8" t="s">
        <v>41</v>
      </c>
      <c r="F2783" s="8" t="s">
        <v>5862</v>
      </c>
      <c r="G2783" s="8" t="s">
        <v>2289</v>
      </c>
      <c r="H2783" s="8">
        <v>1</v>
      </c>
      <c r="I2783" s="8">
        <v>1</v>
      </c>
      <c r="J2783" s="8" t="s">
        <v>9266</v>
      </c>
      <c r="K2783" s="8" t="s">
        <v>560</v>
      </c>
      <c r="L2783" s="9">
        <v>46319</v>
      </c>
      <c r="M2783" s="8" t="s">
        <v>5864</v>
      </c>
      <c r="N2783" s="8" t="s">
        <v>5865</v>
      </c>
    </row>
    <row r="2784" spans="1:14" ht="40" customHeight="1">
      <c r="A2784" s="4" t="s">
        <v>9267</v>
      </c>
      <c r="B2784" s="4" t="s">
        <v>554</v>
      </c>
      <c r="C2784" s="4" t="s">
        <v>555</v>
      </c>
      <c r="D2784" s="4" t="s">
        <v>5861</v>
      </c>
      <c r="E2784" s="4" t="s">
        <v>41</v>
      </c>
      <c r="F2784" s="4" t="s">
        <v>6089</v>
      </c>
      <c r="G2784" s="4" t="s">
        <v>2289</v>
      </c>
      <c r="H2784" s="4">
        <v>1</v>
      </c>
      <c r="I2784" s="4">
        <v>1</v>
      </c>
      <c r="J2784" s="4" t="s">
        <v>9268</v>
      </c>
      <c r="K2784" s="4" t="s">
        <v>560</v>
      </c>
      <c r="L2784" s="6">
        <v>46319</v>
      </c>
      <c r="M2784" s="4" t="s">
        <v>5864</v>
      </c>
      <c r="N2784" s="4" t="s">
        <v>5870</v>
      </c>
    </row>
    <row r="2785" spans="1:14" ht="54" customHeight="1">
      <c r="A2785" s="8" t="s">
        <v>9269</v>
      </c>
      <c r="B2785" s="8" t="s">
        <v>554</v>
      </c>
      <c r="C2785" s="8" t="s">
        <v>555</v>
      </c>
      <c r="D2785" s="8" t="s">
        <v>5861</v>
      </c>
      <c r="E2785" s="8" t="s">
        <v>41</v>
      </c>
      <c r="F2785" s="8" t="s">
        <v>7626</v>
      </c>
      <c r="G2785" s="8" t="s">
        <v>2289</v>
      </c>
      <c r="H2785" s="8">
        <v>1</v>
      </c>
      <c r="I2785" s="8">
        <v>1</v>
      </c>
      <c r="J2785" s="8" t="s">
        <v>9270</v>
      </c>
      <c r="K2785" s="8" t="s">
        <v>560</v>
      </c>
      <c r="L2785" s="9">
        <v>46319</v>
      </c>
      <c r="M2785" s="8" t="s">
        <v>5864</v>
      </c>
      <c r="N2785" s="8" t="s">
        <v>5870</v>
      </c>
    </row>
    <row r="2786" spans="1:14" ht="54" customHeight="1">
      <c r="A2786" s="4" t="s">
        <v>9271</v>
      </c>
      <c r="B2786" s="4" t="s">
        <v>554</v>
      </c>
      <c r="C2786" s="4" t="s">
        <v>555</v>
      </c>
      <c r="D2786" s="4" t="s">
        <v>5861</v>
      </c>
      <c r="E2786" s="4" t="s">
        <v>41</v>
      </c>
      <c r="F2786" s="4" t="s">
        <v>9272</v>
      </c>
      <c r="G2786" s="4" t="s">
        <v>2289</v>
      </c>
      <c r="H2786" s="4">
        <v>1</v>
      </c>
      <c r="I2786" s="4">
        <v>1</v>
      </c>
      <c r="J2786" s="4" t="s">
        <v>9273</v>
      </c>
      <c r="K2786" s="4" t="s">
        <v>560</v>
      </c>
      <c r="L2786" s="6">
        <v>46319</v>
      </c>
      <c r="M2786" s="4" t="s">
        <v>5864</v>
      </c>
      <c r="N2786" s="4" t="s">
        <v>5870</v>
      </c>
    </row>
    <row r="2787" spans="1:14" ht="40" customHeight="1">
      <c r="A2787" s="8" t="s">
        <v>9274</v>
      </c>
      <c r="B2787" s="8" t="s">
        <v>554</v>
      </c>
      <c r="C2787" s="8" t="s">
        <v>555</v>
      </c>
      <c r="D2787" s="8" t="s">
        <v>5867</v>
      </c>
      <c r="E2787" s="8" t="s">
        <v>41</v>
      </c>
      <c r="F2787" s="8" t="s">
        <v>7671</v>
      </c>
      <c r="G2787" s="8" t="s">
        <v>2289</v>
      </c>
      <c r="H2787" s="8">
        <v>1</v>
      </c>
      <c r="I2787" s="8">
        <v>1</v>
      </c>
      <c r="J2787" s="8" t="s">
        <v>9275</v>
      </c>
      <c r="K2787" s="8" t="s">
        <v>560</v>
      </c>
      <c r="L2787" s="9">
        <v>46319</v>
      </c>
      <c r="M2787" s="8" t="s">
        <v>5864</v>
      </c>
      <c r="N2787" s="8" t="s">
        <v>6087</v>
      </c>
    </row>
    <row r="2788" spans="1:14" ht="40" customHeight="1">
      <c r="A2788" s="4" t="s">
        <v>9276</v>
      </c>
      <c r="B2788" s="4" t="s">
        <v>554</v>
      </c>
      <c r="C2788" s="4" t="s">
        <v>555</v>
      </c>
      <c r="D2788" s="4" t="s">
        <v>5867</v>
      </c>
      <c r="E2788" s="4" t="s">
        <v>41</v>
      </c>
      <c r="F2788" s="4" t="s">
        <v>7674</v>
      </c>
      <c r="G2788" s="4" t="s">
        <v>2289</v>
      </c>
      <c r="H2788" s="4">
        <v>1</v>
      </c>
      <c r="I2788" s="4">
        <v>1</v>
      </c>
      <c r="J2788" s="4" t="s">
        <v>9277</v>
      </c>
      <c r="K2788" s="4" t="s">
        <v>560</v>
      </c>
      <c r="L2788" s="6">
        <v>46319</v>
      </c>
      <c r="M2788" s="4" t="s">
        <v>5864</v>
      </c>
      <c r="N2788" s="4" t="s">
        <v>6087</v>
      </c>
    </row>
    <row r="2789" spans="1:14" ht="40" customHeight="1">
      <c r="A2789" s="8" t="s">
        <v>9278</v>
      </c>
      <c r="B2789" s="8" t="s">
        <v>554</v>
      </c>
      <c r="C2789" s="8" t="s">
        <v>555</v>
      </c>
      <c r="D2789" s="8" t="s">
        <v>5867</v>
      </c>
      <c r="E2789" s="8" t="s">
        <v>41</v>
      </c>
      <c r="F2789" s="8" t="s">
        <v>7677</v>
      </c>
      <c r="G2789" s="8" t="s">
        <v>2289</v>
      </c>
      <c r="H2789" s="8">
        <v>1</v>
      </c>
      <c r="I2789" s="8">
        <v>1</v>
      </c>
      <c r="J2789" s="8" t="s">
        <v>9279</v>
      </c>
      <c r="K2789" s="8" t="s">
        <v>560</v>
      </c>
      <c r="L2789" s="9">
        <v>46319</v>
      </c>
      <c r="M2789" s="8" t="s">
        <v>5864</v>
      </c>
      <c r="N2789" s="8" t="s">
        <v>6087</v>
      </c>
    </row>
    <row r="2790" spans="1:14" ht="40" customHeight="1">
      <c r="A2790" s="4" t="s">
        <v>9280</v>
      </c>
      <c r="B2790" s="4" t="s">
        <v>554</v>
      </c>
      <c r="C2790" s="4" t="s">
        <v>555</v>
      </c>
      <c r="D2790" s="4" t="s">
        <v>5867</v>
      </c>
      <c r="E2790" s="4" t="s">
        <v>41</v>
      </c>
      <c r="F2790" s="4" t="s">
        <v>7680</v>
      </c>
      <c r="G2790" s="4" t="s">
        <v>2289</v>
      </c>
      <c r="H2790" s="4">
        <v>1</v>
      </c>
      <c r="I2790" s="4">
        <v>1</v>
      </c>
      <c r="J2790" s="4" t="s">
        <v>9281</v>
      </c>
      <c r="K2790" s="4" t="s">
        <v>560</v>
      </c>
      <c r="L2790" s="6">
        <v>46319</v>
      </c>
      <c r="M2790" s="4" t="s">
        <v>5864</v>
      </c>
      <c r="N2790" s="4" t="s">
        <v>6087</v>
      </c>
    </row>
    <row r="2791" spans="1:14" ht="40" customHeight="1">
      <c r="A2791" s="8" t="s">
        <v>9282</v>
      </c>
      <c r="B2791" s="8" t="s">
        <v>554</v>
      </c>
      <c r="C2791" s="8" t="s">
        <v>555</v>
      </c>
      <c r="D2791" s="8" t="s">
        <v>5867</v>
      </c>
      <c r="E2791" s="8" t="s">
        <v>41</v>
      </c>
      <c r="F2791" s="8" t="s">
        <v>7686</v>
      </c>
      <c r="G2791" s="8" t="s">
        <v>2289</v>
      </c>
      <c r="H2791" s="8">
        <v>1</v>
      </c>
      <c r="I2791" s="8">
        <v>1</v>
      </c>
      <c r="J2791" s="8" t="s">
        <v>9283</v>
      </c>
      <c r="K2791" s="8" t="s">
        <v>560</v>
      </c>
      <c r="L2791" s="9">
        <v>46319</v>
      </c>
      <c r="M2791" s="8" t="s">
        <v>5864</v>
      </c>
      <c r="N2791" s="8" t="s">
        <v>6087</v>
      </c>
    </row>
    <row r="2792" spans="1:14" ht="40" customHeight="1">
      <c r="A2792" s="4" t="s">
        <v>9284</v>
      </c>
      <c r="B2792" s="4" t="s">
        <v>554</v>
      </c>
      <c r="C2792" s="4" t="s">
        <v>555</v>
      </c>
      <c r="D2792" s="4" t="s">
        <v>5867</v>
      </c>
      <c r="E2792" s="4" t="s">
        <v>41</v>
      </c>
      <c r="F2792" s="4" t="s">
        <v>8066</v>
      </c>
      <c r="G2792" s="4" t="s">
        <v>2289</v>
      </c>
      <c r="H2792" s="4">
        <v>1</v>
      </c>
      <c r="I2792" s="4">
        <v>1</v>
      </c>
      <c r="J2792" s="4" t="s">
        <v>9285</v>
      </c>
      <c r="K2792" s="4" t="s">
        <v>560</v>
      </c>
      <c r="L2792" s="6">
        <v>46319</v>
      </c>
      <c r="M2792" s="4" t="s">
        <v>5864</v>
      </c>
      <c r="N2792" s="4" t="s">
        <v>6087</v>
      </c>
    </row>
    <row r="2793" spans="1:14" ht="40" customHeight="1">
      <c r="A2793" s="8" t="s">
        <v>9286</v>
      </c>
      <c r="B2793" s="8" t="s">
        <v>554</v>
      </c>
      <c r="C2793" s="8" t="s">
        <v>555</v>
      </c>
      <c r="D2793" s="8" t="s">
        <v>5867</v>
      </c>
      <c r="E2793" s="8" t="s">
        <v>41</v>
      </c>
      <c r="F2793" s="8" t="s">
        <v>7689</v>
      </c>
      <c r="G2793" s="8" t="s">
        <v>2289</v>
      </c>
      <c r="H2793" s="8">
        <v>1</v>
      </c>
      <c r="I2793" s="8">
        <v>1</v>
      </c>
      <c r="J2793" s="8" t="s">
        <v>9287</v>
      </c>
      <c r="K2793" s="8" t="s">
        <v>560</v>
      </c>
      <c r="L2793" s="9">
        <v>46319</v>
      </c>
      <c r="M2793" s="8" t="s">
        <v>5864</v>
      </c>
      <c r="N2793" s="8" t="s">
        <v>6087</v>
      </c>
    </row>
    <row r="2794" spans="1:14" ht="40" customHeight="1">
      <c r="A2794" s="4" t="s">
        <v>9288</v>
      </c>
      <c r="B2794" s="4" t="s">
        <v>554</v>
      </c>
      <c r="C2794" s="4" t="s">
        <v>555</v>
      </c>
      <c r="D2794" s="4" t="s">
        <v>5867</v>
      </c>
      <c r="E2794" s="4" t="s">
        <v>41</v>
      </c>
      <c r="F2794" s="4" t="s">
        <v>7692</v>
      </c>
      <c r="G2794" s="4" t="s">
        <v>2289</v>
      </c>
      <c r="H2794" s="4">
        <v>1</v>
      </c>
      <c r="I2794" s="4">
        <v>1</v>
      </c>
      <c r="J2794" s="4" t="s">
        <v>9289</v>
      </c>
      <c r="K2794" s="4" t="s">
        <v>560</v>
      </c>
      <c r="L2794" s="6">
        <v>46319</v>
      </c>
      <c r="M2794" s="4" t="s">
        <v>5864</v>
      </c>
      <c r="N2794" s="4" t="s">
        <v>6087</v>
      </c>
    </row>
    <row r="2795" spans="1:14" ht="40" customHeight="1">
      <c r="A2795" s="8" t="s">
        <v>9290</v>
      </c>
      <c r="B2795" s="8" t="s">
        <v>554</v>
      </c>
      <c r="C2795" s="8" t="s">
        <v>555</v>
      </c>
      <c r="D2795" s="8" t="s">
        <v>5867</v>
      </c>
      <c r="E2795" s="8" t="s">
        <v>41</v>
      </c>
      <c r="F2795" s="8" t="s">
        <v>7695</v>
      </c>
      <c r="G2795" s="8" t="s">
        <v>2289</v>
      </c>
      <c r="H2795" s="8">
        <v>1</v>
      </c>
      <c r="I2795" s="8">
        <v>1</v>
      </c>
      <c r="J2795" s="8" t="s">
        <v>9291</v>
      </c>
      <c r="K2795" s="8" t="s">
        <v>560</v>
      </c>
      <c r="L2795" s="9">
        <v>46319</v>
      </c>
      <c r="M2795" s="8" t="s">
        <v>5864</v>
      </c>
      <c r="N2795" s="8" t="s">
        <v>6087</v>
      </c>
    </row>
    <row r="2796" spans="1:14" ht="40" customHeight="1">
      <c r="A2796" s="4" t="s">
        <v>9292</v>
      </c>
      <c r="B2796" s="4" t="s">
        <v>554</v>
      </c>
      <c r="C2796" s="4" t="s">
        <v>555</v>
      </c>
      <c r="D2796" s="4" t="s">
        <v>5867</v>
      </c>
      <c r="E2796" s="4" t="s">
        <v>41</v>
      </c>
      <c r="F2796" s="4" t="s">
        <v>8077</v>
      </c>
      <c r="G2796" s="4" t="s">
        <v>2289</v>
      </c>
      <c r="H2796" s="4">
        <v>1</v>
      </c>
      <c r="I2796" s="4">
        <v>1</v>
      </c>
      <c r="J2796" s="4" t="s">
        <v>9293</v>
      </c>
      <c r="K2796" s="4" t="s">
        <v>560</v>
      </c>
      <c r="L2796" s="6">
        <v>46319</v>
      </c>
      <c r="M2796" s="4" t="s">
        <v>5864</v>
      </c>
      <c r="N2796" s="4" t="s">
        <v>6087</v>
      </c>
    </row>
    <row r="2797" spans="1:14" ht="40" customHeight="1">
      <c r="A2797" s="8" t="s">
        <v>9294</v>
      </c>
      <c r="B2797" s="8" t="s">
        <v>554</v>
      </c>
      <c r="C2797" s="8" t="s">
        <v>555</v>
      </c>
      <c r="D2797" s="8" t="s">
        <v>5867</v>
      </c>
      <c r="E2797" s="8" t="s">
        <v>41</v>
      </c>
      <c r="F2797" s="8" t="s">
        <v>7698</v>
      </c>
      <c r="G2797" s="8" t="s">
        <v>2289</v>
      </c>
      <c r="H2797" s="8">
        <v>1</v>
      </c>
      <c r="I2797" s="8">
        <v>1</v>
      </c>
      <c r="J2797" s="8" t="s">
        <v>9295</v>
      </c>
      <c r="K2797" s="8" t="s">
        <v>560</v>
      </c>
      <c r="L2797" s="9">
        <v>46319</v>
      </c>
      <c r="M2797" s="8" t="s">
        <v>5864</v>
      </c>
      <c r="N2797" s="8" t="s">
        <v>6087</v>
      </c>
    </row>
    <row r="2798" spans="1:14" ht="40" customHeight="1">
      <c r="A2798" s="4" t="s">
        <v>9296</v>
      </c>
      <c r="B2798" s="4" t="s">
        <v>554</v>
      </c>
      <c r="C2798" s="4" t="s">
        <v>555</v>
      </c>
      <c r="D2798" s="4" t="s">
        <v>5867</v>
      </c>
      <c r="E2798" s="4" t="s">
        <v>41</v>
      </c>
      <c r="F2798" s="4" t="s">
        <v>7701</v>
      </c>
      <c r="G2798" s="4" t="s">
        <v>2289</v>
      </c>
      <c r="H2798" s="4">
        <v>1</v>
      </c>
      <c r="I2798" s="4">
        <v>1</v>
      </c>
      <c r="J2798" s="4" t="s">
        <v>9297</v>
      </c>
      <c r="K2798" s="4" t="s">
        <v>560</v>
      </c>
      <c r="L2798" s="6">
        <v>46319</v>
      </c>
      <c r="M2798" s="4" t="s">
        <v>5864</v>
      </c>
      <c r="N2798" s="4" t="s">
        <v>6087</v>
      </c>
    </row>
    <row r="2799" spans="1:14" ht="40" customHeight="1">
      <c r="A2799" s="8" t="s">
        <v>9298</v>
      </c>
      <c r="B2799" s="8" t="s">
        <v>554</v>
      </c>
      <c r="C2799" s="8" t="s">
        <v>555</v>
      </c>
      <c r="D2799" s="8" t="s">
        <v>5867</v>
      </c>
      <c r="E2799" s="8" t="s">
        <v>41</v>
      </c>
      <c r="F2799" s="8" t="s">
        <v>7704</v>
      </c>
      <c r="G2799" s="8" t="s">
        <v>2289</v>
      </c>
      <c r="H2799" s="8">
        <v>1</v>
      </c>
      <c r="I2799" s="8">
        <v>1</v>
      </c>
      <c r="J2799" s="8" t="s">
        <v>9293</v>
      </c>
      <c r="K2799" s="8" t="s">
        <v>560</v>
      </c>
      <c r="L2799" s="9">
        <v>46319</v>
      </c>
      <c r="M2799" s="8" t="s">
        <v>5864</v>
      </c>
      <c r="N2799" s="8" t="s">
        <v>6087</v>
      </c>
    </row>
    <row r="2800" spans="1:14" ht="40" customHeight="1">
      <c r="A2800" s="4" t="s">
        <v>9299</v>
      </c>
      <c r="B2800" s="4" t="s">
        <v>554</v>
      </c>
      <c r="C2800" s="4" t="s">
        <v>555</v>
      </c>
      <c r="D2800" s="4" t="s">
        <v>5867</v>
      </c>
      <c r="E2800" s="4" t="s">
        <v>41</v>
      </c>
      <c r="F2800" s="4" t="s">
        <v>8088</v>
      </c>
      <c r="G2800" s="4" t="s">
        <v>2289</v>
      </c>
      <c r="H2800" s="4">
        <v>1</v>
      </c>
      <c r="I2800" s="4">
        <v>1</v>
      </c>
      <c r="J2800" s="4" t="s">
        <v>9300</v>
      </c>
      <c r="K2800" s="4" t="s">
        <v>560</v>
      </c>
      <c r="L2800" s="6">
        <v>46319</v>
      </c>
      <c r="M2800" s="4" t="s">
        <v>5864</v>
      </c>
      <c r="N2800" s="4" t="s">
        <v>6087</v>
      </c>
    </row>
    <row r="2801" spans="1:14" ht="40" customHeight="1">
      <c r="A2801" s="8" t="s">
        <v>9301</v>
      </c>
      <c r="B2801" s="8" t="s">
        <v>554</v>
      </c>
      <c r="C2801" s="8" t="s">
        <v>555</v>
      </c>
      <c r="D2801" s="8" t="s">
        <v>637</v>
      </c>
      <c r="E2801" s="8" t="s">
        <v>41</v>
      </c>
      <c r="F2801" s="8" t="s">
        <v>904</v>
      </c>
      <c r="G2801" s="8" t="s">
        <v>2289</v>
      </c>
      <c r="H2801" s="8">
        <v>1</v>
      </c>
      <c r="I2801" s="8">
        <v>1</v>
      </c>
      <c r="J2801" s="8" t="s">
        <v>2287</v>
      </c>
      <c r="K2801" s="8" t="s">
        <v>560</v>
      </c>
      <c r="L2801" s="9">
        <v>46319</v>
      </c>
      <c r="M2801" s="8" t="s">
        <v>5864</v>
      </c>
      <c r="N2801" s="8" t="s">
        <v>5865</v>
      </c>
    </row>
    <row r="2802" spans="1:14" ht="40" customHeight="1">
      <c r="A2802" s="4" t="s">
        <v>9302</v>
      </c>
      <c r="B2802" s="4" t="s">
        <v>554</v>
      </c>
      <c r="C2802" s="4" t="s">
        <v>555</v>
      </c>
      <c r="D2802" s="4" t="s">
        <v>637</v>
      </c>
      <c r="E2802" s="4" t="s">
        <v>41</v>
      </c>
      <c r="F2802" s="4" t="s">
        <v>912</v>
      </c>
      <c r="G2802" s="4" t="s">
        <v>2289</v>
      </c>
      <c r="H2802" s="4">
        <v>1</v>
      </c>
      <c r="I2802" s="4">
        <v>1</v>
      </c>
      <c r="J2802" s="4" t="s">
        <v>2291</v>
      </c>
      <c r="K2802" s="4" t="s">
        <v>560</v>
      </c>
      <c r="L2802" s="6">
        <v>46319</v>
      </c>
      <c r="M2802" s="4" t="s">
        <v>5864</v>
      </c>
      <c r="N2802" s="4" t="s">
        <v>5865</v>
      </c>
    </row>
    <row r="2803" spans="1:14" ht="40" customHeight="1">
      <c r="A2803" s="8" t="s">
        <v>9303</v>
      </c>
      <c r="B2803" s="8" t="s">
        <v>554</v>
      </c>
      <c r="C2803" s="8" t="s">
        <v>555</v>
      </c>
      <c r="D2803" s="8" t="s">
        <v>637</v>
      </c>
      <c r="E2803" s="8" t="s">
        <v>41</v>
      </c>
      <c r="F2803" s="8" t="s">
        <v>1015</v>
      </c>
      <c r="G2803" s="8" t="s">
        <v>2289</v>
      </c>
      <c r="H2803" s="8">
        <v>1</v>
      </c>
      <c r="I2803" s="8">
        <v>1</v>
      </c>
      <c r="J2803" s="8" t="s">
        <v>2294</v>
      </c>
      <c r="K2803" s="8" t="s">
        <v>560</v>
      </c>
      <c r="L2803" s="9">
        <v>46319</v>
      </c>
      <c r="M2803" s="8" t="s">
        <v>5864</v>
      </c>
      <c r="N2803" s="8" t="s">
        <v>5865</v>
      </c>
    </row>
    <row r="2804" spans="1:14" ht="40" customHeight="1">
      <c r="A2804" s="4" t="s">
        <v>9304</v>
      </c>
      <c r="B2804" s="4" t="s">
        <v>554</v>
      </c>
      <c r="C2804" s="4" t="s">
        <v>555</v>
      </c>
      <c r="D2804" s="4" t="s">
        <v>637</v>
      </c>
      <c r="E2804" s="4" t="s">
        <v>41</v>
      </c>
      <c r="F2804" s="4" t="s">
        <v>1019</v>
      </c>
      <c r="G2804" s="4" t="s">
        <v>2289</v>
      </c>
      <c r="H2804" s="4">
        <v>1</v>
      </c>
      <c r="I2804" s="4">
        <v>1</v>
      </c>
      <c r="J2804" s="4" t="s">
        <v>2297</v>
      </c>
      <c r="K2804" s="4" t="s">
        <v>560</v>
      </c>
      <c r="L2804" s="6">
        <v>46319</v>
      </c>
      <c r="M2804" s="4" t="s">
        <v>5864</v>
      </c>
      <c r="N2804" s="4" t="s">
        <v>5865</v>
      </c>
    </row>
    <row r="2805" spans="1:14" ht="40" customHeight="1">
      <c r="A2805" s="8" t="s">
        <v>9305</v>
      </c>
      <c r="B2805" s="8" t="s">
        <v>554</v>
      </c>
      <c r="C2805" s="8" t="s">
        <v>555</v>
      </c>
      <c r="D2805" s="8" t="s">
        <v>637</v>
      </c>
      <c r="E2805" s="8" t="s">
        <v>41</v>
      </c>
      <c r="F2805" s="8" t="s">
        <v>1147</v>
      </c>
      <c r="G2805" s="8" t="s">
        <v>2289</v>
      </c>
      <c r="H2805" s="8">
        <v>1</v>
      </c>
      <c r="I2805" s="8">
        <v>1</v>
      </c>
      <c r="J2805" s="8" t="s">
        <v>2300</v>
      </c>
      <c r="K2805" s="8" t="s">
        <v>560</v>
      </c>
      <c r="L2805" s="9">
        <v>46319</v>
      </c>
      <c r="M2805" s="8" t="s">
        <v>5864</v>
      </c>
      <c r="N2805" s="8" t="s">
        <v>5865</v>
      </c>
    </row>
    <row r="2806" spans="1:14" ht="54" customHeight="1">
      <c r="A2806" s="4" t="s">
        <v>9306</v>
      </c>
      <c r="B2806" s="4" t="s">
        <v>554</v>
      </c>
      <c r="C2806" s="4" t="s">
        <v>555</v>
      </c>
      <c r="D2806" s="4" t="s">
        <v>637</v>
      </c>
      <c r="E2806" s="4" t="s">
        <v>41</v>
      </c>
      <c r="F2806" s="4" t="s">
        <v>1254</v>
      </c>
      <c r="G2806" s="4" t="s">
        <v>2289</v>
      </c>
      <c r="H2806" s="4">
        <v>1</v>
      </c>
      <c r="I2806" s="4">
        <v>1</v>
      </c>
      <c r="J2806" s="4" t="s">
        <v>2303</v>
      </c>
      <c r="K2806" s="4" t="s">
        <v>560</v>
      </c>
      <c r="L2806" s="6">
        <v>46319</v>
      </c>
      <c r="M2806" s="4" t="s">
        <v>5864</v>
      </c>
      <c r="N2806" s="4" t="s">
        <v>5865</v>
      </c>
    </row>
    <row r="2807" spans="1:14" ht="40" customHeight="1">
      <c r="A2807" s="8" t="s">
        <v>9307</v>
      </c>
      <c r="B2807" s="8" t="s">
        <v>554</v>
      </c>
      <c r="C2807" s="8" t="s">
        <v>555</v>
      </c>
      <c r="D2807" s="8" t="s">
        <v>914</v>
      </c>
      <c r="E2807" s="8" t="s">
        <v>41</v>
      </c>
      <c r="F2807" s="8" t="s">
        <v>952</v>
      </c>
      <c r="G2807" s="8" t="s">
        <v>2289</v>
      </c>
      <c r="H2807" s="8">
        <v>1</v>
      </c>
      <c r="I2807" s="8">
        <v>1</v>
      </c>
      <c r="J2807" s="8" t="s">
        <v>2306</v>
      </c>
      <c r="K2807" s="8" t="s">
        <v>560</v>
      </c>
      <c r="L2807" s="9">
        <v>46319</v>
      </c>
      <c r="M2807" s="8" t="s">
        <v>5864</v>
      </c>
      <c r="N2807" s="8" t="s">
        <v>5865</v>
      </c>
    </row>
    <row r="2808" spans="1:14" ht="68" customHeight="1">
      <c r="A2808" s="4" t="s">
        <v>9308</v>
      </c>
      <c r="B2808" s="4" t="s">
        <v>554</v>
      </c>
      <c r="C2808" s="4" t="s">
        <v>555</v>
      </c>
      <c r="D2808" s="4" t="s">
        <v>914</v>
      </c>
      <c r="E2808" s="4" t="s">
        <v>41</v>
      </c>
      <c r="F2808" s="4" t="s">
        <v>956</v>
      </c>
      <c r="G2808" s="4" t="s">
        <v>2289</v>
      </c>
      <c r="H2808" s="4">
        <v>1</v>
      </c>
      <c r="I2808" s="4">
        <v>1</v>
      </c>
      <c r="J2808" s="4" t="s">
        <v>2309</v>
      </c>
      <c r="K2808" s="4" t="s">
        <v>560</v>
      </c>
      <c r="L2808" s="6">
        <v>46319</v>
      </c>
      <c r="M2808" s="4" t="s">
        <v>5864</v>
      </c>
      <c r="N2808" s="4" t="s">
        <v>5865</v>
      </c>
    </row>
    <row r="2809" spans="1:14" ht="40" customHeight="1">
      <c r="A2809" s="8" t="s">
        <v>5724</v>
      </c>
      <c r="B2809" s="8" t="s">
        <v>554</v>
      </c>
      <c r="C2809" s="8" t="s">
        <v>555</v>
      </c>
      <c r="D2809" s="8" t="s">
        <v>7</v>
      </c>
      <c r="E2809" s="8" t="s">
        <v>41</v>
      </c>
      <c r="F2809" s="8" t="s">
        <v>6150</v>
      </c>
      <c r="G2809" s="8" t="s">
        <v>2289</v>
      </c>
      <c r="H2809" s="8">
        <v>1</v>
      </c>
      <c r="I2809" s="8">
        <v>1</v>
      </c>
      <c r="J2809" s="8" t="s">
        <v>5725</v>
      </c>
      <c r="K2809" s="8" t="s">
        <v>560</v>
      </c>
      <c r="L2809" s="9">
        <v>46319</v>
      </c>
      <c r="M2809" s="8" t="s">
        <v>5864</v>
      </c>
      <c r="N2809" s="8" t="s">
        <v>5865</v>
      </c>
    </row>
    <row r="2810" spans="1:14" ht="40" customHeight="1">
      <c r="A2810" s="4" t="s">
        <v>5726</v>
      </c>
      <c r="B2810" s="4" t="s">
        <v>554</v>
      </c>
      <c r="C2810" s="4" t="s">
        <v>555</v>
      </c>
      <c r="D2810" s="4" t="s">
        <v>7</v>
      </c>
      <c r="E2810" s="4" t="s">
        <v>41</v>
      </c>
      <c r="F2810" s="4" t="s">
        <v>6834</v>
      </c>
      <c r="G2810" s="4" t="s">
        <v>2289</v>
      </c>
      <c r="H2810" s="4">
        <v>1</v>
      </c>
      <c r="I2810" s="4">
        <v>1</v>
      </c>
      <c r="J2810" s="4" t="s">
        <v>5727</v>
      </c>
      <c r="K2810" s="4" t="s">
        <v>560</v>
      </c>
      <c r="L2810" s="6">
        <v>46319</v>
      </c>
      <c r="M2810" s="4" t="s">
        <v>5864</v>
      </c>
      <c r="N2810" s="4" t="s">
        <v>5865</v>
      </c>
    </row>
    <row r="2811" spans="1:14" ht="40" customHeight="1">
      <c r="A2811" s="8" t="s">
        <v>5728</v>
      </c>
      <c r="B2811" s="8" t="s">
        <v>554</v>
      </c>
      <c r="C2811" s="8" t="s">
        <v>555</v>
      </c>
      <c r="D2811" s="8" t="s">
        <v>7</v>
      </c>
      <c r="E2811" s="8" t="s">
        <v>41</v>
      </c>
      <c r="F2811" s="8" t="s">
        <v>7172</v>
      </c>
      <c r="G2811" s="8" t="s">
        <v>2289</v>
      </c>
      <c r="H2811" s="8">
        <v>1</v>
      </c>
      <c r="I2811" s="8">
        <v>1</v>
      </c>
      <c r="J2811" s="8" t="s">
        <v>5729</v>
      </c>
      <c r="K2811" s="8" t="s">
        <v>560</v>
      </c>
      <c r="L2811" s="9">
        <v>46319</v>
      </c>
      <c r="M2811" s="8" t="s">
        <v>5864</v>
      </c>
      <c r="N2811" s="8" t="s">
        <v>5865</v>
      </c>
    </row>
    <row r="2812" spans="1:14" ht="40" customHeight="1">
      <c r="A2812" s="4" t="s">
        <v>5730</v>
      </c>
      <c r="B2812" s="4" t="s">
        <v>554</v>
      </c>
      <c r="C2812" s="4" t="s">
        <v>555</v>
      </c>
      <c r="D2812" s="4" t="s">
        <v>7</v>
      </c>
      <c r="E2812" s="4" t="s">
        <v>41</v>
      </c>
      <c r="F2812" s="4" t="s">
        <v>6921</v>
      </c>
      <c r="G2812" s="4" t="s">
        <v>2289</v>
      </c>
      <c r="H2812" s="4">
        <v>1</v>
      </c>
      <c r="I2812" s="4">
        <v>1</v>
      </c>
      <c r="J2812" s="4" t="s">
        <v>5731</v>
      </c>
      <c r="K2812" s="4" t="s">
        <v>560</v>
      </c>
      <c r="L2812" s="6">
        <v>46319</v>
      </c>
      <c r="M2812" s="4" t="s">
        <v>5864</v>
      </c>
      <c r="N2812" s="4" t="s">
        <v>5865</v>
      </c>
    </row>
    <row r="2813" spans="1:14" ht="40" customHeight="1">
      <c r="A2813" s="8" t="s">
        <v>5732</v>
      </c>
      <c r="B2813" s="8" t="s">
        <v>554</v>
      </c>
      <c r="C2813" s="8" t="s">
        <v>555</v>
      </c>
      <c r="D2813" s="8" t="s">
        <v>7</v>
      </c>
      <c r="E2813" s="8" t="s">
        <v>41</v>
      </c>
      <c r="F2813" s="8" t="s">
        <v>7173</v>
      </c>
      <c r="G2813" s="8" t="s">
        <v>2289</v>
      </c>
      <c r="H2813" s="8">
        <v>1</v>
      </c>
      <c r="I2813" s="8">
        <v>1</v>
      </c>
      <c r="J2813" s="8" t="s">
        <v>5733</v>
      </c>
      <c r="K2813" s="8" t="s">
        <v>560</v>
      </c>
      <c r="L2813" s="9">
        <v>46319</v>
      </c>
      <c r="M2813" s="8" t="s">
        <v>5864</v>
      </c>
      <c r="N2813" s="8" t="s">
        <v>5865</v>
      </c>
    </row>
    <row r="2814" spans="1:14" ht="40" customHeight="1">
      <c r="A2814" s="4" t="s">
        <v>5734</v>
      </c>
      <c r="B2814" s="4" t="s">
        <v>554</v>
      </c>
      <c r="C2814" s="4" t="s">
        <v>555</v>
      </c>
      <c r="D2814" s="4" t="s">
        <v>7</v>
      </c>
      <c r="E2814" s="4" t="s">
        <v>41</v>
      </c>
      <c r="F2814" s="4" t="s">
        <v>7174</v>
      </c>
      <c r="G2814" s="4" t="s">
        <v>2289</v>
      </c>
      <c r="H2814" s="4">
        <v>1</v>
      </c>
      <c r="I2814" s="4">
        <v>1</v>
      </c>
      <c r="J2814" s="4" t="s">
        <v>5735</v>
      </c>
      <c r="K2814" s="4" t="s">
        <v>560</v>
      </c>
      <c r="L2814" s="6">
        <v>46319</v>
      </c>
      <c r="M2814" s="4" t="s">
        <v>5864</v>
      </c>
      <c r="N2814" s="4" t="s">
        <v>5865</v>
      </c>
    </row>
    <row r="2815" spans="1:14" ht="40" customHeight="1">
      <c r="A2815" s="8" t="s">
        <v>5736</v>
      </c>
      <c r="B2815" s="8" t="s">
        <v>554</v>
      </c>
      <c r="C2815" s="8" t="s">
        <v>555</v>
      </c>
      <c r="D2815" s="8" t="s">
        <v>7</v>
      </c>
      <c r="E2815" s="8" t="s">
        <v>41</v>
      </c>
      <c r="F2815" s="8" t="s">
        <v>6928</v>
      </c>
      <c r="G2815" s="8" t="s">
        <v>2289</v>
      </c>
      <c r="H2815" s="8">
        <v>1</v>
      </c>
      <c r="I2815" s="8">
        <v>1</v>
      </c>
      <c r="J2815" s="8" t="s">
        <v>5737</v>
      </c>
      <c r="K2815" s="8" t="s">
        <v>560</v>
      </c>
      <c r="L2815" s="9">
        <v>46319</v>
      </c>
      <c r="M2815" s="8" t="s">
        <v>5864</v>
      </c>
      <c r="N2815" s="8" t="s">
        <v>5865</v>
      </c>
    </row>
    <row r="2816" spans="1:14" ht="40" customHeight="1">
      <c r="A2816" s="4" t="s">
        <v>5738</v>
      </c>
      <c r="B2816" s="4" t="s">
        <v>554</v>
      </c>
      <c r="C2816" s="4" t="s">
        <v>555</v>
      </c>
      <c r="D2816" s="4" t="s">
        <v>7</v>
      </c>
      <c r="E2816" s="4" t="s">
        <v>41</v>
      </c>
      <c r="F2816" s="4" t="s">
        <v>7866</v>
      </c>
      <c r="G2816" s="4" t="s">
        <v>2289</v>
      </c>
      <c r="H2816" s="4">
        <v>1</v>
      </c>
      <c r="I2816" s="4">
        <v>1</v>
      </c>
      <c r="J2816" s="4" t="s">
        <v>5739</v>
      </c>
      <c r="K2816" s="4" t="s">
        <v>560</v>
      </c>
      <c r="L2816" s="6">
        <v>46319</v>
      </c>
      <c r="M2816" s="4" t="s">
        <v>5864</v>
      </c>
      <c r="N2816" s="4" t="s">
        <v>5865</v>
      </c>
    </row>
    <row r="2817" spans="1:14" ht="40" customHeight="1">
      <c r="A2817" s="8" t="s">
        <v>5740</v>
      </c>
      <c r="B2817" s="8" t="s">
        <v>554</v>
      </c>
      <c r="C2817" s="8" t="s">
        <v>555</v>
      </c>
      <c r="D2817" s="8" t="s">
        <v>7</v>
      </c>
      <c r="E2817" s="8" t="s">
        <v>41</v>
      </c>
      <c r="F2817" s="8" t="s">
        <v>6931</v>
      </c>
      <c r="G2817" s="8" t="s">
        <v>2289</v>
      </c>
      <c r="H2817" s="8">
        <v>1</v>
      </c>
      <c r="I2817" s="8">
        <v>1</v>
      </c>
      <c r="J2817" s="8" t="s">
        <v>5741</v>
      </c>
      <c r="K2817" s="8" t="s">
        <v>560</v>
      </c>
      <c r="L2817" s="9">
        <v>46319</v>
      </c>
      <c r="M2817" s="8" t="s">
        <v>5864</v>
      </c>
      <c r="N2817" s="8" t="s">
        <v>5865</v>
      </c>
    </row>
    <row r="2818" spans="1:14" ht="40" customHeight="1">
      <c r="A2818" s="4" t="s">
        <v>5742</v>
      </c>
      <c r="B2818" s="4" t="s">
        <v>554</v>
      </c>
      <c r="C2818" s="4" t="s">
        <v>555</v>
      </c>
      <c r="D2818" s="4" t="s">
        <v>7</v>
      </c>
      <c r="E2818" s="4" t="s">
        <v>41</v>
      </c>
      <c r="F2818" s="4" t="s">
        <v>7176</v>
      </c>
      <c r="G2818" s="4" t="s">
        <v>2289</v>
      </c>
      <c r="H2818" s="4">
        <v>1</v>
      </c>
      <c r="I2818" s="4">
        <v>1</v>
      </c>
      <c r="J2818" s="4" t="s">
        <v>5743</v>
      </c>
      <c r="K2818" s="4" t="s">
        <v>560</v>
      </c>
      <c r="L2818" s="6">
        <v>46319</v>
      </c>
      <c r="M2818" s="4" t="s">
        <v>5864</v>
      </c>
      <c r="N2818" s="4" t="s">
        <v>5865</v>
      </c>
    </row>
    <row r="2819" spans="1:14" ht="40" customHeight="1">
      <c r="A2819" s="8" t="s">
        <v>5744</v>
      </c>
      <c r="B2819" s="8" t="s">
        <v>554</v>
      </c>
      <c r="C2819" s="8" t="s">
        <v>555</v>
      </c>
      <c r="D2819" s="8" t="s">
        <v>7</v>
      </c>
      <c r="E2819" s="8" t="s">
        <v>41</v>
      </c>
      <c r="F2819" s="8" t="s">
        <v>7177</v>
      </c>
      <c r="G2819" s="8" t="s">
        <v>2289</v>
      </c>
      <c r="H2819" s="8">
        <v>1</v>
      </c>
      <c r="I2819" s="8">
        <v>1</v>
      </c>
      <c r="J2819" s="8" t="s">
        <v>5745</v>
      </c>
      <c r="K2819" s="8" t="s">
        <v>560</v>
      </c>
      <c r="L2819" s="9">
        <v>46319</v>
      </c>
      <c r="M2819" s="8" t="s">
        <v>5864</v>
      </c>
      <c r="N2819" s="8" t="s">
        <v>5865</v>
      </c>
    </row>
    <row r="2820" spans="1:14" ht="40" customHeight="1">
      <c r="A2820" s="4" t="s">
        <v>4802</v>
      </c>
      <c r="B2820" s="4" t="s">
        <v>554</v>
      </c>
      <c r="C2820" s="4" t="s">
        <v>555</v>
      </c>
      <c r="D2820" s="4" t="s">
        <v>5879</v>
      </c>
      <c r="E2820" s="4" t="s">
        <v>41</v>
      </c>
      <c r="F2820" s="4" t="s">
        <v>3463</v>
      </c>
      <c r="G2820" s="4" t="s">
        <v>2289</v>
      </c>
      <c r="H2820" s="4">
        <v>1</v>
      </c>
      <c r="I2820" s="4">
        <v>1</v>
      </c>
      <c r="J2820" s="4" t="s">
        <v>4803</v>
      </c>
      <c r="K2820" s="4" t="s">
        <v>560</v>
      </c>
      <c r="L2820" s="6">
        <v>46319</v>
      </c>
      <c r="M2820" s="4" t="s">
        <v>5864</v>
      </c>
      <c r="N2820" s="4" t="s">
        <v>5865</v>
      </c>
    </row>
    <row r="2821" spans="1:14" ht="54" customHeight="1">
      <c r="A2821" s="8" t="s">
        <v>4804</v>
      </c>
      <c r="B2821" s="8" t="s">
        <v>554</v>
      </c>
      <c r="C2821" s="8" t="s">
        <v>555</v>
      </c>
      <c r="D2821" s="8" t="s">
        <v>5879</v>
      </c>
      <c r="E2821" s="8" t="s">
        <v>41</v>
      </c>
      <c r="F2821" s="8" t="s">
        <v>3655</v>
      </c>
      <c r="G2821" s="8" t="s">
        <v>2289</v>
      </c>
      <c r="H2821" s="8">
        <v>1</v>
      </c>
      <c r="I2821" s="8">
        <v>1</v>
      </c>
      <c r="J2821" s="8" t="s">
        <v>4805</v>
      </c>
      <c r="K2821" s="8" t="s">
        <v>560</v>
      </c>
      <c r="L2821" s="9">
        <v>46319</v>
      </c>
      <c r="M2821" s="8" t="s">
        <v>5864</v>
      </c>
      <c r="N2821" s="8" t="s">
        <v>5865</v>
      </c>
    </row>
    <row r="2822" spans="1:14" ht="40" customHeight="1">
      <c r="A2822" s="4" t="s">
        <v>4806</v>
      </c>
      <c r="B2822" s="4" t="s">
        <v>554</v>
      </c>
      <c r="C2822" s="4" t="s">
        <v>555</v>
      </c>
      <c r="D2822" s="4" t="s">
        <v>5879</v>
      </c>
      <c r="E2822" s="4" t="s">
        <v>41</v>
      </c>
      <c r="F2822" s="4" t="s">
        <v>3497</v>
      </c>
      <c r="G2822" s="4" t="s">
        <v>2289</v>
      </c>
      <c r="H2822" s="4">
        <v>1</v>
      </c>
      <c r="I2822" s="4">
        <v>1</v>
      </c>
      <c r="J2822" s="4" t="s">
        <v>4807</v>
      </c>
      <c r="K2822" s="4" t="s">
        <v>560</v>
      </c>
      <c r="L2822" s="6">
        <v>46319</v>
      </c>
      <c r="M2822" s="4" t="s">
        <v>5864</v>
      </c>
      <c r="N2822" s="4" t="s">
        <v>5865</v>
      </c>
    </row>
    <row r="2823" spans="1:14" ht="40" customHeight="1">
      <c r="A2823" s="8" t="s">
        <v>4808</v>
      </c>
      <c r="B2823" s="8" t="s">
        <v>554</v>
      </c>
      <c r="C2823" s="8" t="s">
        <v>555</v>
      </c>
      <c r="D2823" s="8" t="s">
        <v>5879</v>
      </c>
      <c r="E2823" s="8" t="s">
        <v>41</v>
      </c>
      <c r="F2823" s="8" t="s">
        <v>3503</v>
      </c>
      <c r="G2823" s="8" t="s">
        <v>2289</v>
      </c>
      <c r="H2823" s="8">
        <v>1</v>
      </c>
      <c r="I2823" s="8">
        <v>1</v>
      </c>
      <c r="J2823" s="8" t="s">
        <v>4809</v>
      </c>
      <c r="K2823" s="8" t="s">
        <v>560</v>
      </c>
      <c r="L2823" s="9">
        <v>46319</v>
      </c>
      <c r="M2823" s="8" t="s">
        <v>5864</v>
      </c>
      <c r="N2823" s="8" t="s">
        <v>5865</v>
      </c>
    </row>
    <row r="2824" spans="1:14" ht="40" customHeight="1">
      <c r="A2824" s="4" t="s">
        <v>4810</v>
      </c>
      <c r="B2824" s="4" t="s">
        <v>554</v>
      </c>
      <c r="C2824" s="4" t="s">
        <v>555</v>
      </c>
      <c r="D2824" s="4" t="s">
        <v>5879</v>
      </c>
      <c r="E2824" s="4" t="s">
        <v>41</v>
      </c>
      <c r="F2824" s="4" t="s">
        <v>3509</v>
      </c>
      <c r="G2824" s="4" t="s">
        <v>2289</v>
      </c>
      <c r="H2824" s="4">
        <v>1</v>
      </c>
      <c r="I2824" s="4">
        <v>1</v>
      </c>
      <c r="J2824" s="4" t="s">
        <v>4811</v>
      </c>
      <c r="K2824" s="4" t="s">
        <v>560</v>
      </c>
      <c r="L2824" s="6">
        <v>46319</v>
      </c>
      <c r="M2824" s="4" t="s">
        <v>5864</v>
      </c>
      <c r="N2824" s="4" t="s">
        <v>5865</v>
      </c>
    </row>
    <row r="2825" spans="1:14" ht="40" customHeight="1">
      <c r="A2825" s="8" t="s">
        <v>4812</v>
      </c>
      <c r="B2825" s="8" t="s">
        <v>554</v>
      </c>
      <c r="C2825" s="8" t="s">
        <v>555</v>
      </c>
      <c r="D2825" s="8" t="s">
        <v>5879</v>
      </c>
      <c r="E2825" s="8" t="s">
        <v>41</v>
      </c>
      <c r="F2825" s="8" t="s">
        <v>4429</v>
      </c>
      <c r="G2825" s="8" t="s">
        <v>2289</v>
      </c>
      <c r="H2825" s="8">
        <v>1</v>
      </c>
      <c r="I2825" s="8">
        <v>1</v>
      </c>
      <c r="J2825" s="8" t="s">
        <v>4813</v>
      </c>
      <c r="K2825" s="8" t="s">
        <v>560</v>
      </c>
      <c r="L2825" s="9">
        <v>46319</v>
      </c>
      <c r="M2825" s="8" t="s">
        <v>5864</v>
      </c>
      <c r="N2825" s="8" t="s">
        <v>5865</v>
      </c>
    </row>
    <row r="2826" spans="1:14" ht="54" customHeight="1">
      <c r="A2826" s="4" t="s">
        <v>4814</v>
      </c>
      <c r="B2826" s="4" t="s">
        <v>554</v>
      </c>
      <c r="C2826" s="4" t="s">
        <v>555</v>
      </c>
      <c r="D2826" s="4" t="s">
        <v>5879</v>
      </c>
      <c r="E2826" s="4" t="s">
        <v>41</v>
      </c>
      <c r="F2826" s="4" t="s">
        <v>4435</v>
      </c>
      <c r="G2826" s="4" t="s">
        <v>2289</v>
      </c>
      <c r="H2826" s="4">
        <v>1</v>
      </c>
      <c r="I2826" s="4">
        <v>1</v>
      </c>
      <c r="J2826" s="4" t="s">
        <v>4815</v>
      </c>
      <c r="K2826" s="4" t="s">
        <v>560</v>
      </c>
      <c r="L2826" s="6">
        <v>46319</v>
      </c>
      <c r="M2826" s="4" t="s">
        <v>5864</v>
      </c>
      <c r="N2826" s="4" t="s">
        <v>5865</v>
      </c>
    </row>
    <row r="2827" spans="1:14" ht="40" customHeight="1">
      <c r="A2827" s="8" t="s">
        <v>9309</v>
      </c>
      <c r="B2827" s="8" t="s">
        <v>554</v>
      </c>
      <c r="C2827" s="8" t="s">
        <v>555</v>
      </c>
      <c r="D2827" s="8" t="s">
        <v>2969</v>
      </c>
      <c r="E2827" s="8" t="s">
        <v>41</v>
      </c>
      <c r="F2827" s="8" t="s">
        <v>5881</v>
      </c>
      <c r="G2827" s="8" t="s">
        <v>2289</v>
      </c>
      <c r="H2827" s="8">
        <v>1</v>
      </c>
      <c r="I2827" s="8">
        <v>1</v>
      </c>
      <c r="J2827" s="8" t="s">
        <v>9310</v>
      </c>
      <c r="K2827" s="8" t="s">
        <v>560</v>
      </c>
      <c r="L2827" s="9">
        <v>46319</v>
      </c>
      <c r="M2827" s="8" t="s">
        <v>5864</v>
      </c>
      <c r="N2827" s="8" t="s">
        <v>5883</v>
      </c>
    </row>
    <row r="2828" spans="1:14" ht="40" customHeight="1">
      <c r="A2828" s="4" t="s">
        <v>9311</v>
      </c>
      <c r="B2828" s="4" t="s">
        <v>554</v>
      </c>
      <c r="C2828" s="4" t="s">
        <v>555</v>
      </c>
      <c r="D2828" s="4" t="s">
        <v>2969</v>
      </c>
      <c r="E2828" s="4" t="s">
        <v>41</v>
      </c>
      <c r="F2828" s="4" t="s">
        <v>5885</v>
      </c>
      <c r="G2828" s="4" t="s">
        <v>2289</v>
      </c>
      <c r="H2828" s="4">
        <v>1</v>
      </c>
      <c r="I2828" s="4">
        <v>1</v>
      </c>
      <c r="J2828" s="4" t="s">
        <v>9312</v>
      </c>
      <c r="K2828" s="4" t="s">
        <v>560</v>
      </c>
      <c r="L2828" s="6">
        <v>46319</v>
      </c>
      <c r="M2828" s="4" t="s">
        <v>5864</v>
      </c>
      <c r="N2828" s="4" t="s">
        <v>5883</v>
      </c>
    </row>
    <row r="2829" spans="1:14" ht="40" customHeight="1">
      <c r="A2829" s="8" t="s">
        <v>9313</v>
      </c>
      <c r="B2829" s="8" t="s">
        <v>554</v>
      </c>
      <c r="C2829" s="8" t="s">
        <v>555</v>
      </c>
      <c r="D2829" s="8" t="s">
        <v>2969</v>
      </c>
      <c r="E2829" s="8" t="s">
        <v>41</v>
      </c>
      <c r="F2829" s="8" t="s">
        <v>5888</v>
      </c>
      <c r="G2829" s="8" t="s">
        <v>2289</v>
      </c>
      <c r="H2829" s="8">
        <v>1</v>
      </c>
      <c r="I2829" s="8">
        <v>1</v>
      </c>
      <c r="J2829" s="8" t="s">
        <v>9314</v>
      </c>
      <c r="K2829" s="8" t="s">
        <v>560</v>
      </c>
      <c r="L2829" s="9">
        <v>46319</v>
      </c>
      <c r="M2829" s="8" t="s">
        <v>5864</v>
      </c>
      <c r="N2829" s="8" t="s">
        <v>5883</v>
      </c>
    </row>
    <row r="2830" spans="1:14" ht="40" customHeight="1">
      <c r="A2830" s="4" t="s">
        <v>9315</v>
      </c>
      <c r="B2830" s="4" t="s">
        <v>554</v>
      </c>
      <c r="C2830" s="4" t="s">
        <v>555</v>
      </c>
      <c r="D2830" s="4" t="s">
        <v>2969</v>
      </c>
      <c r="E2830" s="4" t="s">
        <v>41</v>
      </c>
      <c r="F2830" s="4" t="s">
        <v>5891</v>
      </c>
      <c r="G2830" s="4" t="s">
        <v>2289</v>
      </c>
      <c r="H2830" s="4">
        <v>1</v>
      </c>
      <c r="I2830" s="4">
        <v>1</v>
      </c>
      <c r="J2830" s="4" t="s">
        <v>9316</v>
      </c>
      <c r="K2830" s="4" t="s">
        <v>560</v>
      </c>
      <c r="L2830" s="6">
        <v>46319</v>
      </c>
      <c r="M2830" s="4" t="s">
        <v>5864</v>
      </c>
      <c r="N2830" s="4" t="s">
        <v>5883</v>
      </c>
    </row>
    <row r="2831" spans="1:14" ht="40" customHeight="1">
      <c r="A2831" s="8" t="s">
        <v>9317</v>
      </c>
      <c r="B2831" s="8" t="s">
        <v>554</v>
      </c>
      <c r="C2831" s="8" t="s">
        <v>555</v>
      </c>
      <c r="D2831" s="8" t="s">
        <v>2969</v>
      </c>
      <c r="E2831" s="8" t="s">
        <v>41</v>
      </c>
      <c r="F2831" s="8" t="s">
        <v>5894</v>
      </c>
      <c r="G2831" s="8" t="s">
        <v>2289</v>
      </c>
      <c r="H2831" s="8">
        <v>1</v>
      </c>
      <c r="I2831" s="8">
        <v>1</v>
      </c>
      <c r="J2831" s="8" t="s">
        <v>9318</v>
      </c>
      <c r="K2831" s="8" t="s">
        <v>560</v>
      </c>
      <c r="L2831" s="9">
        <v>46319</v>
      </c>
      <c r="M2831" s="8" t="s">
        <v>5864</v>
      </c>
      <c r="N2831" s="8" t="s">
        <v>5883</v>
      </c>
    </row>
    <row r="2832" spans="1:14" ht="54" customHeight="1">
      <c r="A2832" s="4" t="s">
        <v>9319</v>
      </c>
      <c r="B2832" s="4" t="s">
        <v>554</v>
      </c>
      <c r="C2832" s="4" t="s">
        <v>555</v>
      </c>
      <c r="D2832" s="4" t="s">
        <v>2969</v>
      </c>
      <c r="E2832" s="4" t="s">
        <v>41</v>
      </c>
      <c r="F2832" s="4" t="s">
        <v>5897</v>
      </c>
      <c r="G2832" s="4" t="s">
        <v>2289</v>
      </c>
      <c r="H2832" s="4">
        <v>1</v>
      </c>
      <c r="I2832" s="4">
        <v>1</v>
      </c>
      <c r="J2832" s="4" t="s">
        <v>9320</v>
      </c>
      <c r="K2832" s="4" t="s">
        <v>560</v>
      </c>
      <c r="L2832" s="6">
        <v>46319</v>
      </c>
      <c r="M2832" s="4" t="s">
        <v>5864</v>
      </c>
      <c r="N2832" s="4" t="s">
        <v>5883</v>
      </c>
    </row>
    <row r="2833" spans="1:14" ht="40" customHeight="1">
      <c r="A2833" s="8" t="s">
        <v>9321</v>
      </c>
      <c r="B2833" s="8" t="s">
        <v>554</v>
      </c>
      <c r="C2833" s="8" t="s">
        <v>555</v>
      </c>
      <c r="D2833" s="8" t="s">
        <v>2969</v>
      </c>
      <c r="E2833" s="8" t="s">
        <v>41</v>
      </c>
      <c r="F2833" s="8" t="s">
        <v>5900</v>
      </c>
      <c r="G2833" s="8" t="s">
        <v>2289</v>
      </c>
      <c r="H2833" s="8">
        <v>1</v>
      </c>
      <c r="I2833" s="8">
        <v>1</v>
      </c>
      <c r="J2833" s="8" t="s">
        <v>9322</v>
      </c>
      <c r="K2833" s="8" t="s">
        <v>560</v>
      </c>
      <c r="L2833" s="9">
        <v>46319</v>
      </c>
      <c r="M2833" s="8" t="s">
        <v>5864</v>
      </c>
      <c r="N2833" s="8" t="s">
        <v>5883</v>
      </c>
    </row>
    <row r="2834" spans="1:14" ht="54" customHeight="1">
      <c r="A2834" s="4" t="s">
        <v>9323</v>
      </c>
      <c r="B2834" s="4" t="s">
        <v>554</v>
      </c>
      <c r="C2834" s="4" t="s">
        <v>555</v>
      </c>
      <c r="D2834" s="4" t="s">
        <v>2969</v>
      </c>
      <c r="E2834" s="4" t="s">
        <v>41</v>
      </c>
      <c r="F2834" s="4" t="s">
        <v>5903</v>
      </c>
      <c r="G2834" s="4" t="s">
        <v>2289</v>
      </c>
      <c r="H2834" s="4">
        <v>1</v>
      </c>
      <c r="I2834" s="4">
        <v>1</v>
      </c>
      <c r="J2834" s="4" t="s">
        <v>9324</v>
      </c>
      <c r="K2834" s="4" t="s">
        <v>560</v>
      </c>
      <c r="L2834" s="6">
        <v>46319</v>
      </c>
      <c r="M2834" s="4" t="s">
        <v>5864</v>
      </c>
      <c r="N2834" s="4" t="s">
        <v>5883</v>
      </c>
    </row>
    <row r="2835" spans="1:14" ht="54" customHeight="1">
      <c r="A2835" s="8" t="s">
        <v>9325</v>
      </c>
      <c r="B2835" s="8" t="s">
        <v>554</v>
      </c>
      <c r="C2835" s="8" t="s">
        <v>555</v>
      </c>
      <c r="D2835" s="8" t="s">
        <v>2969</v>
      </c>
      <c r="E2835" s="8" t="s">
        <v>41</v>
      </c>
      <c r="F2835" s="8" t="s">
        <v>5906</v>
      </c>
      <c r="G2835" s="8" t="s">
        <v>2289</v>
      </c>
      <c r="H2835" s="8">
        <v>1</v>
      </c>
      <c r="I2835" s="8">
        <v>1</v>
      </c>
      <c r="J2835" s="8" t="s">
        <v>9326</v>
      </c>
      <c r="K2835" s="8" t="s">
        <v>560</v>
      </c>
      <c r="L2835" s="9">
        <v>46319</v>
      </c>
      <c r="M2835" s="8" t="s">
        <v>5864</v>
      </c>
      <c r="N2835" s="8" t="s">
        <v>5883</v>
      </c>
    </row>
    <row r="2836" spans="1:14" ht="82" customHeight="1">
      <c r="A2836" s="4" t="s">
        <v>9327</v>
      </c>
      <c r="B2836" s="4" t="s">
        <v>563</v>
      </c>
      <c r="C2836" s="4" t="s">
        <v>564</v>
      </c>
      <c r="D2836" s="4" t="s">
        <v>5861</v>
      </c>
      <c r="E2836" s="4" t="s">
        <v>41</v>
      </c>
      <c r="F2836" s="4" t="s">
        <v>5862</v>
      </c>
      <c r="G2836" s="4" t="s">
        <v>2314</v>
      </c>
      <c r="H2836" s="4">
        <v>1</v>
      </c>
      <c r="I2836" s="4">
        <v>1</v>
      </c>
      <c r="J2836" s="4" t="s">
        <v>9328</v>
      </c>
      <c r="K2836" s="4" t="s">
        <v>567</v>
      </c>
      <c r="L2836" s="6">
        <v>46319</v>
      </c>
      <c r="M2836" s="4" t="s">
        <v>5864</v>
      </c>
      <c r="N2836" s="4" t="s">
        <v>5865</v>
      </c>
    </row>
    <row r="2837" spans="1:14" ht="138" customHeight="1">
      <c r="A2837" s="8" t="s">
        <v>9329</v>
      </c>
      <c r="B2837" s="8" t="s">
        <v>563</v>
      </c>
      <c r="C2837" s="8" t="s">
        <v>564</v>
      </c>
      <c r="D2837" s="8" t="s">
        <v>5861</v>
      </c>
      <c r="E2837" s="8" t="s">
        <v>41</v>
      </c>
      <c r="F2837" s="8" t="s">
        <v>5920</v>
      </c>
      <c r="G2837" s="8" t="s">
        <v>2314</v>
      </c>
      <c r="H2837" s="8">
        <v>1</v>
      </c>
      <c r="I2837" s="8">
        <v>1</v>
      </c>
      <c r="J2837" s="8" t="s">
        <v>9330</v>
      </c>
      <c r="K2837" s="8" t="s">
        <v>567</v>
      </c>
      <c r="L2837" s="9">
        <v>46319</v>
      </c>
      <c r="M2837" s="8" t="s">
        <v>5864</v>
      </c>
      <c r="N2837" s="8" t="s">
        <v>5865</v>
      </c>
    </row>
    <row r="2838" spans="1:14" ht="96" customHeight="1">
      <c r="A2838" s="4" t="s">
        <v>9331</v>
      </c>
      <c r="B2838" s="4" t="s">
        <v>563</v>
      </c>
      <c r="C2838" s="4" t="s">
        <v>564</v>
      </c>
      <c r="D2838" s="4" t="s">
        <v>5861</v>
      </c>
      <c r="E2838" s="4" t="s">
        <v>41</v>
      </c>
      <c r="F2838" s="4" t="s">
        <v>5926</v>
      </c>
      <c r="G2838" s="4" t="s">
        <v>2314</v>
      </c>
      <c r="H2838" s="4">
        <v>1</v>
      </c>
      <c r="I2838" s="4">
        <v>1</v>
      </c>
      <c r="J2838" s="4" t="s">
        <v>9332</v>
      </c>
      <c r="K2838" s="4" t="s">
        <v>567</v>
      </c>
      <c r="L2838" s="6">
        <v>46319</v>
      </c>
      <c r="M2838" s="4" t="s">
        <v>5864</v>
      </c>
      <c r="N2838" s="4" t="s">
        <v>5865</v>
      </c>
    </row>
    <row r="2839" spans="1:14" ht="40" customHeight="1">
      <c r="A2839" s="8" t="s">
        <v>9333</v>
      </c>
      <c r="B2839" s="8" t="s">
        <v>563</v>
      </c>
      <c r="C2839" s="8" t="s">
        <v>564</v>
      </c>
      <c r="D2839" s="8" t="s">
        <v>5867</v>
      </c>
      <c r="E2839" s="8" t="s">
        <v>41</v>
      </c>
      <c r="F2839" s="8" t="s">
        <v>6248</v>
      </c>
      <c r="G2839" s="8" t="s">
        <v>2314</v>
      </c>
      <c r="H2839" s="8">
        <v>1</v>
      </c>
      <c r="I2839" s="8">
        <v>1</v>
      </c>
      <c r="J2839" s="8" t="s">
        <v>9334</v>
      </c>
      <c r="K2839" s="8" t="s">
        <v>567</v>
      </c>
      <c r="L2839" s="9">
        <v>46319</v>
      </c>
      <c r="M2839" s="8" t="s">
        <v>5864</v>
      </c>
      <c r="N2839" s="8" t="s">
        <v>5865</v>
      </c>
    </row>
    <row r="2840" spans="1:14" ht="40" customHeight="1">
      <c r="A2840" s="4" t="s">
        <v>9335</v>
      </c>
      <c r="B2840" s="4" t="s">
        <v>563</v>
      </c>
      <c r="C2840" s="4" t="s">
        <v>564</v>
      </c>
      <c r="D2840" s="4" t="s">
        <v>5867</v>
      </c>
      <c r="E2840" s="4" t="s">
        <v>41</v>
      </c>
      <c r="F2840" s="4" t="s">
        <v>6142</v>
      </c>
      <c r="G2840" s="4" t="s">
        <v>2314</v>
      </c>
      <c r="H2840" s="4">
        <v>1</v>
      </c>
      <c r="I2840" s="4">
        <v>1</v>
      </c>
      <c r="J2840" s="4" t="s">
        <v>9336</v>
      </c>
      <c r="K2840" s="4" t="s">
        <v>567</v>
      </c>
      <c r="L2840" s="6">
        <v>46319</v>
      </c>
      <c r="M2840" s="4" t="s">
        <v>5864</v>
      </c>
      <c r="N2840" s="4" t="s">
        <v>5865</v>
      </c>
    </row>
    <row r="2841" spans="1:14" ht="40" customHeight="1">
      <c r="A2841" s="8" t="s">
        <v>9337</v>
      </c>
      <c r="B2841" s="8" t="s">
        <v>563</v>
      </c>
      <c r="C2841" s="8" t="s">
        <v>564</v>
      </c>
      <c r="D2841" s="8" t="s">
        <v>5867</v>
      </c>
      <c r="E2841" s="8" t="s">
        <v>41</v>
      </c>
      <c r="F2841" s="8" t="s">
        <v>6391</v>
      </c>
      <c r="G2841" s="8" t="s">
        <v>2314</v>
      </c>
      <c r="H2841" s="8">
        <v>1</v>
      </c>
      <c r="I2841" s="8">
        <v>1</v>
      </c>
      <c r="J2841" s="8" t="s">
        <v>9338</v>
      </c>
      <c r="K2841" s="8" t="s">
        <v>567</v>
      </c>
      <c r="L2841" s="9">
        <v>46319</v>
      </c>
      <c r="M2841" s="8" t="s">
        <v>5864</v>
      </c>
      <c r="N2841" s="8" t="s">
        <v>5865</v>
      </c>
    </row>
    <row r="2842" spans="1:14" ht="40" customHeight="1">
      <c r="A2842" s="4" t="s">
        <v>9339</v>
      </c>
      <c r="B2842" s="4" t="s">
        <v>563</v>
      </c>
      <c r="C2842" s="4" t="s">
        <v>564</v>
      </c>
      <c r="D2842" s="4" t="s">
        <v>5867</v>
      </c>
      <c r="E2842" s="4" t="s">
        <v>41</v>
      </c>
      <c r="F2842" s="4" t="s">
        <v>6765</v>
      </c>
      <c r="G2842" s="4" t="s">
        <v>2314</v>
      </c>
      <c r="H2842" s="4">
        <v>1</v>
      </c>
      <c r="I2842" s="4">
        <v>1</v>
      </c>
      <c r="J2842" s="4" t="s">
        <v>9340</v>
      </c>
      <c r="K2842" s="4" t="s">
        <v>567</v>
      </c>
      <c r="L2842" s="6">
        <v>46319</v>
      </c>
      <c r="M2842" s="4" t="s">
        <v>5864</v>
      </c>
      <c r="N2842" s="4" t="s">
        <v>5865</v>
      </c>
    </row>
    <row r="2843" spans="1:14" ht="40" customHeight="1">
      <c r="A2843" s="8" t="s">
        <v>9341</v>
      </c>
      <c r="B2843" s="8" t="s">
        <v>563</v>
      </c>
      <c r="C2843" s="8" t="s">
        <v>564</v>
      </c>
      <c r="D2843" s="8" t="s">
        <v>5867</v>
      </c>
      <c r="E2843" s="8" t="s">
        <v>41</v>
      </c>
      <c r="F2843" s="8" t="s">
        <v>6394</v>
      </c>
      <c r="G2843" s="8" t="s">
        <v>2314</v>
      </c>
      <c r="H2843" s="8">
        <v>1</v>
      </c>
      <c r="I2843" s="8">
        <v>1</v>
      </c>
      <c r="J2843" s="8" t="s">
        <v>9342</v>
      </c>
      <c r="K2843" s="8" t="s">
        <v>567</v>
      </c>
      <c r="L2843" s="9">
        <v>46319</v>
      </c>
      <c r="M2843" s="8" t="s">
        <v>5864</v>
      </c>
      <c r="N2843" s="8" t="s">
        <v>5865</v>
      </c>
    </row>
    <row r="2844" spans="1:14" ht="40" customHeight="1">
      <c r="A2844" s="4" t="s">
        <v>9343</v>
      </c>
      <c r="B2844" s="4" t="s">
        <v>563</v>
      </c>
      <c r="C2844" s="4" t="s">
        <v>564</v>
      </c>
      <c r="D2844" s="4" t="s">
        <v>5867</v>
      </c>
      <c r="E2844" s="4" t="s">
        <v>41</v>
      </c>
      <c r="F2844" s="4" t="s">
        <v>6774</v>
      </c>
      <c r="G2844" s="4" t="s">
        <v>2314</v>
      </c>
      <c r="H2844" s="4">
        <v>1</v>
      </c>
      <c r="I2844" s="4">
        <v>1</v>
      </c>
      <c r="J2844" s="4" t="s">
        <v>9344</v>
      </c>
      <c r="K2844" s="4" t="s">
        <v>567</v>
      </c>
      <c r="L2844" s="6">
        <v>46319</v>
      </c>
      <c r="M2844" s="4" t="s">
        <v>5864</v>
      </c>
      <c r="N2844" s="4" t="s">
        <v>5865</v>
      </c>
    </row>
    <row r="2845" spans="1:14" ht="40" customHeight="1">
      <c r="A2845" s="8" t="s">
        <v>9345</v>
      </c>
      <c r="B2845" s="8" t="s">
        <v>563</v>
      </c>
      <c r="C2845" s="8" t="s">
        <v>564</v>
      </c>
      <c r="D2845" s="8" t="s">
        <v>5867</v>
      </c>
      <c r="E2845" s="8" t="s">
        <v>41</v>
      </c>
      <c r="F2845" s="8" t="s">
        <v>7381</v>
      </c>
      <c r="G2845" s="8" t="s">
        <v>2314</v>
      </c>
      <c r="H2845" s="8">
        <v>1</v>
      </c>
      <c r="I2845" s="8">
        <v>1</v>
      </c>
      <c r="J2845" s="8" t="s">
        <v>9346</v>
      </c>
      <c r="K2845" s="8" t="s">
        <v>567</v>
      </c>
      <c r="L2845" s="9">
        <v>46319</v>
      </c>
      <c r="M2845" s="8" t="s">
        <v>5864</v>
      </c>
      <c r="N2845" s="8" t="s">
        <v>5865</v>
      </c>
    </row>
    <row r="2846" spans="1:14" ht="40" customHeight="1">
      <c r="A2846" s="4" t="s">
        <v>9347</v>
      </c>
      <c r="B2846" s="4" t="s">
        <v>563</v>
      </c>
      <c r="C2846" s="4" t="s">
        <v>564</v>
      </c>
      <c r="D2846" s="4" t="s">
        <v>637</v>
      </c>
      <c r="E2846" s="4" t="s">
        <v>41</v>
      </c>
      <c r="F2846" s="4" t="s">
        <v>904</v>
      </c>
      <c r="G2846" s="4" t="s">
        <v>2314</v>
      </c>
      <c r="H2846" s="4">
        <v>1</v>
      </c>
      <c r="I2846" s="4">
        <v>1</v>
      </c>
      <c r="J2846" s="4" t="s">
        <v>2312</v>
      </c>
      <c r="K2846" s="4" t="s">
        <v>567</v>
      </c>
      <c r="L2846" s="6">
        <v>46319</v>
      </c>
      <c r="M2846" s="4" t="s">
        <v>5864</v>
      </c>
      <c r="N2846" s="4" t="s">
        <v>5865</v>
      </c>
    </row>
    <row r="2847" spans="1:14" ht="40" customHeight="1">
      <c r="A2847" s="8" t="s">
        <v>9348</v>
      </c>
      <c r="B2847" s="8" t="s">
        <v>563</v>
      </c>
      <c r="C2847" s="8" t="s">
        <v>564</v>
      </c>
      <c r="D2847" s="8" t="s">
        <v>637</v>
      </c>
      <c r="E2847" s="8" t="s">
        <v>41</v>
      </c>
      <c r="F2847" s="8" t="s">
        <v>912</v>
      </c>
      <c r="G2847" s="8" t="s">
        <v>2314</v>
      </c>
      <c r="H2847" s="8">
        <v>1</v>
      </c>
      <c r="I2847" s="8">
        <v>1</v>
      </c>
      <c r="J2847" s="8" t="s">
        <v>2316</v>
      </c>
      <c r="K2847" s="8" t="s">
        <v>567</v>
      </c>
      <c r="L2847" s="9">
        <v>46319</v>
      </c>
      <c r="M2847" s="8" t="s">
        <v>5864</v>
      </c>
      <c r="N2847" s="8" t="s">
        <v>5865</v>
      </c>
    </row>
    <row r="2848" spans="1:14" ht="110" customHeight="1">
      <c r="A2848" s="4" t="s">
        <v>9349</v>
      </c>
      <c r="B2848" s="4" t="s">
        <v>563</v>
      </c>
      <c r="C2848" s="4" t="s">
        <v>564</v>
      </c>
      <c r="D2848" s="4" t="s">
        <v>637</v>
      </c>
      <c r="E2848" s="4" t="s">
        <v>41</v>
      </c>
      <c r="F2848" s="4" t="s">
        <v>1015</v>
      </c>
      <c r="G2848" s="4" t="s">
        <v>2314</v>
      </c>
      <c r="H2848" s="4">
        <v>1</v>
      </c>
      <c r="I2848" s="4">
        <v>1</v>
      </c>
      <c r="J2848" s="4" t="s">
        <v>2319</v>
      </c>
      <c r="K2848" s="4" t="s">
        <v>567</v>
      </c>
      <c r="L2848" s="6">
        <v>46319</v>
      </c>
      <c r="M2848" s="4" t="s">
        <v>5864</v>
      </c>
      <c r="N2848" s="4" t="s">
        <v>5865</v>
      </c>
    </row>
    <row r="2849" spans="1:14" ht="54" customHeight="1">
      <c r="A2849" s="8" t="s">
        <v>9350</v>
      </c>
      <c r="B2849" s="8" t="s">
        <v>563</v>
      </c>
      <c r="C2849" s="8" t="s">
        <v>564</v>
      </c>
      <c r="D2849" s="8" t="s">
        <v>637</v>
      </c>
      <c r="E2849" s="8" t="s">
        <v>41</v>
      </c>
      <c r="F2849" s="8" t="s">
        <v>1019</v>
      </c>
      <c r="G2849" s="8" t="s">
        <v>2314</v>
      </c>
      <c r="H2849" s="8">
        <v>1</v>
      </c>
      <c r="I2849" s="8">
        <v>1</v>
      </c>
      <c r="J2849" s="8" t="s">
        <v>2322</v>
      </c>
      <c r="K2849" s="8" t="s">
        <v>567</v>
      </c>
      <c r="L2849" s="9">
        <v>46319</v>
      </c>
      <c r="M2849" s="8" t="s">
        <v>5864</v>
      </c>
      <c r="N2849" s="8" t="s">
        <v>5865</v>
      </c>
    </row>
    <row r="2850" spans="1:14" ht="54" customHeight="1">
      <c r="A2850" s="4" t="s">
        <v>9351</v>
      </c>
      <c r="B2850" s="4" t="s">
        <v>563</v>
      </c>
      <c r="C2850" s="4" t="s">
        <v>564</v>
      </c>
      <c r="D2850" s="4" t="s">
        <v>637</v>
      </c>
      <c r="E2850" s="4" t="s">
        <v>41</v>
      </c>
      <c r="F2850" s="4" t="s">
        <v>1147</v>
      </c>
      <c r="G2850" s="4" t="s">
        <v>2314</v>
      </c>
      <c r="H2850" s="4">
        <v>1</v>
      </c>
      <c r="I2850" s="4">
        <v>1</v>
      </c>
      <c r="J2850" s="4" t="s">
        <v>2325</v>
      </c>
      <c r="K2850" s="4" t="s">
        <v>567</v>
      </c>
      <c r="L2850" s="6">
        <v>46319</v>
      </c>
      <c r="M2850" s="4" t="s">
        <v>5864</v>
      </c>
      <c r="N2850" s="4" t="s">
        <v>5865</v>
      </c>
    </row>
    <row r="2851" spans="1:14" ht="96" customHeight="1">
      <c r="A2851" s="8" t="s">
        <v>9352</v>
      </c>
      <c r="B2851" s="8" t="s">
        <v>563</v>
      </c>
      <c r="C2851" s="8" t="s">
        <v>564</v>
      </c>
      <c r="D2851" s="8" t="s">
        <v>637</v>
      </c>
      <c r="E2851" s="8" t="s">
        <v>41</v>
      </c>
      <c r="F2851" s="8" t="s">
        <v>1254</v>
      </c>
      <c r="G2851" s="8" t="s">
        <v>2314</v>
      </c>
      <c r="H2851" s="8">
        <v>1</v>
      </c>
      <c r="I2851" s="8">
        <v>1</v>
      </c>
      <c r="J2851" s="8" t="s">
        <v>2328</v>
      </c>
      <c r="K2851" s="8" t="s">
        <v>567</v>
      </c>
      <c r="L2851" s="9">
        <v>46319</v>
      </c>
      <c r="M2851" s="8" t="s">
        <v>5864</v>
      </c>
      <c r="N2851" s="8" t="s">
        <v>5865</v>
      </c>
    </row>
    <row r="2852" spans="1:14" ht="54" customHeight="1">
      <c r="A2852" s="4" t="s">
        <v>9353</v>
      </c>
      <c r="B2852" s="4" t="s">
        <v>563</v>
      </c>
      <c r="C2852" s="4" t="s">
        <v>564</v>
      </c>
      <c r="D2852" s="4" t="s">
        <v>637</v>
      </c>
      <c r="E2852" s="4" t="s">
        <v>41</v>
      </c>
      <c r="F2852" s="4" t="s">
        <v>1258</v>
      </c>
      <c r="G2852" s="4" t="s">
        <v>2314</v>
      </c>
      <c r="H2852" s="4">
        <v>1</v>
      </c>
      <c r="I2852" s="4">
        <v>1</v>
      </c>
      <c r="J2852" s="4" t="s">
        <v>2331</v>
      </c>
      <c r="K2852" s="4" t="s">
        <v>567</v>
      </c>
      <c r="L2852" s="6">
        <v>46319</v>
      </c>
      <c r="M2852" s="4" t="s">
        <v>5864</v>
      </c>
      <c r="N2852" s="4" t="s">
        <v>5865</v>
      </c>
    </row>
    <row r="2853" spans="1:14" ht="40" customHeight="1">
      <c r="A2853" s="8" t="s">
        <v>9354</v>
      </c>
      <c r="B2853" s="8" t="s">
        <v>563</v>
      </c>
      <c r="C2853" s="8" t="s">
        <v>564</v>
      </c>
      <c r="D2853" s="8" t="s">
        <v>914</v>
      </c>
      <c r="E2853" s="8" t="s">
        <v>41</v>
      </c>
      <c r="F2853" s="8" t="s">
        <v>1023</v>
      </c>
      <c r="G2853" s="8" t="s">
        <v>2314</v>
      </c>
      <c r="H2853" s="8">
        <v>1</v>
      </c>
      <c r="I2853" s="8">
        <v>1</v>
      </c>
      <c r="J2853" s="8" t="s">
        <v>2334</v>
      </c>
      <c r="K2853" s="8" t="s">
        <v>567</v>
      </c>
      <c r="L2853" s="9">
        <v>46319</v>
      </c>
      <c r="M2853" s="8" t="s">
        <v>5864</v>
      </c>
      <c r="N2853" s="8" t="s">
        <v>5865</v>
      </c>
    </row>
    <row r="2854" spans="1:14" ht="40" customHeight="1">
      <c r="A2854" s="4" t="s">
        <v>5746</v>
      </c>
      <c r="B2854" s="4" t="s">
        <v>563</v>
      </c>
      <c r="C2854" s="4" t="s">
        <v>564</v>
      </c>
      <c r="D2854" s="4" t="s">
        <v>7</v>
      </c>
      <c r="E2854" s="4" t="s">
        <v>41</v>
      </c>
      <c r="F2854" s="4" t="s">
        <v>6150</v>
      </c>
      <c r="G2854" s="4" t="s">
        <v>2314</v>
      </c>
      <c r="H2854" s="4">
        <v>1</v>
      </c>
      <c r="I2854" s="4">
        <v>1</v>
      </c>
      <c r="J2854" s="4" t="s">
        <v>5747</v>
      </c>
      <c r="K2854" s="4" t="s">
        <v>567</v>
      </c>
      <c r="L2854" s="6">
        <v>46319</v>
      </c>
      <c r="M2854" s="4" t="s">
        <v>5864</v>
      </c>
      <c r="N2854" s="4" t="s">
        <v>5865</v>
      </c>
    </row>
    <row r="2855" spans="1:14" ht="40" customHeight="1">
      <c r="A2855" s="8" t="s">
        <v>5748</v>
      </c>
      <c r="B2855" s="8" t="s">
        <v>563</v>
      </c>
      <c r="C2855" s="8" t="s">
        <v>564</v>
      </c>
      <c r="D2855" s="8" t="s">
        <v>7</v>
      </c>
      <c r="E2855" s="8" t="s">
        <v>41</v>
      </c>
      <c r="F2855" s="8" t="s">
        <v>6834</v>
      </c>
      <c r="G2855" s="8" t="s">
        <v>2314</v>
      </c>
      <c r="H2855" s="8">
        <v>1</v>
      </c>
      <c r="I2855" s="8">
        <v>1</v>
      </c>
      <c r="J2855" s="8" t="s">
        <v>5749</v>
      </c>
      <c r="K2855" s="8" t="s">
        <v>567</v>
      </c>
      <c r="L2855" s="9">
        <v>46319</v>
      </c>
      <c r="M2855" s="8" t="s">
        <v>5864</v>
      </c>
      <c r="N2855" s="8" t="s">
        <v>5865</v>
      </c>
    </row>
    <row r="2856" spans="1:14" ht="40" customHeight="1">
      <c r="A2856" s="4" t="s">
        <v>5750</v>
      </c>
      <c r="B2856" s="4" t="s">
        <v>563</v>
      </c>
      <c r="C2856" s="4" t="s">
        <v>564</v>
      </c>
      <c r="D2856" s="4" t="s">
        <v>7</v>
      </c>
      <c r="E2856" s="4" t="s">
        <v>41</v>
      </c>
      <c r="F2856" s="4" t="s">
        <v>7172</v>
      </c>
      <c r="G2856" s="4" t="s">
        <v>2314</v>
      </c>
      <c r="H2856" s="4">
        <v>1</v>
      </c>
      <c r="I2856" s="4">
        <v>1</v>
      </c>
      <c r="J2856" s="4" t="s">
        <v>5751</v>
      </c>
      <c r="K2856" s="4" t="s">
        <v>567</v>
      </c>
      <c r="L2856" s="6">
        <v>46319</v>
      </c>
      <c r="M2856" s="4" t="s">
        <v>5864</v>
      </c>
      <c r="N2856" s="4" t="s">
        <v>5865</v>
      </c>
    </row>
    <row r="2857" spans="1:14" ht="40" customHeight="1">
      <c r="A2857" s="8" t="s">
        <v>5752</v>
      </c>
      <c r="B2857" s="8" t="s">
        <v>563</v>
      </c>
      <c r="C2857" s="8" t="s">
        <v>564</v>
      </c>
      <c r="D2857" s="8" t="s">
        <v>7</v>
      </c>
      <c r="E2857" s="8" t="s">
        <v>41</v>
      </c>
      <c r="F2857" s="8" t="s">
        <v>6921</v>
      </c>
      <c r="G2857" s="8" t="s">
        <v>2314</v>
      </c>
      <c r="H2857" s="8">
        <v>1</v>
      </c>
      <c r="I2857" s="8">
        <v>1</v>
      </c>
      <c r="J2857" s="8" t="s">
        <v>5753</v>
      </c>
      <c r="K2857" s="8" t="s">
        <v>567</v>
      </c>
      <c r="L2857" s="9">
        <v>46319</v>
      </c>
      <c r="M2857" s="8" t="s">
        <v>5864</v>
      </c>
      <c r="N2857" s="8" t="s">
        <v>5865</v>
      </c>
    </row>
    <row r="2858" spans="1:14" ht="40" customHeight="1">
      <c r="A2858" s="4" t="s">
        <v>5754</v>
      </c>
      <c r="B2858" s="4" t="s">
        <v>563</v>
      </c>
      <c r="C2858" s="4" t="s">
        <v>564</v>
      </c>
      <c r="D2858" s="4" t="s">
        <v>7</v>
      </c>
      <c r="E2858" s="4" t="s">
        <v>41</v>
      </c>
      <c r="F2858" s="4" t="s">
        <v>7173</v>
      </c>
      <c r="G2858" s="4" t="s">
        <v>2314</v>
      </c>
      <c r="H2858" s="4">
        <v>1</v>
      </c>
      <c r="I2858" s="4">
        <v>1</v>
      </c>
      <c r="J2858" s="4" t="s">
        <v>5755</v>
      </c>
      <c r="K2858" s="4" t="s">
        <v>567</v>
      </c>
      <c r="L2858" s="6">
        <v>46319</v>
      </c>
      <c r="M2858" s="4" t="s">
        <v>5864</v>
      </c>
      <c r="N2858" s="4" t="s">
        <v>5865</v>
      </c>
    </row>
    <row r="2859" spans="1:14" ht="40" customHeight="1">
      <c r="A2859" s="8" t="s">
        <v>5756</v>
      </c>
      <c r="B2859" s="8" t="s">
        <v>563</v>
      </c>
      <c r="C2859" s="8" t="s">
        <v>564</v>
      </c>
      <c r="D2859" s="8" t="s">
        <v>7</v>
      </c>
      <c r="E2859" s="8" t="s">
        <v>41</v>
      </c>
      <c r="F2859" s="8" t="s">
        <v>7174</v>
      </c>
      <c r="G2859" s="8" t="s">
        <v>2314</v>
      </c>
      <c r="H2859" s="8">
        <v>1</v>
      </c>
      <c r="I2859" s="8">
        <v>1</v>
      </c>
      <c r="J2859" s="8" t="s">
        <v>5757</v>
      </c>
      <c r="K2859" s="8" t="s">
        <v>567</v>
      </c>
      <c r="L2859" s="9">
        <v>46319</v>
      </c>
      <c r="M2859" s="8" t="s">
        <v>5864</v>
      </c>
      <c r="N2859" s="8" t="s">
        <v>5865</v>
      </c>
    </row>
    <row r="2860" spans="1:14" ht="40" customHeight="1">
      <c r="A2860" s="4" t="s">
        <v>4816</v>
      </c>
      <c r="B2860" s="4" t="s">
        <v>563</v>
      </c>
      <c r="C2860" s="4" t="s">
        <v>564</v>
      </c>
      <c r="D2860" s="4" t="s">
        <v>5879</v>
      </c>
      <c r="E2860" s="4" t="s">
        <v>41</v>
      </c>
      <c r="F2860" s="4" t="s">
        <v>3449</v>
      </c>
      <c r="G2860" s="4" t="s">
        <v>2314</v>
      </c>
      <c r="H2860" s="4">
        <v>1</v>
      </c>
      <c r="I2860" s="4">
        <v>1</v>
      </c>
      <c r="J2860" s="4" t="s">
        <v>4817</v>
      </c>
      <c r="K2860" s="4" t="s">
        <v>567</v>
      </c>
      <c r="L2860" s="6">
        <v>46319</v>
      </c>
      <c r="M2860" s="4" t="s">
        <v>5864</v>
      </c>
      <c r="N2860" s="4" t="s">
        <v>5865</v>
      </c>
    </row>
    <row r="2861" spans="1:14" ht="40" customHeight="1">
      <c r="A2861" s="8" t="s">
        <v>4818</v>
      </c>
      <c r="B2861" s="8" t="s">
        <v>563</v>
      </c>
      <c r="C2861" s="8" t="s">
        <v>564</v>
      </c>
      <c r="D2861" s="8" t="s">
        <v>5879</v>
      </c>
      <c r="E2861" s="8" t="s">
        <v>41</v>
      </c>
      <c r="F2861" s="8" t="s">
        <v>3469</v>
      </c>
      <c r="G2861" s="8" t="s">
        <v>2314</v>
      </c>
      <c r="H2861" s="8">
        <v>1</v>
      </c>
      <c r="I2861" s="8">
        <v>1</v>
      </c>
      <c r="J2861" s="8" t="s">
        <v>4819</v>
      </c>
      <c r="K2861" s="8" t="s">
        <v>567</v>
      </c>
      <c r="L2861" s="9">
        <v>46319</v>
      </c>
      <c r="M2861" s="8" t="s">
        <v>5864</v>
      </c>
      <c r="N2861" s="8" t="s">
        <v>5865</v>
      </c>
    </row>
    <row r="2862" spans="1:14" ht="40" customHeight="1">
      <c r="A2862" s="4" t="s">
        <v>4820</v>
      </c>
      <c r="B2862" s="4" t="s">
        <v>563</v>
      </c>
      <c r="C2862" s="4" t="s">
        <v>564</v>
      </c>
      <c r="D2862" s="4" t="s">
        <v>5879</v>
      </c>
      <c r="E2862" s="4" t="s">
        <v>41</v>
      </c>
      <c r="F2862" s="4" t="s">
        <v>3475</v>
      </c>
      <c r="G2862" s="4" t="s">
        <v>2314</v>
      </c>
      <c r="H2862" s="4">
        <v>1</v>
      </c>
      <c r="I2862" s="4">
        <v>1</v>
      </c>
      <c r="J2862" s="4" t="s">
        <v>4821</v>
      </c>
      <c r="K2862" s="4" t="s">
        <v>567</v>
      </c>
      <c r="L2862" s="6">
        <v>46319</v>
      </c>
      <c r="M2862" s="4" t="s">
        <v>5864</v>
      </c>
      <c r="N2862" s="4" t="s">
        <v>5865</v>
      </c>
    </row>
    <row r="2863" spans="1:14" ht="40" customHeight="1">
      <c r="A2863" s="8" t="s">
        <v>4822</v>
      </c>
      <c r="B2863" s="8" t="s">
        <v>563</v>
      </c>
      <c r="C2863" s="8" t="s">
        <v>564</v>
      </c>
      <c r="D2863" s="8" t="s">
        <v>5879</v>
      </c>
      <c r="E2863" s="8" t="s">
        <v>41</v>
      </c>
      <c r="F2863" s="8" t="s">
        <v>3603</v>
      </c>
      <c r="G2863" s="8" t="s">
        <v>2314</v>
      </c>
      <c r="H2863" s="8">
        <v>1</v>
      </c>
      <c r="I2863" s="8">
        <v>1</v>
      </c>
      <c r="J2863" s="8" t="s">
        <v>4823</v>
      </c>
      <c r="K2863" s="8" t="s">
        <v>567</v>
      </c>
      <c r="L2863" s="9">
        <v>46319</v>
      </c>
      <c r="M2863" s="8" t="s">
        <v>5864</v>
      </c>
      <c r="N2863" s="8" t="s">
        <v>5865</v>
      </c>
    </row>
    <row r="2864" spans="1:14" ht="40" customHeight="1">
      <c r="A2864" s="4" t="s">
        <v>4824</v>
      </c>
      <c r="B2864" s="4" t="s">
        <v>563</v>
      </c>
      <c r="C2864" s="4" t="s">
        <v>564</v>
      </c>
      <c r="D2864" s="4" t="s">
        <v>5879</v>
      </c>
      <c r="E2864" s="4" t="s">
        <v>41</v>
      </c>
      <c r="F2864" s="4" t="s">
        <v>3608</v>
      </c>
      <c r="G2864" s="4" t="s">
        <v>2314</v>
      </c>
      <c r="H2864" s="4">
        <v>1</v>
      </c>
      <c r="I2864" s="4">
        <v>1</v>
      </c>
      <c r="J2864" s="4" t="s">
        <v>4825</v>
      </c>
      <c r="K2864" s="4" t="s">
        <v>567</v>
      </c>
      <c r="L2864" s="6">
        <v>46319</v>
      </c>
      <c r="M2864" s="4" t="s">
        <v>5864</v>
      </c>
      <c r="N2864" s="4" t="s">
        <v>5865</v>
      </c>
    </row>
    <row r="2865" spans="1:14" ht="40" customHeight="1">
      <c r="A2865" s="8" t="s">
        <v>4826</v>
      </c>
      <c r="B2865" s="8" t="s">
        <v>563</v>
      </c>
      <c r="C2865" s="8" t="s">
        <v>564</v>
      </c>
      <c r="D2865" s="8" t="s">
        <v>5879</v>
      </c>
      <c r="E2865" s="8" t="s">
        <v>41</v>
      </c>
      <c r="F2865" s="8" t="s">
        <v>3775</v>
      </c>
      <c r="G2865" s="8" t="s">
        <v>2314</v>
      </c>
      <c r="H2865" s="8">
        <v>1</v>
      </c>
      <c r="I2865" s="8">
        <v>1</v>
      </c>
      <c r="J2865" s="8" t="s">
        <v>4827</v>
      </c>
      <c r="K2865" s="8" t="s">
        <v>567</v>
      </c>
      <c r="L2865" s="9">
        <v>46319</v>
      </c>
      <c r="M2865" s="8" t="s">
        <v>5864</v>
      </c>
      <c r="N2865" s="8" t="s">
        <v>5865</v>
      </c>
    </row>
    <row r="2866" spans="1:14" ht="40" customHeight="1">
      <c r="A2866" s="4" t="s">
        <v>4828</v>
      </c>
      <c r="B2866" s="4" t="s">
        <v>563</v>
      </c>
      <c r="C2866" s="4" t="s">
        <v>564</v>
      </c>
      <c r="D2866" s="4" t="s">
        <v>5879</v>
      </c>
      <c r="E2866" s="4" t="s">
        <v>41</v>
      </c>
      <c r="F2866" s="4" t="s">
        <v>3777</v>
      </c>
      <c r="G2866" s="4" t="s">
        <v>2314</v>
      </c>
      <c r="H2866" s="4">
        <v>1</v>
      </c>
      <c r="I2866" s="4">
        <v>1</v>
      </c>
      <c r="J2866" s="4" t="s">
        <v>4829</v>
      </c>
      <c r="K2866" s="4" t="s">
        <v>567</v>
      </c>
      <c r="L2866" s="6">
        <v>46319</v>
      </c>
      <c r="M2866" s="4" t="s">
        <v>5864</v>
      </c>
      <c r="N2866" s="4" t="s">
        <v>5865</v>
      </c>
    </row>
    <row r="2867" spans="1:14" ht="40" customHeight="1">
      <c r="A2867" s="8" t="s">
        <v>4830</v>
      </c>
      <c r="B2867" s="8" t="s">
        <v>563</v>
      </c>
      <c r="C2867" s="8" t="s">
        <v>564</v>
      </c>
      <c r="D2867" s="8" t="s">
        <v>5879</v>
      </c>
      <c r="E2867" s="8" t="s">
        <v>41</v>
      </c>
      <c r="F2867" s="8" t="s">
        <v>3781</v>
      </c>
      <c r="G2867" s="8" t="s">
        <v>2314</v>
      </c>
      <c r="H2867" s="8">
        <v>1</v>
      </c>
      <c r="I2867" s="8">
        <v>1</v>
      </c>
      <c r="J2867" s="8" t="s">
        <v>4831</v>
      </c>
      <c r="K2867" s="8" t="s">
        <v>567</v>
      </c>
      <c r="L2867" s="9">
        <v>46319</v>
      </c>
      <c r="M2867" s="8" t="s">
        <v>5864</v>
      </c>
      <c r="N2867" s="8" t="s">
        <v>5865</v>
      </c>
    </row>
    <row r="2868" spans="1:14" ht="68" customHeight="1">
      <c r="A2868" s="4" t="s">
        <v>9355</v>
      </c>
      <c r="B2868" s="4" t="s">
        <v>563</v>
      </c>
      <c r="C2868" s="4" t="s">
        <v>564</v>
      </c>
      <c r="D2868" s="4" t="s">
        <v>2969</v>
      </c>
      <c r="E2868" s="4" t="s">
        <v>41</v>
      </c>
      <c r="F2868" s="4" t="s">
        <v>5881</v>
      </c>
      <c r="G2868" s="4" t="s">
        <v>2314</v>
      </c>
      <c r="H2868" s="4">
        <v>1</v>
      </c>
      <c r="I2868" s="4">
        <v>1</v>
      </c>
      <c r="J2868" s="4" t="s">
        <v>9356</v>
      </c>
      <c r="K2868" s="4" t="s">
        <v>567</v>
      </c>
      <c r="L2868" s="6">
        <v>46319</v>
      </c>
      <c r="M2868" s="4" t="s">
        <v>5864</v>
      </c>
      <c r="N2868" s="4" t="s">
        <v>5883</v>
      </c>
    </row>
    <row r="2869" spans="1:14" ht="54" customHeight="1">
      <c r="A2869" s="8" t="s">
        <v>9357</v>
      </c>
      <c r="B2869" s="8" t="s">
        <v>563</v>
      </c>
      <c r="C2869" s="8" t="s">
        <v>564</v>
      </c>
      <c r="D2869" s="8" t="s">
        <v>2969</v>
      </c>
      <c r="E2869" s="8" t="s">
        <v>41</v>
      </c>
      <c r="F2869" s="8" t="s">
        <v>5885</v>
      </c>
      <c r="G2869" s="8" t="s">
        <v>2314</v>
      </c>
      <c r="H2869" s="8">
        <v>1</v>
      </c>
      <c r="I2869" s="8">
        <v>1</v>
      </c>
      <c r="J2869" s="8" t="s">
        <v>9358</v>
      </c>
      <c r="K2869" s="8" t="s">
        <v>567</v>
      </c>
      <c r="L2869" s="9">
        <v>46319</v>
      </c>
      <c r="M2869" s="8" t="s">
        <v>5864</v>
      </c>
      <c r="N2869" s="8" t="s">
        <v>5883</v>
      </c>
    </row>
    <row r="2870" spans="1:14" ht="110" customHeight="1">
      <c r="A2870" s="4" t="s">
        <v>9359</v>
      </c>
      <c r="B2870" s="4" t="s">
        <v>563</v>
      </c>
      <c r="C2870" s="4" t="s">
        <v>564</v>
      </c>
      <c r="D2870" s="4" t="s">
        <v>2969</v>
      </c>
      <c r="E2870" s="4" t="s">
        <v>41</v>
      </c>
      <c r="F2870" s="4" t="s">
        <v>5888</v>
      </c>
      <c r="G2870" s="4" t="s">
        <v>2314</v>
      </c>
      <c r="H2870" s="4">
        <v>1</v>
      </c>
      <c r="I2870" s="4">
        <v>1</v>
      </c>
      <c r="J2870" s="4" t="s">
        <v>9360</v>
      </c>
      <c r="K2870" s="4" t="s">
        <v>567</v>
      </c>
      <c r="L2870" s="6">
        <v>46319</v>
      </c>
      <c r="M2870" s="4" t="s">
        <v>5864</v>
      </c>
      <c r="N2870" s="4" t="s">
        <v>5883</v>
      </c>
    </row>
    <row r="2871" spans="1:14" ht="96" customHeight="1">
      <c r="A2871" s="8" t="s">
        <v>9361</v>
      </c>
      <c r="B2871" s="8" t="s">
        <v>563</v>
      </c>
      <c r="C2871" s="8" t="s">
        <v>564</v>
      </c>
      <c r="D2871" s="8" t="s">
        <v>2969</v>
      </c>
      <c r="E2871" s="8" t="s">
        <v>41</v>
      </c>
      <c r="F2871" s="8" t="s">
        <v>5891</v>
      </c>
      <c r="G2871" s="8" t="s">
        <v>2314</v>
      </c>
      <c r="H2871" s="8">
        <v>1</v>
      </c>
      <c r="I2871" s="8">
        <v>1</v>
      </c>
      <c r="J2871" s="8" t="s">
        <v>9362</v>
      </c>
      <c r="K2871" s="8" t="s">
        <v>567</v>
      </c>
      <c r="L2871" s="9">
        <v>46319</v>
      </c>
      <c r="M2871" s="8" t="s">
        <v>5864</v>
      </c>
      <c r="N2871" s="8" t="s">
        <v>5883</v>
      </c>
    </row>
    <row r="2872" spans="1:14" ht="96" customHeight="1">
      <c r="A2872" s="4" t="s">
        <v>9363</v>
      </c>
      <c r="B2872" s="4" t="s">
        <v>563</v>
      </c>
      <c r="C2872" s="4" t="s">
        <v>564</v>
      </c>
      <c r="D2872" s="4" t="s">
        <v>2969</v>
      </c>
      <c r="E2872" s="4" t="s">
        <v>41</v>
      </c>
      <c r="F2872" s="4" t="s">
        <v>5894</v>
      </c>
      <c r="G2872" s="4" t="s">
        <v>2314</v>
      </c>
      <c r="H2872" s="4">
        <v>1</v>
      </c>
      <c r="I2872" s="4">
        <v>1</v>
      </c>
      <c r="J2872" s="4" t="s">
        <v>9364</v>
      </c>
      <c r="K2872" s="4" t="s">
        <v>567</v>
      </c>
      <c r="L2872" s="6">
        <v>46319</v>
      </c>
      <c r="M2872" s="4" t="s">
        <v>5864</v>
      </c>
      <c r="N2872" s="4" t="s">
        <v>5883</v>
      </c>
    </row>
    <row r="2873" spans="1:14" ht="110" customHeight="1">
      <c r="A2873" s="8" t="s">
        <v>9365</v>
      </c>
      <c r="B2873" s="8" t="s">
        <v>563</v>
      </c>
      <c r="C2873" s="8" t="s">
        <v>564</v>
      </c>
      <c r="D2873" s="8" t="s">
        <v>2969</v>
      </c>
      <c r="E2873" s="8" t="s">
        <v>41</v>
      </c>
      <c r="F2873" s="8" t="s">
        <v>5897</v>
      </c>
      <c r="G2873" s="8" t="s">
        <v>2314</v>
      </c>
      <c r="H2873" s="8">
        <v>1</v>
      </c>
      <c r="I2873" s="8">
        <v>1</v>
      </c>
      <c r="J2873" s="8" t="s">
        <v>9366</v>
      </c>
      <c r="K2873" s="8" t="s">
        <v>567</v>
      </c>
      <c r="L2873" s="9">
        <v>46319</v>
      </c>
      <c r="M2873" s="8" t="s">
        <v>5864</v>
      </c>
      <c r="N2873" s="8" t="s">
        <v>5883</v>
      </c>
    </row>
    <row r="2874" spans="1:14" ht="54" customHeight="1">
      <c r="A2874" s="4" t="s">
        <v>9367</v>
      </c>
      <c r="B2874" s="4" t="s">
        <v>563</v>
      </c>
      <c r="C2874" s="4" t="s">
        <v>564</v>
      </c>
      <c r="D2874" s="4" t="s">
        <v>2969</v>
      </c>
      <c r="E2874" s="4" t="s">
        <v>41</v>
      </c>
      <c r="F2874" s="4" t="s">
        <v>5900</v>
      </c>
      <c r="G2874" s="4" t="s">
        <v>2314</v>
      </c>
      <c r="H2874" s="4">
        <v>1</v>
      </c>
      <c r="I2874" s="4">
        <v>1</v>
      </c>
      <c r="J2874" s="4" t="s">
        <v>9368</v>
      </c>
      <c r="K2874" s="4" t="s">
        <v>567</v>
      </c>
      <c r="L2874" s="6">
        <v>46319</v>
      </c>
      <c r="M2874" s="4" t="s">
        <v>5864</v>
      </c>
      <c r="N2874" s="4" t="s">
        <v>5883</v>
      </c>
    </row>
    <row r="2875" spans="1:14" ht="82" customHeight="1">
      <c r="A2875" s="8" t="s">
        <v>9369</v>
      </c>
      <c r="B2875" s="8" t="s">
        <v>563</v>
      </c>
      <c r="C2875" s="8" t="s">
        <v>564</v>
      </c>
      <c r="D2875" s="8" t="s">
        <v>2969</v>
      </c>
      <c r="E2875" s="8" t="s">
        <v>41</v>
      </c>
      <c r="F2875" s="8" t="s">
        <v>5903</v>
      </c>
      <c r="G2875" s="8" t="s">
        <v>2314</v>
      </c>
      <c r="H2875" s="8">
        <v>1</v>
      </c>
      <c r="I2875" s="8">
        <v>1</v>
      </c>
      <c r="J2875" s="8" t="s">
        <v>9370</v>
      </c>
      <c r="K2875" s="8" t="s">
        <v>567</v>
      </c>
      <c r="L2875" s="9">
        <v>46319</v>
      </c>
      <c r="M2875" s="8" t="s">
        <v>5864</v>
      </c>
      <c r="N2875" s="8" t="s">
        <v>5883</v>
      </c>
    </row>
    <row r="2876" spans="1:14" ht="96" customHeight="1">
      <c r="A2876" s="4" t="s">
        <v>9371</v>
      </c>
      <c r="B2876" s="4" t="s">
        <v>563</v>
      </c>
      <c r="C2876" s="4" t="s">
        <v>564</v>
      </c>
      <c r="D2876" s="4" t="s">
        <v>2969</v>
      </c>
      <c r="E2876" s="4" t="s">
        <v>41</v>
      </c>
      <c r="F2876" s="4" t="s">
        <v>5906</v>
      </c>
      <c r="G2876" s="4" t="s">
        <v>2314</v>
      </c>
      <c r="H2876" s="4">
        <v>1</v>
      </c>
      <c r="I2876" s="4">
        <v>1</v>
      </c>
      <c r="J2876" s="4" t="s">
        <v>9372</v>
      </c>
      <c r="K2876" s="4" t="s">
        <v>567</v>
      </c>
      <c r="L2876" s="6">
        <v>46319</v>
      </c>
      <c r="M2876" s="4" t="s">
        <v>5864</v>
      </c>
      <c r="N2876" s="4" t="s">
        <v>5883</v>
      </c>
    </row>
    <row r="2877" spans="1:14" ht="68" customHeight="1">
      <c r="A2877" s="8" t="s">
        <v>9373</v>
      </c>
      <c r="B2877" s="8" t="s">
        <v>563</v>
      </c>
      <c r="C2877" s="8" t="s">
        <v>564</v>
      </c>
      <c r="D2877" s="8" t="s">
        <v>2969</v>
      </c>
      <c r="E2877" s="8" t="s">
        <v>41</v>
      </c>
      <c r="F2877" s="8" t="s">
        <v>5909</v>
      </c>
      <c r="G2877" s="8" t="s">
        <v>2314</v>
      </c>
      <c r="H2877" s="8">
        <v>1</v>
      </c>
      <c r="I2877" s="8">
        <v>1</v>
      </c>
      <c r="J2877" s="8" t="s">
        <v>9374</v>
      </c>
      <c r="K2877" s="8" t="s">
        <v>567</v>
      </c>
      <c r="L2877" s="9">
        <v>46319</v>
      </c>
      <c r="M2877" s="8" t="s">
        <v>5864</v>
      </c>
      <c r="N2877" s="8" t="s">
        <v>5883</v>
      </c>
    </row>
    <row r="2878" spans="1:14" ht="82" customHeight="1">
      <c r="A2878" s="4" t="s">
        <v>9375</v>
      </c>
      <c r="B2878" s="4" t="s">
        <v>563</v>
      </c>
      <c r="C2878" s="4" t="s">
        <v>564</v>
      </c>
      <c r="D2878" s="4" t="s">
        <v>2969</v>
      </c>
      <c r="E2878" s="4" t="s">
        <v>41</v>
      </c>
      <c r="F2878" s="4" t="s">
        <v>5912</v>
      </c>
      <c r="G2878" s="4" t="s">
        <v>2314</v>
      </c>
      <c r="H2878" s="4">
        <v>1</v>
      </c>
      <c r="I2878" s="4">
        <v>1</v>
      </c>
      <c r="J2878" s="4" t="s">
        <v>9376</v>
      </c>
      <c r="K2878" s="4" t="s">
        <v>567</v>
      </c>
      <c r="L2878" s="6">
        <v>46319</v>
      </c>
      <c r="M2878" s="4" t="s">
        <v>5864</v>
      </c>
      <c r="N2878" s="4" t="s">
        <v>5883</v>
      </c>
    </row>
    <row r="2879" spans="1:14" ht="152" customHeight="1">
      <c r="A2879" s="8" t="s">
        <v>9377</v>
      </c>
      <c r="B2879" s="8" t="s">
        <v>563</v>
      </c>
      <c r="C2879" s="8" t="s">
        <v>564</v>
      </c>
      <c r="D2879" s="8" t="s">
        <v>2969</v>
      </c>
      <c r="E2879" s="8" t="s">
        <v>41</v>
      </c>
      <c r="F2879" s="8" t="s">
        <v>5973</v>
      </c>
      <c r="G2879" s="8" t="s">
        <v>2314</v>
      </c>
      <c r="H2879" s="8">
        <v>1</v>
      </c>
      <c r="I2879" s="8">
        <v>1</v>
      </c>
      <c r="J2879" s="8" t="s">
        <v>9378</v>
      </c>
      <c r="K2879" s="8" t="s">
        <v>567</v>
      </c>
      <c r="L2879" s="9">
        <v>46319</v>
      </c>
      <c r="M2879" s="8" t="s">
        <v>5864</v>
      </c>
      <c r="N2879" s="8" t="s">
        <v>5883</v>
      </c>
    </row>
    <row r="2880" spans="1:14" ht="110" customHeight="1">
      <c r="A2880" s="4" t="s">
        <v>9379</v>
      </c>
      <c r="B2880" s="4" t="s">
        <v>563</v>
      </c>
      <c r="C2880" s="4" t="s">
        <v>564</v>
      </c>
      <c r="D2880" s="4" t="s">
        <v>2969</v>
      </c>
      <c r="E2880" s="4" t="s">
        <v>41</v>
      </c>
      <c r="F2880" s="4" t="s">
        <v>5976</v>
      </c>
      <c r="G2880" s="4" t="s">
        <v>2314</v>
      </c>
      <c r="H2880" s="4">
        <v>1</v>
      </c>
      <c r="I2880" s="4">
        <v>1</v>
      </c>
      <c r="J2880" s="4" t="s">
        <v>9380</v>
      </c>
      <c r="K2880" s="4" t="s">
        <v>567</v>
      </c>
      <c r="L2880" s="6">
        <v>46319</v>
      </c>
      <c r="M2880" s="4" t="s">
        <v>5864</v>
      </c>
      <c r="N2880" s="4" t="s">
        <v>5883</v>
      </c>
    </row>
    <row r="2881" spans="1:14" ht="82" customHeight="1">
      <c r="A2881" s="8" t="s">
        <v>9381</v>
      </c>
      <c r="B2881" s="8" t="s">
        <v>563</v>
      </c>
      <c r="C2881" s="8" t="s">
        <v>564</v>
      </c>
      <c r="D2881" s="8" t="s">
        <v>2969</v>
      </c>
      <c r="E2881" s="8" t="s">
        <v>41</v>
      </c>
      <c r="F2881" s="8" t="s">
        <v>5979</v>
      </c>
      <c r="G2881" s="8" t="s">
        <v>2314</v>
      </c>
      <c r="H2881" s="8">
        <v>1</v>
      </c>
      <c r="I2881" s="8">
        <v>1</v>
      </c>
      <c r="J2881" s="8" t="s">
        <v>9382</v>
      </c>
      <c r="K2881" s="8" t="s">
        <v>567</v>
      </c>
      <c r="L2881" s="9">
        <v>46319</v>
      </c>
      <c r="M2881" s="8" t="s">
        <v>5864</v>
      </c>
      <c r="N2881" s="8" t="s">
        <v>5883</v>
      </c>
    </row>
    <row r="2882" spans="1:14" ht="82" customHeight="1">
      <c r="A2882" s="4" t="s">
        <v>9383</v>
      </c>
      <c r="B2882" s="4" t="s">
        <v>563</v>
      </c>
      <c r="C2882" s="4" t="s">
        <v>564</v>
      </c>
      <c r="D2882" s="4" t="s">
        <v>2969</v>
      </c>
      <c r="E2882" s="4" t="s">
        <v>41</v>
      </c>
      <c r="F2882" s="4" t="s">
        <v>5982</v>
      </c>
      <c r="G2882" s="4" t="s">
        <v>2314</v>
      </c>
      <c r="H2882" s="4">
        <v>1</v>
      </c>
      <c r="I2882" s="4">
        <v>1</v>
      </c>
      <c r="J2882" s="4" t="s">
        <v>9384</v>
      </c>
      <c r="K2882" s="4" t="s">
        <v>567</v>
      </c>
      <c r="L2882" s="6">
        <v>46319</v>
      </c>
      <c r="M2882" s="4" t="s">
        <v>5864</v>
      </c>
      <c r="N2882" s="4" t="s">
        <v>5883</v>
      </c>
    </row>
    <row r="2883" spans="1:14" ht="82" customHeight="1">
      <c r="A2883" s="8" t="s">
        <v>9385</v>
      </c>
      <c r="B2883" s="8" t="s">
        <v>563</v>
      </c>
      <c r="C2883" s="8" t="s">
        <v>564</v>
      </c>
      <c r="D2883" s="8" t="s">
        <v>2969</v>
      </c>
      <c r="E2883" s="8" t="s">
        <v>41</v>
      </c>
      <c r="F2883" s="8" t="s">
        <v>5985</v>
      </c>
      <c r="G2883" s="8" t="s">
        <v>2314</v>
      </c>
      <c r="H2883" s="8">
        <v>1</v>
      </c>
      <c r="I2883" s="8">
        <v>1</v>
      </c>
      <c r="J2883" s="8" t="s">
        <v>9386</v>
      </c>
      <c r="K2883" s="8" t="s">
        <v>567</v>
      </c>
      <c r="L2883" s="9">
        <v>46319</v>
      </c>
      <c r="M2883" s="8" t="s">
        <v>5864</v>
      </c>
      <c r="N2883" s="8" t="s">
        <v>5883</v>
      </c>
    </row>
    <row r="2884" spans="1:14" ht="96" customHeight="1">
      <c r="A2884" s="4" t="s">
        <v>9387</v>
      </c>
      <c r="B2884" s="4" t="s">
        <v>570</v>
      </c>
      <c r="C2884" s="4" t="s">
        <v>571</v>
      </c>
      <c r="D2884" s="4" t="s">
        <v>5861</v>
      </c>
      <c r="E2884" s="4" t="s">
        <v>41</v>
      </c>
      <c r="F2884" s="4" t="s">
        <v>5862</v>
      </c>
      <c r="G2884" s="4" t="s">
        <v>2339</v>
      </c>
      <c r="H2884" s="4">
        <v>1</v>
      </c>
      <c r="I2884" s="4">
        <v>1</v>
      </c>
      <c r="J2884" s="4" t="s">
        <v>9388</v>
      </c>
      <c r="K2884" s="4" t="s">
        <v>575</v>
      </c>
      <c r="L2884" s="6">
        <v>46319</v>
      </c>
      <c r="M2884" s="4" t="s">
        <v>5864</v>
      </c>
      <c r="N2884" s="4" t="s">
        <v>5865</v>
      </c>
    </row>
    <row r="2885" spans="1:14" ht="40" customHeight="1">
      <c r="A2885" s="8" t="s">
        <v>9389</v>
      </c>
      <c r="B2885" s="8" t="s">
        <v>570</v>
      </c>
      <c r="C2885" s="8" t="s">
        <v>571</v>
      </c>
      <c r="D2885" s="8" t="s">
        <v>5867</v>
      </c>
      <c r="E2885" s="8" t="s">
        <v>9390</v>
      </c>
      <c r="F2885" s="8" t="s">
        <v>5868</v>
      </c>
      <c r="G2885" s="8" t="s">
        <v>2339</v>
      </c>
      <c r="H2885" s="8">
        <v>1</v>
      </c>
      <c r="I2885" s="8">
        <v>1</v>
      </c>
      <c r="J2885" s="8" t="s">
        <v>9390</v>
      </c>
      <c r="K2885" s="8" t="s">
        <v>575</v>
      </c>
      <c r="L2885" s="9">
        <v>46319</v>
      </c>
      <c r="M2885" s="8" t="s">
        <v>5864</v>
      </c>
      <c r="N2885" s="8" t="s">
        <v>5870</v>
      </c>
    </row>
    <row r="2886" spans="1:14" ht="40" customHeight="1">
      <c r="A2886" s="4" t="s">
        <v>9391</v>
      </c>
      <c r="B2886" s="4" t="s">
        <v>570</v>
      </c>
      <c r="C2886" s="4" t="s">
        <v>571</v>
      </c>
      <c r="D2886" s="4" t="s">
        <v>637</v>
      </c>
      <c r="E2886" s="4" t="s">
        <v>41</v>
      </c>
      <c r="F2886" s="4" t="s">
        <v>904</v>
      </c>
      <c r="G2886" s="4" t="s">
        <v>2339</v>
      </c>
      <c r="H2886" s="4">
        <v>1</v>
      </c>
      <c r="I2886" s="4">
        <v>1</v>
      </c>
      <c r="J2886" s="4" t="s">
        <v>2337</v>
      </c>
      <c r="K2886" s="4" t="s">
        <v>575</v>
      </c>
      <c r="L2886" s="6">
        <v>46319</v>
      </c>
      <c r="M2886" s="4" t="s">
        <v>5864</v>
      </c>
      <c r="N2886" s="4" t="s">
        <v>5870</v>
      </c>
    </row>
    <row r="2887" spans="1:14" ht="40" customHeight="1">
      <c r="A2887" s="8" t="s">
        <v>9392</v>
      </c>
      <c r="B2887" s="8" t="s">
        <v>570</v>
      </c>
      <c r="C2887" s="8" t="s">
        <v>571</v>
      </c>
      <c r="D2887" s="8" t="s">
        <v>637</v>
      </c>
      <c r="E2887" s="8" t="s">
        <v>41</v>
      </c>
      <c r="F2887" s="8" t="s">
        <v>912</v>
      </c>
      <c r="G2887" s="8" t="s">
        <v>2339</v>
      </c>
      <c r="H2887" s="8">
        <v>1</v>
      </c>
      <c r="I2887" s="8">
        <v>1</v>
      </c>
      <c r="J2887" s="8" t="s">
        <v>2341</v>
      </c>
      <c r="K2887" s="8" t="s">
        <v>575</v>
      </c>
      <c r="L2887" s="9">
        <v>46319</v>
      </c>
      <c r="M2887" s="8" t="s">
        <v>5864</v>
      </c>
      <c r="N2887" s="8" t="s">
        <v>5870</v>
      </c>
    </row>
    <row r="2888" spans="1:14" ht="40" customHeight="1">
      <c r="A2888" s="4" t="s">
        <v>9393</v>
      </c>
      <c r="B2888" s="4" t="s">
        <v>570</v>
      </c>
      <c r="C2888" s="4" t="s">
        <v>571</v>
      </c>
      <c r="D2888" s="4" t="s">
        <v>637</v>
      </c>
      <c r="E2888" s="4" t="s">
        <v>41</v>
      </c>
      <c r="F2888" s="4" t="s">
        <v>1015</v>
      </c>
      <c r="G2888" s="4" t="s">
        <v>2339</v>
      </c>
      <c r="H2888" s="4">
        <v>1</v>
      </c>
      <c r="I2888" s="4">
        <v>1</v>
      </c>
      <c r="J2888" s="4" t="s">
        <v>2344</v>
      </c>
      <c r="K2888" s="4" t="s">
        <v>575</v>
      </c>
      <c r="L2888" s="6">
        <v>46319</v>
      </c>
      <c r="M2888" s="4" t="s">
        <v>5864</v>
      </c>
      <c r="N2888" s="4" t="s">
        <v>5870</v>
      </c>
    </row>
    <row r="2889" spans="1:14" ht="40" customHeight="1">
      <c r="A2889" s="8" t="s">
        <v>5758</v>
      </c>
      <c r="B2889" s="8" t="s">
        <v>570</v>
      </c>
      <c r="C2889" s="8" t="s">
        <v>571</v>
      </c>
      <c r="D2889" s="8" t="s">
        <v>7</v>
      </c>
      <c r="E2889" s="8" t="s">
        <v>41</v>
      </c>
      <c r="F2889" s="8" t="s">
        <v>6212</v>
      </c>
      <c r="G2889" s="8" t="s">
        <v>2339</v>
      </c>
      <c r="H2889" s="8">
        <v>1</v>
      </c>
      <c r="I2889" s="8">
        <v>1</v>
      </c>
      <c r="J2889" s="8" t="s">
        <v>5759</v>
      </c>
      <c r="K2889" s="8" t="s">
        <v>575</v>
      </c>
      <c r="L2889" s="9">
        <v>46319</v>
      </c>
      <c r="M2889" s="8" t="s">
        <v>5864</v>
      </c>
      <c r="N2889" s="8" t="s">
        <v>5870</v>
      </c>
    </row>
    <row r="2890" spans="1:14" ht="40" customHeight="1">
      <c r="A2890" s="4" t="s">
        <v>5760</v>
      </c>
      <c r="B2890" s="4" t="s">
        <v>570</v>
      </c>
      <c r="C2890" s="4" t="s">
        <v>571</v>
      </c>
      <c r="D2890" s="4" t="s">
        <v>7</v>
      </c>
      <c r="E2890" s="4" t="s">
        <v>41</v>
      </c>
      <c r="F2890" s="4" t="s">
        <v>6213</v>
      </c>
      <c r="G2890" s="4" t="s">
        <v>2339</v>
      </c>
      <c r="H2890" s="4">
        <v>1</v>
      </c>
      <c r="I2890" s="4">
        <v>1</v>
      </c>
      <c r="J2890" s="4" t="s">
        <v>4969</v>
      </c>
      <c r="K2890" s="4" t="s">
        <v>575</v>
      </c>
      <c r="L2890" s="6">
        <v>46319</v>
      </c>
      <c r="M2890" s="4" t="s">
        <v>5864</v>
      </c>
      <c r="N2890" s="4" t="s">
        <v>5870</v>
      </c>
    </row>
    <row r="2891" spans="1:14" ht="40" customHeight="1">
      <c r="A2891" s="8" t="s">
        <v>5761</v>
      </c>
      <c r="B2891" s="8" t="s">
        <v>570</v>
      </c>
      <c r="C2891" s="8" t="s">
        <v>571</v>
      </c>
      <c r="D2891" s="8" t="s">
        <v>7</v>
      </c>
      <c r="E2891" s="8" t="s">
        <v>41</v>
      </c>
      <c r="F2891" s="8" t="s">
        <v>6214</v>
      </c>
      <c r="G2891" s="8" t="s">
        <v>2339</v>
      </c>
      <c r="H2891" s="8">
        <v>1</v>
      </c>
      <c r="I2891" s="8">
        <v>1</v>
      </c>
      <c r="J2891" s="8" t="s">
        <v>5762</v>
      </c>
      <c r="K2891" s="8" t="s">
        <v>575</v>
      </c>
      <c r="L2891" s="9">
        <v>46319</v>
      </c>
      <c r="M2891" s="8" t="s">
        <v>5864</v>
      </c>
      <c r="N2891" s="8" t="s">
        <v>5870</v>
      </c>
    </row>
    <row r="2892" spans="1:14" ht="40" customHeight="1">
      <c r="A2892" s="4" t="s">
        <v>5763</v>
      </c>
      <c r="B2892" s="4" t="s">
        <v>570</v>
      </c>
      <c r="C2892" s="4" t="s">
        <v>571</v>
      </c>
      <c r="D2892" s="4" t="s">
        <v>7</v>
      </c>
      <c r="E2892" s="4" t="s">
        <v>41</v>
      </c>
      <c r="F2892" s="4" t="s">
        <v>6215</v>
      </c>
      <c r="G2892" s="4" t="s">
        <v>2339</v>
      </c>
      <c r="H2892" s="4">
        <v>1</v>
      </c>
      <c r="I2892" s="4">
        <v>1</v>
      </c>
      <c r="J2892" s="4" t="s">
        <v>5764</v>
      </c>
      <c r="K2892" s="4" t="s">
        <v>575</v>
      </c>
      <c r="L2892" s="6">
        <v>46319</v>
      </c>
      <c r="M2892" s="4" t="s">
        <v>5864</v>
      </c>
      <c r="N2892" s="4" t="s">
        <v>5870</v>
      </c>
    </row>
    <row r="2893" spans="1:14" ht="40" customHeight="1">
      <c r="A2893" s="8" t="s">
        <v>5765</v>
      </c>
      <c r="B2893" s="8" t="s">
        <v>570</v>
      </c>
      <c r="C2893" s="8" t="s">
        <v>571</v>
      </c>
      <c r="D2893" s="8" t="s">
        <v>7</v>
      </c>
      <c r="E2893" s="8" t="s">
        <v>41</v>
      </c>
      <c r="F2893" s="8" t="s">
        <v>6216</v>
      </c>
      <c r="G2893" s="8" t="s">
        <v>2339</v>
      </c>
      <c r="H2893" s="8">
        <v>1</v>
      </c>
      <c r="I2893" s="8">
        <v>1</v>
      </c>
      <c r="J2893" s="8" t="s">
        <v>5766</v>
      </c>
      <c r="K2893" s="8" t="s">
        <v>575</v>
      </c>
      <c r="L2893" s="9">
        <v>46319</v>
      </c>
      <c r="M2893" s="8" t="s">
        <v>5864</v>
      </c>
      <c r="N2893" s="8" t="s">
        <v>5870</v>
      </c>
    </row>
    <row r="2894" spans="1:14" ht="40" customHeight="1">
      <c r="A2894" s="4" t="s">
        <v>5767</v>
      </c>
      <c r="B2894" s="4" t="s">
        <v>570</v>
      </c>
      <c r="C2894" s="4" t="s">
        <v>571</v>
      </c>
      <c r="D2894" s="4" t="s">
        <v>7</v>
      </c>
      <c r="E2894" s="4" t="s">
        <v>41</v>
      </c>
      <c r="F2894" s="4" t="s">
        <v>6284</v>
      </c>
      <c r="G2894" s="4" t="s">
        <v>2339</v>
      </c>
      <c r="H2894" s="4">
        <v>1</v>
      </c>
      <c r="I2894" s="4">
        <v>1</v>
      </c>
      <c r="J2894" s="4" t="s">
        <v>5768</v>
      </c>
      <c r="K2894" s="4" t="s">
        <v>575</v>
      </c>
      <c r="L2894" s="6">
        <v>46319</v>
      </c>
      <c r="M2894" s="4" t="s">
        <v>5864</v>
      </c>
      <c r="N2894" s="4" t="s">
        <v>5870</v>
      </c>
    </row>
    <row r="2895" spans="1:14" ht="40" customHeight="1">
      <c r="A2895" s="8" t="s">
        <v>5769</v>
      </c>
      <c r="B2895" s="8" t="s">
        <v>570</v>
      </c>
      <c r="C2895" s="8" t="s">
        <v>571</v>
      </c>
      <c r="D2895" s="8" t="s">
        <v>7</v>
      </c>
      <c r="E2895" s="8" t="s">
        <v>41</v>
      </c>
      <c r="F2895" s="8" t="s">
        <v>6285</v>
      </c>
      <c r="G2895" s="8" t="s">
        <v>2339</v>
      </c>
      <c r="H2895" s="8">
        <v>1</v>
      </c>
      <c r="I2895" s="8">
        <v>1</v>
      </c>
      <c r="J2895" s="8" t="s">
        <v>5770</v>
      </c>
      <c r="K2895" s="8" t="s">
        <v>575</v>
      </c>
      <c r="L2895" s="9">
        <v>46319</v>
      </c>
      <c r="M2895" s="8" t="s">
        <v>5864</v>
      </c>
      <c r="N2895" s="8" t="s">
        <v>5870</v>
      </c>
    </row>
    <row r="2896" spans="1:14" ht="40" customHeight="1">
      <c r="A2896" s="4" t="s">
        <v>4832</v>
      </c>
      <c r="B2896" s="4" t="s">
        <v>570</v>
      </c>
      <c r="C2896" s="4" t="s">
        <v>571</v>
      </c>
      <c r="D2896" s="4" t="s">
        <v>5879</v>
      </c>
      <c r="E2896" s="4" t="s">
        <v>41</v>
      </c>
      <c r="F2896" s="4" t="s">
        <v>3449</v>
      </c>
      <c r="G2896" s="4" t="s">
        <v>2339</v>
      </c>
      <c r="H2896" s="4">
        <v>1</v>
      </c>
      <c r="I2896" s="4">
        <v>1</v>
      </c>
      <c r="J2896" s="4" t="s">
        <v>4833</v>
      </c>
      <c r="K2896" s="4" t="s">
        <v>575</v>
      </c>
      <c r="L2896" s="6">
        <v>46319</v>
      </c>
      <c r="M2896" s="4" t="s">
        <v>5864</v>
      </c>
      <c r="N2896" s="4" t="s">
        <v>5865</v>
      </c>
    </row>
    <row r="2897" spans="1:14" ht="40" customHeight="1">
      <c r="A2897" s="8" t="s">
        <v>4834</v>
      </c>
      <c r="B2897" s="8" t="s">
        <v>570</v>
      </c>
      <c r="C2897" s="8" t="s">
        <v>571</v>
      </c>
      <c r="D2897" s="8" t="s">
        <v>5879</v>
      </c>
      <c r="E2897" s="8" t="s">
        <v>41</v>
      </c>
      <c r="F2897" s="8" t="s">
        <v>3466</v>
      </c>
      <c r="G2897" s="8" t="s">
        <v>2339</v>
      </c>
      <c r="H2897" s="8">
        <v>1</v>
      </c>
      <c r="I2897" s="8">
        <v>1</v>
      </c>
      <c r="J2897" s="8" t="s">
        <v>4835</v>
      </c>
      <c r="K2897" s="8" t="s">
        <v>575</v>
      </c>
      <c r="L2897" s="9">
        <v>46319</v>
      </c>
      <c r="M2897" s="8" t="s">
        <v>5864</v>
      </c>
      <c r="N2897" s="8" t="s">
        <v>5865</v>
      </c>
    </row>
    <row r="2898" spans="1:14" ht="40" customHeight="1">
      <c r="A2898" s="4" t="s">
        <v>4836</v>
      </c>
      <c r="B2898" s="4" t="s">
        <v>570</v>
      </c>
      <c r="C2898" s="4" t="s">
        <v>571</v>
      </c>
      <c r="D2898" s="4" t="s">
        <v>5879</v>
      </c>
      <c r="E2898" s="4" t="s">
        <v>41</v>
      </c>
      <c r="F2898" s="4" t="s">
        <v>3469</v>
      </c>
      <c r="G2898" s="4" t="s">
        <v>2339</v>
      </c>
      <c r="H2898" s="4">
        <v>1</v>
      </c>
      <c r="I2898" s="4">
        <v>1</v>
      </c>
      <c r="J2898" s="4" t="s">
        <v>4837</v>
      </c>
      <c r="K2898" s="4" t="s">
        <v>575</v>
      </c>
      <c r="L2898" s="6">
        <v>46319</v>
      </c>
      <c r="M2898" s="4" t="s">
        <v>5864</v>
      </c>
      <c r="N2898" s="4" t="s">
        <v>5865</v>
      </c>
    </row>
    <row r="2899" spans="1:14" ht="54" customHeight="1">
      <c r="A2899" s="8" t="s">
        <v>4838</v>
      </c>
      <c r="B2899" s="8" t="s">
        <v>570</v>
      </c>
      <c r="C2899" s="8" t="s">
        <v>571</v>
      </c>
      <c r="D2899" s="8" t="s">
        <v>5879</v>
      </c>
      <c r="E2899" s="8" t="s">
        <v>41</v>
      </c>
      <c r="F2899" s="8" t="s">
        <v>3472</v>
      </c>
      <c r="G2899" s="8" t="s">
        <v>2339</v>
      </c>
      <c r="H2899" s="8">
        <v>1</v>
      </c>
      <c r="I2899" s="8">
        <v>1</v>
      </c>
      <c r="J2899" s="8" t="s">
        <v>4839</v>
      </c>
      <c r="K2899" s="8" t="s">
        <v>575</v>
      </c>
      <c r="L2899" s="9">
        <v>46319</v>
      </c>
      <c r="M2899" s="8" t="s">
        <v>5864</v>
      </c>
      <c r="N2899" s="8" t="s">
        <v>5865</v>
      </c>
    </row>
    <row r="2900" spans="1:14" ht="54" customHeight="1">
      <c r="A2900" s="4" t="s">
        <v>9394</v>
      </c>
      <c r="B2900" s="4" t="s">
        <v>570</v>
      </c>
      <c r="C2900" s="4" t="s">
        <v>571</v>
      </c>
      <c r="D2900" s="4" t="s">
        <v>2969</v>
      </c>
      <c r="E2900" s="4" t="s">
        <v>41</v>
      </c>
      <c r="F2900" s="4" t="s">
        <v>5881</v>
      </c>
      <c r="G2900" s="4" t="s">
        <v>2339</v>
      </c>
      <c r="H2900" s="4">
        <v>1</v>
      </c>
      <c r="I2900" s="4">
        <v>1</v>
      </c>
      <c r="J2900" s="4" t="s">
        <v>9395</v>
      </c>
      <c r="K2900" s="4" t="s">
        <v>575</v>
      </c>
      <c r="L2900" s="6">
        <v>46319</v>
      </c>
      <c r="M2900" s="4" t="s">
        <v>5864</v>
      </c>
      <c r="N2900" s="4" t="s">
        <v>5883</v>
      </c>
    </row>
    <row r="2901" spans="1:14" ht="54" customHeight="1">
      <c r="A2901" s="8" t="s">
        <v>9396</v>
      </c>
      <c r="B2901" s="8" t="s">
        <v>570</v>
      </c>
      <c r="C2901" s="8" t="s">
        <v>571</v>
      </c>
      <c r="D2901" s="8" t="s">
        <v>2969</v>
      </c>
      <c r="E2901" s="8" t="s">
        <v>41</v>
      </c>
      <c r="F2901" s="8" t="s">
        <v>5885</v>
      </c>
      <c r="G2901" s="8" t="s">
        <v>2339</v>
      </c>
      <c r="H2901" s="8">
        <v>1</v>
      </c>
      <c r="I2901" s="8">
        <v>1</v>
      </c>
      <c r="J2901" s="8" t="s">
        <v>9397</v>
      </c>
      <c r="K2901" s="8" t="s">
        <v>575</v>
      </c>
      <c r="L2901" s="9">
        <v>46319</v>
      </c>
      <c r="M2901" s="8" t="s">
        <v>5864</v>
      </c>
      <c r="N2901" s="8" t="s">
        <v>5883</v>
      </c>
    </row>
    <row r="2902" spans="1:14" ht="40" customHeight="1">
      <c r="A2902" s="4" t="s">
        <v>9398</v>
      </c>
      <c r="B2902" s="4" t="s">
        <v>570</v>
      </c>
      <c r="C2902" s="4" t="s">
        <v>571</v>
      </c>
      <c r="D2902" s="4" t="s">
        <v>2969</v>
      </c>
      <c r="E2902" s="4" t="s">
        <v>41</v>
      </c>
      <c r="F2902" s="4" t="s">
        <v>5888</v>
      </c>
      <c r="G2902" s="4" t="s">
        <v>2339</v>
      </c>
      <c r="H2902" s="4">
        <v>1</v>
      </c>
      <c r="I2902" s="4">
        <v>1</v>
      </c>
      <c r="J2902" s="4" t="s">
        <v>9399</v>
      </c>
      <c r="K2902" s="4" t="s">
        <v>575</v>
      </c>
      <c r="L2902" s="6">
        <v>46319</v>
      </c>
      <c r="M2902" s="4" t="s">
        <v>5864</v>
      </c>
      <c r="N2902" s="4" t="s">
        <v>5883</v>
      </c>
    </row>
    <row r="2903" spans="1:14" ht="40" customHeight="1">
      <c r="A2903" s="8" t="s">
        <v>9400</v>
      </c>
      <c r="B2903" s="8" t="s">
        <v>570</v>
      </c>
      <c r="C2903" s="8" t="s">
        <v>571</v>
      </c>
      <c r="D2903" s="8" t="s">
        <v>2969</v>
      </c>
      <c r="E2903" s="8" t="s">
        <v>41</v>
      </c>
      <c r="F2903" s="8" t="s">
        <v>5891</v>
      </c>
      <c r="G2903" s="8" t="s">
        <v>2339</v>
      </c>
      <c r="H2903" s="8">
        <v>1</v>
      </c>
      <c r="I2903" s="8">
        <v>1</v>
      </c>
      <c r="J2903" s="8" t="s">
        <v>9401</v>
      </c>
      <c r="K2903" s="8" t="s">
        <v>575</v>
      </c>
      <c r="L2903" s="9">
        <v>46319</v>
      </c>
      <c r="M2903" s="8" t="s">
        <v>5864</v>
      </c>
      <c r="N2903" s="8" t="s">
        <v>5883</v>
      </c>
    </row>
    <row r="2904" spans="1:14" ht="54" customHeight="1">
      <c r="A2904" s="4" t="s">
        <v>9402</v>
      </c>
      <c r="B2904" s="4" t="s">
        <v>570</v>
      </c>
      <c r="C2904" s="4" t="s">
        <v>571</v>
      </c>
      <c r="D2904" s="4" t="s">
        <v>2969</v>
      </c>
      <c r="E2904" s="4" t="s">
        <v>41</v>
      </c>
      <c r="F2904" s="4" t="s">
        <v>5894</v>
      </c>
      <c r="G2904" s="4" t="s">
        <v>2339</v>
      </c>
      <c r="H2904" s="4">
        <v>1</v>
      </c>
      <c r="I2904" s="4">
        <v>1</v>
      </c>
      <c r="J2904" s="4" t="s">
        <v>9403</v>
      </c>
      <c r="K2904" s="4" t="s">
        <v>575</v>
      </c>
      <c r="L2904" s="6">
        <v>46319</v>
      </c>
      <c r="M2904" s="4" t="s">
        <v>5864</v>
      </c>
      <c r="N2904" s="4" t="s">
        <v>5883</v>
      </c>
    </row>
    <row r="2905" spans="1:14" ht="54" customHeight="1">
      <c r="A2905" s="8" t="s">
        <v>9404</v>
      </c>
      <c r="B2905" s="8" t="s">
        <v>570</v>
      </c>
      <c r="C2905" s="8" t="s">
        <v>571</v>
      </c>
      <c r="D2905" s="8" t="s">
        <v>2969</v>
      </c>
      <c r="E2905" s="8" t="s">
        <v>41</v>
      </c>
      <c r="F2905" s="8" t="s">
        <v>5897</v>
      </c>
      <c r="G2905" s="8" t="s">
        <v>2339</v>
      </c>
      <c r="H2905" s="8">
        <v>1</v>
      </c>
      <c r="I2905" s="8">
        <v>1</v>
      </c>
      <c r="J2905" s="8" t="s">
        <v>9405</v>
      </c>
      <c r="K2905" s="8" t="s">
        <v>575</v>
      </c>
      <c r="L2905" s="9">
        <v>46319</v>
      </c>
      <c r="M2905" s="8" t="s">
        <v>5864</v>
      </c>
      <c r="N2905" s="8" t="s">
        <v>5883</v>
      </c>
    </row>
    <row r="2906" spans="1:14" ht="54" customHeight="1">
      <c r="A2906" s="4" t="s">
        <v>9406</v>
      </c>
      <c r="B2906" s="4" t="s">
        <v>570</v>
      </c>
      <c r="C2906" s="4" t="s">
        <v>571</v>
      </c>
      <c r="D2906" s="4" t="s">
        <v>2969</v>
      </c>
      <c r="E2906" s="4" t="s">
        <v>41</v>
      </c>
      <c r="F2906" s="4" t="s">
        <v>5900</v>
      </c>
      <c r="G2906" s="4" t="s">
        <v>2339</v>
      </c>
      <c r="H2906" s="4">
        <v>1</v>
      </c>
      <c r="I2906" s="4">
        <v>1</v>
      </c>
      <c r="J2906" s="4" t="s">
        <v>9407</v>
      </c>
      <c r="K2906" s="4" t="s">
        <v>575</v>
      </c>
      <c r="L2906" s="6">
        <v>46319</v>
      </c>
      <c r="M2906" s="4" t="s">
        <v>5864</v>
      </c>
      <c r="N2906" s="4" t="s">
        <v>5883</v>
      </c>
    </row>
    <row r="2907" spans="1:14" ht="54" customHeight="1">
      <c r="A2907" s="8" t="s">
        <v>9408</v>
      </c>
      <c r="B2907" s="8" t="s">
        <v>570</v>
      </c>
      <c r="C2907" s="8" t="s">
        <v>571</v>
      </c>
      <c r="D2907" s="8" t="s">
        <v>2969</v>
      </c>
      <c r="E2907" s="8" t="s">
        <v>41</v>
      </c>
      <c r="F2907" s="8" t="s">
        <v>5903</v>
      </c>
      <c r="G2907" s="8" t="s">
        <v>2339</v>
      </c>
      <c r="H2907" s="8">
        <v>1</v>
      </c>
      <c r="I2907" s="8">
        <v>1</v>
      </c>
      <c r="J2907" s="8" t="s">
        <v>9409</v>
      </c>
      <c r="K2907" s="8" t="s">
        <v>575</v>
      </c>
      <c r="L2907" s="9">
        <v>46319</v>
      </c>
      <c r="M2907" s="8" t="s">
        <v>5864</v>
      </c>
      <c r="N2907" s="8" t="s">
        <v>5883</v>
      </c>
    </row>
    <row r="2908" spans="1:14" ht="40" customHeight="1">
      <c r="A2908" s="4" t="s">
        <v>9410</v>
      </c>
      <c r="B2908" s="4" t="s">
        <v>570</v>
      </c>
      <c r="C2908" s="4" t="s">
        <v>571</v>
      </c>
      <c r="D2908" s="4" t="s">
        <v>2969</v>
      </c>
      <c r="E2908" s="4" t="s">
        <v>41</v>
      </c>
      <c r="F2908" s="4" t="s">
        <v>5906</v>
      </c>
      <c r="G2908" s="4" t="s">
        <v>2339</v>
      </c>
      <c r="H2908" s="4">
        <v>1</v>
      </c>
      <c r="I2908" s="4">
        <v>1</v>
      </c>
      <c r="J2908" s="4" t="s">
        <v>9411</v>
      </c>
      <c r="K2908" s="4" t="s">
        <v>575</v>
      </c>
      <c r="L2908" s="6">
        <v>46319</v>
      </c>
      <c r="M2908" s="4" t="s">
        <v>5864</v>
      </c>
      <c r="N2908" s="4" t="s">
        <v>5883</v>
      </c>
    </row>
    <row r="2909" spans="1:14" ht="54" customHeight="1">
      <c r="A2909" s="8" t="s">
        <v>9412</v>
      </c>
      <c r="B2909" s="8" t="s">
        <v>570</v>
      </c>
      <c r="C2909" s="8" t="s">
        <v>571</v>
      </c>
      <c r="D2909" s="8" t="s">
        <v>2969</v>
      </c>
      <c r="E2909" s="8" t="s">
        <v>41</v>
      </c>
      <c r="F2909" s="8" t="s">
        <v>5909</v>
      </c>
      <c r="G2909" s="8" t="s">
        <v>2339</v>
      </c>
      <c r="H2909" s="8">
        <v>1</v>
      </c>
      <c r="I2909" s="8">
        <v>1</v>
      </c>
      <c r="J2909" s="8" t="s">
        <v>9413</v>
      </c>
      <c r="K2909" s="8" t="s">
        <v>575</v>
      </c>
      <c r="L2909" s="9">
        <v>46319</v>
      </c>
      <c r="M2909" s="8" t="s">
        <v>5864</v>
      </c>
      <c r="N2909" s="8" t="s">
        <v>5883</v>
      </c>
    </row>
    <row r="2910" spans="1:14" ht="54" customHeight="1">
      <c r="A2910" s="4" t="s">
        <v>9414</v>
      </c>
      <c r="B2910" s="4" t="s">
        <v>570</v>
      </c>
      <c r="C2910" s="4" t="s">
        <v>571</v>
      </c>
      <c r="D2910" s="4" t="s">
        <v>2969</v>
      </c>
      <c r="E2910" s="4" t="s">
        <v>41</v>
      </c>
      <c r="F2910" s="4" t="s">
        <v>5912</v>
      </c>
      <c r="G2910" s="4" t="s">
        <v>2339</v>
      </c>
      <c r="H2910" s="4">
        <v>1</v>
      </c>
      <c r="I2910" s="4">
        <v>1</v>
      </c>
      <c r="J2910" s="4" t="s">
        <v>9415</v>
      </c>
      <c r="K2910" s="4" t="s">
        <v>575</v>
      </c>
      <c r="L2910" s="6">
        <v>46319</v>
      </c>
      <c r="M2910" s="4" t="s">
        <v>5864</v>
      </c>
      <c r="N2910" s="4" t="s">
        <v>5883</v>
      </c>
    </row>
    <row r="2911" spans="1:14" ht="96" customHeight="1">
      <c r="A2911" s="8" t="s">
        <v>9416</v>
      </c>
      <c r="B2911" s="8" t="s">
        <v>578</v>
      </c>
      <c r="C2911" s="8" t="s">
        <v>579</v>
      </c>
      <c r="D2911" s="8" t="s">
        <v>5861</v>
      </c>
      <c r="E2911" s="8" t="s">
        <v>41</v>
      </c>
      <c r="F2911" s="8" t="s">
        <v>5862</v>
      </c>
      <c r="G2911" s="8" t="s">
        <v>2350</v>
      </c>
      <c r="H2911" s="8">
        <v>1</v>
      </c>
      <c r="I2911" s="8">
        <v>1</v>
      </c>
      <c r="J2911" s="8" t="s">
        <v>9417</v>
      </c>
      <c r="K2911" s="8" t="s">
        <v>583</v>
      </c>
      <c r="L2911" s="9">
        <v>46319</v>
      </c>
      <c r="M2911" s="8" t="s">
        <v>5864</v>
      </c>
      <c r="N2911" s="8" t="s">
        <v>5865</v>
      </c>
    </row>
    <row r="2912" spans="1:14" ht="54" customHeight="1">
      <c r="A2912" s="4" t="s">
        <v>9418</v>
      </c>
      <c r="B2912" s="4" t="s">
        <v>578</v>
      </c>
      <c r="C2912" s="4" t="s">
        <v>579</v>
      </c>
      <c r="D2912" s="4" t="s">
        <v>5867</v>
      </c>
      <c r="E2912" s="4" t="s">
        <v>41</v>
      </c>
      <c r="F2912" s="4" t="s">
        <v>6248</v>
      </c>
      <c r="G2912" s="4" t="s">
        <v>2350</v>
      </c>
      <c r="H2912" s="4">
        <v>1</v>
      </c>
      <c r="I2912" s="4">
        <v>1</v>
      </c>
      <c r="J2912" s="4" t="s">
        <v>9419</v>
      </c>
      <c r="K2912" s="4" t="s">
        <v>583</v>
      </c>
      <c r="L2912" s="6">
        <v>46319</v>
      </c>
      <c r="M2912" s="4" t="s">
        <v>5864</v>
      </c>
      <c r="N2912" s="4" t="s">
        <v>5865</v>
      </c>
    </row>
    <row r="2913" spans="1:14" ht="40" customHeight="1">
      <c r="A2913" s="8" t="s">
        <v>9420</v>
      </c>
      <c r="B2913" s="8" t="s">
        <v>578</v>
      </c>
      <c r="C2913" s="8" t="s">
        <v>579</v>
      </c>
      <c r="D2913" s="8" t="s">
        <v>637</v>
      </c>
      <c r="E2913" s="8" t="s">
        <v>41</v>
      </c>
      <c r="F2913" s="8" t="s">
        <v>904</v>
      </c>
      <c r="G2913" s="8" t="s">
        <v>2350</v>
      </c>
      <c r="H2913" s="8">
        <v>1</v>
      </c>
      <c r="I2913" s="8">
        <v>1</v>
      </c>
      <c r="J2913" s="8" t="s">
        <v>2348</v>
      </c>
      <c r="K2913" s="8" t="s">
        <v>583</v>
      </c>
      <c r="L2913" s="9">
        <v>46319</v>
      </c>
      <c r="M2913" s="8" t="s">
        <v>5864</v>
      </c>
      <c r="N2913" s="8" t="s">
        <v>5870</v>
      </c>
    </row>
    <row r="2914" spans="1:14" ht="40" customHeight="1">
      <c r="A2914" s="4" t="s">
        <v>9421</v>
      </c>
      <c r="B2914" s="4" t="s">
        <v>578</v>
      </c>
      <c r="C2914" s="4" t="s">
        <v>579</v>
      </c>
      <c r="D2914" s="4" t="s">
        <v>637</v>
      </c>
      <c r="E2914" s="4" t="s">
        <v>41</v>
      </c>
      <c r="F2914" s="4" t="s">
        <v>912</v>
      </c>
      <c r="G2914" s="4" t="s">
        <v>2350</v>
      </c>
      <c r="H2914" s="4">
        <v>1</v>
      </c>
      <c r="I2914" s="4">
        <v>1</v>
      </c>
      <c r="J2914" s="4" t="s">
        <v>2352</v>
      </c>
      <c r="K2914" s="4" t="s">
        <v>583</v>
      </c>
      <c r="L2914" s="6">
        <v>46319</v>
      </c>
      <c r="M2914" s="4" t="s">
        <v>5864</v>
      </c>
      <c r="N2914" s="4" t="s">
        <v>5870</v>
      </c>
    </row>
    <row r="2915" spans="1:14" ht="40" customHeight="1">
      <c r="A2915" s="8" t="s">
        <v>9422</v>
      </c>
      <c r="B2915" s="8" t="s">
        <v>578</v>
      </c>
      <c r="C2915" s="8" t="s">
        <v>579</v>
      </c>
      <c r="D2915" s="8" t="s">
        <v>637</v>
      </c>
      <c r="E2915" s="8" t="s">
        <v>41</v>
      </c>
      <c r="F2915" s="8" t="s">
        <v>1015</v>
      </c>
      <c r="G2915" s="8" t="s">
        <v>2350</v>
      </c>
      <c r="H2915" s="8">
        <v>1</v>
      </c>
      <c r="I2915" s="8">
        <v>1</v>
      </c>
      <c r="J2915" s="8" t="s">
        <v>2355</v>
      </c>
      <c r="K2915" s="8" t="s">
        <v>583</v>
      </c>
      <c r="L2915" s="9">
        <v>46319</v>
      </c>
      <c r="M2915" s="8" t="s">
        <v>5864</v>
      </c>
      <c r="N2915" s="8" t="s">
        <v>5870</v>
      </c>
    </row>
    <row r="2916" spans="1:14" ht="40" customHeight="1">
      <c r="A2916" s="4" t="s">
        <v>9423</v>
      </c>
      <c r="B2916" s="4" t="s">
        <v>578</v>
      </c>
      <c r="C2916" s="4" t="s">
        <v>579</v>
      </c>
      <c r="D2916" s="4" t="s">
        <v>637</v>
      </c>
      <c r="E2916" s="4" t="s">
        <v>41</v>
      </c>
      <c r="F2916" s="4" t="s">
        <v>1019</v>
      </c>
      <c r="G2916" s="4" t="s">
        <v>2350</v>
      </c>
      <c r="H2916" s="4">
        <v>1</v>
      </c>
      <c r="I2916" s="4">
        <v>1</v>
      </c>
      <c r="J2916" s="4" t="s">
        <v>2358</v>
      </c>
      <c r="K2916" s="4" t="s">
        <v>583</v>
      </c>
      <c r="L2916" s="6">
        <v>46319</v>
      </c>
      <c r="M2916" s="4" t="s">
        <v>5864</v>
      </c>
      <c r="N2916" s="4" t="s">
        <v>5870</v>
      </c>
    </row>
    <row r="2917" spans="1:14" ht="40" customHeight="1">
      <c r="A2917" s="8" t="s">
        <v>9424</v>
      </c>
      <c r="B2917" s="8" t="s">
        <v>578</v>
      </c>
      <c r="C2917" s="8" t="s">
        <v>579</v>
      </c>
      <c r="D2917" s="8" t="s">
        <v>637</v>
      </c>
      <c r="E2917" s="8" t="s">
        <v>41</v>
      </c>
      <c r="F2917" s="8" t="s">
        <v>1147</v>
      </c>
      <c r="G2917" s="8" t="s">
        <v>2350</v>
      </c>
      <c r="H2917" s="8">
        <v>1</v>
      </c>
      <c r="I2917" s="8">
        <v>1</v>
      </c>
      <c r="J2917" s="8" t="s">
        <v>2361</v>
      </c>
      <c r="K2917" s="8" t="s">
        <v>583</v>
      </c>
      <c r="L2917" s="9">
        <v>46319</v>
      </c>
      <c r="M2917" s="8" t="s">
        <v>5864</v>
      </c>
      <c r="N2917" s="8" t="s">
        <v>5870</v>
      </c>
    </row>
    <row r="2918" spans="1:14" ht="40" customHeight="1">
      <c r="A2918" s="4" t="s">
        <v>5771</v>
      </c>
      <c r="B2918" s="4" t="s">
        <v>578</v>
      </c>
      <c r="C2918" s="4" t="s">
        <v>579</v>
      </c>
      <c r="D2918" s="4" t="s">
        <v>7</v>
      </c>
      <c r="E2918" s="4" t="s">
        <v>41</v>
      </c>
      <c r="F2918" s="4" t="s">
        <v>6212</v>
      </c>
      <c r="G2918" s="4" t="s">
        <v>2350</v>
      </c>
      <c r="H2918" s="4">
        <v>1</v>
      </c>
      <c r="I2918" s="4">
        <v>1</v>
      </c>
      <c r="J2918" s="4" t="s">
        <v>4969</v>
      </c>
      <c r="K2918" s="4" t="s">
        <v>583</v>
      </c>
      <c r="L2918" s="6">
        <v>46319</v>
      </c>
      <c r="M2918" s="4" t="s">
        <v>5864</v>
      </c>
      <c r="N2918" s="4" t="s">
        <v>5870</v>
      </c>
    </row>
    <row r="2919" spans="1:14" ht="40" customHeight="1">
      <c r="A2919" s="8" t="s">
        <v>5772</v>
      </c>
      <c r="B2919" s="8" t="s">
        <v>578</v>
      </c>
      <c r="C2919" s="8" t="s">
        <v>579</v>
      </c>
      <c r="D2919" s="8" t="s">
        <v>7</v>
      </c>
      <c r="E2919" s="8" t="s">
        <v>41</v>
      </c>
      <c r="F2919" s="8" t="s">
        <v>6213</v>
      </c>
      <c r="G2919" s="8" t="s">
        <v>2350</v>
      </c>
      <c r="H2919" s="8">
        <v>1</v>
      </c>
      <c r="I2919" s="8">
        <v>1</v>
      </c>
      <c r="J2919" s="8" t="s">
        <v>4971</v>
      </c>
      <c r="K2919" s="8" t="s">
        <v>583</v>
      </c>
      <c r="L2919" s="9">
        <v>46319</v>
      </c>
      <c r="M2919" s="8" t="s">
        <v>5864</v>
      </c>
      <c r="N2919" s="8" t="s">
        <v>5870</v>
      </c>
    </row>
    <row r="2920" spans="1:14" ht="40" customHeight="1">
      <c r="A2920" s="4" t="s">
        <v>5773</v>
      </c>
      <c r="B2920" s="4" t="s">
        <v>578</v>
      </c>
      <c r="C2920" s="4" t="s">
        <v>579</v>
      </c>
      <c r="D2920" s="4" t="s">
        <v>7</v>
      </c>
      <c r="E2920" s="4" t="s">
        <v>41</v>
      </c>
      <c r="F2920" s="4" t="s">
        <v>6214</v>
      </c>
      <c r="G2920" s="4" t="s">
        <v>2350</v>
      </c>
      <c r="H2920" s="4">
        <v>1</v>
      </c>
      <c r="I2920" s="4">
        <v>1</v>
      </c>
      <c r="J2920" s="4" t="s">
        <v>4973</v>
      </c>
      <c r="K2920" s="4" t="s">
        <v>583</v>
      </c>
      <c r="L2920" s="6">
        <v>46319</v>
      </c>
      <c r="M2920" s="4" t="s">
        <v>5864</v>
      </c>
      <c r="N2920" s="4" t="s">
        <v>5870</v>
      </c>
    </row>
    <row r="2921" spans="1:14" ht="40" customHeight="1">
      <c r="A2921" s="8" t="s">
        <v>5774</v>
      </c>
      <c r="B2921" s="8" t="s">
        <v>578</v>
      </c>
      <c r="C2921" s="8" t="s">
        <v>579</v>
      </c>
      <c r="D2921" s="8" t="s">
        <v>7</v>
      </c>
      <c r="E2921" s="8" t="s">
        <v>41</v>
      </c>
      <c r="F2921" s="8" t="s">
        <v>6215</v>
      </c>
      <c r="G2921" s="8" t="s">
        <v>2350</v>
      </c>
      <c r="H2921" s="8">
        <v>1</v>
      </c>
      <c r="I2921" s="8">
        <v>1</v>
      </c>
      <c r="J2921" s="8" t="s">
        <v>4975</v>
      </c>
      <c r="K2921" s="8" t="s">
        <v>583</v>
      </c>
      <c r="L2921" s="9">
        <v>46319</v>
      </c>
      <c r="M2921" s="8" t="s">
        <v>5864</v>
      </c>
      <c r="N2921" s="8" t="s">
        <v>5870</v>
      </c>
    </row>
    <row r="2922" spans="1:14" ht="40" customHeight="1">
      <c r="A2922" s="4" t="s">
        <v>5775</v>
      </c>
      <c r="B2922" s="4" t="s">
        <v>578</v>
      </c>
      <c r="C2922" s="4" t="s">
        <v>579</v>
      </c>
      <c r="D2922" s="4" t="s">
        <v>7</v>
      </c>
      <c r="E2922" s="4" t="s">
        <v>41</v>
      </c>
      <c r="F2922" s="4" t="s">
        <v>6216</v>
      </c>
      <c r="G2922" s="4" t="s">
        <v>2350</v>
      </c>
      <c r="H2922" s="4">
        <v>1</v>
      </c>
      <c r="I2922" s="4">
        <v>1</v>
      </c>
      <c r="J2922" s="4" t="s">
        <v>5647</v>
      </c>
      <c r="K2922" s="4" t="s">
        <v>583</v>
      </c>
      <c r="L2922" s="6">
        <v>46319</v>
      </c>
      <c r="M2922" s="4" t="s">
        <v>5864</v>
      </c>
      <c r="N2922" s="4" t="s">
        <v>5870</v>
      </c>
    </row>
    <row r="2923" spans="1:14" ht="40" customHeight="1">
      <c r="A2923" s="8" t="s">
        <v>5776</v>
      </c>
      <c r="B2923" s="8" t="s">
        <v>578</v>
      </c>
      <c r="C2923" s="8" t="s">
        <v>579</v>
      </c>
      <c r="D2923" s="8" t="s">
        <v>7</v>
      </c>
      <c r="E2923" s="8" t="s">
        <v>41</v>
      </c>
      <c r="F2923" s="8" t="s">
        <v>6284</v>
      </c>
      <c r="G2923" s="8" t="s">
        <v>2350</v>
      </c>
      <c r="H2923" s="8">
        <v>1</v>
      </c>
      <c r="I2923" s="8">
        <v>1</v>
      </c>
      <c r="J2923" s="8" t="s">
        <v>4977</v>
      </c>
      <c r="K2923" s="8" t="s">
        <v>583</v>
      </c>
      <c r="L2923" s="9">
        <v>46319</v>
      </c>
      <c r="M2923" s="8" t="s">
        <v>5864</v>
      </c>
      <c r="N2923" s="8" t="s">
        <v>5870</v>
      </c>
    </row>
    <row r="2924" spans="1:14" ht="40" customHeight="1">
      <c r="A2924" s="4" t="s">
        <v>4840</v>
      </c>
      <c r="B2924" s="4" t="s">
        <v>578</v>
      </c>
      <c r="C2924" s="4" t="s">
        <v>579</v>
      </c>
      <c r="D2924" s="4" t="s">
        <v>5879</v>
      </c>
      <c r="E2924" s="4" t="s">
        <v>41</v>
      </c>
      <c r="F2924" s="4" t="s">
        <v>3449</v>
      </c>
      <c r="G2924" s="4" t="s">
        <v>2350</v>
      </c>
      <c r="H2924" s="4">
        <v>1</v>
      </c>
      <c r="I2924" s="4">
        <v>1</v>
      </c>
      <c r="J2924" s="4" t="s">
        <v>4767</v>
      </c>
      <c r="K2924" s="4" t="s">
        <v>583</v>
      </c>
      <c r="L2924" s="6">
        <v>46319</v>
      </c>
      <c r="M2924" s="4" t="s">
        <v>5864</v>
      </c>
      <c r="N2924" s="4" t="s">
        <v>5865</v>
      </c>
    </row>
    <row r="2925" spans="1:14" ht="40" customHeight="1">
      <c r="A2925" s="8" t="s">
        <v>4841</v>
      </c>
      <c r="B2925" s="8" t="s">
        <v>578</v>
      </c>
      <c r="C2925" s="8" t="s">
        <v>579</v>
      </c>
      <c r="D2925" s="8" t="s">
        <v>5879</v>
      </c>
      <c r="E2925" s="8" t="s">
        <v>41</v>
      </c>
      <c r="F2925" s="8" t="s">
        <v>3466</v>
      </c>
      <c r="G2925" s="8" t="s">
        <v>2350</v>
      </c>
      <c r="H2925" s="8">
        <v>1</v>
      </c>
      <c r="I2925" s="8">
        <v>1</v>
      </c>
      <c r="J2925" s="8" t="s">
        <v>3692</v>
      </c>
      <c r="K2925" s="8" t="s">
        <v>583</v>
      </c>
      <c r="L2925" s="9">
        <v>46319</v>
      </c>
      <c r="M2925" s="8" t="s">
        <v>5864</v>
      </c>
      <c r="N2925" s="8" t="s">
        <v>5865</v>
      </c>
    </row>
    <row r="2926" spans="1:14" ht="40" customHeight="1">
      <c r="A2926" s="4" t="s">
        <v>4842</v>
      </c>
      <c r="B2926" s="4" t="s">
        <v>578</v>
      </c>
      <c r="C2926" s="4" t="s">
        <v>579</v>
      </c>
      <c r="D2926" s="4" t="s">
        <v>5879</v>
      </c>
      <c r="E2926" s="4" t="s">
        <v>41</v>
      </c>
      <c r="F2926" s="4" t="s">
        <v>3469</v>
      </c>
      <c r="G2926" s="4" t="s">
        <v>2350</v>
      </c>
      <c r="H2926" s="4">
        <v>1</v>
      </c>
      <c r="I2926" s="4">
        <v>1</v>
      </c>
      <c r="J2926" s="4" t="s">
        <v>4770</v>
      </c>
      <c r="K2926" s="4" t="s">
        <v>583</v>
      </c>
      <c r="L2926" s="6">
        <v>46319</v>
      </c>
      <c r="M2926" s="4" t="s">
        <v>5864</v>
      </c>
      <c r="N2926" s="4" t="s">
        <v>5865</v>
      </c>
    </row>
    <row r="2927" spans="1:14" ht="40" customHeight="1">
      <c r="A2927" s="8" t="s">
        <v>4843</v>
      </c>
      <c r="B2927" s="8" t="s">
        <v>578</v>
      </c>
      <c r="C2927" s="8" t="s">
        <v>579</v>
      </c>
      <c r="D2927" s="8" t="s">
        <v>5879</v>
      </c>
      <c r="E2927" s="8" t="s">
        <v>41</v>
      </c>
      <c r="F2927" s="8" t="s">
        <v>3472</v>
      </c>
      <c r="G2927" s="8" t="s">
        <v>2350</v>
      </c>
      <c r="H2927" s="8">
        <v>1</v>
      </c>
      <c r="I2927" s="8">
        <v>1</v>
      </c>
      <c r="J2927" s="8" t="s">
        <v>4772</v>
      </c>
      <c r="K2927" s="8" t="s">
        <v>583</v>
      </c>
      <c r="L2927" s="9">
        <v>46319</v>
      </c>
      <c r="M2927" s="8" t="s">
        <v>5864</v>
      </c>
      <c r="N2927" s="8" t="s">
        <v>5865</v>
      </c>
    </row>
    <row r="2928" spans="1:14" ht="54" customHeight="1">
      <c r="A2928" s="4" t="s">
        <v>9425</v>
      </c>
      <c r="B2928" s="4" t="s">
        <v>578</v>
      </c>
      <c r="C2928" s="4" t="s">
        <v>579</v>
      </c>
      <c r="D2928" s="4" t="s">
        <v>2969</v>
      </c>
      <c r="E2928" s="4" t="s">
        <v>41</v>
      </c>
      <c r="F2928" s="4" t="s">
        <v>5881</v>
      </c>
      <c r="G2928" s="4" t="s">
        <v>2350</v>
      </c>
      <c r="H2928" s="4">
        <v>1</v>
      </c>
      <c r="I2928" s="4">
        <v>1</v>
      </c>
      <c r="J2928" s="4" t="s">
        <v>9426</v>
      </c>
      <c r="K2928" s="4" t="s">
        <v>583</v>
      </c>
      <c r="L2928" s="6">
        <v>46319</v>
      </c>
      <c r="M2928" s="4" t="s">
        <v>5864</v>
      </c>
      <c r="N2928" s="4" t="s">
        <v>5883</v>
      </c>
    </row>
    <row r="2929" spans="1:14" ht="40" customHeight="1">
      <c r="A2929" s="8" t="s">
        <v>9427</v>
      </c>
      <c r="B2929" s="8" t="s">
        <v>578</v>
      </c>
      <c r="C2929" s="8" t="s">
        <v>579</v>
      </c>
      <c r="D2929" s="8" t="s">
        <v>2969</v>
      </c>
      <c r="E2929" s="8" t="s">
        <v>41</v>
      </c>
      <c r="F2929" s="8" t="s">
        <v>5885</v>
      </c>
      <c r="G2929" s="8" t="s">
        <v>2350</v>
      </c>
      <c r="H2929" s="8">
        <v>1</v>
      </c>
      <c r="I2929" s="8">
        <v>1</v>
      </c>
      <c r="J2929" s="8" t="s">
        <v>9428</v>
      </c>
      <c r="K2929" s="8" t="s">
        <v>583</v>
      </c>
      <c r="L2929" s="9">
        <v>46319</v>
      </c>
      <c r="M2929" s="8" t="s">
        <v>5864</v>
      </c>
      <c r="N2929" s="8" t="s">
        <v>5883</v>
      </c>
    </row>
    <row r="2930" spans="1:14" ht="54" customHeight="1">
      <c r="A2930" s="4" t="s">
        <v>9429</v>
      </c>
      <c r="B2930" s="4" t="s">
        <v>578</v>
      </c>
      <c r="C2930" s="4" t="s">
        <v>579</v>
      </c>
      <c r="D2930" s="4" t="s">
        <v>2969</v>
      </c>
      <c r="E2930" s="4" t="s">
        <v>41</v>
      </c>
      <c r="F2930" s="4" t="s">
        <v>5888</v>
      </c>
      <c r="G2930" s="4" t="s">
        <v>2350</v>
      </c>
      <c r="H2930" s="4">
        <v>1</v>
      </c>
      <c r="I2930" s="4">
        <v>1</v>
      </c>
      <c r="J2930" s="4" t="s">
        <v>9430</v>
      </c>
      <c r="K2930" s="4" t="s">
        <v>583</v>
      </c>
      <c r="L2930" s="6">
        <v>46319</v>
      </c>
      <c r="M2930" s="4" t="s">
        <v>5864</v>
      </c>
      <c r="N2930" s="4" t="s">
        <v>5883</v>
      </c>
    </row>
    <row r="2931" spans="1:14" ht="40" customHeight="1">
      <c r="A2931" s="8" t="s">
        <v>9431</v>
      </c>
      <c r="B2931" s="8" t="s">
        <v>578</v>
      </c>
      <c r="C2931" s="8" t="s">
        <v>579</v>
      </c>
      <c r="D2931" s="8" t="s">
        <v>2969</v>
      </c>
      <c r="E2931" s="8" t="s">
        <v>41</v>
      </c>
      <c r="F2931" s="8" t="s">
        <v>5891</v>
      </c>
      <c r="G2931" s="8" t="s">
        <v>2350</v>
      </c>
      <c r="H2931" s="8">
        <v>1</v>
      </c>
      <c r="I2931" s="8">
        <v>1</v>
      </c>
      <c r="J2931" s="8" t="s">
        <v>9432</v>
      </c>
      <c r="K2931" s="8" t="s">
        <v>583</v>
      </c>
      <c r="L2931" s="9">
        <v>46319</v>
      </c>
      <c r="M2931" s="8" t="s">
        <v>5864</v>
      </c>
      <c r="N2931" s="8" t="s">
        <v>5883</v>
      </c>
    </row>
    <row r="2932" spans="1:14" ht="40" customHeight="1">
      <c r="A2932" s="4" t="s">
        <v>9433</v>
      </c>
      <c r="B2932" s="4" t="s">
        <v>578</v>
      </c>
      <c r="C2932" s="4" t="s">
        <v>579</v>
      </c>
      <c r="D2932" s="4" t="s">
        <v>2969</v>
      </c>
      <c r="E2932" s="4" t="s">
        <v>41</v>
      </c>
      <c r="F2932" s="4" t="s">
        <v>5894</v>
      </c>
      <c r="G2932" s="4" t="s">
        <v>2350</v>
      </c>
      <c r="H2932" s="4">
        <v>1</v>
      </c>
      <c r="I2932" s="4">
        <v>1</v>
      </c>
      <c r="J2932" s="4" t="s">
        <v>9434</v>
      </c>
      <c r="K2932" s="4" t="s">
        <v>583</v>
      </c>
      <c r="L2932" s="6">
        <v>46319</v>
      </c>
      <c r="M2932" s="4" t="s">
        <v>5864</v>
      </c>
      <c r="N2932" s="4" t="s">
        <v>5883</v>
      </c>
    </row>
    <row r="2933" spans="1:14" ht="40" customHeight="1">
      <c r="A2933" s="8" t="s">
        <v>9435</v>
      </c>
      <c r="B2933" s="8" t="s">
        <v>578</v>
      </c>
      <c r="C2933" s="8" t="s">
        <v>579</v>
      </c>
      <c r="D2933" s="8" t="s">
        <v>2969</v>
      </c>
      <c r="E2933" s="8" t="s">
        <v>41</v>
      </c>
      <c r="F2933" s="8" t="s">
        <v>5897</v>
      </c>
      <c r="G2933" s="8" t="s">
        <v>2350</v>
      </c>
      <c r="H2933" s="8">
        <v>1</v>
      </c>
      <c r="I2933" s="8">
        <v>1</v>
      </c>
      <c r="J2933" s="8" t="s">
        <v>9436</v>
      </c>
      <c r="K2933" s="8" t="s">
        <v>583</v>
      </c>
      <c r="L2933" s="9">
        <v>46319</v>
      </c>
      <c r="M2933" s="8" t="s">
        <v>5864</v>
      </c>
      <c r="N2933" s="8" t="s">
        <v>5883</v>
      </c>
    </row>
    <row r="2934" spans="1:14" ht="40" customHeight="1">
      <c r="A2934" s="4" t="s">
        <v>9437</v>
      </c>
      <c r="B2934" s="4" t="s">
        <v>578</v>
      </c>
      <c r="C2934" s="4" t="s">
        <v>579</v>
      </c>
      <c r="D2934" s="4" t="s">
        <v>2969</v>
      </c>
      <c r="E2934" s="4" t="s">
        <v>41</v>
      </c>
      <c r="F2934" s="4" t="s">
        <v>5900</v>
      </c>
      <c r="G2934" s="4" t="s">
        <v>2350</v>
      </c>
      <c r="H2934" s="4">
        <v>1</v>
      </c>
      <c r="I2934" s="4">
        <v>1</v>
      </c>
      <c r="J2934" s="4" t="s">
        <v>9438</v>
      </c>
      <c r="K2934" s="4" t="s">
        <v>583</v>
      </c>
      <c r="L2934" s="6">
        <v>46319</v>
      </c>
      <c r="M2934" s="4" t="s">
        <v>5864</v>
      </c>
      <c r="N2934" s="4" t="s">
        <v>5883</v>
      </c>
    </row>
    <row r="2935" spans="1:14" ht="68" customHeight="1">
      <c r="A2935" s="8" t="s">
        <v>9439</v>
      </c>
      <c r="B2935" s="8" t="s">
        <v>578</v>
      </c>
      <c r="C2935" s="8" t="s">
        <v>579</v>
      </c>
      <c r="D2935" s="8" t="s">
        <v>2969</v>
      </c>
      <c r="E2935" s="8" t="s">
        <v>41</v>
      </c>
      <c r="F2935" s="8" t="s">
        <v>5903</v>
      </c>
      <c r="G2935" s="8" t="s">
        <v>2350</v>
      </c>
      <c r="H2935" s="8">
        <v>1</v>
      </c>
      <c r="I2935" s="8">
        <v>1</v>
      </c>
      <c r="J2935" s="8" t="s">
        <v>6355</v>
      </c>
      <c r="K2935" s="8" t="s">
        <v>583</v>
      </c>
      <c r="L2935" s="9">
        <v>46319</v>
      </c>
      <c r="M2935" s="8" t="s">
        <v>5864</v>
      </c>
      <c r="N2935" s="8" t="s">
        <v>5883</v>
      </c>
    </row>
    <row r="2936" spans="1:14" ht="40" customHeight="1">
      <c r="A2936" s="4" t="s">
        <v>9440</v>
      </c>
      <c r="B2936" s="4" t="s">
        <v>578</v>
      </c>
      <c r="C2936" s="4" t="s">
        <v>579</v>
      </c>
      <c r="D2936" s="4" t="s">
        <v>2969</v>
      </c>
      <c r="E2936" s="4" t="s">
        <v>41</v>
      </c>
      <c r="F2936" s="4" t="s">
        <v>5906</v>
      </c>
      <c r="G2936" s="4" t="s">
        <v>2350</v>
      </c>
      <c r="H2936" s="4">
        <v>1</v>
      </c>
      <c r="I2936" s="4">
        <v>1</v>
      </c>
      <c r="J2936" s="4" t="s">
        <v>6434</v>
      </c>
      <c r="K2936" s="4" t="s">
        <v>583</v>
      </c>
      <c r="L2936" s="6">
        <v>46319</v>
      </c>
      <c r="M2936" s="4" t="s">
        <v>5864</v>
      </c>
      <c r="N2936" s="4" t="s">
        <v>5883</v>
      </c>
    </row>
    <row r="2937" spans="1:14" ht="40" customHeight="1">
      <c r="A2937" s="8" t="s">
        <v>9441</v>
      </c>
      <c r="B2937" s="8" t="s">
        <v>578</v>
      </c>
      <c r="C2937" s="8" t="s">
        <v>579</v>
      </c>
      <c r="D2937" s="8" t="s">
        <v>2969</v>
      </c>
      <c r="E2937" s="8" t="s">
        <v>41</v>
      </c>
      <c r="F2937" s="8" t="s">
        <v>5909</v>
      </c>
      <c r="G2937" s="8" t="s">
        <v>2350</v>
      </c>
      <c r="H2937" s="8">
        <v>1</v>
      </c>
      <c r="I2937" s="8">
        <v>1</v>
      </c>
      <c r="J2937" s="8" t="s">
        <v>6358</v>
      </c>
      <c r="K2937" s="8" t="s">
        <v>583</v>
      </c>
      <c r="L2937" s="9">
        <v>46319</v>
      </c>
      <c r="M2937" s="8" t="s">
        <v>5864</v>
      </c>
      <c r="N2937" s="8" t="s">
        <v>5883</v>
      </c>
    </row>
    <row r="2938" spans="1:14" ht="40" customHeight="1">
      <c r="A2938" s="4" t="s">
        <v>9442</v>
      </c>
      <c r="B2938" s="4" t="s">
        <v>578</v>
      </c>
      <c r="C2938" s="4" t="s">
        <v>579</v>
      </c>
      <c r="D2938" s="4" t="s">
        <v>2969</v>
      </c>
      <c r="E2938" s="4" t="s">
        <v>41</v>
      </c>
      <c r="F2938" s="4" t="s">
        <v>5912</v>
      </c>
      <c r="G2938" s="4" t="s">
        <v>2350</v>
      </c>
      <c r="H2938" s="4">
        <v>1</v>
      </c>
      <c r="I2938" s="4">
        <v>1</v>
      </c>
      <c r="J2938" s="4" t="s">
        <v>6361</v>
      </c>
      <c r="K2938" s="4" t="s">
        <v>583</v>
      </c>
      <c r="L2938" s="6">
        <v>46319</v>
      </c>
      <c r="M2938" s="4" t="s">
        <v>5864</v>
      </c>
      <c r="N2938" s="4" t="s">
        <v>5883</v>
      </c>
    </row>
    <row r="2939" spans="1:14" ht="40" customHeight="1">
      <c r="A2939" s="8" t="s">
        <v>9443</v>
      </c>
      <c r="B2939" s="8" t="s">
        <v>578</v>
      </c>
      <c r="C2939" s="8" t="s">
        <v>579</v>
      </c>
      <c r="D2939" s="8" t="s">
        <v>2969</v>
      </c>
      <c r="E2939" s="8" t="s">
        <v>41</v>
      </c>
      <c r="F2939" s="8" t="s">
        <v>5973</v>
      </c>
      <c r="G2939" s="8" t="s">
        <v>2350</v>
      </c>
      <c r="H2939" s="8">
        <v>1</v>
      </c>
      <c r="I2939" s="8">
        <v>1</v>
      </c>
      <c r="J2939" s="8" t="s">
        <v>6364</v>
      </c>
      <c r="K2939" s="8" t="s">
        <v>583</v>
      </c>
      <c r="L2939" s="9">
        <v>46319</v>
      </c>
      <c r="M2939" s="8" t="s">
        <v>5864</v>
      </c>
      <c r="N2939" s="8" t="s">
        <v>5883</v>
      </c>
    </row>
    <row r="2940" spans="1:14" ht="40" customHeight="1">
      <c r="A2940" s="4" t="s">
        <v>9444</v>
      </c>
      <c r="B2940" s="4" t="s">
        <v>578</v>
      </c>
      <c r="C2940" s="4" t="s">
        <v>579</v>
      </c>
      <c r="D2940" s="4" t="s">
        <v>2969</v>
      </c>
      <c r="E2940" s="4" t="s">
        <v>41</v>
      </c>
      <c r="F2940" s="4" t="s">
        <v>5976</v>
      </c>
      <c r="G2940" s="4" t="s">
        <v>2350</v>
      </c>
      <c r="H2940" s="4">
        <v>1</v>
      </c>
      <c r="I2940" s="4">
        <v>1</v>
      </c>
      <c r="J2940" s="4" t="s">
        <v>6367</v>
      </c>
      <c r="K2940" s="4" t="s">
        <v>583</v>
      </c>
      <c r="L2940" s="6">
        <v>46319</v>
      </c>
      <c r="M2940" s="4" t="s">
        <v>5864</v>
      </c>
      <c r="N2940" s="4" t="s">
        <v>5883</v>
      </c>
    </row>
    <row r="2941" spans="1:14" ht="40" customHeight="1">
      <c r="A2941" s="8" t="s">
        <v>9445</v>
      </c>
      <c r="B2941" s="8" t="s">
        <v>578</v>
      </c>
      <c r="C2941" s="8" t="s">
        <v>579</v>
      </c>
      <c r="D2941" s="8" t="s">
        <v>2969</v>
      </c>
      <c r="E2941" s="8" t="s">
        <v>41</v>
      </c>
      <c r="F2941" s="8" t="s">
        <v>5979</v>
      </c>
      <c r="G2941" s="8" t="s">
        <v>2350</v>
      </c>
      <c r="H2941" s="8">
        <v>1</v>
      </c>
      <c r="I2941" s="8">
        <v>1</v>
      </c>
      <c r="J2941" s="8" t="s">
        <v>6370</v>
      </c>
      <c r="K2941" s="8" t="s">
        <v>583</v>
      </c>
      <c r="L2941" s="9">
        <v>46319</v>
      </c>
      <c r="M2941" s="8" t="s">
        <v>5864</v>
      </c>
      <c r="N2941" s="8" t="s">
        <v>5883</v>
      </c>
    </row>
    <row r="2942" spans="1:14" ht="68" customHeight="1">
      <c r="A2942" s="4" t="s">
        <v>9446</v>
      </c>
      <c r="B2942" s="4" t="s">
        <v>578</v>
      </c>
      <c r="C2942" s="4" t="s">
        <v>579</v>
      </c>
      <c r="D2942" s="4" t="s">
        <v>2969</v>
      </c>
      <c r="E2942" s="4" t="s">
        <v>41</v>
      </c>
      <c r="F2942" s="4" t="s">
        <v>5982</v>
      </c>
      <c r="G2942" s="4" t="s">
        <v>2350</v>
      </c>
      <c r="H2942" s="4">
        <v>1</v>
      </c>
      <c r="I2942" s="4">
        <v>1</v>
      </c>
      <c r="J2942" s="4" t="s">
        <v>6373</v>
      </c>
      <c r="K2942" s="4" t="s">
        <v>583</v>
      </c>
      <c r="L2942" s="6">
        <v>46319</v>
      </c>
      <c r="M2942" s="4" t="s">
        <v>5864</v>
      </c>
      <c r="N2942" s="4" t="s">
        <v>5883</v>
      </c>
    </row>
    <row r="2943" spans="1:14" ht="54" customHeight="1">
      <c r="A2943" s="8" t="s">
        <v>9447</v>
      </c>
      <c r="B2943" s="8" t="s">
        <v>578</v>
      </c>
      <c r="C2943" s="8" t="s">
        <v>579</v>
      </c>
      <c r="D2943" s="8" t="s">
        <v>2969</v>
      </c>
      <c r="E2943" s="8" t="s">
        <v>41</v>
      </c>
      <c r="F2943" s="8" t="s">
        <v>5985</v>
      </c>
      <c r="G2943" s="8" t="s">
        <v>2350</v>
      </c>
      <c r="H2943" s="8">
        <v>1</v>
      </c>
      <c r="I2943" s="8">
        <v>1</v>
      </c>
      <c r="J2943" s="8" t="s">
        <v>6376</v>
      </c>
      <c r="K2943" s="8" t="s">
        <v>583</v>
      </c>
      <c r="L2943" s="9">
        <v>46319</v>
      </c>
      <c r="M2943" s="8" t="s">
        <v>5864</v>
      </c>
      <c r="N2943" s="8" t="s">
        <v>5883</v>
      </c>
    </row>
    <row r="2944" spans="1:14" ht="54" customHeight="1">
      <c r="A2944" s="4" t="s">
        <v>9448</v>
      </c>
      <c r="B2944" s="4" t="s">
        <v>578</v>
      </c>
      <c r="C2944" s="4" t="s">
        <v>579</v>
      </c>
      <c r="D2944" s="4" t="s">
        <v>2969</v>
      </c>
      <c r="E2944" s="4" t="s">
        <v>41</v>
      </c>
      <c r="F2944" s="4" t="s">
        <v>5988</v>
      </c>
      <c r="G2944" s="4" t="s">
        <v>2350</v>
      </c>
      <c r="H2944" s="4">
        <v>1</v>
      </c>
      <c r="I2944" s="4">
        <v>1</v>
      </c>
      <c r="J2944" s="4" t="s">
        <v>8901</v>
      </c>
      <c r="K2944" s="4" t="s">
        <v>583</v>
      </c>
      <c r="L2944" s="6">
        <v>46319</v>
      </c>
      <c r="M2944" s="4" t="s">
        <v>5864</v>
      </c>
      <c r="N2944" s="4" t="s">
        <v>5883</v>
      </c>
    </row>
    <row r="2945" spans="1:14" ht="68" customHeight="1">
      <c r="A2945" s="8" t="s">
        <v>9449</v>
      </c>
      <c r="B2945" s="8" t="s">
        <v>578</v>
      </c>
      <c r="C2945" s="8" t="s">
        <v>579</v>
      </c>
      <c r="D2945" s="8" t="s">
        <v>2969</v>
      </c>
      <c r="E2945" s="8" t="s">
        <v>41</v>
      </c>
      <c r="F2945" s="8" t="s">
        <v>5991</v>
      </c>
      <c r="G2945" s="8" t="s">
        <v>2350</v>
      </c>
      <c r="H2945" s="8">
        <v>1</v>
      </c>
      <c r="I2945" s="8">
        <v>1</v>
      </c>
      <c r="J2945" s="8" t="s">
        <v>6379</v>
      </c>
      <c r="K2945" s="8" t="s">
        <v>583</v>
      </c>
      <c r="L2945" s="9">
        <v>46319</v>
      </c>
      <c r="M2945" s="8" t="s">
        <v>5864</v>
      </c>
      <c r="N2945" s="8" t="s">
        <v>5883</v>
      </c>
    </row>
    <row r="2946" spans="1:14" ht="54" customHeight="1">
      <c r="A2946" s="4" t="s">
        <v>9450</v>
      </c>
      <c r="B2946" s="4" t="s">
        <v>578</v>
      </c>
      <c r="C2946" s="4" t="s">
        <v>579</v>
      </c>
      <c r="D2946" s="4" t="s">
        <v>2969</v>
      </c>
      <c r="E2946" s="4" t="s">
        <v>41</v>
      </c>
      <c r="F2946" s="4" t="s">
        <v>6327</v>
      </c>
      <c r="G2946" s="4" t="s">
        <v>2350</v>
      </c>
      <c r="H2946" s="4">
        <v>1</v>
      </c>
      <c r="I2946" s="4">
        <v>1</v>
      </c>
      <c r="J2946" s="4" t="s">
        <v>6382</v>
      </c>
      <c r="K2946" s="4" t="s">
        <v>583</v>
      </c>
      <c r="L2946" s="6">
        <v>46319</v>
      </c>
      <c r="M2946" s="4" t="s">
        <v>5864</v>
      </c>
      <c r="N2946" s="4" t="s">
        <v>5883</v>
      </c>
    </row>
    <row r="2947" spans="1:14" ht="54" customHeight="1">
      <c r="A2947" s="8" t="s">
        <v>9451</v>
      </c>
      <c r="B2947" s="8" t="s">
        <v>578</v>
      </c>
      <c r="C2947" s="8" t="s">
        <v>579</v>
      </c>
      <c r="D2947" s="8" t="s">
        <v>2969</v>
      </c>
      <c r="E2947" s="8" t="s">
        <v>41</v>
      </c>
      <c r="F2947" s="8" t="s">
        <v>6330</v>
      </c>
      <c r="G2947" s="8" t="s">
        <v>2350</v>
      </c>
      <c r="H2947" s="8">
        <v>1</v>
      </c>
      <c r="I2947" s="8">
        <v>1</v>
      </c>
      <c r="J2947" s="8" t="s">
        <v>6385</v>
      </c>
      <c r="K2947" s="8" t="s">
        <v>583</v>
      </c>
      <c r="L2947" s="9">
        <v>46319</v>
      </c>
      <c r="M2947" s="8" t="s">
        <v>5864</v>
      </c>
      <c r="N2947" s="8" t="s">
        <v>5883</v>
      </c>
    </row>
    <row r="2948" spans="1:14" ht="40" customHeight="1">
      <c r="A2948" s="4" t="s">
        <v>9452</v>
      </c>
      <c r="B2948" s="4" t="s">
        <v>578</v>
      </c>
      <c r="C2948" s="4" t="s">
        <v>579</v>
      </c>
      <c r="D2948" s="4" t="s">
        <v>2969</v>
      </c>
      <c r="E2948" s="4" t="s">
        <v>41</v>
      </c>
      <c r="F2948" s="4" t="s">
        <v>6333</v>
      </c>
      <c r="G2948" s="4" t="s">
        <v>2350</v>
      </c>
      <c r="H2948" s="4">
        <v>1</v>
      </c>
      <c r="I2948" s="4">
        <v>1</v>
      </c>
      <c r="J2948" s="4" t="s">
        <v>8906</v>
      </c>
      <c r="K2948" s="4" t="s">
        <v>583</v>
      </c>
      <c r="L2948" s="6">
        <v>46319</v>
      </c>
      <c r="M2948" s="4" t="s">
        <v>5864</v>
      </c>
      <c r="N2948" s="4" t="s">
        <v>5883</v>
      </c>
    </row>
    <row r="2949" spans="1:14" ht="54" customHeight="1">
      <c r="A2949" s="8" t="s">
        <v>9453</v>
      </c>
      <c r="B2949" s="8" t="s">
        <v>578</v>
      </c>
      <c r="C2949" s="8" t="s">
        <v>579</v>
      </c>
      <c r="D2949" s="8" t="s">
        <v>2969</v>
      </c>
      <c r="E2949" s="8" t="s">
        <v>41</v>
      </c>
      <c r="F2949" s="8" t="s">
        <v>6336</v>
      </c>
      <c r="G2949" s="8" t="s">
        <v>2350</v>
      </c>
      <c r="H2949" s="8">
        <v>1</v>
      </c>
      <c r="I2949" s="8">
        <v>1</v>
      </c>
      <c r="J2949" s="8" t="s">
        <v>8908</v>
      </c>
      <c r="K2949" s="8" t="s">
        <v>583</v>
      </c>
      <c r="L2949" s="9">
        <v>46319</v>
      </c>
      <c r="M2949" s="8" t="s">
        <v>5864</v>
      </c>
      <c r="N2949" s="8" t="s">
        <v>5883</v>
      </c>
    </row>
    <row r="2950" spans="1:14" ht="166" customHeight="1">
      <c r="A2950" s="4" t="s">
        <v>9454</v>
      </c>
      <c r="B2950" s="4" t="s">
        <v>586</v>
      </c>
      <c r="C2950" s="4" t="s">
        <v>587</v>
      </c>
      <c r="D2950" s="4" t="s">
        <v>5861</v>
      </c>
      <c r="E2950" s="4" t="s">
        <v>41</v>
      </c>
      <c r="F2950" s="4" t="s">
        <v>5862</v>
      </c>
      <c r="G2950" s="4" t="s">
        <v>2367</v>
      </c>
      <c r="H2950" s="4">
        <v>1</v>
      </c>
      <c r="I2950" s="4">
        <v>2</v>
      </c>
      <c r="J2950" s="4" t="s">
        <v>9455</v>
      </c>
      <c r="K2950" s="4" t="s">
        <v>591</v>
      </c>
      <c r="L2950" s="6">
        <v>46319</v>
      </c>
      <c r="M2950" s="4" t="s">
        <v>5864</v>
      </c>
      <c r="N2950" s="4" t="s">
        <v>5865</v>
      </c>
    </row>
    <row r="2951" spans="1:14" ht="40" customHeight="1">
      <c r="A2951" s="8" t="s">
        <v>9454</v>
      </c>
      <c r="B2951" s="8" t="s">
        <v>586</v>
      </c>
      <c r="C2951" s="8" t="s">
        <v>587</v>
      </c>
      <c r="D2951" s="8" t="s">
        <v>5861</v>
      </c>
      <c r="E2951" s="8" t="s">
        <v>41</v>
      </c>
      <c r="F2951" s="8" t="s">
        <v>5862</v>
      </c>
      <c r="G2951" s="8" t="s">
        <v>2367</v>
      </c>
      <c r="H2951" s="8">
        <v>2</v>
      </c>
      <c r="I2951" s="8">
        <v>2</v>
      </c>
      <c r="J2951" s="8" t="s">
        <v>9456</v>
      </c>
      <c r="K2951" s="8" t="s">
        <v>591</v>
      </c>
      <c r="L2951" s="9">
        <v>46319</v>
      </c>
      <c r="M2951" s="8" t="s">
        <v>5864</v>
      </c>
      <c r="N2951" s="8" t="s">
        <v>5865</v>
      </c>
    </row>
    <row r="2952" spans="1:14" ht="40" customHeight="1">
      <c r="A2952" s="4" t="s">
        <v>9457</v>
      </c>
      <c r="B2952" s="4" t="s">
        <v>586</v>
      </c>
      <c r="C2952" s="4" t="s">
        <v>587</v>
      </c>
      <c r="D2952" s="4" t="s">
        <v>5861</v>
      </c>
      <c r="E2952" s="4" t="s">
        <v>41</v>
      </c>
      <c r="F2952" s="4" t="s">
        <v>5920</v>
      </c>
      <c r="G2952" s="4" t="s">
        <v>2367</v>
      </c>
      <c r="H2952" s="4">
        <v>1</v>
      </c>
      <c r="I2952" s="4">
        <v>1</v>
      </c>
      <c r="J2952" s="4" t="s">
        <v>9458</v>
      </c>
      <c r="K2952" s="4" t="s">
        <v>591</v>
      </c>
      <c r="L2952" s="6">
        <v>46319</v>
      </c>
      <c r="M2952" s="4" t="s">
        <v>5864</v>
      </c>
      <c r="N2952" s="4" t="s">
        <v>5865</v>
      </c>
    </row>
    <row r="2953" spans="1:14" ht="40" customHeight="1">
      <c r="A2953" s="8" t="s">
        <v>9459</v>
      </c>
      <c r="B2953" s="8" t="s">
        <v>586</v>
      </c>
      <c r="C2953" s="8" t="s">
        <v>587</v>
      </c>
      <c r="D2953" s="8" t="s">
        <v>5861</v>
      </c>
      <c r="E2953" s="8" t="s">
        <v>41</v>
      </c>
      <c r="F2953" s="8" t="s">
        <v>5924</v>
      </c>
      <c r="G2953" s="8" t="s">
        <v>2367</v>
      </c>
      <c r="H2953" s="8">
        <v>1</v>
      </c>
      <c r="I2953" s="8">
        <v>1</v>
      </c>
      <c r="J2953" s="8" t="s">
        <v>9460</v>
      </c>
      <c r="K2953" s="8" t="s">
        <v>591</v>
      </c>
      <c r="L2953" s="9">
        <v>46319</v>
      </c>
      <c r="M2953" s="8" t="s">
        <v>5864</v>
      </c>
      <c r="N2953" s="8" t="s">
        <v>5865</v>
      </c>
    </row>
    <row r="2954" spans="1:14" ht="40" customHeight="1">
      <c r="A2954" s="4" t="s">
        <v>9461</v>
      </c>
      <c r="B2954" s="4" t="s">
        <v>586</v>
      </c>
      <c r="C2954" s="4" t="s">
        <v>587</v>
      </c>
      <c r="D2954" s="4" t="s">
        <v>5861</v>
      </c>
      <c r="E2954" s="4" t="s">
        <v>41</v>
      </c>
      <c r="F2954" s="4" t="s">
        <v>5926</v>
      </c>
      <c r="G2954" s="4" t="s">
        <v>2367</v>
      </c>
      <c r="H2954" s="4">
        <v>1</v>
      </c>
      <c r="I2954" s="4">
        <v>1</v>
      </c>
      <c r="J2954" s="4" t="s">
        <v>9462</v>
      </c>
      <c r="K2954" s="4" t="s">
        <v>591</v>
      </c>
      <c r="L2954" s="6">
        <v>46319</v>
      </c>
      <c r="M2954" s="4" t="s">
        <v>5864</v>
      </c>
      <c r="N2954" s="4" t="s">
        <v>5865</v>
      </c>
    </row>
    <row r="2955" spans="1:14" ht="40" customHeight="1">
      <c r="A2955" s="8" t="s">
        <v>9463</v>
      </c>
      <c r="B2955" s="8" t="s">
        <v>586</v>
      </c>
      <c r="C2955" s="8" t="s">
        <v>587</v>
      </c>
      <c r="D2955" s="8" t="s">
        <v>5861</v>
      </c>
      <c r="E2955" s="8" t="s">
        <v>41</v>
      </c>
      <c r="F2955" s="8" t="s">
        <v>5930</v>
      </c>
      <c r="G2955" s="8" t="s">
        <v>2367</v>
      </c>
      <c r="H2955" s="8">
        <v>1</v>
      </c>
      <c r="I2955" s="8">
        <v>1</v>
      </c>
      <c r="J2955" s="8" t="s">
        <v>9464</v>
      </c>
      <c r="K2955" s="8" t="s">
        <v>591</v>
      </c>
      <c r="L2955" s="9">
        <v>46319</v>
      </c>
      <c r="M2955" s="8" t="s">
        <v>5864</v>
      </c>
      <c r="N2955" s="8" t="s">
        <v>5865</v>
      </c>
    </row>
    <row r="2956" spans="1:14" ht="40" customHeight="1">
      <c r="A2956" s="4" t="s">
        <v>9465</v>
      </c>
      <c r="B2956" s="4" t="s">
        <v>586</v>
      </c>
      <c r="C2956" s="4" t="s">
        <v>587</v>
      </c>
      <c r="D2956" s="4" t="s">
        <v>5867</v>
      </c>
      <c r="E2956" s="4" t="s">
        <v>41</v>
      </c>
      <c r="F2956" s="4" t="s">
        <v>6248</v>
      </c>
      <c r="G2956" s="4" t="s">
        <v>2367</v>
      </c>
      <c r="H2956" s="4">
        <v>1</v>
      </c>
      <c r="I2956" s="4">
        <v>1</v>
      </c>
      <c r="J2956" s="4" t="s">
        <v>9466</v>
      </c>
      <c r="K2956" s="4" t="s">
        <v>591</v>
      </c>
      <c r="L2956" s="6">
        <v>46319</v>
      </c>
      <c r="M2956" s="4" t="s">
        <v>5864</v>
      </c>
      <c r="N2956" s="4" t="s">
        <v>5865</v>
      </c>
    </row>
    <row r="2957" spans="1:14" ht="40" customHeight="1">
      <c r="A2957" s="8" t="s">
        <v>9467</v>
      </c>
      <c r="B2957" s="8" t="s">
        <v>586</v>
      </c>
      <c r="C2957" s="8" t="s">
        <v>587</v>
      </c>
      <c r="D2957" s="8" t="s">
        <v>637</v>
      </c>
      <c r="E2957" s="8" t="s">
        <v>41</v>
      </c>
      <c r="F2957" s="8" t="s">
        <v>904</v>
      </c>
      <c r="G2957" s="8" t="s">
        <v>2367</v>
      </c>
      <c r="H2957" s="8">
        <v>1</v>
      </c>
      <c r="I2957" s="8">
        <v>1</v>
      </c>
      <c r="J2957" s="8" t="s">
        <v>2365</v>
      </c>
      <c r="K2957" s="8" t="s">
        <v>591</v>
      </c>
      <c r="L2957" s="9">
        <v>46319</v>
      </c>
      <c r="M2957" s="8" t="s">
        <v>5864</v>
      </c>
      <c r="N2957" s="8" t="s">
        <v>5870</v>
      </c>
    </row>
    <row r="2958" spans="1:14" ht="40" customHeight="1">
      <c r="A2958" s="4" t="s">
        <v>9468</v>
      </c>
      <c r="B2958" s="4" t="s">
        <v>586</v>
      </c>
      <c r="C2958" s="4" t="s">
        <v>587</v>
      </c>
      <c r="D2958" s="4" t="s">
        <v>637</v>
      </c>
      <c r="E2958" s="4" t="s">
        <v>41</v>
      </c>
      <c r="F2958" s="4" t="s">
        <v>912</v>
      </c>
      <c r="G2958" s="4" t="s">
        <v>2367</v>
      </c>
      <c r="H2958" s="4">
        <v>1</v>
      </c>
      <c r="I2958" s="4">
        <v>1</v>
      </c>
      <c r="J2958" s="4" t="s">
        <v>2369</v>
      </c>
      <c r="K2958" s="4" t="s">
        <v>591</v>
      </c>
      <c r="L2958" s="6">
        <v>46319</v>
      </c>
      <c r="M2958" s="4" t="s">
        <v>5864</v>
      </c>
      <c r="N2958" s="4" t="s">
        <v>5870</v>
      </c>
    </row>
    <row r="2959" spans="1:14" ht="54" customHeight="1">
      <c r="A2959" s="8" t="s">
        <v>9469</v>
      </c>
      <c r="B2959" s="8" t="s">
        <v>586</v>
      </c>
      <c r="C2959" s="8" t="s">
        <v>587</v>
      </c>
      <c r="D2959" s="8" t="s">
        <v>637</v>
      </c>
      <c r="E2959" s="8" t="s">
        <v>41</v>
      </c>
      <c r="F2959" s="8" t="s">
        <v>1015</v>
      </c>
      <c r="G2959" s="8" t="s">
        <v>2367</v>
      </c>
      <c r="H2959" s="8">
        <v>1</v>
      </c>
      <c r="I2959" s="8">
        <v>1</v>
      </c>
      <c r="J2959" s="8" t="s">
        <v>2372</v>
      </c>
      <c r="K2959" s="8" t="s">
        <v>591</v>
      </c>
      <c r="L2959" s="9">
        <v>46319</v>
      </c>
      <c r="M2959" s="8" t="s">
        <v>5864</v>
      </c>
      <c r="N2959" s="8" t="s">
        <v>5870</v>
      </c>
    </row>
    <row r="2960" spans="1:14" ht="40" customHeight="1">
      <c r="A2960" s="4" t="s">
        <v>5777</v>
      </c>
      <c r="B2960" s="4" t="s">
        <v>586</v>
      </c>
      <c r="C2960" s="4" t="s">
        <v>587</v>
      </c>
      <c r="D2960" s="4" t="s">
        <v>7</v>
      </c>
      <c r="E2960" s="4" t="s">
        <v>41</v>
      </c>
      <c r="F2960" s="4" t="s">
        <v>6054</v>
      </c>
      <c r="G2960" s="4" t="s">
        <v>2367</v>
      </c>
      <c r="H2960" s="4">
        <v>1</v>
      </c>
      <c r="I2960" s="4">
        <v>1</v>
      </c>
      <c r="J2960" s="4" t="s">
        <v>5778</v>
      </c>
      <c r="K2960" s="4" t="s">
        <v>591</v>
      </c>
      <c r="L2960" s="6">
        <v>46319</v>
      </c>
      <c r="M2960" s="4" t="s">
        <v>5864</v>
      </c>
      <c r="N2960" s="4" t="s">
        <v>5870</v>
      </c>
    </row>
    <row r="2961" spans="1:14" ht="40" customHeight="1">
      <c r="A2961" s="8" t="s">
        <v>5779</v>
      </c>
      <c r="B2961" s="8" t="s">
        <v>586</v>
      </c>
      <c r="C2961" s="8" t="s">
        <v>587</v>
      </c>
      <c r="D2961" s="8" t="s">
        <v>7</v>
      </c>
      <c r="E2961" s="8" t="s">
        <v>41</v>
      </c>
      <c r="F2961" s="8" t="s">
        <v>6055</v>
      </c>
      <c r="G2961" s="8" t="s">
        <v>2367</v>
      </c>
      <c r="H2961" s="8">
        <v>1</v>
      </c>
      <c r="I2961" s="8">
        <v>1</v>
      </c>
      <c r="J2961" s="8" t="s">
        <v>5780</v>
      </c>
      <c r="K2961" s="8" t="s">
        <v>591</v>
      </c>
      <c r="L2961" s="9">
        <v>46319</v>
      </c>
      <c r="M2961" s="8" t="s">
        <v>5864</v>
      </c>
      <c r="N2961" s="8" t="s">
        <v>5870</v>
      </c>
    </row>
    <row r="2962" spans="1:14" ht="40" customHeight="1">
      <c r="A2962" s="4" t="s">
        <v>5781</v>
      </c>
      <c r="B2962" s="4" t="s">
        <v>586</v>
      </c>
      <c r="C2962" s="4" t="s">
        <v>587</v>
      </c>
      <c r="D2962" s="4" t="s">
        <v>7</v>
      </c>
      <c r="E2962" s="4" t="s">
        <v>41</v>
      </c>
      <c r="F2962" s="4" t="s">
        <v>8289</v>
      </c>
      <c r="G2962" s="4" t="s">
        <v>2367</v>
      </c>
      <c r="H2962" s="4">
        <v>1</v>
      </c>
      <c r="I2962" s="4">
        <v>1</v>
      </c>
      <c r="J2962" s="4" t="s">
        <v>5782</v>
      </c>
      <c r="K2962" s="4" t="s">
        <v>591</v>
      </c>
      <c r="L2962" s="6">
        <v>46319</v>
      </c>
      <c r="M2962" s="4" t="s">
        <v>5864</v>
      </c>
      <c r="N2962" s="4" t="s">
        <v>5870</v>
      </c>
    </row>
    <row r="2963" spans="1:14" ht="40" customHeight="1">
      <c r="A2963" s="8" t="s">
        <v>5783</v>
      </c>
      <c r="B2963" s="8" t="s">
        <v>586</v>
      </c>
      <c r="C2963" s="8" t="s">
        <v>587</v>
      </c>
      <c r="D2963" s="8" t="s">
        <v>7</v>
      </c>
      <c r="E2963" s="8" t="s">
        <v>41</v>
      </c>
      <c r="F2963" s="8" t="s">
        <v>8290</v>
      </c>
      <c r="G2963" s="8" t="s">
        <v>2367</v>
      </c>
      <c r="H2963" s="8">
        <v>1</v>
      </c>
      <c r="I2963" s="8">
        <v>1</v>
      </c>
      <c r="J2963" s="8" t="s">
        <v>5784</v>
      </c>
      <c r="K2963" s="8" t="s">
        <v>591</v>
      </c>
      <c r="L2963" s="9">
        <v>46319</v>
      </c>
      <c r="M2963" s="8" t="s">
        <v>5864</v>
      </c>
      <c r="N2963" s="8" t="s">
        <v>5870</v>
      </c>
    </row>
    <row r="2964" spans="1:14" ht="40" customHeight="1">
      <c r="A2964" s="4" t="s">
        <v>5785</v>
      </c>
      <c r="B2964" s="4" t="s">
        <v>586</v>
      </c>
      <c r="C2964" s="4" t="s">
        <v>587</v>
      </c>
      <c r="D2964" s="4" t="s">
        <v>7</v>
      </c>
      <c r="E2964" s="4" t="s">
        <v>41</v>
      </c>
      <c r="F2964" s="4" t="s">
        <v>8291</v>
      </c>
      <c r="G2964" s="4" t="s">
        <v>2367</v>
      </c>
      <c r="H2964" s="4">
        <v>1</v>
      </c>
      <c r="I2964" s="4">
        <v>1</v>
      </c>
      <c r="J2964" s="4" t="s">
        <v>5786</v>
      </c>
      <c r="K2964" s="4" t="s">
        <v>591</v>
      </c>
      <c r="L2964" s="6">
        <v>46319</v>
      </c>
      <c r="M2964" s="4" t="s">
        <v>5864</v>
      </c>
      <c r="N2964" s="4" t="s">
        <v>5870</v>
      </c>
    </row>
    <row r="2965" spans="1:14" ht="40" customHeight="1">
      <c r="A2965" s="8" t="s">
        <v>5787</v>
      </c>
      <c r="B2965" s="8" t="s">
        <v>586</v>
      </c>
      <c r="C2965" s="8" t="s">
        <v>587</v>
      </c>
      <c r="D2965" s="8" t="s">
        <v>7</v>
      </c>
      <c r="E2965" s="8" t="s">
        <v>41</v>
      </c>
      <c r="F2965" s="8" t="s">
        <v>8292</v>
      </c>
      <c r="G2965" s="8" t="s">
        <v>2367</v>
      </c>
      <c r="H2965" s="8">
        <v>1</v>
      </c>
      <c r="I2965" s="8">
        <v>1</v>
      </c>
      <c r="J2965" s="8" t="s">
        <v>5788</v>
      </c>
      <c r="K2965" s="8" t="s">
        <v>591</v>
      </c>
      <c r="L2965" s="9">
        <v>46319</v>
      </c>
      <c r="M2965" s="8" t="s">
        <v>5864</v>
      </c>
      <c r="N2965" s="8" t="s">
        <v>5870</v>
      </c>
    </row>
    <row r="2966" spans="1:14" ht="40" customHeight="1">
      <c r="A2966" s="4" t="s">
        <v>5789</v>
      </c>
      <c r="B2966" s="4" t="s">
        <v>586</v>
      </c>
      <c r="C2966" s="4" t="s">
        <v>587</v>
      </c>
      <c r="D2966" s="4" t="s">
        <v>7</v>
      </c>
      <c r="E2966" s="4" t="s">
        <v>41</v>
      </c>
      <c r="F2966" s="4" t="s">
        <v>8293</v>
      </c>
      <c r="G2966" s="4" t="s">
        <v>2367</v>
      </c>
      <c r="H2966" s="4">
        <v>1</v>
      </c>
      <c r="I2966" s="4">
        <v>1</v>
      </c>
      <c r="J2966" s="4" t="s">
        <v>5790</v>
      </c>
      <c r="K2966" s="4" t="s">
        <v>591</v>
      </c>
      <c r="L2966" s="6">
        <v>46319</v>
      </c>
      <c r="M2966" s="4" t="s">
        <v>5864</v>
      </c>
      <c r="N2966" s="4" t="s">
        <v>5870</v>
      </c>
    </row>
    <row r="2967" spans="1:14" ht="40" customHeight="1">
      <c r="A2967" s="8" t="s">
        <v>5791</v>
      </c>
      <c r="B2967" s="8" t="s">
        <v>586</v>
      </c>
      <c r="C2967" s="8" t="s">
        <v>587</v>
      </c>
      <c r="D2967" s="8" t="s">
        <v>7</v>
      </c>
      <c r="E2967" s="8" t="s">
        <v>41</v>
      </c>
      <c r="F2967" s="8" t="s">
        <v>8294</v>
      </c>
      <c r="G2967" s="8" t="s">
        <v>2367</v>
      </c>
      <c r="H2967" s="8">
        <v>1</v>
      </c>
      <c r="I2967" s="8">
        <v>1</v>
      </c>
      <c r="J2967" s="8" t="s">
        <v>5792</v>
      </c>
      <c r="K2967" s="8" t="s">
        <v>591</v>
      </c>
      <c r="L2967" s="9">
        <v>46319</v>
      </c>
      <c r="M2967" s="8" t="s">
        <v>5864</v>
      </c>
      <c r="N2967" s="8" t="s">
        <v>5870</v>
      </c>
    </row>
    <row r="2968" spans="1:14" ht="40" customHeight="1">
      <c r="A2968" s="4" t="s">
        <v>5793</v>
      </c>
      <c r="B2968" s="4" t="s">
        <v>586</v>
      </c>
      <c r="C2968" s="4" t="s">
        <v>587</v>
      </c>
      <c r="D2968" s="4" t="s">
        <v>7</v>
      </c>
      <c r="E2968" s="4" t="s">
        <v>41</v>
      </c>
      <c r="F2968" s="4" t="s">
        <v>9470</v>
      </c>
      <c r="G2968" s="4" t="s">
        <v>2367</v>
      </c>
      <c r="H2968" s="4">
        <v>1</v>
      </c>
      <c r="I2968" s="4">
        <v>1</v>
      </c>
      <c r="J2968" s="4" t="s">
        <v>5794</v>
      </c>
      <c r="K2968" s="4" t="s">
        <v>591</v>
      </c>
      <c r="L2968" s="6">
        <v>46319</v>
      </c>
      <c r="M2968" s="4" t="s">
        <v>5864</v>
      </c>
      <c r="N2968" s="4" t="s">
        <v>5870</v>
      </c>
    </row>
    <row r="2969" spans="1:14" ht="40" customHeight="1">
      <c r="A2969" s="8" t="s">
        <v>4844</v>
      </c>
      <c r="B2969" s="8" t="s">
        <v>586</v>
      </c>
      <c r="C2969" s="8" t="s">
        <v>587</v>
      </c>
      <c r="D2969" s="8" t="s">
        <v>5879</v>
      </c>
      <c r="E2969" s="8" t="s">
        <v>41</v>
      </c>
      <c r="F2969" s="8" t="s">
        <v>3449</v>
      </c>
      <c r="G2969" s="8" t="s">
        <v>2367</v>
      </c>
      <c r="H2969" s="8">
        <v>1</v>
      </c>
      <c r="I2969" s="8">
        <v>1</v>
      </c>
      <c r="J2969" s="8" t="s">
        <v>4845</v>
      </c>
      <c r="K2969" s="8" t="s">
        <v>591</v>
      </c>
      <c r="L2969" s="9">
        <v>46319</v>
      </c>
      <c r="M2969" s="8" t="s">
        <v>5864</v>
      </c>
      <c r="N2969" s="8" t="s">
        <v>5865</v>
      </c>
    </row>
    <row r="2970" spans="1:14" ht="54" customHeight="1">
      <c r="A2970" s="4" t="s">
        <v>4846</v>
      </c>
      <c r="B2970" s="4" t="s">
        <v>586</v>
      </c>
      <c r="C2970" s="4" t="s">
        <v>587</v>
      </c>
      <c r="D2970" s="4" t="s">
        <v>5879</v>
      </c>
      <c r="E2970" s="4" t="s">
        <v>41</v>
      </c>
      <c r="F2970" s="4" t="s">
        <v>3469</v>
      </c>
      <c r="G2970" s="4" t="s">
        <v>2367</v>
      </c>
      <c r="H2970" s="4">
        <v>1</v>
      </c>
      <c r="I2970" s="4">
        <v>1</v>
      </c>
      <c r="J2970" s="4" t="s">
        <v>4847</v>
      </c>
      <c r="K2970" s="4" t="s">
        <v>591</v>
      </c>
      <c r="L2970" s="6">
        <v>46319</v>
      </c>
      <c r="M2970" s="4" t="s">
        <v>5864</v>
      </c>
      <c r="N2970" s="4" t="s">
        <v>5865</v>
      </c>
    </row>
    <row r="2971" spans="1:14" ht="40" customHeight="1">
      <c r="A2971" s="8" t="s">
        <v>4848</v>
      </c>
      <c r="B2971" s="8" t="s">
        <v>586</v>
      </c>
      <c r="C2971" s="8" t="s">
        <v>587</v>
      </c>
      <c r="D2971" s="8" t="s">
        <v>5879</v>
      </c>
      <c r="E2971" s="8" t="s">
        <v>41</v>
      </c>
      <c r="F2971" s="8" t="s">
        <v>3475</v>
      </c>
      <c r="G2971" s="8" t="s">
        <v>2367</v>
      </c>
      <c r="H2971" s="8">
        <v>1</v>
      </c>
      <c r="I2971" s="8">
        <v>1</v>
      </c>
      <c r="J2971" s="8" t="s">
        <v>4849</v>
      </c>
      <c r="K2971" s="8" t="s">
        <v>591</v>
      </c>
      <c r="L2971" s="9">
        <v>46319</v>
      </c>
      <c r="M2971" s="8" t="s">
        <v>5864</v>
      </c>
      <c r="N2971" s="8" t="s">
        <v>5865</v>
      </c>
    </row>
    <row r="2972" spans="1:14" ht="54" customHeight="1">
      <c r="A2972" s="4" t="s">
        <v>4850</v>
      </c>
      <c r="B2972" s="4" t="s">
        <v>586</v>
      </c>
      <c r="C2972" s="4" t="s">
        <v>587</v>
      </c>
      <c r="D2972" s="4" t="s">
        <v>5879</v>
      </c>
      <c r="E2972" s="4" t="s">
        <v>41</v>
      </c>
      <c r="F2972" s="4" t="s">
        <v>3603</v>
      </c>
      <c r="G2972" s="4" t="s">
        <v>2367</v>
      </c>
      <c r="H2972" s="4">
        <v>1</v>
      </c>
      <c r="I2972" s="4">
        <v>1</v>
      </c>
      <c r="J2972" s="4" t="s">
        <v>4851</v>
      </c>
      <c r="K2972" s="4" t="s">
        <v>591</v>
      </c>
      <c r="L2972" s="6">
        <v>46319</v>
      </c>
      <c r="M2972" s="4" t="s">
        <v>5864</v>
      </c>
      <c r="N2972" s="4" t="s">
        <v>5865</v>
      </c>
    </row>
    <row r="2973" spans="1:14" ht="40" customHeight="1">
      <c r="A2973" s="8" t="s">
        <v>4852</v>
      </c>
      <c r="B2973" s="8" t="s">
        <v>586</v>
      </c>
      <c r="C2973" s="8" t="s">
        <v>587</v>
      </c>
      <c r="D2973" s="8" t="s">
        <v>5879</v>
      </c>
      <c r="E2973" s="8" t="s">
        <v>41</v>
      </c>
      <c r="F2973" s="8" t="s">
        <v>3608</v>
      </c>
      <c r="G2973" s="8" t="s">
        <v>2367</v>
      </c>
      <c r="H2973" s="8">
        <v>1</v>
      </c>
      <c r="I2973" s="8">
        <v>1</v>
      </c>
      <c r="J2973" s="8" t="s">
        <v>4853</v>
      </c>
      <c r="K2973" s="8" t="s">
        <v>591</v>
      </c>
      <c r="L2973" s="9">
        <v>46319</v>
      </c>
      <c r="M2973" s="8" t="s">
        <v>5864</v>
      </c>
      <c r="N2973" s="8" t="s">
        <v>5865</v>
      </c>
    </row>
    <row r="2974" spans="1:14" ht="40" customHeight="1">
      <c r="A2974" s="4" t="s">
        <v>4854</v>
      </c>
      <c r="B2974" s="4" t="s">
        <v>586</v>
      </c>
      <c r="C2974" s="4" t="s">
        <v>587</v>
      </c>
      <c r="D2974" s="4" t="s">
        <v>5879</v>
      </c>
      <c r="E2974" s="4" t="s">
        <v>41</v>
      </c>
      <c r="F2974" s="4" t="s">
        <v>3611</v>
      </c>
      <c r="G2974" s="4" t="s">
        <v>2367</v>
      </c>
      <c r="H2974" s="4">
        <v>1</v>
      </c>
      <c r="I2974" s="4">
        <v>1</v>
      </c>
      <c r="J2974" s="4" t="s">
        <v>4855</v>
      </c>
      <c r="K2974" s="4" t="s">
        <v>591</v>
      </c>
      <c r="L2974" s="6">
        <v>46319</v>
      </c>
      <c r="M2974" s="4" t="s">
        <v>5864</v>
      </c>
      <c r="N2974" s="4" t="s">
        <v>5865</v>
      </c>
    </row>
    <row r="2975" spans="1:14" ht="54" customHeight="1">
      <c r="A2975" s="8" t="s">
        <v>4856</v>
      </c>
      <c r="B2975" s="8" t="s">
        <v>586</v>
      </c>
      <c r="C2975" s="8" t="s">
        <v>587</v>
      </c>
      <c r="D2975" s="8" t="s">
        <v>5879</v>
      </c>
      <c r="E2975" s="8" t="s">
        <v>41</v>
      </c>
      <c r="F2975" s="8" t="s">
        <v>3847</v>
      </c>
      <c r="G2975" s="8" t="s">
        <v>2367</v>
      </c>
      <c r="H2975" s="8">
        <v>1</v>
      </c>
      <c r="I2975" s="8">
        <v>1</v>
      </c>
      <c r="J2975" s="8" t="s">
        <v>4857</v>
      </c>
      <c r="K2975" s="8" t="s">
        <v>591</v>
      </c>
      <c r="L2975" s="9">
        <v>46319</v>
      </c>
      <c r="M2975" s="8" t="s">
        <v>5864</v>
      </c>
      <c r="N2975" s="8" t="s">
        <v>5865</v>
      </c>
    </row>
    <row r="2976" spans="1:14" ht="40" customHeight="1">
      <c r="A2976" s="4" t="s">
        <v>4858</v>
      </c>
      <c r="B2976" s="4" t="s">
        <v>586</v>
      </c>
      <c r="C2976" s="4" t="s">
        <v>587</v>
      </c>
      <c r="D2976" s="4" t="s">
        <v>5879</v>
      </c>
      <c r="E2976" s="4" t="s">
        <v>41</v>
      </c>
      <c r="F2976" s="4" t="s">
        <v>3779</v>
      </c>
      <c r="G2976" s="4" t="s">
        <v>2367</v>
      </c>
      <c r="H2976" s="4">
        <v>1</v>
      </c>
      <c r="I2976" s="4">
        <v>1</v>
      </c>
      <c r="J2976" s="4" t="s">
        <v>4859</v>
      </c>
      <c r="K2976" s="4" t="s">
        <v>591</v>
      </c>
      <c r="L2976" s="6">
        <v>46319</v>
      </c>
      <c r="M2976" s="4" t="s">
        <v>5864</v>
      </c>
      <c r="N2976" s="4" t="s">
        <v>5865</v>
      </c>
    </row>
    <row r="2977" spans="1:14" ht="54" customHeight="1">
      <c r="A2977" s="8" t="s">
        <v>4860</v>
      </c>
      <c r="B2977" s="8" t="s">
        <v>586</v>
      </c>
      <c r="C2977" s="8" t="s">
        <v>587</v>
      </c>
      <c r="D2977" s="8" t="s">
        <v>5879</v>
      </c>
      <c r="E2977" s="8" t="s">
        <v>41</v>
      </c>
      <c r="F2977" s="8" t="s">
        <v>3783</v>
      </c>
      <c r="G2977" s="8" t="s">
        <v>2367</v>
      </c>
      <c r="H2977" s="8">
        <v>1</v>
      </c>
      <c r="I2977" s="8">
        <v>1</v>
      </c>
      <c r="J2977" s="8" t="s">
        <v>4861</v>
      </c>
      <c r="K2977" s="8" t="s">
        <v>591</v>
      </c>
      <c r="L2977" s="9">
        <v>46319</v>
      </c>
      <c r="M2977" s="8" t="s">
        <v>5864</v>
      </c>
      <c r="N2977" s="8" t="s">
        <v>5865</v>
      </c>
    </row>
    <row r="2978" spans="1:14" ht="40" customHeight="1">
      <c r="A2978" s="4" t="s">
        <v>4862</v>
      </c>
      <c r="B2978" s="4" t="s">
        <v>586</v>
      </c>
      <c r="C2978" s="4" t="s">
        <v>587</v>
      </c>
      <c r="D2978" s="4" t="s">
        <v>5879</v>
      </c>
      <c r="E2978" s="4" t="s">
        <v>41</v>
      </c>
      <c r="F2978" s="4" t="s">
        <v>3885</v>
      </c>
      <c r="G2978" s="4" t="s">
        <v>2367</v>
      </c>
      <c r="H2978" s="4">
        <v>1</v>
      </c>
      <c r="I2978" s="4">
        <v>1</v>
      </c>
      <c r="J2978" s="4" t="s">
        <v>4863</v>
      </c>
      <c r="K2978" s="4" t="s">
        <v>591</v>
      </c>
      <c r="L2978" s="6">
        <v>46319</v>
      </c>
      <c r="M2978" s="4" t="s">
        <v>5864</v>
      </c>
      <c r="N2978" s="4" t="s">
        <v>5865</v>
      </c>
    </row>
    <row r="2979" spans="1:14" ht="96" customHeight="1">
      <c r="A2979" s="8" t="s">
        <v>9471</v>
      </c>
      <c r="B2979" s="8" t="s">
        <v>586</v>
      </c>
      <c r="C2979" s="8" t="s">
        <v>587</v>
      </c>
      <c r="D2979" s="8" t="s">
        <v>2969</v>
      </c>
      <c r="E2979" s="8" t="s">
        <v>41</v>
      </c>
      <c r="F2979" s="8" t="s">
        <v>5881</v>
      </c>
      <c r="G2979" s="8" t="s">
        <v>2367</v>
      </c>
      <c r="H2979" s="8">
        <v>1</v>
      </c>
      <c r="I2979" s="8">
        <v>1</v>
      </c>
      <c r="J2979" s="8" t="s">
        <v>9472</v>
      </c>
      <c r="K2979" s="8" t="s">
        <v>591</v>
      </c>
      <c r="L2979" s="9">
        <v>46319</v>
      </c>
      <c r="M2979" s="8" t="s">
        <v>5864</v>
      </c>
      <c r="N2979" s="8" t="s">
        <v>5883</v>
      </c>
    </row>
    <row r="2980" spans="1:14" ht="96" customHeight="1">
      <c r="A2980" s="4" t="s">
        <v>9473</v>
      </c>
      <c r="B2980" s="4" t="s">
        <v>586</v>
      </c>
      <c r="C2980" s="4" t="s">
        <v>587</v>
      </c>
      <c r="D2980" s="4" t="s">
        <v>2969</v>
      </c>
      <c r="E2980" s="4" t="s">
        <v>41</v>
      </c>
      <c r="F2980" s="4" t="s">
        <v>5885</v>
      </c>
      <c r="G2980" s="4" t="s">
        <v>2367</v>
      </c>
      <c r="H2980" s="4">
        <v>1</v>
      </c>
      <c r="I2980" s="4">
        <v>1</v>
      </c>
      <c r="J2980" s="4" t="s">
        <v>9474</v>
      </c>
      <c r="K2980" s="4" t="s">
        <v>591</v>
      </c>
      <c r="L2980" s="6">
        <v>46319</v>
      </c>
      <c r="M2980" s="4" t="s">
        <v>5864</v>
      </c>
      <c r="N2980" s="4" t="s">
        <v>5883</v>
      </c>
    </row>
    <row r="2981" spans="1:14" ht="82" customHeight="1">
      <c r="A2981" s="8" t="s">
        <v>9475</v>
      </c>
      <c r="B2981" s="8" t="s">
        <v>586</v>
      </c>
      <c r="C2981" s="8" t="s">
        <v>587</v>
      </c>
      <c r="D2981" s="8" t="s">
        <v>2969</v>
      </c>
      <c r="E2981" s="8" t="s">
        <v>41</v>
      </c>
      <c r="F2981" s="8" t="s">
        <v>5888</v>
      </c>
      <c r="G2981" s="8" t="s">
        <v>2367</v>
      </c>
      <c r="H2981" s="8">
        <v>1</v>
      </c>
      <c r="I2981" s="8">
        <v>1</v>
      </c>
      <c r="J2981" s="8" t="s">
        <v>9476</v>
      </c>
      <c r="K2981" s="8" t="s">
        <v>591</v>
      </c>
      <c r="L2981" s="9">
        <v>46319</v>
      </c>
      <c r="M2981" s="8" t="s">
        <v>5864</v>
      </c>
      <c r="N2981" s="8" t="s">
        <v>5883</v>
      </c>
    </row>
    <row r="2982" spans="1:14" ht="82" customHeight="1">
      <c r="A2982" s="4" t="s">
        <v>9477</v>
      </c>
      <c r="B2982" s="4" t="s">
        <v>586</v>
      </c>
      <c r="C2982" s="4" t="s">
        <v>587</v>
      </c>
      <c r="D2982" s="4" t="s">
        <v>2969</v>
      </c>
      <c r="E2982" s="4" t="s">
        <v>41</v>
      </c>
      <c r="F2982" s="4" t="s">
        <v>5891</v>
      </c>
      <c r="G2982" s="4" t="s">
        <v>2367</v>
      </c>
      <c r="H2982" s="4">
        <v>1</v>
      </c>
      <c r="I2982" s="4">
        <v>1</v>
      </c>
      <c r="J2982" s="4" t="s">
        <v>9478</v>
      </c>
      <c r="K2982" s="4" t="s">
        <v>591</v>
      </c>
      <c r="L2982" s="6">
        <v>46319</v>
      </c>
      <c r="M2982" s="4" t="s">
        <v>5864</v>
      </c>
      <c r="N2982" s="4" t="s">
        <v>5883</v>
      </c>
    </row>
    <row r="2983" spans="1:14" ht="68" customHeight="1">
      <c r="A2983" s="8" t="s">
        <v>9479</v>
      </c>
      <c r="B2983" s="8" t="s">
        <v>586</v>
      </c>
      <c r="C2983" s="8" t="s">
        <v>587</v>
      </c>
      <c r="D2983" s="8" t="s">
        <v>2969</v>
      </c>
      <c r="E2983" s="8" t="s">
        <v>41</v>
      </c>
      <c r="F2983" s="8" t="s">
        <v>5894</v>
      </c>
      <c r="G2983" s="8" t="s">
        <v>2367</v>
      </c>
      <c r="H2983" s="8">
        <v>1</v>
      </c>
      <c r="I2983" s="8">
        <v>1</v>
      </c>
      <c r="J2983" s="8" t="s">
        <v>9480</v>
      </c>
      <c r="K2983" s="8" t="s">
        <v>591</v>
      </c>
      <c r="L2983" s="9">
        <v>46319</v>
      </c>
      <c r="M2983" s="8" t="s">
        <v>5864</v>
      </c>
      <c r="N2983" s="8" t="s">
        <v>5883</v>
      </c>
    </row>
    <row r="2984" spans="1:14" ht="82" customHeight="1">
      <c r="A2984" s="4" t="s">
        <v>9481</v>
      </c>
      <c r="B2984" s="4" t="s">
        <v>586</v>
      </c>
      <c r="C2984" s="4" t="s">
        <v>587</v>
      </c>
      <c r="D2984" s="4" t="s">
        <v>2969</v>
      </c>
      <c r="E2984" s="4" t="s">
        <v>41</v>
      </c>
      <c r="F2984" s="4" t="s">
        <v>5897</v>
      </c>
      <c r="G2984" s="4" t="s">
        <v>2367</v>
      </c>
      <c r="H2984" s="4">
        <v>1</v>
      </c>
      <c r="I2984" s="4">
        <v>1</v>
      </c>
      <c r="J2984" s="4" t="s">
        <v>9482</v>
      </c>
      <c r="K2984" s="4" t="s">
        <v>591</v>
      </c>
      <c r="L2984" s="6">
        <v>46319</v>
      </c>
      <c r="M2984" s="4" t="s">
        <v>5864</v>
      </c>
      <c r="N2984" s="4" t="s">
        <v>5883</v>
      </c>
    </row>
    <row r="2985" spans="1:14" ht="82" customHeight="1">
      <c r="A2985" s="8" t="s">
        <v>9483</v>
      </c>
      <c r="B2985" s="8" t="s">
        <v>586</v>
      </c>
      <c r="C2985" s="8" t="s">
        <v>587</v>
      </c>
      <c r="D2985" s="8" t="s">
        <v>2969</v>
      </c>
      <c r="E2985" s="8" t="s">
        <v>41</v>
      </c>
      <c r="F2985" s="8" t="s">
        <v>5900</v>
      </c>
      <c r="G2985" s="8" t="s">
        <v>2367</v>
      </c>
      <c r="H2985" s="8">
        <v>1</v>
      </c>
      <c r="I2985" s="8">
        <v>1</v>
      </c>
      <c r="J2985" s="8" t="s">
        <v>9484</v>
      </c>
      <c r="K2985" s="8" t="s">
        <v>591</v>
      </c>
      <c r="L2985" s="9">
        <v>46319</v>
      </c>
      <c r="M2985" s="8" t="s">
        <v>5864</v>
      </c>
      <c r="N2985" s="8" t="s">
        <v>5883</v>
      </c>
    </row>
    <row r="2986" spans="1:14" ht="82" customHeight="1">
      <c r="A2986" s="4" t="s">
        <v>9485</v>
      </c>
      <c r="B2986" s="4" t="s">
        <v>594</v>
      </c>
      <c r="C2986" s="4" t="s">
        <v>595</v>
      </c>
      <c r="D2986" s="4" t="s">
        <v>5861</v>
      </c>
      <c r="E2986" s="4" t="s">
        <v>41</v>
      </c>
      <c r="F2986" s="4" t="s">
        <v>5862</v>
      </c>
      <c r="G2986" s="4" t="s">
        <v>2377</v>
      </c>
      <c r="H2986" s="4">
        <v>1</v>
      </c>
      <c r="I2986" s="4">
        <v>1</v>
      </c>
      <c r="J2986" s="4" t="s">
        <v>9486</v>
      </c>
      <c r="K2986" s="4" t="s">
        <v>600</v>
      </c>
      <c r="L2986" s="6">
        <v>46319</v>
      </c>
      <c r="M2986" s="4" t="s">
        <v>5864</v>
      </c>
      <c r="N2986" s="4" t="s">
        <v>5865</v>
      </c>
    </row>
    <row r="2987" spans="1:14" ht="40" customHeight="1">
      <c r="A2987" s="8" t="s">
        <v>9487</v>
      </c>
      <c r="B2987" s="8" t="s">
        <v>594</v>
      </c>
      <c r="C2987" s="8" t="s">
        <v>595</v>
      </c>
      <c r="D2987" s="8" t="s">
        <v>5867</v>
      </c>
      <c r="E2987" s="8" t="s">
        <v>9488</v>
      </c>
      <c r="F2987" s="8" t="s">
        <v>5868</v>
      </c>
      <c r="G2987" s="8" t="s">
        <v>2377</v>
      </c>
      <c r="H2987" s="8">
        <v>1</v>
      </c>
      <c r="I2987" s="8">
        <v>1</v>
      </c>
      <c r="J2987" s="8" t="s">
        <v>9488</v>
      </c>
      <c r="K2987" s="8" t="s">
        <v>600</v>
      </c>
      <c r="L2987" s="9">
        <v>46319</v>
      </c>
      <c r="M2987" s="8" t="s">
        <v>5864</v>
      </c>
      <c r="N2987" s="8" t="s">
        <v>5870</v>
      </c>
    </row>
    <row r="2988" spans="1:14" ht="40" customHeight="1">
      <c r="A2988" s="4" t="s">
        <v>9489</v>
      </c>
      <c r="B2988" s="4" t="s">
        <v>594</v>
      </c>
      <c r="C2988" s="4" t="s">
        <v>595</v>
      </c>
      <c r="D2988" s="4" t="s">
        <v>637</v>
      </c>
      <c r="E2988" s="4" t="s">
        <v>41</v>
      </c>
      <c r="F2988" s="4" t="s">
        <v>904</v>
      </c>
      <c r="G2988" s="4" t="s">
        <v>2377</v>
      </c>
      <c r="H2988" s="4">
        <v>1</v>
      </c>
      <c r="I2988" s="4">
        <v>1</v>
      </c>
      <c r="J2988" s="4" t="s">
        <v>2136</v>
      </c>
      <c r="K2988" s="4" t="s">
        <v>600</v>
      </c>
      <c r="L2988" s="6">
        <v>46319</v>
      </c>
      <c r="M2988" s="4" t="s">
        <v>5864</v>
      </c>
      <c r="N2988" s="4" t="s">
        <v>5870</v>
      </c>
    </row>
    <row r="2989" spans="1:14" ht="40" customHeight="1">
      <c r="A2989" s="8" t="s">
        <v>9490</v>
      </c>
      <c r="B2989" s="8" t="s">
        <v>594</v>
      </c>
      <c r="C2989" s="8" t="s">
        <v>595</v>
      </c>
      <c r="D2989" s="8" t="s">
        <v>637</v>
      </c>
      <c r="E2989" s="8" t="s">
        <v>41</v>
      </c>
      <c r="F2989" s="8" t="s">
        <v>912</v>
      </c>
      <c r="G2989" s="8" t="s">
        <v>2377</v>
      </c>
      <c r="H2989" s="8">
        <v>1</v>
      </c>
      <c r="I2989" s="8">
        <v>1</v>
      </c>
      <c r="J2989" s="8" t="s">
        <v>2379</v>
      </c>
      <c r="K2989" s="8" t="s">
        <v>600</v>
      </c>
      <c r="L2989" s="9">
        <v>46319</v>
      </c>
      <c r="M2989" s="8" t="s">
        <v>5864</v>
      </c>
      <c r="N2989" s="8" t="s">
        <v>5870</v>
      </c>
    </row>
    <row r="2990" spans="1:14" ht="40" customHeight="1">
      <c r="A2990" s="4" t="s">
        <v>9491</v>
      </c>
      <c r="B2990" s="4" t="s">
        <v>594</v>
      </c>
      <c r="C2990" s="4" t="s">
        <v>595</v>
      </c>
      <c r="D2990" s="4" t="s">
        <v>637</v>
      </c>
      <c r="E2990" s="4" t="s">
        <v>41</v>
      </c>
      <c r="F2990" s="4" t="s">
        <v>1015</v>
      </c>
      <c r="G2990" s="4" t="s">
        <v>2377</v>
      </c>
      <c r="H2990" s="4">
        <v>1</v>
      </c>
      <c r="I2990" s="4">
        <v>1</v>
      </c>
      <c r="J2990" s="4" t="s">
        <v>2382</v>
      </c>
      <c r="K2990" s="4" t="s">
        <v>600</v>
      </c>
      <c r="L2990" s="6">
        <v>46319</v>
      </c>
      <c r="M2990" s="4" t="s">
        <v>5864</v>
      </c>
      <c r="N2990" s="4" t="s">
        <v>5870</v>
      </c>
    </row>
    <row r="2991" spans="1:14" ht="40" customHeight="1">
      <c r="A2991" s="8" t="s">
        <v>9492</v>
      </c>
      <c r="B2991" s="8" t="s">
        <v>594</v>
      </c>
      <c r="C2991" s="8" t="s">
        <v>595</v>
      </c>
      <c r="D2991" s="8" t="s">
        <v>637</v>
      </c>
      <c r="E2991" s="8" t="s">
        <v>41</v>
      </c>
      <c r="F2991" s="8" t="s">
        <v>1019</v>
      </c>
      <c r="G2991" s="8" t="s">
        <v>2377</v>
      </c>
      <c r="H2991" s="8">
        <v>1</v>
      </c>
      <c r="I2991" s="8">
        <v>1</v>
      </c>
      <c r="J2991" s="8" t="s">
        <v>2385</v>
      </c>
      <c r="K2991" s="8" t="s">
        <v>600</v>
      </c>
      <c r="L2991" s="9">
        <v>46319</v>
      </c>
      <c r="M2991" s="8" t="s">
        <v>5864</v>
      </c>
      <c r="N2991" s="8" t="s">
        <v>5870</v>
      </c>
    </row>
    <row r="2992" spans="1:14" ht="40" customHeight="1">
      <c r="A2992" s="4" t="s">
        <v>9493</v>
      </c>
      <c r="B2992" s="4" t="s">
        <v>594</v>
      </c>
      <c r="C2992" s="4" t="s">
        <v>595</v>
      </c>
      <c r="D2992" s="4" t="s">
        <v>637</v>
      </c>
      <c r="E2992" s="4" t="s">
        <v>41</v>
      </c>
      <c r="F2992" s="4" t="s">
        <v>1147</v>
      </c>
      <c r="G2992" s="4" t="s">
        <v>2377</v>
      </c>
      <c r="H2992" s="4">
        <v>1</v>
      </c>
      <c r="I2992" s="4">
        <v>1</v>
      </c>
      <c r="J2992" s="4" t="s">
        <v>2388</v>
      </c>
      <c r="K2992" s="4" t="s">
        <v>600</v>
      </c>
      <c r="L2992" s="6">
        <v>46319</v>
      </c>
      <c r="M2992" s="4" t="s">
        <v>5864</v>
      </c>
      <c r="N2992" s="4" t="s">
        <v>5870</v>
      </c>
    </row>
    <row r="2993" spans="1:14" ht="40" customHeight="1">
      <c r="A2993" s="8" t="s">
        <v>9494</v>
      </c>
      <c r="B2993" s="8" t="s">
        <v>594</v>
      </c>
      <c r="C2993" s="8" t="s">
        <v>595</v>
      </c>
      <c r="D2993" s="8" t="s">
        <v>637</v>
      </c>
      <c r="E2993" s="8" t="s">
        <v>41</v>
      </c>
      <c r="F2993" s="8" t="s">
        <v>1254</v>
      </c>
      <c r="G2993" s="8" t="s">
        <v>2377</v>
      </c>
      <c r="H2993" s="8">
        <v>1</v>
      </c>
      <c r="I2993" s="8">
        <v>1</v>
      </c>
      <c r="J2993" s="8" t="s">
        <v>2391</v>
      </c>
      <c r="K2993" s="8" t="s">
        <v>600</v>
      </c>
      <c r="L2993" s="9">
        <v>46319</v>
      </c>
      <c r="M2993" s="8" t="s">
        <v>5864</v>
      </c>
      <c r="N2993" s="8" t="s">
        <v>5870</v>
      </c>
    </row>
    <row r="2994" spans="1:14" ht="40" customHeight="1">
      <c r="A2994" s="4" t="s">
        <v>9495</v>
      </c>
      <c r="B2994" s="4" t="s">
        <v>594</v>
      </c>
      <c r="C2994" s="4" t="s">
        <v>595</v>
      </c>
      <c r="D2994" s="4" t="s">
        <v>637</v>
      </c>
      <c r="E2994" s="4" t="s">
        <v>41</v>
      </c>
      <c r="F2994" s="4" t="s">
        <v>1258</v>
      </c>
      <c r="G2994" s="4" t="s">
        <v>2377</v>
      </c>
      <c r="H2994" s="4">
        <v>1</v>
      </c>
      <c r="I2994" s="4">
        <v>1</v>
      </c>
      <c r="J2994" s="4" t="s">
        <v>2394</v>
      </c>
      <c r="K2994" s="4" t="s">
        <v>600</v>
      </c>
      <c r="L2994" s="6">
        <v>46319</v>
      </c>
      <c r="M2994" s="4" t="s">
        <v>5864</v>
      </c>
      <c r="N2994" s="4" t="s">
        <v>5870</v>
      </c>
    </row>
    <row r="2995" spans="1:14" ht="40" customHeight="1">
      <c r="A2995" s="8" t="s">
        <v>9496</v>
      </c>
      <c r="B2995" s="8" t="s">
        <v>594</v>
      </c>
      <c r="C2995" s="8" t="s">
        <v>595</v>
      </c>
      <c r="D2995" s="8" t="s">
        <v>637</v>
      </c>
      <c r="E2995" s="8" t="s">
        <v>41</v>
      </c>
      <c r="F2995" s="8" t="s">
        <v>2399</v>
      </c>
      <c r="G2995" s="8" t="s">
        <v>2377</v>
      </c>
      <c r="H2995" s="8">
        <v>1</v>
      </c>
      <c r="I2995" s="8">
        <v>1</v>
      </c>
      <c r="J2995" s="8" t="s">
        <v>2397</v>
      </c>
      <c r="K2995" s="8" t="s">
        <v>600</v>
      </c>
      <c r="L2995" s="9">
        <v>46319</v>
      </c>
      <c r="M2995" s="8" t="s">
        <v>5864</v>
      </c>
      <c r="N2995" s="8" t="s">
        <v>5870</v>
      </c>
    </row>
    <row r="2996" spans="1:14" ht="40" customHeight="1">
      <c r="A2996" s="4" t="s">
        <v>9497</v>
      </c>
      <c r="B2996" s="4" t="s">
        <v>594</v>
      </c>
      <c r="C2996" s="4" t="s">
        <v>595</v>
      </c>
      <c r="D2996" s="4" t="s">
        <v>637</v>
      </c>
      <c r="E2996" s="4" t="s">
        <v>41</v>
      </c>
      <c r="F2996" s="4" t="s">
        <v>2403</v>
      </c>
      <c r="G2996" s="4" t="s">
        <v>2377</v>
      </c>
      <c r="H2996" s="4">
        <v>1</v>
      </c>
      <c r="I2996" s="4">
        <v>1</v>
      </c>
      <c r="J2996" s="4" t="s">
        <v>2401</v>
      </c>
      <c r="K2996" s="4" t="s">
        <v>600</v>
      </c>
      <c r="L2996" s="6">
        <v>46319</v>
      </c>
      <c r="M2996" s="4" t="s">
        <v>5864</v>
      </c>
      <c r="N2996" s="4" t="s">
        <v>5870</v>
      </c>
    </row>
    <row r="2997" spans="1:14" ht="40" customHeight="1">
      <c r="A2997" s="8" t="s">
        <v>9498</v>
      </c>
      <c r="B2997" s="8" t="s">
        <v>594</v>
      </c>
      <c r="C2997" s="8" t="s">
        <v>595</v>
      </c>
      <c r="D2997" s="8" t="s">
        <v>637</v>
      </c>
      <c r="E2997" s="8" t="s">
        <v>41</v>
      </c>
      <c r="F2997" s="8" t="s">
        <v>2407</v>
      </c>
      <c r="G2997" s="8" t="s">
        <v>2377</v>
      </c>
      <c r="H2997" s="8">
        <v>1</v>
      </c>
      <c r="I2997" s="8">
        <v>1</v>
      </c>
      <c r="J2997" s="8" t="s">
        <v>2405</v>
      </c>
      <c r="K2997" s="8" t="s">
        <v>600</v>
      </c>
      <c r="L2997" s="9">
        <v>46319</v>
      </c>
      <c r="M2997" s="8" t="s">
        <v>5864</v>
      </c>
      <c r="N2997" s="8" t="s">
        <v>5870</v>
      </c>
    </row>
    <row r="2998" spans="1:14" ht="40" customHeight="1">
      <c r="A2998" s="4" t="s">
        <v>9499</v>
      </c>
      <c r="B2998" s="4" t="s">
        <v>594</v>
      </c>
      <c r="C2998" s="4" t="s">
        <v>595</v>
      </c>
      <c r="D2998" s="4" t="s">
        <v>637</v>
      </c>
      <c r="E2998" s="4" t="s">
        <v>41</v>
      </c>
      <c r="F2998" s="4" t="s">
        <v>2411</v>
      </c>
      <c r="G2998" s="4" t="s">
        <v>2377</v>
      </c>
      <c r="H2998" s="4">
        <v>1</v>
      </c>
      <c r="I2998" s="4">
        <v>1</v>
      </c>
      <c r="J2998" s="4" t="s">
        <v>2409</v>
      </c>
      <c r="K2998" s="4" t="s">
        <v>600</v>
      </c>
      <c r="L2998" s="6">
        <v>46319</v>
      </c>
      <c r="M2998" s="4" t="s">
        <v>5864</v>
      </c>
      <c r="N2998" s="4" t="s">
        <v>5870</v>
      </c>
    </row>
    <row r="2999" spans="1:14" ht="40" customHeight="1">
      <c r="A2999" s="8" t="s">
        <v>9500</v>
      </c>
      <c r="B2999" s="8" t="s">
        <v>594</v>
      </c>
      <c r="C2999" s="8" t="s">
        <v>595</v>
      </c>
      <c r="D2999" s="8" t="s">
        <v>637</v>
      </c>
      <c r="E2999" s="8" t="s">
        <v>41</v>
      </c>
      <c r="F2999" s="8" t="s">
        <v>2415</v>
      </c>
      <c r="G2999" s="8" t="s">
        <v>2377</v>
      </c>
      <c r="H2999" s="8">
        <v>1</v>
      </c>
      <c r="I2999" s="8">
        <v>1</v>
      </c>
      <c r="J2999" s="8" t="s">
        <v>2413</v>
      </c>
      <c r="K2999" s="8" t="s">
        <v>600</v>
      </c>
      <c r="L2999" s="9">
        <v>46319</v>
      </c>
      <c r="M2999" s="8" t="s">
        <v>5864</v>
      </c>
      <c r="N2999" s="8" t="s">
        <v>5870</v>
      </c>
    </row>
    <row r="3000" spans="1:14" ht="40" customHeight="1">
      <c r="A3000" s="4" t="s">
        <v>9501</v>
      </c>
      <c r="B3000" s="4" t="s">
        <v>594</v>
      </c>
      <c r="C3000" s="4" t="s">
        <v>595</v>
      </c>
      <c r="D3000" s="4" t="s">
        <v>914</v>
      </c>
      <c r="E3000" s="4" t="s">
        <v>41</v>
      </c>
      <c r="F3000" s="4" t="s">
        <v>952</v>
      </c>
      <c r="G3000" s="4" t="s">
        <v>2377</v>
      </c>
      <c r="H3000" s="4">
        <v>1</v>
      </c>
      <c r="I3000" s="4">
        <v>1</v>
      </c>
      <c r="J3000" s="4" t="s">
        <v>2417</v>
      </c>
      <c r="K3000" s="4" t="s">
        <v>600</v>
      </c>
      <c r="L3000" s="6">
        <v>46319</v>
      </c>
      <c r="M3000" s="4" t="s">
        <v>5864</v>
      </c>
      <c r="N3000" s="4" t="s">
        <v>5870</v>
      </c>
    </row>
    <row r="3001" spans="1:14" ht="40" customHeight="1">
      <c r="A3001" s="8" t="s">
        <v>9502</v>
      </c>
      <c r="B3001" s="8" t="s">
        <v>594</v>
      </c>
      <c r="C3001" s="8" t="s">
        <v>595</v>
      </c>
      <c r="D3001" s="8" t="s">
        <v>914</v>
      </c>
      <c r="E3001" s="8" t="s">
        <v>41</v>
      </c>
      <c r="F3001" s="8" t="s">
        <v>956</v>
      </c>
      <c r="G3001" s="8" t="s">
        <v>2377</v>
      </c>
      <c r="H3001" s="8">
        <v>1</v>
      </c>
      <c r="I3001" s="8">
        <v>1</v>
      </c>
      <c r="J3001" s="8" t="s">
        <v>2420</v>
      </c>
      <c r="K3001" s="8" t="s">
        <v>600</v>
      </c>
      <c r="L3001" s="9">
        <v>46319</v>
      </c>
      <c r="M3001" s="8" t="s">
        <v>5864</v>
      </c>
      <c r="N3001" s="8" t="s">
        <v>5870</v>
      </c>
    </row>
    <row r="3002" spans="1:14" ht="54" customHeight="1">
      <c r="A3002" s="4" t="s">
        <v>9503</v>
      </c>
      <c r="B3002" s="4" t="s">
        <v>594</v>
      </c>
      <c r="C3002" s="4" t="s">
        <v>595</v>
      </c>
      <c r="D3002" s="4" t="s">
        <v>914</v>
      </c>
      <c r="E3002" s="4" t="s">
        <v>41</v>
      </c>
      <c r="F3002" s="4" t="s">
        <v>960</v>
      </c>
      <c r="G3002" s="4" t="s">
        <v>2377</v>
      </c>
      <c r="H3002" s="4">
        <v>1</v>
      </c>
      <c r="I3002" s="4">
        <v>1</v>
      </c>
      <c r="J3002" s="4" t="s">
        <v>2423</v>
      </c>
      <c r="K3002" s="4" t="s">
        <v>600</v>
      </c>
      <c r="L3002" s="6">
        <v>46319</v>
      </c>
      <c r="M3002" s="4" t="s">
        <v>5864</v>
      </c>
      <c r="N3002" s="4" t="s">
        <v>5870</v>
      </c>
    </row>
    <row r="3003" spans="1:14" ht="40" customHeight="1">
      <c r="A3003" s="8" t="s">
        <v>9504</v>
      </c>
      <c r="B3003" s="8" t="s">
        <v>594</v>
      </c>
      <c r="C3003" s="8" t="s">
        <v>595</v>
      </c>
      <c r="D3003" s="8" t="s">
        <v>914</v>
      </c>
      <c r="E3003" s="8" t="s">
        <v>41</v>
      </c>
      <c r="F3003" s="8" t="s">
        <v>1415</v>
      </c>
      <c r="G3003" s="8" t="s">
        <v>2377</v>
      </c>
      <c r="H3003" s="8">
        <v>1</v>
      </c>
      <c r="I3003" s="8">
        <v>1</v>
      </c>
      <c r="J3003" s="8" t="s">
        <v>2426</v>
      </c>
      <c r="K3003" s="8" t="s">
        <v>600</v>
      </c>
      <c r="L3003" s="9">
        <v>46319</v>
      </c>
      <c r="M3003" s="8" t="s">
        <v>5864</v>
      </c>
      <c r="N3003" s="8" t="s">
        <v>5870</v>
      </c>
    </row>
    <row r="3004" spans="1:14" ht="40" customHeight="1">
      <c r="A3004" s="4" t="s">
        <v>9505</v>
      </c>
      <c r="B3004" s="4" t="s">
        <v>594</v>
      </c>
      <c r="C3004" s="4" t="s">
        <v>595</v>
      </c>
      <c r="D3004" s="4" t="s">
        <v>914</v>
      </c>
      <c r="E3004" s="4" t="s">
        <v>41</v>
      </c>
      <c r="F3004" s="4" t="s">
        <v>1419</v>
      </c>
      <c r="G3004" s="4" t="s">
        <v>2377</v>
      </c>
      <c r="H3004" s="4">
        <v>1</v>
      </c>
      <c r="I3004" s="4">
        <v>1</v>
      </c>
      <c r="J3004" s="4" t="s">
        <v>2429</v>
      </c>
      <c r="K3004" s="4" t="s">
        <v>600</v>
      </c>
      <c r="L3004" s="6">
        <v>46319</v>
      </c>
      <c r="M3004" s="4" t="s">
        <v>5864</v>
      </c>
      <c r="N3004" s="4" t="s">
        <v>5870</v>
      </c>
    </row>
    <row r="3005" spans="1:14" ht="40" customHeight="1">
      <c r="A3005" s="8" t="s">
        <v>9506</v>
      </c>
      <c r="B3005" s="8" t="s">
        <v>594</v>
      </c>
      <c r="C3005" s="8" t="s">
        <v>595</v>
      </c>
      <c r="D3005" s="8" t="s">
        <v>914</v>
      </c>
      <c r="E3005" s="8" t="s">
        <v>41</v>
      </c>
      <c r="F3005" s="8" t="s">
        <v>2434</v>
      </c>
      <c r="G3005" s="8" t="s">
        <v>2377</v>
      </c>
      <c r="H3005" s="8">
        <v>1</v>
      </c>
      <c r="I3005" s="8">
        <v>1</v>
      </c>
      <c r="J3005" s="8" t="s">
        <v>2432</v>
      </c>
      <c r="K3005" s="8" t="s">
        <v>600</v>
      </c>
      <c r="L3005" s="9">
        <v>46319</v>
      </c>
      <c r="M3005" s="8" t="s">
        <v>5864</v>
      </c>
      <c r="N3005" s="8" t="s">
        <v>5870</v>
      </c>
    </row>
    <row r="3006" spans="1:14" ht="40" customHeight="1">
      <c r="A3006" s="4" t="s">
        <v>9507</v>
      </c>
      <c r="B3006" s="4" t="s">
        <v>594</v>
      </c>
      <c r="C3006" s="4" t="s">
        <v>595</v>
      </c>
      <c r="D3006" s="4" t="s">
        <v>914</v>
      </c>
      <c r="E3006" s="4" t="s">
        <v>41</v>
      </c>
      <c r="F3006" s="4" t="s">
        <v>2438</v>
      </c>
      <c r="G3006" s="4" t="s">
        <v>2377</v>
      </c>
      <c r="H3006" s="4">
        <v>1</v>
      </c>
      <c r="I3006" s="4">
        <v>1</v>
      </c>
      <c r="J3006" s="4" t="s">
        <v>2436</v>
      </c>
      <c r="K3006" s="4" t="s">
        <v>600</v>
      </c>
      <c r="L3006" s="6">
        <v>46319</v>
      </c>
      <c r="M3006" s="4" t="s">
        <v>5864</v>
      </c>
      <c r="N3006" s="4" t="s">
        <v>5870</v>
      </c>
    </row>
    <row r="3007" spans="1:14" ht="40" customHeight="1">
      <c r="A3007" s="8" t="s">
        <v>5795</v>
      </c>
      <c r="B3007" s="8" t="s">
        <v>594</v>
      </c>
      <c r="C3007" s="8" t="s">
        <v>595</v>
      </c>
      <c r="D3007" s="8" t="s">
        <v>7</v>
      </c>
      <c r="E3007" s="8" t="s">
        <v>41</v>
      </c>
      <c r="F3007" s="8" t="s">
        <v>6212</v>
      </c>
      <c r="G3007" s="8" t="s">
        <v>2377</v>
      </c>
      <c r="H3007" s="8">
        <v>1</v>
      </c>
      <c r="I3007" s="8">
        <v>1</v>
      </c>
      <c r="J3007" s="8" t="s">
        <v>5796</v>
      </c>
      <c r="K3007" s="8" t="s">
        <v>600</v>
      </c>
      <c r="L3007" s="9">
        <v>46319</v>
      </c>
      <c r="M3007" s="8" t="s">
        <v>5864</v>
      </c>
      <c r="N3007" s="8" t="s">
        <v>5870</v>
      </c>
    </row>
    <row r="3008" spans="1:14" ht="40" customHeight="1">
      <c r="A3008" s="4" t="s">
        <v>5797</v>
      </c>
      <c r="B3008" s="4" t="s">
        <v>594</v>
      </c>
      <c r="C3008" s="4" t="s">
        <v>595</v>
      </c>
      <c r="D3008" s="4" t="s">
        <v>7</v>
      </c>
      <c r="E3008" s="4" t="s">
        <v>41</v>
      </c>
      <c r="F3008" s="4" t="s">
        <v>6213</v>
      </c>
      <c r="G3008" s="4" t="s">
        <v>2377</v>
      </c>
      <c r="H3008" s="4">
        <v>1</v>
      </c>
      <c r="I3008" s="4">
        <v>1</v>
      </c>
      <c r="J3008" s="4" t="s">
        <v>3487</v>
      </c>
      <c r="K3008" s="4" t="s">
        <v>600</v>
      </c>
      <c r="L3008" s="6">
        <v>46319</v>
      </c>
      <c r="M3008" s="4" t="s">
        <v>5864</v>
      </c>
      <c r="N3008" s="4" t="s">
        <v>5870</v>
      </c>
    </row>
    <row r="3009" spans="1:14" ht="54" customHeight="1">
      <c r="A3009" s="8" t="s">
        <v>5798</v>
      </c>
      <c r="B3009" s="8" t="s">
        <v>594</v>
      </c>
      <c r="C3009" s="8" t="s">
        <v>595</v>
      </c>
      <c r="D3009" s="8" t="s">
        <v>7</v>
      </c>
      <c r="E3009" s="8" t="s">
        <v>41</v>
      </c>
      <c r="F3009" s="8" t="s">
        <v>6214</v>
      </c>
      <c r="G3009" s="8" t="s">
        <v>2377</v>
      </c>
      <c r="H3009" s="8">
        <v>1</v>
      </c>
      <c r="I3009" s="8">
        <v>1</v>
      </c>
      <c r="J3009" s="8" t="s">
        <v>5799</v>
      </c>
      <c r="K3009" s="8" t="s">
        <v>600</v>
      </c>
      <c r="L3009" s="9">
        <v>46319</v>
      </c>
      <c r="M3009" s="8" t="s">
        <v>5864</v>
      </c>
      <c r="N3009" s="8" t="s">
        <v>5870</v>
      </c>
    </row>
    <row r="3010" spans="1:14" ht="54" customHeight="1">
      <c r="A3010" s="4" t="s">
        <v>5800</v>
      </c>
      <c r="B3010" s="4" t="s">
        <v>594</v>
      </c>
      <c r="C3010" s="4" t="s">
        <v>595</v>
      </c>
      <c r="D3010" s="4" t="s">
        <v>7</v>
      </c>
      <c r="E3010" s="4" t="s">
        <v>41</v>
      </c>
      <c r="F3010" s="4" t="s">
        <v>6215</v>
      </c>
      <c r="G3010" s="4" t="s">
        <v>2377</v>
      </c>
      <c r="H3010" s="4">
        <v>1</v>
      </c>
      <c r="I3010" s="4">
        <v>1</v>
      </c>
      <c r="J3010" s="4" t="s">
        <v>5801</v>
      </c>
      <c r="K3010" s="4" t="s">
        <v>600</v>
      </c>
      <c r="L3010" s="6">
        <v>46319</v>
      </c>
      <c r="M3010" s="4" t="s">
        <v>5864</v>
      </c>
      <c r="N3010" s="4" t="s">
        <v>5870</v>
      </c>
    </row>
    <row r="3011" spans="1:14" ht="40" customHeight="1">
      <c r="A3011" s="8" t="s">
        <v>5802</v>
      </c>
      <c r="B3011" s="8" t="s">
        <v>594</v>
      </c>
      <c r="C3011" s="8" t="s">
        <v>595</v>
      </c>
      <c r="D3011" s="8" t="s">
        <v>7</v>
      </c>
      <c r="E3011" s="8" t="s">
        <v>41</v>
      </c>
      <c r="F3011" s="8" t="s">
        <v>6216</v>
      </c>
      <c r="G3011" s="8" t="s">
        <v>2377</v>
      </c>
      <c r="H3011" s="8">
        <v>1</v>
      </c>
      <c r="I3011" s="8">
        <v>1</v>
      </c>
      <c r="J3011" s="8" t="s">
        <v>5803</v>
      </c>
      <c r="K3011" s="8" t="s">
        <v>600</v>
      </c>
      <c r="L3011" s="9">
        <v>46319</v>
      </c>
      <c r="M3011" s="8" t="s">
        <v>5864</v>
      </c>
      <c r="N3011" s="8" t="s">
        <v>5870</v>
      </c>
    </row>
    <row r="3012" spans="1:14" ht="40" customHeight="1">
      <c r="A3012" s="4" t="s">
        <v>5804</v>
      </c>
      <c r="B3012" s="4" t="s">
        <v>594</v>
      </c>
      <c r="C3012" s="4" t="s">
        <v>595</v>
      </c>
      <c r="D3012" s="4" t="s">
        <v>7</v>
      </c>
      <c r="E3012" s="4" t="s">
        <v>41</v>
      </c>
      <c r="F3012" s="4" t="s">
        <v>6284</v>
      </c>
      <c r="G3012" s="4" t="s">
        <v>2377</v>
      </c>
      <c r="H3012" s="4">
        <v>1</v>
      </c>
      <c r="I3012" s="4">
        <v>1</v>
      </c>
      <c r="J3012" s="4" t="s">
        <v>5805</v>
      </c>
      <c r="K3012" s="4" t="s">
        <v>600</v>
      </c>
      <c r="L3012" s="6">
        <v>46319</v>
      </c>
      <c r="M3012" s="4" t="s">
        <v>5864</v>
      </c>
      <c r="N3012" s="4" t="s">
        <v>5870</v>
      </c>
    </row>
    <row r="3013" spans="1:14" ht="40" customHeight="1">
      <c r="A3013" s="8" t="s">
        <v>5806</v>
      </c>
      <c r="B3013" s="8" t="s">
        <v>594</v>
      </c>
      <c r="C3013" s="8" t="s">
        <v>595</v>
      </c>
      <c r="D3013" s="8" t="s">
        <v>7</v>
      </c>
      <c r="E3013" s="8" t="s">
        <v>41</v>
      </c>
      <c r="F3013" s="8" t="s">
        <v>6285</v>
      </c>
      <c r="G3013" s="8" t="s">
        <v>2377</v>
      </c>
      <c r="H3013" s="8">
        <v>1</v>
      </c>
      <c r="I3013" s="8">
        <v>1</v>
      </c>
      <c r="J3013" s="8" t="s">
        <v>5807</v>
      </c>
      <c r="K3013" s="8" t="s">
        <v>600</v>
      </c>
      <c r="L3013" s="9">
        <v>46319</v>
      </c>
      <c r="M3013" s="8" t="s">
        <v>5864</v>
      </c>
      <c r="N3013" s="8" t="s">
        <v>5870</v>
      </c>
    </row>
    <row r="3014" spans="1:14" ht="40" customHeight="1">
      <c r="A3014" s="4" t="s">
        <v>5808</v>
      </c>
      <c r="B3014" s="4" t="s">
        <v>594</v>
      </c>
      <c r="C3014" s="4" t="s">
        <v>595</v>
      </c>
      <c r="D3014" s="4" t="s">
        <v>7</v>
      </c>
      <c r="E3014" s="4" t="s">
        <v>41</v>
      </c>
      <c r="F3014" s="4" t="s">
        <v>6286</v>
      </c>
      <c r="G3014" s="4" t="s">
        <v>2377</v>
      </c>
      <c r="H3014" s="4">
        <v>1</v>
      </c>
      <c r="I3014" s="4">
        <v>1</v>
      </c>
      <c r="J3014" s="4" t="s">
        <v>5809</v>
      </c>
      <c r="K3014" s="4" t="s">
        <v>600</v>
      </c>
      <c r="L3014" s="6">
        <v>46319</v>
      </c>
      <c r="M3014" s="4" t="s">
        <v>5864</v>
      </c>
      <c r="N3014" s="4" t="s">
        <v>5870</v>
      </c>
    </row>
    <row r="3015" spans="1:14" ht="40" customHeight="1">
      <c r="A3015" s="8" t="s">
        <v>4864</v>
      </c>
      <c r="B3015" s="8" t="s">
        <v>594</v>
      </c>
      <c r="C3015" s="8" t="s">
        <v>595</v>
      </c>
      <c r="D3015" s="8" t="s">
        <v>5879</v>
      </c>
      <c r="E3015" s="8" t="s">
        <v>4408</v>
      </c>
      <c r="F3015" s="8" t="s">
        <v>3449</v>
      </c>
      <c r="G3015" s="8" t="s">
        <v>2377</v>
      </c>
      <c r="H3015" s="8">
        <v>1</v>
      </c>
      <c r="I3015" s="8">
        <v>1</v>
      </c>
      <c r="J3015" s="8" t="s">
        <v>4408</v>
      </c>
      <c r="K3015" s="8" t="s">
        <v>600</v>
      </c>
      <c r="L3015" s="9">
        <v>46319</v>
      </c>
      <c r="M3015" s="8" t="s">
        <v>5864</v>
      </c>
      <c r="N3015" s="8" t="s">
        <v>5865</v>
      </c>
    </row>
    <row r="3016" spans="1:14" ht="40" customHeight="1">
      <c r="A3016" s="4" t="s">
        <v>4865</v>
      </c>
      <c r="B3016" s="4" t="s">
        <v>594</v>
      </c>
      <c r="C3016" s="4" t="s">
        <v>595</v>
      </c>
      <c r="D3016" s="4" t="s">
        <v>5879</v>
      </c>
      <c r="E3016" s="4" t="s">
        <v>4408</v>
      </c>
      <c r="F3016" s="4" t="s">
        <v>3466</v>
      </c>
      <c r="G3016" s="4" t="s">
        <v>2377</v>
      </c>
      <c r="H3016" s="4">
        <v>1</v>
      </c>
      <c r="I3016" s="4">
        <v>1</v>
      </c>
      <c r="J3016" s="4" t="s">
        <v>4866</v>
      </c>
      <c r="K3016" s="4" t="s">
        <v>600</v>
      </c>
      <c r="L3016" s="6">
        <v>46319</v>
      </c>
      <c r="M3016" s="4" t="s">
        <v>5864</v>
      </c>
      <c r="N3016" s="4" t="s">
        <v>5865</v>
      </c>
    </row>
    <row r="3017" spans="1:14" ht="40" customHeight="1">
      <c r="A3017" s="8" t="s">
        <v>4867</v>
      </c>
      <c r="B3017" s="8" t="s">
        <v>594</v>
      </c>
      <c r="C3017" s="8" t="s">
        <v>595</v>
      </c>
      <c r="D3017" s="8" t="s">
        <v>5879</v>
      </c>
      <c r="E3017" s="8" t="s">
        <v>4408</v>
      </c>
      <c r="F3017" s="8" t="s">
        <v>3469</v>
      </c>
      <c r="G3017" s="8" t="s">
        <v>2377</v>
      </c>
      <c r="H3017" s="8">
        <v>1</v>
      </c>
      <c r="I3017" s="8">
        <v>1</v>
      </c>
      <c r="J3017" s="8" t="s">
        <v>4868</v>
      </c>
      <c r="K3017" s="8" t="s">
        <v>600</v>
      </c>
      <c r="L3017" s="9">
        <v>46319</v>
      </c>
      <c r="M3017" s="8" t="s">
        <v>5864</v>
      </c>
      <c r="N3017" s="8" t="s">
        <v>5865</v>
      </c>
    </row>
    <row r="3018" spans="1:14" ht="54" customHeight="1">
      <c r="A3018" s="4" t="s">
        <v>4869</v>
      </c>
      <c r="B3018" s="4" t="s">
        <v>594</v>
      </c>
      <c r="C3018" s="4" t="s">
        <v>595</v>
      </c>
      <c r="D3018" s="4" t="s">
        <v>5879</v>
      </c>
      <c r="E3018" s="4" t="s">
        <v>4408</v>
      </c>
      <c r="F3018" s="4" t="s">
        <v>3472</v>
      </c>
      <c r="G3018" s="4" t="s">
        <v>2377</v>
      </c>
      <c r="H3018" s="4">
        <v>1</v>
      </c>
      <c r="I3018" s="4">
        <v>1</v>
      </c>
      <c r="J3018" s="4" t="s">
        <v>4870</v>
      </c>
      <c r="K3018" s="4" t="s">
        <v>600</v>
      </c>
      <c r="L3018" s="6">
        <v>46319</v>
      </c>
      <c r="M3018" s="4" t="s">
        <v>5864</v>
      </c>
      <c r="N3018" s="4" t="s">
        <v>5865</v>
      </c>
    </row>
    <row r="3019" spans="1:14" ht="40" customHeight="1">
      <c r="A3019" s="8" t="s">
        <v>4871</v>
      </c>
      <c r="B3019" s="8" t="s">
        <v>594</v>
      </c>
      <c r="C3019" s="8" t="s">
        <v>595</v>
      </c>
      <c r="D3019" s="8" t="s">
        <v>5879</v>
      </c>
      <c r="E3019" s="8" t="s">
        <v>4408</v>
      </c>
      <c r="F3019" s="8" t="s">
        <v>3475</v>
      </c>
      <c r="G3019" s="8" t="s">
        <v>2377</v>
      </c>
      <c r="H3019" s="8">
        <v>1</v>
      </c>
      <c r="I3019" s="8">
        <v>1</v>
      </c>
      <c r="J3019" s="8" t="s">
        <v>4872</v>
      </c>
      <c r="K3019" s="8" t="s">
        <v>600</v>
      </c>
      <c r="L3019" s="9">
        <v>46319</v>
      </c>
      <c r="M3019" s="8" t="s">
        <v>5864</v>
      </c>
      <c r="N3019" s="8" t="s">
        <v>5865</v>
      </c>
    </row>
    <row r="3020" spans="1:14" ht="40" customHeight="1">
      <c r="A3020" s="4" t="s">
        <v>4873</v>
      </c>
      <c r="B3020" s="4" t="s">
        <v>594</v>
      </c>
      <c r="C3020" s="4" t="s">
        <v>595</v>
      </c>
      <c r="D3020" s="4" t="s">
        <v>5879</v>
      </c>
      <c r="E3020" s="4" t="s">
        <v>4408</v>
      </c>
      <c r="F3020" s="4" t="s">
        <v>3478</v>
      </c>
      <c r="G3020" s="4" t="s">
        <v>2377</v>
      </c>
      <c r="H3020" s="4">
        <v>1</v>
      </c>
      <c r="I3020" s="4">
        <v>1</v>
      </c>
      <c r="J3020" s="4" t="s">
        <v>4874</v>
      </c>
      <c r="K3020" s="4" t="s">
        <v>600</v>
      </c>
      <c r="L3020" s="6">
        <v>46319</v>
      </c>
      <c r="M3020" s="4" t="s">
        <v>5864</v>
      </c>
      <c r="N3020" s="4" t="s">
        <v>5865</v>
      </c>
    </row>
    <row r="3021" spans="1:14" ht="40" customHeight="1">
      <c r="A3021" s="8" t="s">
        <v>4875</v>
      </c>
      <c r="B3021" s="8" t="s">
        <v>594</v>
      </c>
      <c r="C3021" s="8" t="s">
        <v>595</v>
      </c>
      <c r="D3021" s="8" t="s">
        <v>5879</v>
      </c>
      <c r="E3021" s="8" t="s">
        <v>4408</v>
      </c>
      <c r="F3021" s="8" t="s">
        <v>3603</v>
      </c>
      <c r="G3021" s="8" t="s">
        <v>2377</v>
      </c>
      <c r="H3021" s="8">
        <v>1</v>
      </c>
      <c r="I3021" s="8">
        <v>1</v>
      </c>
      <c r="J3021" s="8" t="s">
        <v>4876</v>
      </c>
      <c r="K3021" s="8" t="s">
        <v>600</v>
      </c>
      <c r="L3021" s="9">
        <v>46319</v>
      </c>
      <c r="M3021" s="8" t="s">
        <v>5864</v>
      </c>
      <c r="N3021" s="8" t="s">
        <v>5865</v>
      </c>
    </row>
    <row r="3022" spans="1:14" ht="40" customHeight="1">
      <c r="A3022" s="4" t="s">
        <v>4877</v>
      </c>
      <c r="B3022" s="4" t="s">
        <v>594</v>
      </c>
      <c r="C3022" s="4" t="s">
        <v>595</v>
      </c>
      <c r="D3022" s="4" t="s">
        <v>5879</v>
      </c>
      <c r="E3022" s="4" t="s">
        <v>3590</v>
      </c>
      <c r="F3022" s="4" t="s">
        <v>3608</v>
      </c>
      <c r="G3022" s="4" t="s">
        <v>2377</v>
      </c>
      <c r="H3022" s="4">
        <v>1</v>
      </c>
      <c r="I3022" s="4">
        <v>1</v>
      </c>
      <c r="J3022" s="4" t="s">
        <v>3590</v>
      </c>
      <c r="K3022" s="4" t="s">
        <v>600</v>
      </c>
      <c r="L3022" s="6">
        <v>46319</v>
      </c>
      <c r="M3022" s="4" t="s">
        <v>5864</v>
      </c>
      <c r="N3022" s="4" t="s">
        <v>5865</v>
      </c>
    </row>
    <row r="3023" spans="1:14" ht="40" customHeight="1">
      <c r="A3023" s="8" t="s">
        <v>4878</v>
      </c>
      <c r="B3023" s="8" t="s">
        <v>594</v>
      </c>
      <c r="C3023" s="8" t="s">
        <v>595</v>
      </c>
      <c r="D3023" s="8" t="s">
        <v>5879</v>
      </c>
      <c r="E3023" s="8" t="s">
        <v>3590</v>
      </c>
      <c r="F3023" s="8" t="s">
        <v>3611</v>
      </c>
      <c r="G3023" s="8" t="s">
        <v>2377</v>
      </c>
      <c r="H3023" s="8">
        <v>1</v>
      </c>
      <c r="I3023" s="8">
        <v>1</v>
      </c>
      <c r="J3023" s="8" t="s">
        <v>4879</v>
      </c>
      <c r="K3023" s="8" t="s">
        <v>600</v>
      </c>
      <c r="L3023" s="9">
        <v>46319</v>
      </c>
      <c r="M3023" s="8" t="s">
        <v>5864</v>
      </c>
      <c r="N3023" s="8" t="s">
        <v>5865</v>
      </c>
    </row>
    <row r="3024" spans="1:14" ht="40" customHeight="1">
      <c r="A3024" s="4" t="s">
        <v>4880</v>
      </c>
      <c r="B3024" s="4" t="s">
        <v>594</v>
      </c>
      <c r="C3024" s="4" t="s">
        <v>595</v>
      </c>
      <c r="D3024" s="4" t="s">
        <v>5879</v>
      </c>
      <c r="E3024" s="4" t="s">
        <v>3590</v>
      </c>
      <c r="F3024" s="4" t="s">
        <v>3775</v>
      </c>
      <c r="G3024" s="4" t="s">
        <v>2377</v>
      </c>
      <c r="H3024" s="4">
        <v>1</v>
      </c>
      <c r="I3024" s="4">
        <v>1</v>
      </c>
      <c r="J3024" s="4" t="s">
        <v>4881</v>
      </c>
      <c r="K3024" s="4" t="s">
        <v>600</v>
      </c>
      <c r="L3024" s="6">
        <v>46319</v>
      </c>
      <c r="M3024" s="4" t="s">
        <v>5864</v>
      </c>
      <c r="N3024" s="4" t="s">
        <v>5865</v>
      </c>
    </row>
    <row r="3025" spans="1:14" ht="40" customHeight="1">
      <c r="A3025" s="8" t="s">
        <v>4882</v>
      </c>
      <c r="B3025" s="8" t="s">
        <v>594</v>
      </c>
      <c r="C3025" s="8" t="s">
        <v>595</v>
      </c>
      <c r="D3025" s="8" t="s">
        <v>5879</v>
      </c>
      <c r="E3025" s="8" t="s">
        <v>3590</v>
      </c>
      <c r="F3025" s="8" t="s">
        <v>3847</v>
      </c>
      <c r="G3025" s="8" t="s">
        <v>2377</v>
      </c>
      <c r="H3025" s="8">
        <v>1</v>
      </c>
      <c r="I3025" s="8">
        <v>1</v>
      </c>
      <c r="J3025" s="8" t="s">
        <v>4883</v>
      </c>
      <c r="K3025" s="8" t="s">
        <v>600</v>
      </c>
      <c r="L3025" s="9">
        <v>46319</v>
      </c>
      <c r="M3025" s="8" t="s">
        <v>5864</v>
      </c>
      <c r="N3025" s="8" t="s">
        <v>5865</v>
      </c>
    </row>
    <row r="3026" spans="1:14" ht="40" customHeight="1">
      <c r="A3026" s="4" t="s">
        <v>4884</v>
      </c>
      <c r="B3026" s="4" t="s">
        <v>594</v>
      </c>
      <c r="C3026" s="4" t="s">
        <v>595</v>
      </c>
      <c r="D3026" s="4" t="s">
        <v>5879</v>
      </c>
      <c r="E3026" s="4" t="s">
        <v>3590</v>
      </c>
      <c r="F3026" s="4" t="s">
        <v>3777</v>
      </c>
      <c r="G3026" s="4" t="s">
        <v>2377</v>
      </c>
      <c r="H3026" s="4">
        <v>1</v>
      </c>
      <c r="I3026" s="4">
        <v>1</v>
      </c>
      <c r="J3026" s="4" t="s">
        <v>4885</v>
      </c>
      <c r="K3026" s="4" t="s">
        <v>600</v>
      </c>
      <c r="L3026" s="6">
        <v>46319</v>
      </c>
      <c r="M3026" s="4" t="s">
        <v>5864</v>
      </c>
      <c r="N3026" s="4" t="s">
        <v>5865</v>
      </c>
    </row>
    <row r="3027" spans="1:14" ht="40" customHeight="1">
      <c r="A3027" s="8" t="s">
        <v>4886</v>
      </c>
      <c r="B3027" s="8" t="s">
        <v>594</v>
      </c>
      <c r="C3027" s="8" t="s">
        <v>595</v>
      </c>
      <c r="D3027" s="8" t="s">
        <v>5879</v>
      </c>
      <c r="E3027" s="8" t="s">
        <v>3590</v>
      </c>
      <c r="F3027" s="8" t="s">
        <v>3779</v>
      </c>
      <c r="G3027" s="8" t="s">
        <v>2377</v>
      </c>
      <c r="H3027" s="8">
        <v>1</v>
      </c>
      <c r="I3027" s="8">
        <v>1</v>
      </c>
      <c r="J3027" s="8" t="s">
        <v>4887</v>
      </c>
      <c r="K3027" s="8" t="s">
        <v>600</v>
      </c>
      <c r="L3027" s="9">
        <v>46319</v>
      </c>
      <c r="M3027" s="8" t="s">
        <v>5864</v>
      </c>
      <c r="N3027" s="8" t="s">
        <v>5865</v>
      </c>
    </row>
    <row r="3028" spans="1:14" ht="40" customHeight="1">
      <c r="A3028" s="4" t="s">
        <v>4888</v>
      </c>
      <c r="B3028" s="4" t="s">
        <v>594</v>
      </c>
      <c r="C3028" s="4" t="s">
        <v>595</v>
      </c>
      <c r="D3028" s="4" t="s">
        <v>5879</v>
      </c>
      <c r="E3028" s="4" t="s">
        <v>4889</v>
      </c>
      <c r="F3028" s="4" t="s">
        <v>3783</v>
      </c>
      <c r="G3028" s="4" t="s">
        <v>2377</v>
      </c>
      <c r="H3028" s="4">
        <v>1</v>
      </c>
      <c r="I3028" s="4">
        <v>1</v>
      </c>
      <c r="J3028" s="4" t="s">
        <v>4889</v>
      </c>
      <c r="K3028" s="4" t="s">
        <v>600</v>
      </c>
      <c r="L3028" s="6">
        <v>46319</v>
      </c>
      <c r="M3028" s="4" t="s">
        <v>5864</v>
      </c>
      <c r="N3028" s="4" t="s">
        <v>5865</v>
      </c>
    </row>
    <row r="3029" spans="1:14" ht="40" customHeight="1">
      <c r="A3029" s="8" t="s">
        <v>4890</v>
      </c>
      <c r="B3029" s="8" t="s">
        <v>594</v>
      </c>
      <c r="C3029" s="8" t="s">
        <v>595</v>
      </c>
      <c r="D3029" s="8" t="s">
        <v>5879</v>
      </c>
      <c r="E3029" s="8" t="s">
        <v>4889</v>
      </c>
      <c r="F3029" s="8" t="s">
        <v>3785</v>
      </c>
      <c r="G3029" s="8" t="s">
        <v>2377</v>
      </c>
      <c r="H3029" s="8">
        <v>1</v>
      </c>
      <c r="I3029" s="8">
        <v>1</v>
      </c>
      <c r="J3029" s="8" t="s">
        <v>4879</v>
      </c>
      <c r="K3029" s="8" t="s">
        <v>600</v>
      </c>
      <c r="L3029" s="9">
        <v>46319</v>
      </c>
      <c r="M3029" s="8" t="s">
        <v>5864</v>
      </c>
      <c r="N3029" s="8" t="s">
        <v>5865</v>
      </c>
    </row>
    <row r="3030" spans="1:14" ht="40" customHeight="1">
      <c r="A3030" s="4" t="s">
        <v>4891</v>
      </c>
      <c r="B3030" s="4" t="s">
        <v>594</v>
      </c>
      <c r="C3030" s="4" t="s">
        <v>595</v>
      </c>
      <c r="D3030" s="4" t="s">
        <v>5879</v>
      </c>
      <c r="E3030" s="4" t="s">
        <v>4889</v>
      </c>
      <c r="F3030" s="4" t="s">
        <v>3885</v>
      </c>
      <c r="G3030" s="4" t="s">
        <v>2377</v>
      </c>
      <c r="H3030" s="4">
        <v>1</v>
      </c>
      <c r="I3030" s="4">
        <v>1</v>
      </c>
      <c r="J3030" s="4" t="s">
        <v>4892</v>
      </c>
      <c r="K3030" s="4" t="s">
        <v>600</v>
      </c>
      <c r="L3030" s="6">
        <v>46319</v>
      </c>
      <c r="M3030" s="4" t="s">
        <v>5864</v>
      </c>
      <c r="N3030" s="4" t="s">
        <v>5865</v>
      </c>
    </row>
    <row r="3031" spans="1:14" ht="54" customHeight="1">
      <c r="A3031" s="8" t="s">
        <v>9508</v>
      </c>
      <c r="B3031" s="8" t="s">
        <v>594</v>
      </c>
      <c r="C3031" s="8" t="s">
        <v>595</v>
      </c>
      <c r="D3031" s="8" t="s">
        <v>2969</v>
      </c>
      <c r="E3031" s="8" t="s">
        <v>41</v>
      </c>
      <c r="F3031" s="8" t="s">
        <v>5881</v>
      </c>
      <c r="G3031" s="8" t="s">
        <v>2377</v>
      </c>
      <c r="H3031" s="8">
        <v>1</v>
      </c>
      <c r="I3031" s="8">
        <v>1</v>
      </c>
      <c r="J3031" s="8" t="s">
        <v>9509</v>
      </c>
      <c r="K3031" s="8" t="s">
        <v>600</v>
      </c>
      <c r="L3031" s="9">
        <v>46319</v>
      </c>
      <c r="M3031" s="8" t="s">
        <v>5864</v>
      </c>
      <c r="N3031" s="8" t="s">
        <v>5883</v>
      </c>
    </row>
    <row r="3032" spans="1:14" ht="54" customHeight="1">
      <c r="A3032" s="4" t="s">
        <v>9510</v>
      </c>
      <c r="B3032" s="4" t="s">
        <v>594</v>
      </c>
      <c r="C3032" s="4" t="s">
        <v>595</v>
      </c>
      <c r="D3032" s="4" t="s">
        <v>2969</v>
      </c>
      <c r="E3032" s="4" t="s">
        <v>41</v>
      </c>
      <c r="F3032" s="4" t="s">
        <v>5885</v>
      </c>
      <c r="G3032" s="4" t="s">
        <v>2377</v>
      </c>
      <c r="H3032" s="4">
        <v>1</v>
      </c>
      <c r="I3032" s="4">
        <v>1</v>
      </c>
      <c r="J3032" s="4" t="s">
        <v>9511</v>
      </c>
      <c r="K3032" s="4" t="s">
        <v>600</v>
      </c>
      <c r="L3032" s="6">
        <v>46319</v>
      </c>
      <c r="M3032" s="4" t="s">
        <v>5864</v>
      </c>
      <c r="N3032" s="4" t="s">
        <v>5883</v>
      </c>
    </row>
    <row r="3033" spans="1:14" ht="54" customHeight="1">
      <c r="A3033" s="8" t="s">
        <v>9512</v>
      </c>
      <c r="B3033" s="8" t="s">
        <v>594</v>
      </c>
      <c r="C3033" s="8" t="s">
        <v>595</v>
      </c>
      <c r="D3033" s="8" t="s">
        <v>2969</v>
      </c>
      <c r="E3033" s="8" t="s">
        <v>41</v>
      </c>
      <c r="F3033" s="8" t="s">
        <v>5888</v>
      </c>
      <c r="G3033" s="8" t="s">
        <v>2377</v>
      </c>
      <c r="H3033" s="8">
        <v>1</v>
      </c>
      <c r="I3033" s="8">
        <v>1</v>
      </c>
      <c r="J3033" s="8" t="s">
        <v>9513</v>
      </c>
      <c r="K3033" s="8" t="s">
        <v>600</v>
      </c>
      <c r="L3033" s="9">
        <v>46319</v>
      </c>
      <c r="M3033" s="8" t="s">
        <v>5864</v>
      </c>
      <c r="N3033" s="8" t="s">
        <v>5883</v>
      </c>
    </row>
    <row r="3034" spans="1:14" ht="54" customHeight="1">
      <c r="A3034" s="4" t="s">
        <v>9514</v>
      </c>
      <c r="B3034" s="4" t="s">
        <v>594</v>
      </c>
      <c r="C3034" s="4" t="s">
        <v>595</v>
      </c>
      <c r="D3034" s="4" t="s">
        <v>2969</v>
      </c>
      <c r="E3034" s="4" t="s">
        <v>41</v>
      </c>
      <c r="F3034" s="4" t="s">
        <v>5891</v>
      </c>
      <c r="G3034" s="4" t="s">
        <v>2377</v>
      </c>
      <c r="H3034" s="4">
        <v>1</v>
      </c>
      <c r="I3034" s="4">
        <v>1</v>
      </c>
      <c r="J3034" s="4" t="s">
        <v>9515</v>
      </c>
      <c r="K3034" s="4" t="s">
        <v>600</v>
      </c>
      <c r="L3034" s="6">
        <v>46319</v>
      </c>
      <c r="M3034" s="4" t="s">
        <v>5864</v>
      </c>
      <c r="N3034" s="4" t="s">
        <v>5883</v>
      </c>
    </row>
    <row r="3035" spans="1:14" ht="40" customHeight="1">
      <c r="A3035" s="8" t="s">
        <v>9516</v>
      </c>
      <c r="B3035" s="8" t="s">
        <v>594</v>
      </c>
      <c r="C3035" s="8" t="s">
        <v>595</v>
      </c>
      <c r="D3035" s="8" t="s">
        <v>2969</v>
      </c>
      <c r="E3035" s="8" t="s">
        <v>41</v>
      </c>
      <c r="F3035" s="8" t="s">
        <v>5894</v>
      </c>
      <c r="G3035" s="8" t="s">
        <v>2377</v>
      </c>
      <c r="H3035" s="8">
        <v>1</v>
      </c>
      <c r="I3035" s="8">
        <v>1</v>
      </c>
      <c r="J3035" s="8" t="s">
        <v>9517</v>
      </c>
      <c r="K3035" s="8" t="s">
        <v>600</v>
      </c>
      <c r="L3035" s="9">
        <v>46319</v>
      </c>
      <c r="M3035" s="8" t="s">
        <v>5864</v>
      </c>
      <c r="N3035" s="8" t="s">
        <v>5883</v>
      </c>
    </row>
    <row r="3036" spans="1:14" ht="68" customHeight="1">
      <c r="A3036" s="4" t="s">
        <v>9518</v>
      </c>
      <c r="B3036" s="4" t="s">
        <v>594</v>
      </c>
      <c r="C3036" s="4" t="s">
        <v>595</v>
      </c>
      <c r="D3036" s="4" t="s">
        <v>2969</v>
      </c>
      <c r="E3036" s="4" t="s">
        <v>41</v>
      </c>
      <c r="F3036" s="4" t="s">
        <v>5897</v>
      </c>
      <c r="G3036" s="4" t="s">
        <v>2377</v>
      </c>
      <c r="H3036" s="4">
        <v>1</v>
      </c>
      <c r="I3036" s="4">
        <v>1</v>
      </c>
      <c r="J3036" s="4" t="s">
        <v>9519</v>
      </c>
      <c r="K3036" s="4" t="s">
        <v>600</v>
      </c>
      <c r="L3036" s="6">
        <v>46319</v>
      </c>
      <c r="M3036" s="4" t="s">
        <v>5864</v>
      </c>
      <c r="N3036" s="4" t="s">
        <v>5883</v>
      </c>
    </row>
    <row r="3037" spans="1:14" ht="68" customHeight="1">
      <c r="A3037" s="8" t="s">
        <v>9520</v>
      </c>
      <c r="B3037" s="8" t="s">
        <v>594</v>
      </c>
      <c r="C3037" s="8" t="s">
        <v>595</v>
      </c>
      <c r="D3037" s="8" t="s">
        <v>2969</v>
      </c>
      <c r="E3037" s="8" t="s">
        <v>41</v>
      </c>
      <c r="F3037" s="8" t="s">
        <v>5900</v>
      </c>
      <c r="G3037" s="8" t="s">
        <v>2377</v>
      </c>
      <c r="H3037" s="8">
        <v>1</v>
      </c>
      <c r="I3037" s="8">
        <v>1</v>
      </c>
      <c r="J3037" s="8" t="s">
        <v>9521</v>
      </c>
      <c r="K3037" s="8" t="s">
        <v>600</v>
      </c>
      <c r="L3037" s="9">
        <v>46319</v>
      </c>
      <c r="M3037" s="8" t="s">
        <v>5864</v>
      </c>
      <c r="N3037" s="8" t="s">
        <v>5883</v>
      </c>
    </row>
    <row r="3038" spans="1:14" ht="68" customHeight="1">
      <c r="A3038" s="4" t="s">
        <v>9522</v>
      </c>
      <c r="B3038" s="4" t="s">
        <v>594</v>
      </c>
      <c r="C3038" s="4" t="s">
        <v>595</v>
      </c>
      <c r="D3038" s="4" t="s">
        <v>2969</v>
      </c>
      <c r="E3038" s="4" t="s">
        <v>41</v>
      </c>
      <c r="F3038" s="4" t="s">
        <v>5903</v>
      </c>
      <c r="G3038" s="4" t="s">
        <v>2377</v>
      </c>
      <c r="H3038" s="4">
        <v>1</v>
      </c>
      <c r="I3038" s="4">
        <v>1</v>
      </c>
      <c r="J3038" s="4" t="s">
        <v>9523</v>
      </c>
      <c r="K3038" s="4" t="s">
        <v>600</v>
      </c>
      <c r="L3038" s="6">
        <v>46319</v>
      </c>
      <c r="M3038" s="4" t="s">
        <v>5864</v>
      </c>
      <c r="N3038" s="4" t="s">
        <v>5883</v>
      </c>
    </row>
    <row r="3039" spans="1:14" ht="54" customHeight="1">
      <c r="A3039" s="8" t="s">
        <v>9524</v>
      </c>
      <c r="B3039" s="8" t="s">
        <v>594</v>
      </c>
      <c r="C3039" s="8" t="s">
        <v>595</v>
      </c>
      <c r="D3039" s="8" t="s">
        <v>2969</v>
      </c>
      <c r="E3039" s="8" t="s">
        <v>41</v>
      </c>
      <c r="F3039" s="8" t="s">
        <v>5906</v>
      </c>
      <c r="G3039" s="8" t="s">
        <v>2377</v>
      </c>
      <c r="H3039" s="8">
        <v>1</v>
      </c>
      <c r="I3039" s="8">
        <v>1</v>
      </c>
      <c r="J3039" s="8" t="s">
        <v>9525</v>
      </c>
      <c r="K3039" s="8" t="s">
        <v>600</v>
      </c>
      <c r="L3039" s="9">
        <v>46319</v>
      </c>
      <c r="M3039" s="8" t="s">
        <v>5864</v>
      </c>
      <c r="N3039" s="8" t="s">
        <v>5883</v>
      </c>
    </row>
    <row r="3040" spans="1:14" ht="54" customHeight="1">
      <c r="A3040" s="4" t="s">
        <v>9526</v>
      </c>
      <c r="B3040" s="4" t="s">
        <v>594</v>
      </c>
      <c r="C3040" s="4" t="s">
        <v>595</v>
      </c>
      <c r="D3040" s="4" t="s">
        <v>2969</v>
      </c>
      <c r="E3040" s="4" t="s">
        <v>41</v>
      </c>
      <c r="F3040" s="4" t="s">
        <v>5909</v>
      </c>
      <c r="G3040" s="4" t="s">
        <v>2377</v>
      </c>
      <c r="H3040" s="4">
        <v>1</v>
      </c>
      <c r="I3040" s="4">
        <v>1</v>
      </c>
      <c r="J3040" s="4" t="s">
        <v>9527</v>
      </c>
      <c r="K3040" s="4" t="s">
        <v>600</v>
      </c>
      <c r="L3040" s="6">
        <v>46319</v>
      </c>
      <c r="M3040" s="4" t="s">
        <v>5864</v>
      </c>
      <c r="N3040" s="4" t="s">
        <v>5883</v>
      </c>
    </row>
    <row r="3041" spans="1:14" ht="96" customHeight="1">
      <c r="A3041" s="8" t="s">
        <v>9528</v>
      </c>
      <c r="B3041" s="8" t="s">
        <v>603</v>
      </c>
      <c r="C3041" s="8" t="s">
        <v>604</v>
      </c>
      <c r="D3041" s="8" t="s">
        <v>5861</v>
      </c>
      <c r="E3041" s="8" t="s">
        <v>41</v>
      </c>
      <c r="F3041" s="8" t="s">
        <v>5994</v>
      </c>
      <c r="G3041" s="8" t="s">
        <v>2442</v>
      </c>
      <c r="H3041" s="8">
        <v>1</v>
      </c>
      <c r="I3041" s="8">
        <v>1</v>
      </c>
      <c r="J3041" s="8" t="s">
        <v>9529</v>
      </c>
      <c r="K3041" s="8" t="s">
        <v>608</v>
      </c>
      <c r="L3041" s="9">
        <v>46319</v>
      </c>
      <c r="M3041" s="8" t="s">
        <v>5864</v>
      </c>
      <c r="N3041" s="8" t="s">
        <v>5865</v>
      </c>
    </row>
    <row r="3042" spans="1:14" ht="40" customHeight="1">
      <c r="A3042" s="4" t="s">
        <v>9530</v>
      </c>
      <c r="B3042" s="4" t="s">
        <v>603</v>
      </c>
      <c r="C3042" s="4" t="s">
        <v>604</v>
      </c>
      <c r="D3042" s="4" t="s">
        <v>5867</v>
      </c>
      <c r="E3042" s="4" t="s">
        <v>41</v>
      </c>
      <c r="F3042" s="4" t="s">
        <v>5868</v>
      </c>
      <c r="G3042" s="4" t="s">
        <v>2442</v>
      </c>
      <c r="H3042" s="4">
        <v>1</v>
      </c>
      <c r="I3042" s="4">
        <v>1</v>
      </c>
      <c r="J3042" s="4" t="s">
        <v>9531</v>
      </c>
      <c r="K3042" s="4" t="s">
        <v>608</v>
      </c>
      <c r="L3042" s="6">
        <v>46319</v>
      </c>
      <c r="M3042" s="4" t="s">
        <v>5864</v>
      </c>
      <c r="N3042" s="4" t="s">
        <v>5870</v>
      </c>
    </row>
    <row r="3043" spans="1:14" ht="40" customHeight="1">
      <c r="A3043" s="8" t="s">
        <v>9532</v>
      </c>
      <c r="B3043" s="8" t="s">
        <v>603</v>
      </c>
      <c r="C3043" s="8" t="s">
        <v>604</v>
      </c>
      <c r="D3043" s="8" t="s">
        <v>5867</v>
      </c>
      <c r="E3043" s="8" t="s">
        <v>41</v>
      </c>
      <c r="F3043" s="8" t="s">
        <v>5872</v>
      </c>
      <c r="G3043" s="8" t="s">
        <v>2442</v>
      </c>
      <c r="H3043" s="8">
        <v>1</v>
      </c>
      <c r="I3043" s="8">
        <v>1</v>
      </c>
      <c r="J3043" s="8" t="s">
        <v>9533</v>
      </c>
      <c r="K3043" s="8" t="s">
        <v>608</v>
      </c>
      <c r="L3043" s="9">
        <v>46319</v>
      </c>
      <c r="M3043" s="8" t="s">
        <v>5864</v>
      </c>
      <c r="N3043" s="8" t="s">
        <v>5870</v>
      </c>
    </row>
    <row r="3044" spans="1:14" ht="40" customHeight="1">
      <c r="A3044" s="4" t="s">
        <v>9534</v>
      </c>
      <c r="B3044" s="4" t="s">
        <v>603</v>
      </c>
      <c r="C3044" s="4" t="s">
        <v>604</v>
      </c>
      <c r="D3044" s="4" t="s">
        <v>5867</v>
      </c>
      <c r="E3044" s="4" t="s">
        <v>9535</v>
      </c>
      <c r="F3044" s="4" t="s">
        <v>6391</v>
      </c>
      <c r="G3044" s="4" t="s">
        <v>2442</v>
      </c>
      <c r="H3044" s="4">
        <v>1</v>
      </c>
      <c r="I3044" s="4">
        <v>1</v>
      </c>
      <c r="J3044" s="4" t="s">
        <v>9535</v>
      </c>
      <c r="K3044" s="4" t="s">
        <v>608</v>
      </c>
      <c r="L3044" s="6">
        <v>46319</v>
      </c>
      <c r="M3044" s="4" t="s">
        <v>5864</v>
      </c>
      <c r="N3044" s="4" t="s">
        <v>5865</v>
      </c>
    </row>
    <row r="3045" spans="1:14" ht="40" customHeight="1">
      <c r="A3045" s="8" t="s">
        <v>9536</v>
      </c>
      <c r="B3045" s="8" t="s">
        <v>603</v>
      </c>
      <c r="C3045" s="8" t="s">
        <v>604</v>
      </c>
      <c r="D3045" s="8" t="s">
        <v>5867</v>
      </c>
      <c r="E3045" s="8" t="s">
        <v>9535</v>
      </c>
      <c r="F3045" s="8" t="s">
        <v>6765</v>
      </c>
      <c r="G3045" s="8" t="s">
        <v>2442</v>
      </c>
      <c r="H3045" s="8">
        <v>1</v>
      </c>
      <c r="I3045" s="8">
        <v>1</v>
      </c>
      <c r="J3045" s="8" t="s">
        <v>9537</v>
      </c>
      <c r="K3045" s="8" t="s">
        <v>608</v>
      </c>
      <c r="L3045" s="9">
        <v>46319</v>
      </c>
      <c r="M3045" s="8" t="s">
        <v>5864</v>
      </c>
      <c r="N3045" s="8" t="s">
        <v>5865</v>
      </c>
    </row>
    <row r="3046" spans="1:14" ht="40" customHeight="1">
      <c r="A3046" s="4" t="s">
        <v>9538</v>
      </c>
      <c r="B3046" s="4" t="s">
        <v>603</v>
      </c>
      <c r="C3046" s="4" t="s">
        <v>604</v>
      </c>
      <c r="D3046" s="4" t="s">
        <v>5867</v>
      </c>
      <c r="E3046" s="4" t="s">
        <v>9535</v>
      </c>
      <c r="F3046" s="4" t="s">
        <v>6394</v>
      </c>
      <c r="G3046" s="4" t="s">
        <v>2442</v>
      </c>
      <c r="H3046" s="4">
        <v>1</v>
      </c>
      <c r="I3046" s="4">
        <v>1</v>
      </c>
      <c r="J3046" s="4" t="s">
        <v>9539</v>
      </c>
      <c r="K3046" s="4" t="s">
        <v>608</v>
      </c>
      <c r="L3046" s="6">
        <v>46319</v>
      </c>
      <c r="M3046" s="4" t="s">
        <v>5864</v>
      </c>
      <c r="N3046" s="4" t="s">
        <v>5865</v>
      </c>
    </row>
    <row r="3047" spans="1:14" ht="40" customHeight="1">
      <c r="A3047" s="8" t="s">
        <v>9540</v>
      </c>
      <c r="B3047" s="8" t="s">
        <v>603</v>
      </c>
      <c r="C3047" s="8" t="s">
        <v>604</v>
      </c>
      <c r="D3047" s="8" t="s">
        <v>5867</v>
      </c>
      <c r="E3047" s="8" t="s">
        <v>9541</v>
      </c>
      <c r="F3047" s="8" t="s">
        <v>6774</v>
      </c>
      <c r="G3047" s="8" t="s">
        <v>2442</v>
      </c>
      <c r="H3047" s="8">
        <v>1</v>
      </c>
      <c r="I3047" s="8">
        <v>1</v>
      </c>
      <c r="J3047" s="8" t="s">
        <v>9541</v>
      </c>
      <c r="K3047" s="8" t="s">
        <v>608</v>
      </c>
      <c r="L3047" s="9">
        <v>46319</v>
      </c>
      <c r="M3047" s="8" t="s">
        <v>5864</v>
      </c>
      <c r="N3047" s="8" t="s">
        <v>5865</v>
      </c>
    </row>
    <row r="3048" spans="1:14" ht="40" customHeight="1">
      <c r="A3048" s="4" t="s">
        <v>9542</v>
      </c>
      <c r="B3048" s="4" t="s">
        <v>603</v>
      </c>
      <c r="C3048" s="4" t="s">
        <v>604</v>
      </c>
      <c r="D3048" s="4" t="s">
        <v>5867</v>
      </c>
      <c r="E3048" s="4" t="s">
        <v>9541</v>
      </c>
      <c r="F3048" s="4" t="s">
        <v>6021</v>
      </c>
      <c r="G3048" s="4" t="s">
        <v>2442</v>
      </c>
      <c r="H3048" s="4">
        <v>1</v>
      </c>
      <c r="I3048" s="4">
        <v>1</v>
      </c>
      <c r="J3048" s="4" t="s">
        <v>9543</v>
      </c>
      <c r="K3048" s="4" t="s">
        <v>608</v>
      </c>
      <c r="L3048" s="6">
        <v>46319</v>
      </c>
      <c r="M3048" s="4" t="s">
        <v>5864</v>
      </c>
      <c r="N3048" s="4" t="s">
        <v>5870</v>
      </c>
    </row>
    <row r="3049" spans="1:14" ht="40" customHeight="1">
      <c r="A3049" s="8" t="s">
        <v>9544</v>
      </c>
      <c r="B3049" s="8" t="s">
        <v>603</v>
      </c>
      <c r="C3049" s="8" t="s">
        <v>604</v>
      </c>
      <c r="D3049" s="8" t="s">
        <v>5867</v>
      </c>
      <c r="E3049" s="8" t="s">
        <v>9545</v>
      </c>
      <c r="F3049" s="8" t="s">
        <v>7449</v>
      </c>
      <c r="G3049" s="8" t="s">
        <v>2442</v>
      </c>
      <c r="H3049" s="8">
        <v>1</v>
      </c>
      <c r="I3049" s="8">
        <v>1</v>
      </c>
      <c r="J3049" s="8" t="s">
        <v>9545</v>
      </c>
      <c r="K3049" s="8" t="s">
        <v>608</v>
      </c>
      <c r="L3049" s="9">
        <v>46319</v>
      </c>
      <c r="M3049" s="8" t="s">
        <v>5864</v>
      </c>
      <c r="N3049" s="8" t="s">
        <v>5865</v>
      </c>
    </row>
    <row r="3050" spans="1:14" ht="40" customHeight="1">
      <c r="A3050" s="4" t="s">
        <v>9546</v>
      </c>
      <c r="B3050" s="4" t="s">
        <v>603</v>
      </c>
      <c r="C3050" s="4" t="s">
        <v>604</v>
      </c>
      <c r="D3050" s="4" t="s">
        <v>5867</v>
      </c>
      <c r="E3050" s="4" t="s">
        <v>9545</v>
      </c>
      <c r="F3050" s="4" t="s">
        <v>6680</v>
      </c>
      <c r="G3050" s="4" t="s">
        <v>2442</v>
      </c>
      <c r="H3050" s="4">
        <v>1</v>
      </c>
      <c r="I3050" s="4">
        <v>1</v>
      </c>
      <c r="J3050" s="4" t="s">
        <v>9547</v>
      </c>
      <c r="K3050" s="4" t="s">
        <v>608</v>
      </c>
      <c r="L3050" s="6">
        <v>46319</v>
      </c>
      <c r="M3050" s="4" t="s">
        <v>5864</v>
      </c>
      <c r="N3050" s="4" t="s">
        <v>5870</v>
      </c>
    </row>
    <row r="3051" spans="1:14" ht="40" customHeight="1">
      <c r="A3051" s="8" t="s">
        <v>9548</v>
      </c>
      <c r="B3051" s="8" t="s">
        <v>603</v>
      </c>
      <c r="C3051" s="8" t="s">
        <v>604</v>
      </c>
      <c r="D3051" s="8" t="s">
        <v>5867</v>
      </c>
      <c r="E3051" s="8" t="s">
        <v>9549</v>
      </c>
      <c r="F3051" s="8" t="s">
        <v>7455</v>
      </c>
      <c r="G3051" s="8" t="s">
        <v>2442</v>
      </c>
      <c r="H3051" s="8">
        <v>1</v>
      </c>
      <c r="I3051" s="8">
        <v>1</v>
      </c>
      <c r="J3051" s="8" t="s">
        <v>9549</v>
      </c>
      <c r="K3051" s="8" t="s">
        <v>608</v>
      </c>
      <c r="L3051" s="9">
        <v>46319</v>
      </c>
      <c r="M3051" s="8" t="s">
        <v>5864</v>
      </c>
      <c r="N3051" s="8" t="s">
        <v>5865</v>
      </c>
    </row>
    <row r="3052" spans="1:14" ht="40" customHeight="1">
      <c r="A3052" s="4" t="s">
        <v>9550</v>
      </c>
      <c r="B3052" s="4" t="s">
        <v>603</v>
      </c>
      <c r="C3052" s="4" t="s">
        <v>604</v>
      </c>
      <c r="D3052" s="4" t="s">
        <v>5867</v>
      </c>
      <c r="E3052" s="4" t="s">
        <v>9549</v>
      </c>
      <c r="F3052" s="4" t="s">
        <v>7459</v>
      </c>
      <c r="G3052" s="4" t="s">
        <v>2442</v>
      </c>
      <c r="H3052" s="4">
        <v>1</v>
      </c>
      <c r="I3052" s="4">
        <v>1</v>
      </c>
      <c r="J3052" s="4" t="s">
        <v>9551</v>
      </c>
      <c r="K3052" s="4" t="s">
        <v>608</v>
      </c>
      <c r="L3052" s="6">
        <v>46319</v>
      </c>
      <c r="M3052" s="4" t="s">
        <v>5864</v>
      </c>
      <c r="N3052" s="4" t="s">
        <v>5865</v>
      </c>
    </row>
    <row r="3053" spans="1:14" ht="40" customHeight="1">
      <c r="A3053" s="8" t="s">
        <v>9552</v>
      </c>
      <c r="B3053" s="8" t="s">
        <v>603</v>
      </c>
      <c r="C3053" s="8" t="s">
        <v>604</v>
      </c>
      <c r="D3053" s="8" t="s">
        <v>5867</v>
      </c>
      <c r="E3053" s="8" t="s">
        <v>9553</v>
      </c>
      <c r="F3053" s="8" t="s">
        <v>7461</v>
      </c>
      <c r="G3053" s="8" t="s">
        <v>2442</v>
      </c>
      <c r="H3053" s="8">
        <v>1</v>
      </c>
      <c r="I3053" s="8">
        <v>1</v>
      </c>
      <c r="J3053" s="8" t="s">
        <v>9553</v>
      </c>
      <c r="K3053" s="8" t="s">
        <v>608</v>
      </c>
      <c r="L3053" s="9">
        <v>46319</v>
      </c>
      <c r="M3053" s="8" t="s">
        <v>5864</v>
      </c>
      <c r="N3053" s="8" t="s">
        <v>5865</v>
      </c>
    </row>
    <row r="3054" spans="1:14" ht="40" customHeight="1">
      <c r="A3054" s="4" t="s">
        <v>9554</v>
      </c>
      <c r="B3054" s="4" t="s">
        <v>603</v>
      </c>
      <c r="C3054" s="4" t="s">
        <v>604</v>
      </c>
      <c r="D3054" s="4" t="s">
        <v>5867</v>
      </c>
      <c r="E3054" s="4" t="s">
        <v>9553</v>
      </c>
      <c r="F3054" s="4" t="s">
        <v>8217</v>
      </c>
      <c r="G3054" s="4" t="s">
        <v>2442</v>
      </c>
      <c r="H3054" s="4">
        <v>1</v>
      </c>
      <c r="I3054" s="4">
        <v>1</v>
      </c>
      <c r="J3054" s="4" t="s">
        <v>9555</v>
      </c>
      <c r="K3054" s="4" t="s">
        <v>608</v>
      </c>
      <c r="L3054" s="6">
        <v>46319</v>
      </c>
      <c r="M3054" s="4" t="s">
        <v>5864</v>
      </c>
      <c r="N3054" s="4" t="s">
        <v>5870</v>
      </c>
    </row>
    <row r="3055" spans="1:14" ht="40" customHeight="1">
      <c r="A3055" s="8" t="s">
        <v>9556</v>
      </c>
      <c r="B3055" s="8" t="s">
        <v>603</v>
      </c>
      <c r="C3055" s="8" t="s">
        <v>604</v>
      </c>
      <c r="D3055" s="8" t="s">
        <v>5867</v>
      </c>
      <c r="E3055" s="8" t="s">
        <v>9553</v>
      </c>
      <c r="F3055" s="8" t="s">
        <v>8220</v>
      </c>
      <c r="G3055" s="8" t="s">
        <v>2442</v>
      </c>
      <c r="H3055" s="8">
        <v>1</v>
      </c>
      <c r="I3055" s="8">
        <v>1</v>
      </c>
      <c r="J3055" s="8" t="s">
        <v>9557</v>
      </c>
      <c r="K3055" s="8" t="s">
        <v>608</v>
      </c>
      <c r="L3055" s="9">
        <v>46319</v>
      </c>
      <c r="M3055" s="8" t="s">
        <v>5864</v>
      </c>
      <c r="N3055" s="8" t="s">
        <v>5870</v>
      </c>
    </row>
    <row r="3056" spans="1:14" ht="40" customHeight="1">
      <c r="A3056" s="4" t="s">
        <v>9558</v>
      </c>
      <c r="B3056" s="4" t="s">
        <v>603</v>
      </c>
      <c r="C3056" s="4" t="s">
        <v>604</v>
      </c>
      <c r="D3056" s="4" t="s">
        <v>5867</v>
      </c>
      <c r="E3056" s="4" t="s">
        <v>9553</v>
      </c>
      <c r="F3056" s="4" t="s">
        <v>8223</v>
      </c>
      <c r="G3056" s="4" t="s">
        <v>2442</v>
      </c>
      <c r="H3056" s="4">
        <v>1</v>
      </c>
      <c r="I3056" s="4">
        <v>1</v>
      </c>
      <c r="J3056" s="4" t="s">
        <v>9559</v>
      </c>
      <c r="K3056" s="4" t="s">
        <v>608</v>
      </c>
      <c r="L3056" s="6">
        <v>46319</v>
      </c>
      <c r="M3056" s="4" t="s">
        <v>5864</v>
      </c>
      <c r="N3056" s="4" t="s">
        <v>5870</v>
      </c>
    </row>
    <row r="3057" spans="1:14" ht="40" customHeight="1">
      <c r="A3057" s="8" t="s">
        <v>9560</v>
      </c>
      <c r="B3057" s="8" t="s">
        <v>603</v>
      </c>
      <c r="C3057" s="8" t="s">
        <v>604</v>
      </c>
      <c r="D3057" s="8" t="s">
        <v>5867</v>
      </c>
      <c r="E3057" s="8" t="s">
        <v>9561</v>
      </c>
      <c r="F3057" s="8" t="s">
        <v>7467</v>
      </c>
      <c r="G3057" s="8" t="s">
        <v>2442</v>
      </c>
      <c r="H3057" s="8">
        <v>1</v>
      </c>
      <c r="I3057" s="8">
        <v>1</v>
      </c>
      <c r="J3057" s="8" t="s">
        <v>9561</v>
      </c>
      <c r="K3057" s="8" t="s">
        <v>608</v>
      </c>
      <c r="L3057" s="9">
        <v>46319</v>
      </c>
      <c r="M3057" s="8" t="s">
        <v>5864</v>
      </c>
      <c r="N3057" s="8" t="s">
        <v>5865</v>
      </c>
    </row>
    <row r="3058" spans="1:14" ht="40" customHeight="1">
      <c r="A3058" s="4" t="s">
        <v>9562</v>
      </c>
      <c r="B3058" s="4" t="s">
        <v>603</v>
      </c>
      <c r="C3058" s="4" t="s">
        <v>604</v>
      </c>
      <c r="D3058" s="4" t="s">
        <v>5867</v>
      </c>
      <c r="E3058" s="4" t="s">
        <v>9561</v>
      </c>
      <c r="F3058" s="4" t="s">
        <v>8229</v>
      </c>
      <c r="G3058" s="4" t="s">
        <v>2442</v>
      </c>
      <c r="H3058" s="4">
        <v>1</v>
      </c>
      <c r="I3058" s="4">
        <v>1</v>
      </c>
      <c r="J3058" s="4" t="s">
        <v>9563</v>
      </c>
      <c r="K3058" s="4" t="s">
        <v>608</v>
      </c>
      <c r="L3058" s="6">
        <v>46319</v>
      </c>
      <c r="M3058" s="4" t="s">
        <v>5864</v>
      </c>
      <c r="N3058" s="4" t="s">
        <v>5870</v>
      </c>
    </row>
    <row r="3059" spans="1:14" ht="40" customHeight="1">
      <c r="A3059" s="8" t="s">
        <v>9564</v>
      </c>
      <c r="B3059" s="8" t="s">
        <v>603</v>
      </c>
      <c r="C3059" s="8" t="s">
        <v>604</v>
      </c>
      <c r="D3059" s="8" t="s">
        <v>5867</v>
      </c>
      <c r="E3059" s="8" t="s">
        <v>9561</v>
      </c>
      <c r="F3059" s="8" t="s">
        <v>9565</v>
      </c>
      <c r="G3059" s="8" t="s">
        <v>2442</v>
      </c>
      <c r="H3059" s="8">
        <v>1</v>
      </c>
      <c r="I3059" s="8">
        <v>1</v>
      </c>
      <c r="J3059" s="8" t="s">
        <v>9566</v>
      </c>
      <c r="K3059" s="8" t="s">
        <v>608</v>
      </c>
      <c r="L3059" s="9">
        <v>46319</v>
      </c>
      <c r="M3059" s="8" t="s">
        <v>5864</v>
      </c>
      <c r="N3059" s="8" t="s">
        <v>5870</v>
      </c>
    </row>
    <row r="3060" spans="1:14" ht="40" customHeight="1">
      <c r="A3060" s="4" t="s">
        <v>9567</v>
      </c>
      <c r="B3060" s="4" t="s">
        <v>603</v>
      </c>
      <c r="C3060" s="4" t="s">
        <v>604</v>
      </c>
      <c r="D3060" s="4" t="s">
        <v>5867</v>
      </c>
      <c r="E3060" s="4" t="s">
        <v>9561</v>
      </c>
      <c r="F3060" s="4" t="s">
        <v>9568</v>
      </c>
      <c r="G3060" s="4" t="s">
        <v>2442</v>
      </c>
      <c r="H3060" s="4">
        <v>1</v>
      </c>
      <c r="I3060" s="4">
        <v>1</v>
      </c>
      <c r="J3060" s="4" t="s">
        <v>9569</v>
      </c>
      <c r="K3060" s="4" t="s">
        <v>608</v>
      </c>
      <c r="L3060" s="6">
        <v>46319</v>
      </c>
      <c r="M3060" s="4" t="s">
        <v>5864</v>
      </c>
      <c r="N3060" s="4" t="s">
        <v>5870</v>
      </c>
    </row>
    <row r="3061" spans="1:14" ht="40" customHeight="1">
      <c r="A3061" s="8" t="s">
        <v>9570</v>
      </c>
      <c r="B3061" s="8" t="s">
        <v>603</v>
      </c>
      <c r="C3061" s="8" t="s">
        <v>604</v>
      </c>
      <c r="D3061" s="8" t="s">
        <v>5867</v>
      </c>
      <c r="E3061" s="8" t="s">
        <v>9571</v>
      </c>
      <c r="F3061" s="8" t="s">
        <v>7473</v>
      </c>
      <c r="G3061" s="8" t="s">
        <v>2442</v>
      </c>
      <c r="H3061" s="8">
        <v>1</v>
      </c>
      <c r="I3061" s="8">
        <v>1</v>
      </c>
      <c r="J3061" s="8" t="s">
        <v>9571</v>
      </c>
      <c r="K3061" s="8" t="s">
        <v>608</v>
      </c>
      <c r="L3061" s="9">
        <v>46319</v>
      </c>
      <c r="M3061" s="8" t="s">
        <v>5864</v>
      </c>
      <c r="N3061" s="8" t="s">
        <v>5865</v>
      </c>
    </row>
    <row r="3062" spans="1:14" ht="40" customHeight="1">
      <c r="A3062" s="4" t="s">
        <v>9572</v>
      </c>
      <c r="B3062" s="4" t="s">
        <v>603</v>
      </c>
      <c r="C3062" s="4" t="s">
        <v>604</v>
      </c>
      <c r="D3062" s="4" t="s">
        <v>5867</v>
      </c>
      <c r="E3062" s="4" t="s">
        <v>9571</v>
      </c>
      <c r="F3062" s="4" t="s">
        <v>9573</v>
      </c>
      <c r="G3062" s="4" t="s">
        <v>2442</v>
      </c>
      <c r="H3062" s="4">
        <v>1</v>
      </c>
      <c r="I3062" s="4">
        <v>1</v>
      </c>
      <c r="J3062" s="4" t="s">
        <v>9574</v>
      </c>
      <c r="K3062" s="4" t="s">
        <v>608</v>
      </c>
      <c r="L3062" s="6">
        <v>46319</v>
      </c>
      <c r="M3062" s="4" t="s">
        <v>5864</v>
      </c>
      <c r="N3062" s="4" t="s">
        <v>5870</v>
      </c>
    </row>
    <row r="3063" spans="1:14" ht="40" customHeight="1">
      <c r="A3063" s="8" t="s">
        <v>9575</v>
      </c>
      <c r="B3063" s="8" t="s">
        <v>603</v>
      </c>
      <c r="C3063" s="8" t="s">
        <v>604</v>
      </c>
      <c r="D3063" s="8" t="s">
        <v>5867</v>
      </c>
      <c r="E3063" s="8" t="s">
        <v>9571</v>
      </c>
      <c r="F3063" s="8" t="s">
        <v>9576</v>
      </c>
      <c r="G3063" s="8" t="s">
        <v>2442</v>
      </c>
      <c r="H3063" s="8">
        <v>1</v>
      </c>
      <c r="I3063" s="8">
        <v>1</v>
      </c>
      <c r="J3063" s="8" t="s">
        <v>9577</v>
      </c>
      <c r="K3063" s="8" t="s">
        <v>608</v>
      </c>
      <c r="L3063" s="9">
        <v>46319</v>
      </c>
      <c r="M3063" s="8" t="s">
        <v>5864</v>
      </c>
      <c r="N3063" s="8" t="s">
        <v>5870</v>
      </c>
    </row>
    <row r="3064" spans="1:14" ht="40" customHeight="1">
      <c r="A3064" s="4" t="s">
        <v>9578</v>
      </c>
      <c r="B3064" s="4" t="s">
        <v>603</v>
      </c>
      <c r="C3064" s="4" t="s">
        <v>604</v>
      </c>
      <c r="D3064" s="4" t="s">
        <v>5867</v>
      </c>
      <c r="E3064" s="4" t="s">
        <v>9579</v>
      </c>
      <c r="F3064" s="4" t="s">
        <v>8357</v>
      </c>
      <c r="G3064" s="4" t="s">
        <v>2442</v>
      </c>
      <c r="H3064" s="4">
        <v>1</v>
      </c>
      <c r="I3064" s="4">
        <v>1</v>
      </c>
      <c r="J3064" s="4" t="s">
        <v>9579</v>
      </c>
      <c r="K3064" s="4" t="s">
        <v>608</v>
      </c>
      <c r="L3064" s="6">
        <v>46319</v>
      </c>
      <c r="M3064" s="4" t="s">
        <v>5864</v>
      </c>
      <c r="N3064" s="4" t="s">
        <v>5865</v>
      </c>
    </row>
    <row r="3065" spans="1:14" ht="40" customHeight="1">
      <c r="A3065" s="8" t="s">
        <v>9580</v>
      </c>
      <c r="B3065" s="8" t="s">
        <v>603</v>
      </c>
      <c r="C3065" s="8" t="s">
        <v>604</v>
      </c>
      <c r="D3065" s="8" t="s">
        <v>5867</v>
      </c>
      <c r="E3065" s="8" t="s">
        <v>9579</v>
      </c>
      <c r="F3065" s="8" t="s">
        <v>7479</v>
      </c>
      <c r="G3065" s="8" t="s">
        <v>2442</v>
      </c>
      <c r="H3065" s="8">
        <v>1</v>
      </c>
      <c r="I3065" s="8">
        <v>1</v>
      </c>
      <c r="J3065" s="8" t="s">
        <v>9581</v>
      </c>
      <c r="K3065" s="8" t="s">
        <v>608</v>
      </c>
      <c r="L3065" s="9">
        <v>46319</v>
      </c>
      <c r="M3065" s="8" t="s">
        <v>5864</v>
      </c>
      <c r="N3065" s="8" t="s">
        <v>5870</v>
      </c>
    </row>
    <row r="3066" spans="1:14" ht="40" customHeight="1">
      <c r="A3066" s="4" t="s">
        <v>9582</v>
      </c>
      <c r="B3066" s="4" t="s">
        <v>603</v>
      </c>
      <c r="C3066" s="4" t="s">
        <v>604</v>
      </c>
      <c r="D3066" s="4" t="s">
        <v>5867</v>
      </c>
      <c r="E3066" s="4" t="s">
        <v>9579</v>
      </c>
      <c r="F3066" s="4" t="s">
        <v>7482</v>
      </c>
      <c r="G3066" s="4" t="s">
        <v>2442</v>
      </c>
      <c r="H3066" s="4">
        <v>1</v>
      </c>
      <c r="I3066" s="4">
        <v>1</v>
      </c>
      <c r="J3066" s="4" t="s">
        <v>9583</v>
      </c>
      <c r="K3066" s="4" t="s">
        <v>608</v>
      </c>
      <c r="L3066" s="6">
        <v>46319</v>
      </c>
      <c r="M3066" s="4" t="s">
        <v>5864</v>
      </c>
      <c r="N3066" s="4" t="s">
        <v>5870</v>
      </c>
    </row>
    <row r="3067" spans="1:14" ht="40" customHeight="1">
      <c r="A3067" s="8" t="s">
        <v>9584</v>
      </c>
      <c r="B3067" s="8" t="s">
        <v>603</v>
      </c>
      <c r="C3067" s="8" t="s">
        <v>604</v>
      </c>
      <c r="D3067" s="8" t="s">
        <v>5867</v>
      </c>
      <c r="E3067" s="8" t="s">
        <v>9579</v>
      </c>
      <c r="F3067" s="8" t="s">
        <v>9585</v>
      </c>
      <c r="G3067" s="8" t="s">
        <v>2442</v>
      </c>
      <c r="H3067" s="8">
        <v>1</v>
      </c>
      <c r="I3067" s="8">
        <v>1</v>
      </c>
      <c r="J3067" s="8" t="s">
        <v>9586</v>
      </c>
      <c r="K3067" s="8" t="s">
        <v>608</v>
      </c>
      <c r="L3067" s="9">
        <v>46319</v>
      </c>
      <c r="M3067" s="8" t="s">
        <v>5864</v>
      </c>
      <c r="N3067" s="8" t="s">
        <v>5870</v>
      </c>
    </row>
    <row r="3068" spans="1:14" ht="40" customHeight="1">
      <c r="A3068" s="4" t="s">
        <v>9587</v>
      </c>
      <c r="B3068" s="4" t="s">
        <v>603</v>
      </c>
      <c r="C3068" s="4" t="s">
        <v>604</v>
      </c>
      <c r="D3068" s="4" t="s">
        <v>5867</v>
      </c>
      <c r="E3068" s="4" t="s">
        <v>9588</v>
      </c>
      <c r="F3068" s="4" t="s">
        <v>8839</v>
      </c>
      <c r="G3068" s="4" t="s">
        <v>2442</v>
      </c>
      <c r="H3068" s="4">
        <v>1</v>
      </c>
      <c r="I3068" s="4">
        <v>1</v>
      </c>
      <c r="J3068" s="4" t="s">
        <v>9588</v>
      </c>
      <c r="K3068" s="4" t="s">
        <v>608</v>
      </c>
      <c r="L3068" s="6">
        <v>46319</v>
      </c>
      <c r="M3068" s="4" t="s">
        <v>5864</v>
      </c>
      <c r="N3068" s="4" t="s">
        <v>5865</v>
      </c>
    </row>
    <row r="3069" spans="1:14" ht="96" customHeight="1">
      <c r="A3069" s="8" t="s">
        <v>9589</v>
      </c>
      <c r="B3069" s="8" t="s">
        <v>603</v>
      </c>
      <c r="C3069" s="8" t="s">
        <v>604</v>
      </c>
      <c r="D3069" s="8" t="s">
        <v>5867</v>
      </c>
      <c r="E3069" s="8" t="s">
        <v>9588</v>
      </c>
      <c r="F3069" s="8" t="s">
        <v>7495</v>
      </c>
      <c r="G3069" s="8" t="s">
        <v>2442</v>
      </c>
      <c r="H3069" s="8">
        <v>1</v>
      </c>
      <c r="I3069" s="8">
        <v>1</v>
      </c>
      <c r="J3069" s="8" t="s">
        <v>9590</v>
      </c>
      <c r="K3069" s="8" t="s">
        <v>608</v>
      </c>
      <c r="L3069" s="9">
        <v>46319</v>
      </c>
      <c r="M3069" s="8" t="s">
        <v>5864</v>
      </c>
      <c r="N3069" s="8" t="s">
        <v>5865</v>
      </c>
    </row>
    <row r="3070" spans="1:14" ht="40" customHeight="1">
      <c r="A3070" s="4" t="s">
        <v>9591</v>
      </c>
      <c r="B3070" s="4" t="s">
        <v>603</v>
      </c>
      <c r="C3070" s="4" t="s">
        <v>604</v>
      </c>
      <c r="D3070" s="4" t="s">
        <v>637</v>
      </c>
      <c r="E3070" s="4" t="s">
        <v>41</v>
      </c>
      <c r="F3070" s="4" t="s">
        <v>920</v>
      </c>
      <c r="G3070" s="4" t="s">
        <v>2442</v>
      </c>
      <c r="H3070" s="4">
        <v>1</v>
      </c>
      <c r="I3070" s="4">
        <v>1</v>
      </c>
      <c r="J3070" s="4" t="s">
        <v>2440</v>
      </c>
      <c r="K3070" s="4" t="s">
        <v>608</v>
      </c>
      <c r="L3070" s="6">
        <v>46319</v>
      </c>
      <c r="M3070" s="4" t="s">
        <v>5864</v>
      </c>
      <c r="N3070" s="4" t="s">
        <v>5865</v>
      </c>
    </row>
    <row r="3071" spans="1:14" ht="40" customHeight="1">
      <c r="A3071" s="8" t="s">
        <v>9592</v>
      </c>
      <c r="B3071" s="8" t="s">
        <v>603</v>
      </c>
      <c r="C3071" s="8" t="s">
        <v>604</v>
      </c>
      <c r="D3071" s="8" t="s">
        <v>637</v>
      </c>
      <c r="E3071" s="8" t="s">
        <v>2444</v>
      </c>
      <c r="F3071" s="8" t="s">
        <v>1087</v>
      </c>
      <c r="G3071" s="8" t="s">
        <v>2442</v>
      </c>
      <c r="H3071" s="8">
        <v>1</v>
      </c>
      <c r="I3071" s="8">
        <v>1</v>
      </c>
      <c r="J3071" s="8" t="s">
        <v>2444</v>
      </c>
      <c r="K3071" s="8" t="s">
        <v>608</v>
      </c>
      <c r="L3071" s="9">
        <v>46319</v>
      </c>
      <c r="M3071" s="8" t="s">
        <v>5864</v>
      </c>
      <c r="N3071" s="8" t="s">
        <v>5865</v>
      </c>
    </row>
    <row r="3072" spans="1:14" ht="40" customHeight="1">
      <c r="A3072" s="4" t="s">
        <v>9593</v>
      </c>
      <c r="B3072" s="4" t="s">
        <v>603</v>
      </c>
      <c r="C3072" s="4" t="s">
        <v>604</v>
      </c>
      <c r="D3072" s="4" t="s">
        <v>637</v>
      </c>
      <c r="E3072" s="4" t="s">
        <v>2444</v>
      </c>
      <c r="F3072" s="4" t="s">
        <v>1091</v>
      </c>
      <c r="G3072" s="4" t="s">
        <v>2442</v>
      </c>
      <c r="H3072" s="4">
        <v>1</v>
      </c>
      <c r="I3072" s="4">
        <v>1</v>
      </c>
      <c r="J3072" s="4" t="s">
        <v>2447</v>
      </c>
      <c r="K3072" s="4" t="s">
        <v>608</v>
      </c>
      <c r="L3072" s="6">
        <v>46319</v>
      </c>
      <c r="M3072" s="4" t="s">
        <v>5864</v>
      </c>
      <c r="N3072" s="4" t="s">
        <v>5865</v>
      </c>
    </row>
    <row r="3073" spans="1:14" ht="40" customHeight="1">
      <c r="A3073" s="8" t="s">
        <v>9594</v>
      </c>
      <c r="B3073" s="8" t="s">
        <v>603</v>
      </c>
      <c r="C3073" s="8" t="s">
        <v>604</v>
      </c>
      <c r="D3073" s="8" t="s">
        <v>637</v>
      </c>
      <c r="E3073" s="8" t="s">
        <v>2444</v>
      </c>
      <c r="F3073" s="8" t="s">
        <v>1095</v>
      </c>
      <c r="G3073" s="8" t="s">
        <v>2442</v>
      </c>
      <c r="H3073" s="8">
        <v>1</v>
      </c>
      <c r="I3073" s="8">
        <v>1</v>
      </c>
      <c r="J3073" s="8" t="s">
        <v>2450</v>
      </c>
      <c r="K3073" s="8" t="s">
        <v>608</v>
      </c>
      <c r="L3073" s="9">
        <v>46319</v>
      </c>
      <c r="M3073" s="8" t="s">
        <v>5864</v>
      </c>
      <c r="N3073" s="8" t="s">
        <v>5865</v>
      </c>
    </row>
    <row r="3074" spans="1:14" ht="40" customHeight="1">
      <c r="A3074" s="4" t="s">
        <v>9595</v>
      </c>
      <c r="B3074" s="4" t="s">
        <v>603</v>
      </c>
      <c r="C3074" s="4" t="s">
        <v>604</v>
      </c>
      <c r="D3074" s="4" t="s">
        <v>637</v>
      </c>
      <c r="E3074" s="4" t="s">
        <v>2453</v>
      </c>
      <c r="F3074" s="4" t="s">
        <v>1099</v>
      </c>
      <c r="G3074" s="4" t="s">
        <v>2442</v>
      </c>
      <c r="H3074" s="4">
        <v>1</v>
      </c>
      <c r="I3074" s="4">
        <v>1</v>
      </c>
      <c r="J3074" s="4" t="s">
        <v>2453</v>
      </c>
      <c r="K3074" s="4" t="s">
        <v>608</v>
      </c>
      <c r="L3074" s="6">
        <v>46319</v>
      </c>
      <c r="M3074" s="4" t="s">
        <v>5864</v>
      </c>
      <c r="N3074" s="4" t="s">
        <v>5865</v>
      </c>
    </row>
    <row r="3075" spans="1:14" ht="40" customHeight="1">
      <c r="A3075" s="8" t="s">
        <v>9596</v>
      </c>
      <c r="B3075" s="8" t="s">
        <v>603</v>
      </c>
      <c r="C3075" s="8" t="s">
        <v>604</v>
      </c>
      <c r="D3075" s="8" t="s">
        <v>637</v>
      </c>
      <c r="E3075" s="8" t="s">
        <v>2453</v>
      </c>
      <c r="F3075" s="8" t="s">
        <v>1103</v>
      </c>
      <c r="G3075" s="8" t="s">
        <v>2442</v>
      </c>
      <c r="H3075" s="8">
        <v>1</v>
      </c>
      <c r="I3075" s="8">
        <v>1</v>
      </c>
      <c r="J3075" s="8" t="s">
        <v>2456</v>
      </c>
      <c r="K3075" s="8" t="s">
        <v>608</v>
      </c>
      <c r="L3075" s="9">
        <v>46319</v>
      </c>
      <c r="M3075" s="8" t="s">
        <v>5864</v>
      </c>
      <c r="N3075" s="8" t="s">
        <v>5865</v>
      </c>
    </row>
    <row r="3076" spans="1:14" ht="40" customHeight="1">
      <c r="A3076" s="4" t="s">
        <v>9597</v>
      </c>
      <c r="B3076" s="4" t="s">
        <v>603</v>
      </c>
      <c r="C3076" s="4" t="s">
        <v>604</v>
      </c>
      <c r="D3076" s="4" t="s">
        <v>637</v>
      </c>
      <c r="E3076" s="4" t="s">
        <v>2453</v>
      </c>
      <c r="F3076" s="4" t="s">
        <v>1107</v>
      </c>
      <c r="G3076" s="4" t="s">
        <v>2442</v>
      </c>
      <c r="H3076" s="4">
        <v>1</v>
      </c>
      <c r="I3076" s="4">
        <v>1</v>
      </c>
      <c r="J3076" s="4" t="s">
        <v>2459</v>
      </c>
      <c r="K3076" s="4" t="s">
        <v>608</v>
      </c>
      <c r="L3076" s="6">
        <v>46319</v>
      </c>
      <c r="M3076" s="4" t="s">
        <v>5864</v>
      </c>
      <c r="N3076" s="4" t="s">
        <v>5865</v>
      </c>
    </row>
    <row r="3077" spans="1:14" ht="40" customHeight="1">
      <c r="A3077" s="8" t="s">
        <v>9598</v>
      </c>
      <c r="B3077" s="8" t="s">
        <v>603</v>
      </c>
      <c r="C3077" s="8" t="s">
        <v>604</v>
      </c>
      <c r="D3077" s="8" t="s">
        <v>637</v>
      </c>
      <c r="E3077" s="8" t="s">
        <v>2453</v>
      </c>
      <c r="F3077" s="8" t="s">
        <v>1111</v>
      </c>
      <c r="G3077" s="8" t="s">
        <v>2442</v>
      </c>
      <c r="H3077" s="8">
        <v>1</v>
      </c>
      <c r="I3077" s="8">
        <v>1</v>
      </c>
      <c r="J3077" s="8" t="s">
        <v>2462</v>
      </c>
      <c r="K3077" s="8" t="s">
        <v>608</v>
      </c>
      <c r="L3077" s="9">
        <v>46319</v>
      </c>
      <c r="M3077" s="8" t="s">
        <v>5864</v>
      </c>
      <c r="N3077" s="8" t="s">
        <v>5865</v>
      </c>
    </row>
    <row r="3078" spans="1:14" ht="40" customHeight="1">
      <c r="A3078" s="4" t="s">
        <v>9599</v>
      </c>
      <c r="B3078" s="4" t="s">
        <v>603</v>
      </c>
      <c r="C3078" s="4" t="s">
        <v>604</v>
      </c>
      <c r="D3078" s="4" t="s">
        <v>637</v>
      </c>
      <c r="E3078" s="4" t="s">
        <v>2453</v>
      </c>
      <c r="F3078" s="4" t="s">
        <v>1115</v>
      </c>
      <c r="G3078" s="4" t="s">
        <v>2442</v>
      </c>
      <c r="H3078" s="4">
        <v>1</v>
      </c>
      <c r="I3078" s="4">
        <v>1</v>
      </c>
      <c r="J3078" s="4" t="s">
        <v>2465</v>
      </c>
      <c r="K3078" s="4" t="s">
        <v>608</v>
      </c>
      <c r="L3078" s="6">
        <v>46319</v>
      </c>
      <c r="M3078" s="4" t="s">
        <v>5864</v>
      </c>
      <c r="N3078" s="4" t="s">
        <v>5865</v>
      </c>
    </row>
    <row r="3079" spans="1:14" ht="40" customHeight="1">
      <c r="A3079" s="8" t="s">
        <v>9600</v>
      </c>
      <c r="B3079" s="8" t="s">
        <v>603</v>
      </c>
      <c r="C3079" s="8" t="s">
        <v>604</v>
      </c>
      <c r="D3079" s="8" t="s">
        <v>637</v>
      </c>
      <c r="E3079" s="8" t="s">
        <v>2453</v>
      </c>
      <c r="F3079" s="8" t="s">
        <v>1119</v>
      </c>
      <c r="G3079" s="8" t="s">
        <v>2442</v>
      </c>
      <c r="H3079" s="8">
        <v>1</v>
      </c>
      <c r="I3079" s="8">
        <v>1</v>
      </c>
      <c r="J3079" s="8" t="s">
        <v>2468</v>
      </c>
      <c r="K3079" s="8" t="s">
        <v>608</v>
      </c>
      <c r="L3079" s="9">
        <v>46319</v>
      </c>
      <c r="M3079" s="8" t="s">
        <v>5864</v>
      </c>
      <c r="N3079" s="8" t="s">
        <v>5865</v>
      </c>
    </row>
    <row r="3080" spans="1:14" ht="40" customHeight="1">
      <c r="A3080" s="4" t="s">
        <v>9601</v>
      </c>
      <c r="B3080" s="4" t="s">
        <v>603</v>
      </c>
      <c r="C3080" s="4" t="s">
        <v>604</v>
      </c>
      <c r="D3080" s="4" t="s">
        <v>637</v>
      </c>
      <c r="E3080" s="4" t="s">
        <v>2453</v>
      </c>
      <c r="F3080" s="4" t="s">
        <v>1123</v>
      </c>
      <c r="G3080" s="4" t="s">
        <v>2442</v>
      </c>
      <c r="H3080" s="4">
        <v>1</v>
      </c>
      <c r="I3080" s="4">
        <v>1</v>
      </c>
      <c r="J3080" s="4" t="s">
        <v>2471</v>
      </c>
      <c r="K3080" s="4" t="s">
        <v>608</v>
      </c>
      <c r="L3080" s="6">
        <v>46319</v>
      </c>
      <c r="M3080" s="4" t="s">
        <v>5864</v>
      </c>
      <c r="N3080" s="4" t="s">
        <v>5865</v>
      </c>
    </row>
    <row r="3081" spans="1:14" ht="40" customHeight="1">
      <c r="A3081" s="8" t="s">
        <v>9602</v>
      </c>
      <c r="B3081" s="8" t="s">
        <v>603</v>
      </c>
      <c r="C3081" s="8" t="s">
        <v>604</v>
      </c>
      <c r="D3081" s="8" t="s">
        <v>637</v>
      </c>
      <c r="E3081" s="8" t="s">
        <v>2474</v>
      </c>
      <c r="F3081" s="8" t="s">
        <v>1127</v>
      </c>
      <c r="G3081" s="8" t="s">
        <v>2442</v>
      </c>
      <c r="H3081" s="8">
        <v>1</v>
      </c>
      <c r="I3081" s="8">
        <v>1</v>
      </c>
      <c r="J3081" s="8" t="s">
        <v>2474</v>
      </c>
      <c r="K3081" s="8" t="s">
        <v>608</v>
      </c>
      <c r="L3081" s="9">
        <v>46319</v>
      </c>
      <c r="M3081" s="8" t="s">
        <v>5864</v>
      </c>
      <c r="N3081" s="8" t="s">
        <v>5865</v>
      </c>
    </row>
    <row r="3082" spans="1:14" ht="40" customHeight="1">
      <c r="A3082" s="4" t="s">
        <v>9603</v>
      </c>
      <c r="B3082" s="4" t="s">
        <v>603</v>
      </c>
      <c r="C3082" s="4" t="s">
        <v>604</v>
      </c>
      <c r="D3082" s="4" t="s">
        <v>637</v>
      </c>
      <c r="E3082" s="4" t="s">
        <v>2474</v>
      </c>
      <c r="F3082" s="4" t="s">
        <v>2479</v>
      </c>
      <c r="G3082" s="4" t="s">
        <v>2442</v>
      </c>
      <c r="H3082" s="4">
        <v>1</v>
      </c>
      <c r="I3082" s="4">
        <v>1</v>
      </c>
      <c r="J3082" s="4" t="s">
        <v>2477</v>
      </c>
      <c r="K3082" s="4" t="s">
        <v>608</v>
      </c>
      <c r="L3082" s="6">
        <v>46319</v>
      </c>
      <c r="M3082" s="4" t="s">
        <v>5864</v>
      </c>
      <c r="N3082" s="4" t="s">
        <v>5870</v>
      </c>
    </row>
    <row r="3083" spans="1:14" ht="40" customHeight="1">
      <c r="A3083" s="8" t="s">
        <v>9604</v>
      </c>
      <c r="B3083" s="8" t="s">
        <v>603</v>
      </c>
      <c r="C3083" s="8" t="s">
        <v>604</v>
      </c>
      <c r="D3083" s="8" t="s">
        <v>637</v>
      </c>
      <c r="E3083" s="8" t="s">
        <v>2481</v>
      </c>
      <c r="F3083" s="8" t="s">
        <v>1679</v>
      </c>
      <c r="G3083" s="8" t="s">
        <v>2442</v>
      </c>
      <c r="H3083" s="8">
        <v>1</v>
      </c>
      <c r="I3083" s="8">
        <v>1</v>
      </c>
      <c r="J3083" s="8" t="s">
        <v>2481</v>
      </c>
      <c r="K3083" s="8" t="s">
        <v>608</v>
      </c>
      <c r="L3083" s="9">
        <v>46319</v>
      </c>
      <c r="M3083" s="8" t="s">
        <v>5864</v>
      </c>
      <c r="N3083" s="8" t="s">
        <v>5865</v>
      </c>
    </row>
    <row r="3084" spans="1:14" ht="40" customHeight="1">
      <c r="A3084" s="4" t="s">
        <v>9605</v>
      </c>
      <c r="B3084" s="4" t="s">
        <v>603</v>
      </c>
      <c r="C3084" s="4" t="s">
        <v>604</v>
      </c>
      <c r="D3084" s="4" t="s">
        <v>637</v>
      </c>
      <c r="E3084" s="4" t="s">
        <v>2481</v>
      </c>
      <c r="F3084" s="4" t="s">
        <v>1683</v>
      </c>
      <c r="G3084" s="4" t="s">
        <v>2442</v>
      </c>
      <c r="H3084" s="4">
        <v>1</v>
      </c>
      <c r="I3084" s="4">
        <v>1</v>
      </c>
      <c r="J3084" s="4" t="s">
        <v>2484</v>
      </c>
      <c r="K3084" s="4" t="s">
        <v>608</v>
      </c>
      <c r="L3084" s="6">
        <v>46319</v>
      </c>
      <c r="M3084" s="4" t="s">
        <v>5864</v>
      </c>
      <c r="N3084" s="4" t="s">
        <v>5865</v>
      </c>
    </row>
    <row r="3085" spans="1:14" ht="40" customHeight="1">
      <c r="A3085" s="8" t="s">
        <v>9606</v>
      </c>
      <c r="B3085" s="8" t="s">
        <v>603</v>
      </c>
      <c r="C3085" s="8" t="s">
        <v>604</v>
      </c>
      <c r="D3085" s="8" t="s">
        <v>637</v>
      </c>
      <c r="E3085" s="8" t="s">
        <v>2481</v>
      </c>
      <c r="F3085" s="8" t="s">
        <v>2489</v>
      </c>
      <c r="G3085" s="8" t="s">
        <v>2442</v>
      </c>
      <c r="H3085" s="8">
        <v>1</v>
      </c>
      <c r="I3085" s="8">
        <v>1</v>
      </c>
      <c r="J3085" s="8" t="s">
        <v>2487</v>
      </c>
      <c r="K3085" s="8" t="s">
        <v>608</v>
      </c>
      <c r="L3085" s="9">
        <v>46319</v>
      </c>
      <c r="M3085" s="8" t="s">
        <v>5864</v>
      </c>
      <c r="N3085" s="8" t="s">
        <v>5865</v>
      </c>
    </row>
    <row r="3086" spans="1:14" ht="40" customHeight="1">
      <c r="A3086" s="4" t="s">
        <v>9607</v>
      </c>
      <c r="B3086" s="4" t="s">
        <v>603</v>
      </c>
      <c r="C3086" s="4" t="s">
        <v>604</v>
      </c>
      <c r="D3086" s="4" t="s">
        <v>637</v>
      </c>
      <c r="E3086" s="4" t="s">
        <v>2481</v>
      </c>
      <c r="F3086" s="4" t="s">
        <v>1691</v>
      </c>
      <c r="G3086" s="4" t="s">
        <v>2442</v>
      </c>
      <c r="H3086" s="4">
        <v>1</v>
      </c>
      <c r="I3086" s="4">
        <v>1</v>
      </c>
      <c r="J3086" s="4" t="s">
        <v>2491</v>
      </c>
      <c r="K3086" s="4" t="s">
        <v>608</v>
      </c>
      <c r="L3086" s="6">
        <v>46319</v>
      </c>
      <c r="M3086" s="4" t="s">
        <v>5864</v>
      </c>
      <c r="N3086" s="4" t="s">
        <v>5865</v>
      </c>
    </row>
    <row r="3087" spans="1:14" ht="40" customHeight="1">
      <c r="A3087" s="8" t="s">
        <v>9608</v>
      </c>
      <c r="B3087" s="8" t="s">
        <v>603</v>
      </c>
      <c r="C3087" s="8" t="s">
        <v>604</v>
      </c>
      <c r="D3087" s="8" t="s">
        <v>637</v>
      </c>
      <c r="E3087" s="8" t="s">
        <v>2481</v>
      </c>
      <c r="F3087" s="8" t="s">
        <v>2496</v>
      </c>
      <c r="G3087" s="8" t="s">
        <v>2442</v>
      </c>
      <c r="H3087" s="8">
        <v>1</v>
      </c>
      <c r="I3087" s="8">
        <v>1</v>
      </c>
      <c r="J3087" s="8" t="s">
        <v>2494</v>
      </c>
      <c r="K3087" s="8" t="s">
        <v>608</v>
      </c>
      <c r="L3087" s="9">
        <v>46319</v>
      </c>
      <c r="M3087" s="8" t="s">
        <v>5864</v>
      </c>
      <c r="N3087" s="8" t="s">
        <v>5865</v>
      </c>
    </row>
    <row r="3088" spans="1:14" ht="40" customHeight="1">
      <c r="A3088" s="4" t="s">
        <v>5810</v>
      </c>
      <c r="B3088" s="4" t="s">
        <v>603</v>
      </c>
      <c r="C3088" s="4" t="s">
        <v>604</v>
      </c>
      <c r="D3088" s="4" t="s">
        <v>7</v>
      </c>
      <c r="E3088" s="4" t="s">
        <v>5811</v>
      </c>
      <c r="F3088" s="4" t="s">
        <v>6150</v>
      </c>
      <c r="G3088" s="4" t="s">
        <v>2442</v>
      </c>
      <c r="H3088" s="4">
        <v>1</v>
      </c>
      <c r="I3088" s="4">
        <v>1</v>
      </c>
      <c r="J3088" s="4" t="s">
        <v>5811</v>
      </c>
      <c r="K3088" s="4" t="s">
        <v>608</v>
      </c>
      <c r="L3088" s="6">
        <v>46319</v>
      </c>
      <c r="M3088" s="4" t="s">
        <v>5864</v>
      </c>
      <c r="N3088" s="4" t="s">
        <v>5865</v>
      </c>
    </row>
    <row r="3089" spans="1:14" ht="54" customHeight="1">
      <c r="A3089" s="8" t="s">
        <v>5812</v>
      </c>
      <c r="B3089" s="8" t="s">
        <v>603</v>
      </c>
      <c r="C3089" s="8" t="s">
        <v>604</v>
      </c>
      <c r="D3089" s="8" t="s">
        <v>7</v>
      </c>
      <c r="E3089" s="8" t="s">
        <v>5811</v>
      </c>
      <c r="F3089" s="8" t="s">
        <v>6834</v>
      </c>
      <c r="G3089" s="8" t="s">
        <v>2442</v>
      </c>
      <c r="H3089" s="8">
        <v>1</v>
      </c>
      <c r="I3089" s="8">
        <v>1</v>
      </c>
      <c r="J3089" s="8" t="s">
        <v>5813</v>
      </c>
      <c r="K3089" s="8" t="s">
        <v>608</v>
      </c>
      <c r="L3089" s="9">
        <v>46319</v>
      </c>
      <c r="M3089" s="8" t="s">
        <v>5864</v>
      </c>
      <c r="N3089" s="8" t="s">
        <v>5865</v>
      </c>
    </row>
    <row r="3090" spans="1:14" ht="40" customHeight="1">
      <c r="A3090" s="4" t="s">
        <v>5814</v>
      </c>
      <c r="B3090" s="4" t="s">
        <v>603</v>
      </c>
      <c r="C3090" s="4" t="s">
        <v>604</v>
      </c>
      <c r="D3090" s="4" t="s">
        <v>7</v>
      </c>
      <c r="E3090" s="4" t="s">
        <v>5811</v>
      </c>
      <c r="F3090" s="4" t="s">
        <v>7172</v>
      </c>
      <c r="G3090" s="4" t="s">
        <v>2442</v>
      </c>
      <c r="H3090" s="4">
        <v>1</v>
      </c>
      <c r="I3090" s="4">
        <v>1</v>
      </c>
      <c r="J3090" s="4" t="s">
        <v>5815</v>
      </c>
      <c r="K3090" s="4" t="s">
        <v>608</v>
      </c>
      <c r="L3090" s="6">
        <v>46319</v>
      </c>
      <c r="M3090" s="4" t="s">
        <v>5864</v>
      </c>
      <c r="N3090" s="4" t="s">
        <v>5865</v>
      </c>
    </row>
    <row r="3091" spans="1:14" ht="40" customHeight="1">
      <c r="A3091" s="8" t="s">
        <v>5816</v>
      </c>
      <c r="B3091" s="8" t="s">
        <v>603</v>
      </c>
      <c r="C3091" s="8" t="s">
        <v>604</v>
      </c>
      <c r="D3091" s="8" t="s">
        <v>7</v>
      </c>
      <c r="E3091" s="8" t="s">
        <v>5811</v>
      </c>
      <c r="F3091" s="8" t="s">
        <v>6921</v>
      </c>
      <c r="G3091" s="8" t="s">
        <v>2442</v>
      </c>
      <c r="H3091" s="8">
        <v>1</v>
      </c>
      <c r="I3091" s="8">
        <v>1</v>
      </c>
      <c r="J3091" s="8" t="s">
        <v>5817</v>
      </c>
      <c r="K3091" s="8" t="s">
        <v>608</v>
      </c>
      <c r="L3091" s="9">
        <v>46319</v>
      </c>
      <c r="M3091" s="8" t="s">
        <v>5864</v>
      </c>
      <c r="N3091" s="8" t="s">
        <v>5865</v>
      </c>
    </row>
    <row r="3092" spans="1:14" ht="40" customHeight="1">
      <c r="A3092" s="4" t="s">
        <v>5818</v>
      </c>
      <c r="B3092" s="4" t="s">
        <v>603</v>
      </c>
      <c r="C3092" s="4" t="s">
        <v>604</v>
      </c>
      <c r="D3092" s="4" t="s">
        <v>7</v>
      </c>
      <c r="E3092" s="4" t="s">
        <v>5811</v>
      </c>
      <c r="F3092" s="4" t="s">
        <v>7173</v>
      </c>
      <c r="G3092" s="4" t="s">
        <v>2442</v>
      </c>
      <c r="H3092" s="4">
        <v>1</v>
      </c>
      <c r="I3092" s="4">
        <v>1</v>
      </c>
      <c r="J3092" s="4" t="s">
        <v>5819</v>
      </c>
      <c r="K3092" s="4" t="s">
        <v>608</v>
      </c>
      <c r="L3092" s="6">
        <v>46319</v>
      </c>
      <c r="M3092" s="4" t="s">
        <v>5864</v>
      </c>
      <c r="N3092" s="4" t="s">
        <v>5865</v>
      </c>
    </row>
    <row r="3093" spans="1:14" ht="40" customHeight="1">
      <c r="A3093" s="8" t="s">
        <v>5820</v>
      </c>
      <c r="B3093" s="8" t="s">
        <v>603</v>
      </c>
      <c r="C3093" s="8" t="s">
        <v>604</v>
      </c>
      <c r="D3093" s="8" t="s">
        <v>7</v>
      </c>
      <c r="E3093" s="8" t="s">
        <v>5811</v>
      </c>
      <c r="F3093" s="8" t="s">
        <v>7174</v>
      </c>
      <c r="G3093" s="8" t="s">
        <v>2442</v>
      </c>
      <c r="H3093" s="8">
        <v>1</v>
      </c>
      <c r="I3093" s="8">
        <v>1</v>
      </c>
      <c r="J3093" s="8" t="s">
        <v>5821</v>
      </c>
      <c r="K3093" s="8" t="s">
        <v>608</v>
      </c>
      <c r="L3093" s="9">
        <v>46319</v>
      </c>
      <c r="M3093" s="8" t="s">
        <v>5864</v>
      </c>
      <c r="N3093" s="8" t="s">
        <v>5865</v>
      </c>
    </row>
    <row r="3094" spans="1:14" ht="40" customHeight="1">
      <c r="A3094" s="4" t="s">
        <v>5822</v>
      </c>
      <c r="B3094" s="4" t="s">
        <v>603</v>
      </c>
      <c r="C3094" s="4" t="s">
        <v>604</v>
      </c>
      <c r="D3094" s="4" t="s">
        <v>7</v>
      </c>
      <c r="E3094" s="4" t="s">
        <v>5811</v>
      </c>
      <c r="F3094" s="4" t="s">
        <v>6928</v>
      </c>
      <c r="G3094" s="4" t="s">
        <v>2442</v>
      </c>
      <c r="H3094" s="4">
        <v>1</v>
      </c>
      <c r="I3094" s="4">
        <v>1</v>
      </c>
      <c r="J3094" s="4" t="s">
        <v>5823</v>
      </c>
      <c r="K3094" s="4" t="s">
        <v>608</v>
      </c>
      <c r="L3094" s="6">
        <v>46319</v>
      </c>
      <c r="M3094" s="4" t="s">
        <v>5864</v>
      </c>
      <c r="N3094" s="4" t="s">
        <v>5865</v>
      </c>
    </row>
    <row r="3095" spans="1:14" ht="40" customHeight="1">
      <c r="A3095" s="8" t="s">
        <v>5824</v>
      </c>
      <c r="B3095" s="8" t="s">
        <v>603</v>
      </c>
      <c r="C3095" s="8" t="s">
        <v>604</v>
      </c>
      <c r="D3095" s="8" t="s">
        <v>7</v>
      </c>
      <c r="E3095" s="8" t="s">
        <v>5811</v>
      </c>
      <c r="F3095" s="8" t="s">
        <v>7866</v>
      </c>
      <c r="G3095" s="8" t="s">
        <v>2442</v>
      </c>
      <c r="H3095" s="8">
        <v>1</v>
      </c>
      <c r="I3095" s="8">
        <v>1</v>
      </c>
      <c r="J3095" s="8" t="s">
        <v>5825</v>
      </c>
      <c r="K3095" s="8" t="s">
        <v>608</v>
      </c>
      <c r="L3095" s="9">
        <v>46319</v>
      </c>
      <c r="M3095" s="8" t="s">
        <v>5864</v>
      </c>
      <c r="N3095" s="8" t="s">
        <v>5865</v>
      </c>
    </row>
    <row r="3096" spans="1:14" ht="40" customHeight="1">
      <c r="A3096" s="4" t="s">
        <v>5826</v>
      </c>
      <c r="B3096" s="4" t="s">
        <v>603</v>
      </c>
      <c r="C3096" s="4" t="s">
        <v>604</v>
      </c>
      <c r="D3096" s="4" t="s">
        <v>7</v>
      </c>
      <c r="E3096" s="4" t="s">
        <v>5811</v>
      </c>
      <c r="F3096" s="4" t="s">
        <v>6931</v>
      </c>
      <c r="G3096" s="4" t="s">
        <v>2442</v>
      </c>
      <c r="H3096" s="4">
        <v>1</v>
      </c>
      <c r="I3096" s="4">
        <v>1</v>
      </c>
      <c r="J3096" s="4" t="s">
        <v>5827</v>
      </c>
      <c r="K3096" s="4" t="s">
        <v>608</v>
      </c>
      <c r="L3096" s="6">
        <v>46319</v>
      </c>
      <c r="M3096" s="4" t="s">
        <v>5864</v>
      </c>
      <c r="N3096" s="4" t="s">
        <v>5865</v>
      </c>
    </row>
    <row r="3097" spans="1:14" ht="40" customHeight="1">
      <c r="A3097" s="8" t="s">
        <v>5828</v>
      </c>
      <c r="B3097" s="8" t="s">
        <v>603</v>
      </c>
      <c r="C3097" s="8" t="s">
        <v>604</v>
      </c>
      <c r="D3097" s="8" t="s">
        <v>7</v>
      </c>
      <c r="E3097" s="8" t="s">
        <v>5811</v>
      </c>
      <c r="F3097" s="8" t="s">
        <v>7176</v>
      </c>
      <c r="G3097" s="8" t="s">
        <v>2442</v>
      </c>
      <c r="H3097" s="8">
        <v>1</v>
      </c>
      <c r="I3097" s="8">
        <v>1</v>
      </c>
      <c r="J3097" s="8" t="s">
        <v>5829</v>
      </c>
      <c r="K3097" s="8" t="s">
        <v>608</v>
      </c>
      <c r="L3097" s="9">
        <v>46319</v>
      </c>
      <c r="M3097" s="8" t="s">
        <v>5864</v>
      </c>
      <c r="N3097" s="8" t="s">
        <v>5865</v>
      </c>
    </row>
    <row r="3098" spans="1:14" ht="40" customHeight="1">
      <c r="A3098" s="4" t="s">
        <v>5830</v>
      </c>
      <c r="B3098" s="4" t="s">
        <v>603</v>
      </c>
      <c r="C3098" s="4" t="s">
        <v>604</v>
      </c>
      <c r="D3098" s="4" t="s">
        <v>7</v>
      </c>
      <c r="E3098" s="4" t="s">
        <v>5811</v>
      </c>
      <c r="F3098" s="4" t="s">
        <v>7177</v>
      </c>
      <c r="G3098" s="4" t="s">
        <v>2442</v>
      </c>
      <c r="H3098" s="4">
        <v>1</v>
      </c>
      <c r="I3098" s="4">
        <v>1</v>
      </c>
      <c r="J3098" s="4" t="s">
        <v>5831</v>
      </c>
      <c r="K3098" s="4" t="s">
        <v>608</v>
      </c>
      <c r="L3098" s="6">
        <v>46319</v>
      </c>
      <c r="M3098" s="4" t="s">
        <v>5864</v>
      </c>
      <c r="N3098" s="4" t="s">
        <v>5865</v>
      </c>
    </row>
    <row r="3099" spans="1:14" ht="40" customHeight="1">
      <c r="A3099" s="8" t="s">
        <v>5832</v>
      </c>
      <c r="B3099" s="8" t="s">
        <v>603</v>
      </c>
      <c r="C3099" s="8" t="s">
        <v>604</v>
      </c>
      <c r="D3099" s="8" t="s">
        <v>7</v>
      </c>
      <c r="E3099" s="8" t="s">
        <v>5811</v>
      </c>
      <c r="F3099" s="8" t="s">
        <v>7867</v>
      </c>
      <c r="G3099" s="8" t="s">
        <v>2442</v>
      </c>
      <c r="H3099" s="8">
        <v>1</v>
      </c>
      <c r="I3099" s="8">
        <v>1</v>
      </c>
      <c r="J3099" s="8" t="s">
        <v>5833</v>
      </c>
      <c r="K3099" s="8" t="s">
        <v>608</v>
      </c>
      <c r="L3099" s="9">
        <v>46319</v>
      </c>
      <c r="M3099" s="8" t="s">
        <v>5864</v>
      </c>
      <c r="N3099" s="8" t="s">
        <v>5865</v>
      </c>
    </row>
    <row r="3100" spans="1:14" ht="40" customHeight="1">
      <c r="A3100" s="4" t="s">
        <v>5834</v>
      </c>
      <c r="B3100" s="4" t="s">
        <v>603</v>
      </c>
      <c r="C3100" s="4" t="s">
        <v>604</v>
      </c>
      <c r="D3100" s="4" t="s">
        <v>7</v>
      </c>
      <c r="E3100" s="4" t="s">
        <v>5811</v>
      </c>
      <c r="F3100" s="4" t="s">
        <v>9609</v>
      </c>
      <c r="G3100" s="4" t="s">
        <v>2442</v>
      </c>
      <c r="H3100" s="4">
        <v>1</v>
      </c>
      <c r="I3100" s="4">
        <v>1</v>
      </c>
      <c r="J3100" s="4" t="s">
        <v>5835</v>
      </c>
      <c r="K3100" s="4" t="s">
        <v>608</v>
      </c>
      <c r="L3100" s="6">
        <v>46319</v>
      </c>
      <c r="M3100" s="4" t="s">
        <v>5864</v>
      </c>
      <c r="N3100" s="4" t="s">
        <v>5865</v>
      </c>
    </row>
    <row r="3101" spans="1:14" ht="40" customHeight="1">
      <c r="A3101" s="8" t="s">
        <v>5836</v>
      </c>
      <c r="B3101" s="8" t="s">
        <v>603</v>
      </c>
      <c r="C3101" s="8" t="s">
        <v>604</v>
      </c>
      <c r="D3101" s="8" t="s">
        <v>7</v>
      </c>
      <c r="E3101" s="8" t="s">
        <v>5811</v>
      </c>
      <c r="F3101" s="8" t="s">
        <v>9610</v>
      </c>
      <c r="G3101" s="8" t="s">
        <v>2442</v>
      </c>
      <c r="H3101" s="8">
        <v>1</v>
      </c>
      <c r="I3101" s="8">
        <v>1</v>
      </c>
      <c r="J3101" s="8" t="s">
        <v>5837</v>
      </c>
      <c r="K3101" s="8" t="s">
        <v>608</v>
      </c>
      <c r="L3101" s="9">
        <v>46319</v>
      </c>
      <c r="M3101" s="8" t="s">
        <v>5864</v>
      </c>
      <c r="N3101" s="8" t="s">
        <v>5865</v>
      </c>
    </row>
    <row r="3102" spans="1:14" ht="40" customHeight="1">
      <c r="A3102" s="4" t="s">
        <v>5838</v>
      </c>
      <c r="B3102" s="4" t="s">
        <v>603</v>
      </c>
      <c r="C3102" s="4" t="s">
        <v>604</v>
      </c>
      <c r="D3102" s="4" t="s">
        <v>7</v>
      </c>
      <c r="E3102" s="4" t="s">
        <v>5811</v>
      </c>
      <c r="F3102" s="4" t="s">
        <v>9611</v>
      </c>
      <c r="G3102" s="4" t="s">
        <v>2442</v>
      </c>
      <c r="H3102" s="4">
        <v>1</v>
      </c>
      <c r="I3102" s="4">
        <v>1</v>
      </c>
      <c r="J3102" s="4" t="s">
        <v>5839</v>
      </c>
      <c r="K3102" s="4" t="s">
        <v>608</v>
      </c>
      <c r="L3102" s="6">
        <v>46319</v>
      </c>
      <c r="M3102" s="4" t="s">
        <v>5864</v>
      </c>
      <c r="N3102" s="4" t="s">
        <v>5865</v>
      </c>
    </row>
    <row r="3103" spans="1:14" ht="54" customHeight="1">
      <c r="A3103" s="8" t="s">
        <v>4893</v>
      </c>
      <c r="B3103" s="8" t="s">
        <v>603</v>
      </c>
      <c r="C3103" s="8" t="s">
        <v>604</v>
      </c>
      <c r="D3103" s="8" t="s">
        <v>5879</v>
      </c>
      <c r="E3103" s="8" t="s">
        <v>41</v>
      </c>
      <c r="F3103" s="8" t="s">
        <v>3463</v>
      </c>
      <c r="G3103" s="8" t="s">
        <v>2442</v>
      </c>
      <c r="H3103" s="8">
        <v>1</v>
      </c>
      <c r="I3103" s="8">
        <v>1</v>
      </c>
      <c r="J3103" s="8" t="s">
        <v>4894</v>
      </c>
      <c r="K3103" s="8" t="s">
        <v>608</v>
      </c>
      <c r="L3103" s="9">
        <v>46319</v>
      </c>
      <c r="M3103" s="8" t="s">
        <v>5864</v>
      </c>
      <c r="N3103" s="8" t="s">
        <v>5865</v>
      </c>
    </row>
    <row r="3104" spans="1:14" ht="54" customHeight="1">
      <c r="A3104" s="4" t="s">
        <v>4895</v>
      </c>
      <c r="B3104" s="4" t="s">
        <v>603</v>
      </c>
      <c r="C3104" s="4" t="s">
        <v>604</v>
      </c>
      <c r="D3104" s="4" t="s">
        <v>5879</v>
      </c>
      <c r="E3104" s="4" t="s">
        <v>41</v>
      </c>
      <c r="F3104" s="4" t="s">
        <v>3485</v>
      </c>
      <c r="G3104" s="4" t="s">
        <v>2442</v>
      </c>
      <c r="H3104" s="4">
        <v>1</v>
      </c>
      <c r="I3104" s="4">
        <v>1</v>
      </c>
      <c r="J3104" s="4" t="s">
        <v>4752</v>
      </c>
      <c r="K3104" s="4" t="s">
        <v>608</v>
      </c>
      <c r="L3104" s="6">
        <v>46319</v>
      </c>
      <c r="M3104" s="4" t="s">
        <v>5864</v>
      </c>
      <c r="N3104" s="4" t="s">
        <v>5865</v>
      </c>
    </row>
    <row r="3105" spans="1:14" ht="40" customHeight="1">
      <c r="A3105" s="8" t="s">
        <v>4896</v>
      </c>
      <c r="B3105" s="8" t="s">
        <v>603</v>
      </c>
      <c r="C3105" s="8" t="s">
        <v>604</v>
      </c>
      <c r="D3105" s="8" t="s">
        <v>5879</v>
      </c>
      <c r="E3105" s="8" t="s">
        <v>41</v>
      </c>
      <c r="F3105" s="8" t="s">
        <v>3655</v>
      </c>
      <c r="G3105" s="8" t="s">
        <v>2442</v>
      </c>
      <c r="H3105" s="8">
        <v>1</v>
      </c>
      <c r="I3105" s="8">
        <v>1</v>
      </c>
      <c r="J3105" s="8" t="s">
        <v>4897</v>
      </c>
      <c r="K3105" s="8" t="s">
        <v>608</v>
      </c>
      <c r="L3105" s="9">
        <v>46319</v>
      </c>
      <c r="M3105" s="8" t="s">
        <v>5864</v>
      </c>
      <c r="N3105" s="8" t="s">
        <v>5865</v>
      </c>
    </row>
    <row r="3106" spans="1:14" ht="54" customHeight="1">
      <c r="A3106" s="4" t="s">
        <v>4898</v>
      </c>
      <c r="B3106" s="4" t="s">
        <v>603</v>
      </c>
      <c r="C3106" s="4" t="s">
        <v>604</v>
      </c>
      <c r="D3106" s="4" t="s">
        <v>5879</v>
      </c>
      <c r="E3106" s="4" t="s">
        <v>41</v>
      </c>
      <c r="F3106" s="4" t="s">
        <v>3494</v>
      </c>
      <c r="G3106" s="4" t="s">
        <v>2442</v>
      </c>
      <c r="H3106" s="4">
        <v>1</v>
      </c>
      <c r="I3106" s="4">
        <v>1</v>
      </c>
      <c r="J3106" s="4" t="s">
        <v>4756</v>
      </c>
      <c r="K3106" s="4" t="s">
        <v>608</v>
      </c>
      <c r="L3106" s="6">
        <v>46319</v>
      </c>
      <c r="M3106" s="4" t="s">
        <v>5864</v>
      </c>
      <c r="N3106" s="4" t="s">
        <v>5865</v>
      </c>
    </row>
    <row r="3107" spans="1:14" ht="40" customHeight="1">
      <c r="A3107" s="8" t="s">
        <v>4899</v>
      </c>
      <c r="B3107" s="8" t="s">
        <v>603</v>
      </c>
      <c r="C3107" s="8" t="s">
        <v>604</v>
      </c>
      <c r="D3107" s="8" t="s">
        <v>5879</v>
      </c>
      <c r="E3107" s="8" t="s">
        <v>41</v>
      </c>
      <c r="F3107" s="8" t="s">
        <v>3497</v>
      </c>
      <c r="G3107" s="8" t="s">
        <v>2442</v>
      </c>
      <c r="H3107" s="8">
        <v>1</v>
      </c>
      <c r="I3107" s="8">
        <v>1</v>
      </c>
      <c r="J3107" s="8" t="s">
        <v>4758</v>
      </c>
      <c r="K3107" s="8" t="s">
        <v>608</v>
      </c>
      <c r="L3107" s="9">
        <v>46319</v>
      </c>
      <c r="M3107" s="8" t="s">
        <v>5864</v>
      </c>
      <c r="N3107" s="8" t="s">
        <v>5865</v>
      </c>
    </row>
    <row r="3108" spans="1:14" ht="40" customHeight="1">
      <c r="A3108" s="4" t="s">
        <v>4900</v>
      </c>
      <c r="B3108" s="4" t="s">
        <v>603</v>
      </c>
      <c r="C3108" s="4" t="s">
        <v>604</v>
      </c>
      <c r="D3108" s="4" t="s">
        <v>5879</v>
      </c>
      <c r="E3108" s="4" t="s">
        <v>41</v>
      </c>
      <c r="F3108" s="4" t="s">
        <v>4902</v>
      </c>
      <c r="G3108" s="4" t="s">
        <v>2442</v>
      </c>
      <c r="H3108" s="4">
        <v>1</v>
      </c>
      <c r="I3108" s="4">
        <v>1</v>
      </c>
      <c r="J3108" s="4" t="s">
        <v>4901</v>
      </c>
      <c r="K3108" s="4" t="s">
        <v>608</v>
      </c>
      <c r="L3108" s="6">
        <v>46319</v>
      </c>
      <c r="M3108" s="4" t="s">
        <v>5864</v>
      </c>
      <c r="N3108" s="4" t="s">
        <v>6087</v>
      </c>
    </row>
    <row r="3109" spans="1:14" ht="54" customHeight="1">
      <c r="A3109" s="8" t="s">
        <v>4903</v>
      </c>
      <c r="B3109" s="8" t="s">
        <v>603</v>
      </c>
      <c r="C3109" s="8" t="s">
        <v>604</v>
      </c>
      <c r="D3109" s="8" t="s">
        <v>5879</v>
      </c>
      <c r="E3109" s="8" t="s">
        <v>41</v>
      </c>
      <c r="F3109" s="8" t="s">
        <v>4905</v>
      </c>
      <c r="G3109" s="8" t="s">
        <v>2442</v>
      </c>
      <c r="H3109" s="8">
        <v>1</v>
      </c>
      <c r="I3109" s="8">
        <v>1</v>
      </c>
      <c r="J3109" s="8" t="s">
        <v>4904</v>
      </c>
      <c r="K3109" s="8" t="s">
        <v>608</v>
      </c>
      <c r="L3109" s="9">
        <v>46319</v>
      </c>
      <c r="M3109" s="8" t="s">
        <v>5864</v>
      </c>
      <c r="N3109" s="8" t="s">
        <v>6087</v>
      </c>
    </row>
    <row r="3110" spans="1:14" ht="40" customHeight="1">
      <c r="A3110" s="4" t="s">
        <v>4906</v>
      </c>
      <c r="B3110" s="4" t="s">
        <v>603</v>
      </c>
      <c r="C3110" s="4" t="s">
        <v>604</v>
      </c>
      <c r="D3110" s="4" t="s">
        <v>5879</v>
      </c>
      <c r="E3110" s="4" t="s">
        <v>41</v>
      </c>
      <c r="F3110" s="4" t="s">
        <v>4908</v>
      </c>
      <c r="G3110" s="4" t="s">
        <v>2442</v>
      </c>
      <c r="H3110" s="4">
        <v>1</v>
      </c>
      <c r="I3110" s="4">
        <v>1</v>
      </c>
      <c r="J3110" s="4" t="s">
        <v>4907</v>
      </c>
      <c r="K3110" s="4" t="s">
        <v>608</v>
      </c>
      <c r="L3110" s="6">
        <v>46319</v>
      </c>
      <c r="M3110" s="4" t="s">
        <v>5864</v>
      </c>
      <c r="N3110" s="4" t="s">
        <v>6087</v>
      </c>
    </row>
    <row r="3111" spans="1:14" ht="40" customHeight="1">
      <c r="A3111" s="8" t="s">
        <v>4909</v>
      </c>
      <c r="B3111" s="8" t="s">
        <v>603</v>
      </c>
      <c r="C3111" s="8" t="s">
        <v>604</v>
      </c>
      <c r="D3111" s="8" t="s">
        <v>5879</v>
      </c>
      <c r="E3111" s="8" t="s">
        <v>41</v>
      </c>
      <c r="F3111" s="8" t="s">
        <v>4911</v>
      </c>
      <c r="G3111" s="8" t="s">
        <v>2442</v>
      </c>
      <c r="H3111" s="8">
        <v>1</v>
      </c>
      <c r="I3111" s="8">
        <v>1</v>
      </c>
      <c r="J3111" s="8" t="s">
        <v>4910</v>
      </c>
      <c r="K3111" s="8" t="s">
        <v>608</v>
      </c>
      <c r="L3111" s="9">
        <v>46319</v>
      </c>
      <c r="M3111" s="8" t="s">
        <v>5864</v>
      </c>
      <c r="N3111" s="8" t="s">
        <v>6087</v>
      </c>
    </row>
    <row r="3112" spans="1:14" ht="40" customHeight="1">
      <c r="A3112" s="4" t="s">
        <v>4912</v>
      </c>
      <c r="B3112" s="4" t="s">
        <v>603</v>
      </c>
      <c r="C3112" s="4" t="s">
        <v>604</v>
      </c>
      <c r="D3112" s="4" t="s">
        <v>5879</v>
      </c>
      <c r="E3112" s="4" t="s">
        <v>41</v>
      </c>
      <c r="F3112" s="4" t="s">
        <v>4913</v>
      </c>
      <c r="G3112" s="4" t="s">
        <v>2442</v>
      </c>
      <c r="H3112" s="4">
        <v>1</v>
      </c>
      <c r="I3112" s="4">
        <v>1</v>
      </c>
      <c r="J3112" s="4" t="s">
        <v>3423</v>
      </c>
      <c r="K3112" s="4" t="s">
        <v>608</v>
      </c>
      <c r="L3112" s="6">
        <v>46319</v>
      </c>
      <c r="M3112" s="4" t="s">
        <v>5864</v>
      </c>
      <c r="N3112" s="4" t="s">
        <v>6087</v>
      </c>
    </row>
    <row r="3113" spans="1:14" ht="40" customHeight="1">
      <c r="A3113" s="8" t="s">
        <v>9612</v>
      </c>
      <c r="B3113" s="8" t="s">
        <v>603</v>
      </c>
      <c r="C3113" s="8" t="s">
        <v>604</v>
      </c>
      <c r="D3113" s="8" t="s">
        <v>2969</v>
      </c>
      <c r="E3113" s="8" t="s">
        <v>41</v>
      </c>
      <c r="F3113" s="8" t="s">
        <v>5881</v>
      </c>
      <c r="G3113" s="8" t="s">
        <v>2442</v>
      </c>
      <c r="H3113" s="8">
        <v>1</v>
      </c>
      <c r="I3113" s="8">
        <v>1</v>
      </c>
      <c r="J3113" s="8" t="s">
        <v>9613</v>
      </c>
      <c r="K3113" s="8" t="s">
        <v>608</v>
      </c>
      <c r="L3113" s="9">
        <v>46319</v>
      </c>
      <c r="M3113" s="8" t="s">
        <v>5864</v>
      </c>
      <c r="N3113" s="8" t="s">
        <v>5883</v>
      </c>
    </row>
    <row r="3114" spans="1:14" ht="40" customHeight="1">
      <c r="A3114" s="4" t="s">
        <v>9614</v>
      </c>
      <c r="B3114" s="4" t="s">
        <v>603</v>
      </c>
      <c r="C3114" s="4" t="s">
        <v>604</v>
      </c>
      <c r="D3114" s="4" t="s">
        <v>2969</v>
      </c>
      <c r="E3114" s="4" t="s">
        <v>41</v>
      </c>
      <c r="F3114" s="4" t="s">
        <v>5885</v>
      </c>
      <c r="G3114" s="4" t="s">
        <v>2442</v>
      </c>
      <c r="H3114" s="4">
        <v>1</v>
      </c>
      <c r="I3114" s="4">
        <v>1</v>
      </c>
      <c r="J3114" s="4" t="s">
        <v>9615</v>
      </c>
      <c r="K3114" s="4" t="s">
        <v>608</v>
      </c>
      <c r="L3114" s="6">
        <v>46319</v>
      </c>
      <c r="M3114" s="4" t="s">
        <v>5864</v>
      </c>
      <c r="N3114" s="4" t="s">
        <v>5883</v>
      </c>
    </row>
    <row r="3115" spans="1:14" ht="68" customHeight="1">
      <c r="A3115" s="8" t="s">
        <v>9616</v>
      </c>
      <c r="B3115" s="8" t="s">
        <v>603</v>
      </c>
      <c r="C3115" s="8" t="s">
        <v>604</v>
      </c>
      <c r="D3115" s="8" t="s">
        <v>2969</v>
      </c>
      <c r="E3115" s="8" t="s">
        <v>41</v>
      </c>
      <c r="F3115" s="8" t="s">
        <v>5888</v>
      </c>
      <c r="G3115" s="8" t="s">
        <v>2442</v>
      </c>
      <c r="H3115" s="8">
        <v>1</v>
      </c>
      <c r="I3115" s="8">
        <v>1</v>
      </c>
      <c r="J3115" s="8" t="s">
        <v>9617</v>
      </c>
      <c r="K3115" s="8" t="s">
        <v>608</v>
      </c>
      <c r="L3115" s="9">
        <v>46319</v>
      </c>
      <c r="M3115" s="8" t="s">
        <v>5864</v>
      </c>
      <c r="N3115" s="8" t="s">
        <v>5883</v>
      </c>
    </row>
    <row r="3116" spans="1:14" ht="68" customHeight="1">
      <c r="A3116" s="4" t="s">
        <v>9618</v>
      </c>
      <c r="B3116" s="4" t="s">
        <v>603</v>
      </c>
      <c r="C3116" s="4" t="s">
        <v>604</v>
      </c>
      <c r="D3116" s="4" t="s">
        <v>2969</v>
      </c>
      <c r="E3116" s="4" t="s">
        <v>41</v>
      </c>
      <c r="F3116" s="4" t="s">
        <v>5891</v>
      </c>
      <c r="G3116" s="4" t="s">
        <v>2442</v>
      </c>
      <c r="H3116" s="4">
        <v>1</v>
      </c>
      <c r="I3116" s="4">
        <v>1</v>
      </c>
      <c r="J3116" s="4" t="s">
        <v>9619</v>
      </c>
      <c r="K3116" s="4" t="s">
        <v>608</v>
      </c>
      <c r="L3116" s="6">
        <v>46319</v>
      </c>
      <c r="M3116" s="4" t="s">
        <v>5864</v>
      </c>
      <c r="N3116" s="4" t="s">
        <v>5883</v>
      </c>
    </row>
    <row r="3117" spans="1:14" ht="68" customHeight="1">
      <c r="A3117" s="8" t="s">
        <v>9620</v>
      </c>
      <c r="B3117" s="8" t="s">
        <v>603</v>
      </c>
      <c r="C3117" s="8" t="s">
        <v>604</v>
      </c>
      <c r="D3117" s="8" t="s">
        <v>2969</v>
      </c>
      <c r="E3117" s="8" t="s">
        <v>41</v>
      </c>
      <c r="F3117" s="8" t="s">
        <v>5894</v>
      </c>
      <c r="G3117" s="8" t="s">
        <v>2442</v>
      </c>
      <c r="H3117" s="8">
        <v>1</v>
      </c>
      <c r="I3117" s="8">
        <v>1</v>
      </c>
      <c r="J3117" s="8" t="s">
        <v>9621</v>
      </c>
      <c r="K3117" s="8" t="s">
        <v>608</v>
      </c>
      <c r="L3117" s="9">
        <v>46319</v>
      </c>
      <c r="M3117" s="8" t="s">
        <v>5864</v>
      </c>
      <c r="N3117" s="8" t="s">
        <v>5883</v>
      </c>
    </row>
    <row r="3118" spans="1:14" ht="362" customHeight="1">
      <c r="A3118" s="4" t="s">
        <v>9622</v>
      </c>
      <c r="B3118" s="4" t="s">
        <v>603</v>
      </c>
      <c r="C3118" s="4" t="s">
        <v>604</v>
      </c>
      <c r="D3118" s="4" t="s">
        <v>2969</v>
      </c>
      <c r="E3118" s="4" t="s">
        <v>41</v>
      </c>
      <c r="F3118" s="4" t="s">
        <v>5897</v>
      </c>
      <c r="G3118" s="4" t="s">
        <v>2442</v>
      </c>
      <c r="H3118" s="4">
        <v>1</v>
      </c>
      <c r="I3118" s="4">
        <v>1</v>
      </c>
      <c r="J3118" s="4" t="s">
        <v>9623</v>
      </c>
      <c r="K3118" s="4" t="s">
        <v>608</v>
      </c>
      <c r="L3118" s="6">
        <v>46319</v>
      </c>
      <c r="M3118" s="4" t="s">
        <v>5864</v>
      </c>
      <c r="N3118" s="4" t="s">
        <v>5883</v>
      </c>
    </row>
    <row r="3119" spans="1:14" ht="54" customHeight="1">
      <c r="A3119" s="8" t="s">
        <v>9624</v>
      </c>
      <c r="B3119" s="8" t="s">
        <v>603</v>
      </c>
      <c r="C3119" s="8" t="s">
        <v>604</v>
      </c>
      <c r="D3119" s="8" t="s">
        <v>2969</v>
      </c>
      <c r="E3119" s="8" t="s">
        <v>41</v>
      </c>
      <c r="F3119" s="8" t="s">
        <v>5900</v>
      </c>
      <c r="G3119" s="8" t="s">
        <v>2442</v>
      </c>
      <c r="H3119" s="8">
        <v>1</v>
      </c>
      <c r="I3119" s="8">
        <v>1</v>
      </c>
      <c r="J3119" s="8" t="s">
        <v>9625</v>
      </c>
      <c r="K3119" s="8" t="s">
        <v>608</v>
      </c>
      <c r="L3119" s="9">
        <v>46319</v>
      </c>
      <c r="M3119" s="8" t="s">
        <v>5864</v>
      </c>
      <c r="N3119" s="8" t="s">
        <v>5883</v>
      </c>
    </row>
    <row r="3120" spans="1:14" ht="54" customHeight="1">
      <c r="A3120" s="4" t="s">
        <v>9626</v>
      </c>
      <c r="B3120" s="4" t="s">
        <v>603</v>
      </c>
      <c r="C3120" s="4" t="s">
        <v>604</v>
      </c>
      <c r="D3120" s="4" t="s">
        <v>2969</v>
      </c>
      <c r="E3120" s="4" t="s">
        <v>41</v>
      </c>
      <c r="F3120" s="4" t="s">
        <v>5903</v>
      </c>
      <c r="G3120" s="4" t="s">
        <v>2442</v>
      </c>
      <c r="H3120" s="4">
        <v>1</v>
      </c>
      <c r="I3120" s="4">
        <v>1</v>
      </c>
      <c r="J3120" s="4" t="s">
        <v>9627</v>
      </c>
      <c r="K3120" s="4" t="s">
        <v>608</v>
      </c>
      <c r="L3120" s="6">
        <v>46319</v>
      </c>
      <c r="M3120" s="4" t="s">
        <v>5864</v>
      </c>
      <c r="N3120" s="4" t="s">
        <v>5883</v>
      </c>
    </row>
    <row r="3121" spans="1:14" ht="110" customHeight="1">
      <c r="A3121" s="8" t="s">
        <v>9628</v>
      </c>
      <c r="B3121" s="8" t="s">
        <v>603</v>
      </c>
      <c r="C3121" s="8" t="s">
        <v>604</v>
      </c>
      <c r="D3121" s="8" t="s">
        <v>2969</v>
      </c>
      <c r="E3121" s="8" t="s">
        <v>41</v>
      </c>
      <c r="F3121" s="8" t="s">
        <v>5906</v>
      </c>
      <c r="G3121" s="8" t="s">
        <v>2442</v>
      </c>
      <c r="H3121" s="8">
        <v>1</v>
      </c>
      <c r="I3121" s="8">
        <v>1</v>
      </c>
      <c r="J3121" s="8" t="s">
        <v>9629</v>
      </c>
      <c r="K3121" s="8" t="s">
        <v>608</v>
      </c>
      <c r="L3121" s="9">
        <v>46319</v>
      </c>
      <c r="M3121" s="8" t="s">
        <v>5864</v>
      </c>
      <c r="N3121" s="8" t="s">
        <v>5883</v>
      </c>
    </row>
    <row r="3122" spans="1:14" ht="82" customHeight="1">
      <c r="A3122" s="4" t="s">
        <v>9630</v>
      </c>
      <c r="B3122" s="4" t="s">
        <v>603</v>
      </c>
      <c r="C3122" s="4" t="s">
        <v>604</v>
      </c>
      <c r="D3122" s="4" t="s">
        <v>2969</v>
      </c>
      <c r="E3122" s="4" t="s">
        <v>41</v>
      </c>
      <c r="F3122" s="4" t="s">
        <v>5909</v>
      </c>
      <c r="G3122" s="4" t="s">
        <v>2442</v>
      </c>
      <c r="H3122" s="4">
        <v>1</v>
      </c>
      <c r="I3122" s="4">
        <v>1</v>
      </c>
      <c r="J3122" s="4" t="s">
        <v>9631</v>
      </c>
      <c r="K3122" s="4" t="s">
        <v>608</v>
      </c>
      <c r="L3122" s="6">
        <v>46319</v>
      </c>
      <c r="M3122" s="4" t="s">
        <v>5864</v>
      </c>
      <c r="N3122" s="4" t="s">
        <v>5883</v>
      </c>
    </row>
    <row r="3123" spans="1:14" ht="40" customHeight="1">
      <c r="A3123" s="8" t="s">
        <v>9632</v>
      </c>
      <c r="B3123" s="8" t="s">
        <v>603</v>
      </c>
      <c r="C3123" s="8" t="s">
        <v>604</v>
      </c>
      <c r="D3123" s="8" t="s">
        <v>2969</v>
      </c>
      <c r="E3123" s="8" t="s">
        <v>41</v>
      </c>
      <c r="F3123" s="8" t="s">
        <v>5912</v>
      </c>
      <c r="G3123" s="8" t="s">
        <v>2442</v>
      </c>
      <c r="H3123" s="8">
        <v>1</v>
      </c>
      <c r="I3123" s="8">
        <v>1</v>
      </c>
      <c r="J3123" s="8" t="s">
        <v>9633</v>
      </c>
      <c r="K3123" s="8" t="s">
        <v>608</v>
      </c>
      <c r="L3123" s="9">
        <v>46319</v>
      </c>
      <c r="M3123" s="8" t="s">
        <v>5864</v>
      </c>
      <c r="N3123" s="8" t="s">
        <v>5883</v>
      </c>
    </row>
    <row r="3124" spans="1:14" ht="82" customHeight="1">
      <c r="A3124" s="4" t="s">
        <v>9634</v>
      </c>
      <c r="B3124" s="4" t="s">
        <v>603</v>
      </c>
      <c r="C3124" s="4" t="s">
        <v>604</v>
      </c>
      <c r="D3124" s="4" t="s">
        <v>2969</v>
      </c>
      <c r="E3124" s="4" t="s">
        <v>41</v>
      </c>
      <c r="F3124" s="4" t="s">
        <v>5973</v>
      </c>
      <c r="G3124" s="4" t="s">
        <v>2442</v>
      </c>
      <c r="H3124" s="4">
        <v>1</v>
      </c>
      <c r="I3124" s="4">
        <v>1</v>
      </c>
      <c r="J3124" s="4" t="s">
        <v>9635</v>
      </c>
      <c r="K3124" s="4" t="s">
        <v>608</v>
      </c>
      <c r="L3124" s="6">
        <v>46319</v>
      </c>
      <c r="M3124" s="4" t="s">
        <v>5864</v>
      </c>
      <c r="N3124" s="4" t="s">
        <v>5883</v>
      </c>
    </row>
    <row r="3125" spans="1:14" ht="68" customHeight="1">
      <c r="A3125" s="8" t="s">
        <v>9636</v>
      </c>
      <c r="B3125" s="8" t="s">
        <v>611</v>
      </c>
      <c r="C3125" s="8" t="s">
        <v>612</v>
      </c>
      <c r="D3125" s="8" t="s">
        <v>5861</v>
      </c>
      <c r="E3125" s="8" t="s">
        <v>41</v>
      </c>
      <c r="F3125" s="8" t="s">
        <v>5862</v>
      </c>
      <c r="G3125" s="8" t="s">
        <v>2501</v>
      </c>
      <c r="H3125" s="8">
        <v>1</v>
      </c>
      <c r="I3125" s="8">
        <v>1</v>
      </c>
      <c r="J3125" s="8" t="s">
        <v>9637</v>
      </c>
      <c r="K3125" s="8" t="s">
        <v>616</v>
      </c>
      <c r="L3125" s="9">
        <v>46319</v>
      </c>
      <c r="M3125" s="8" t="s">
        <v>5864</v>
      </c>
      <c r="N3125" s="8" t="s">
        <v>5865</v>
      </c>
    </row>
    <row r="3126" spans="1:14" ht="40" customHeight="1">
      <c r="A3126" s="4" t="s">
        <v>9638</v>
      </c>
      <c r="B3126" s="4" t="s">
        <v>611</v>
      </c>
      <c r="C3126" s="4" t="s">
        <v>612</v>
      </c>
      <c r="D3126" s="4" t="s">
        <v>5861</v>
      </c>
      <c r="E3126" s="4" t="s">
        <v>41</v>
      </c>
      <c r="F3126" s="4" t="s">
        <v>5920</v>
      </c>
      <c r="G3126" s="4" t="s">
        <v>2501</v>
      </c>
      <c r="H3126" s="4">
        <v>1</v>
      </c>
      <c r="I3126" s="4">
        <v>1</v>
      </c>
      <c r="J3126" s="4" t="s">
        <v>9639</v>
      </c>
      <c r="K3126" s="4" t="s">
        <v>616</v>
      </c>
      <c r="L3126" s="6">
        <v>46319</v>
      </c>
      <c r="M3126" s="4" t="s">
        <v>5864</v>
      </c>
      <c r="N3126" s="4" t="s">
        <v>5865</v>
      </c>
    </row>
    <row r="3127" spans="1:14" ht="40" customHeight="1">
      <c r="A3127" s="8" t="s">
        <v>9640</v>
      </c>
      <c r="B3127" s="8" t="s">
        <v>611</v>
      </c>
      <c r="C3127" s="8" t="s">
        <v>612</v>
      </c>
      <c r="D3127" s="8" t="s">
        <v>5867</v>
      </c>
      <c r="E3127" s="8" t="s">
        <v>9641</v>
      </c>
      <c r="F3127" s="8" t="s">
        <v>6248</v>
      </c>
      <c r="G3127" s="8" t="s">
        <v>2501</v>
      </c>
      <c r="H3127" s="8">
        <v>1</v>
      </c>
      <c r="I3127" s="8">
        <v>1</v>
      </c>
      <c r="J3127" s="8" t="s">
        <v>9641</v>
      </c>
      <c r="K3127" s="8" t="s">
        <v>616</v>
      </c>
      <c r="L3127" s="9">
        <v>46319</v>
      </c>
      <c r="M3127" s="8" t="s">
        <v>5864</v>
      </c>
      <c r="N3127" s="8" t="s">
        <v>5865</v>
      </c>
    </row>
    <row r="3128" spans="1:14" ht="40" customHeight="1">
      <c r="A3128" s="4" t="s">
        <v>9642</v>
      </c>
      <c r="B3128" s="4" t="s">
        <v>611</v>
      </c>
      <c r="C3128" s="4" t="s">
        <v>612</v>
      </c>
      <c r="D3128" s="4" t="s">
        <v>5867</v>
      </c>
      <c r="E3128" s="4" t="s">
        <v>9641</v>
      </c>
      <c r="F3128" s="4" t="s">
        <v>6142</v>
      </c>
      <c r="G3128" s="4" t="s">
        <v>2501</v>
      </c>
      <c r="H3128" s="4">
        <v>1</v>
      </c>
      <c r="I3128" s="4">
        <v>1</v>
      </c>
      <c r="J3128" s="4" t="s">
        <v>9643</v>
      </c>
      <c r="K3128" s="4" t="s">
        <v>616</v>
      </c>
      <c r="L3128" s="6">
        <v>46319</v>
      </c>
      <c r="M3128" s="4" t="s">
        <v>5864</v>
      </c>
      <c r="N3128" s="4" t="s">
        <v>5865</v>
      </c>
    </row>
    <row r="3129" spans="1:14" ht="40" customHeight="1">
      <c r="A3129" s="8" t="s">
        <v>9644</v>
      </c>
      <c r="B3129" s="8" t="s">
        <v>611</v>
      </c>
      <c r="C3129" s="8" t="s">
        <v>612</v>
      </c>
      <c r="D3129" s="8" t="s">
        <v>5867</v>
      </c>
      <c r="E3129" s="8" t="s">
        <v>9641</v>
      </c>
      <c r="F3129" s="8" t="s">
        <v>6391</v>
      </c>
      <c r="G3129" s="8" t="s">
        <v>2501</v>
      </c>
      <c r="H3129" s="8">
        <v>1</v>
      </c>
      <c r="I3129" s="8">
        <v>1</v>
      </c>
      <c r="J3129" s="8" t="s">
        <v>9645</v>
      </c>
      <c r="K3129" s="8" t="s">
        <v>616</v>
      </c>
      <c r="L3129" s="9">
        <v>46319</v>
      </c>
      <c r="M3129" s="8" t="s">
        <v>5864</v>
      </c>
      <c r="N3129" s="8" t="s">
        <v>5865</v>
      </c>
    </row>
    <row r="3130" spans="1:14" ht="40" customHeight="1">
      <c r="A3130" s="4" t="s">
        <v>9646</v>
      </c>
      <c r="B3130" s="4" t="s">
        <v>611</v>
      </c>
      <c r="C3130" s="4" t="s">
        <v>612</v>
      </c>
      <c r="D3130" s="4" t="s">
        <v>5867</v>
      </c>
      <c r="E3130" s="4" t="s">
        <v>9641</v>
      </c>
      <c r="F3130" s="4" t="s">
        <v>6765</v>
      </c>
      <c r="G3130" s="4" t="s">
        <v>2501</v>
      </c>
      <c r="H3130" s="4">
        <v>1</v>
      </c>
      <c r="I3130" s="4">
        <v>1</v>
      </c>
      <c r="J3130" s="4" t="s">
        <v>9647</v>
      </c>
      <c r="K3130" s="4" t="s">
        <v>616</v>
      </c>
      <c r="L3130" s="6">
        <v>46319</v>
      </c>
      <c r="M3130" s="4" t="s">
        <v>5864</v>
      </c>
      <c r="N3130" s="4" t="s">
        <v>5865</v>
      </c>
    </row>
    <row r="3131" spans="1:14" ht="40" customHeight="1">
      <c r="A3131" s="8" t="s">
        <v>9648</v>
      </c>
      <c r="B3131" s="8" t="s">
        <v>611</v>
      </c>
      <c r="C3131" s="8" t="s">
        <v>612</v>
      </c>
      <c r="D3131" s="8" t="s">
        <v>5867</v>
      </c>
      <c r="E3131" s="8" t="s">
        <v>9641</v>
      </c>
      <c r="F3131" s="8" t="s">
        <v>6774</v>
      </c>
      <c r="G3131" s="8" t="s">
        <v>2501</v>
      </c>
      <c r="H3131" s="8">
        <v>1</v>
      </c>
      <c r="I3131" s="8">
        <v>1</v>
      </c>
      <c r="J3131" s="8" t="s">
        <v>9649</v>
      </c>
      <c r="K3131" s="8" t="s">
        <v>616</v>
      </c>
      <c r="L3131" s="9">
        <v>46319</v>
      </c>
      <c r="M3131" s="8" t="s">
        <v>5864</v>
      </c>
      <c r="N3131" s="8" t="s">
        <v>5865</v>
      </c>
    </row>
    <row r="3132" spans="1:14" ht="40" customHeight="1">
      <c r="A3132" s="4" t="s">
        <v>9650</v>
      </c>
      <c r="B3132" s="4" t="s">
        <v>611</v>
      </c>
      <c r="C3132" s="4" t="s">
        <v>612</v>
      </c>
      <c r="D3132" s="4" t="s">
        <v>637</v>
      </c>
      <c r="E3132" s="4" t="s">
        <v>41</v>
      </c>
      <c r="F3132" s="4" t="s">
        <v>904</v>
      </c>
      <c r="G3132" s="4" t="s">
        <v>2501</v>
      </c>
      <c r="H3132" s="4">
        <v>1</v>
      </c>
      <c r="I3132" s="4">
        <v>1</v>
      </c>
      <c r="J3132" s="4" t="s">
        <v>2499</v>
      </c>
      <c r="K3132" s="4" t="s">
        <v>616</v>
      </c>
      <c r="L3132" s="6">
        <v>46319</v>
      </c>
      <c r="M3132" s="4" t="s">
        <v>5864</v>
      </c>
      <c r="N3132" s="4" t="s">
        <v>5870</v>
      </c>
    </row>
    <row r="3133" spans="1:14" ht="40" customHeight="1">
      <c r="A3133" s="8" t="s">
        <v>9651</v>
      </c>
      <c r="B3133" s="8" t="s">
        <v>611</v>
      </c>
      <c r="C3133" s="8" t="s">
        <v>612</v>
      </c>
      <c r="D3133" s="8" t="s">
        <v>637</v>
      </c>
      <c r="E3133" s="8" t="s">
        <v>41</v>
      </c>
      <c r="F3133" s="8" t="s">
        <v>912</v>
      </c>
      <c r="G3133" s="8" t="s">
        <v>2501</v>
      </c>
      <c r="H3133" s="8">
        <v>1</v>
      </c>
      <c r="I3133" s="8">
        <v>1</v>
      </c>
      <c r="J3133" s="8" t="s">
        <v>2503</v>
      </c>
      <c r="K3133" s="8" t="s">
        <v>616</v>
      </c>
      <c r="L3133" s="9">
        <v>46319</v>
      </c>
      <c r="M3133" s="8" t="s">
        <v>5864</v>
      </c>
      <c r="N3133" s="8" t="s">
        <v>5870</v>
      </c>
    </row>
    <row r="3134" spans="1:14" ht="40" customHeight="1">
      <c r="A3134" s="4" t="s">
        <v>9652</v>
      </c>
      <c r="B3134" s="4" t="s">
        <v>611</v>
      </c>
      <c r="C3134" s="4" t="s">
        <v>612</v>
      </c>
      <c r="D3134" s="4" t="s">
        <v>637</v>
      </c>
      <c r="E3134" s="4" t="s">
        <v>41</v>
      </c>
      <c r="F3134" s="4" t="s">
        <v>1015</v>
      </c>
      <c r="G3134" s="4" t="s">
        <v>2501</v>
      </c>
      <c r="H3134" s="4">
        <v>1</v>
      </c>
      <c r="I3134" s="4">
        <v>1</v>
      </c>
      <c r="J3134" s="4" t="s">
        <v>2506</v>
      </c>
      <c r="K3134" s="4" t="s">
        <v>616</v>
      </c>
      <c r="L3134" s="6">
        <v>46319</v>
      </c>
      <c r="M3134" s="4" t="s">
        <v>5864</v>
      </c>
      <c r="N3134" s="4" t="s">
        <v>5870</v>
      </c>
    </row>
    <row r="3135" spans="1:14" ht="40" customHeight="1">
      <c r="A3135" s="8" t="s">
        <v>9653</v>
      </c>
      <c r="B3135" s="8" t="s">
        <v>611</v>
      </c>
      <c r="C3135" s="8" t="s">
        <v>612</v>
      </c>
      <c r="D3135" s="8" t="s">
        <v>637</v>
      </c>
      <c r="E3135" s="8" t="s">
        <v>41</v>
      </c>
      <c r="F3135" s="8" t="s">
        <v>1019</v>
      </c>
      <c r="G3135" s="8" t="s">
        <v>2501</v>
      </c>
      <c r="H3135" s="8">
        <v>1</v>
      </c>
      <c r="I3135" s="8">
        <v>1</v>
      </c>
      <c r="J3135" s="8" t="s">
        <v>2509</v>
      </c>
      <c r="K3135" s="8" t="s">
        <v>616</v>
      </c>
      <c r="L3135" s="9">
        <v>46319</v>
      </c>
      <c r="M3135" s="8" t="s">
        <v>5864</v>
      </c>
      <c r="N3135" s="8" t="s">
        <v>5870</v>
      </c>
    </row>
    <row r="3136" spans="1:14" ht="40" customHeight="1">
      <c r="A3136" s="4" t="s">
        <v>9654</v>
      </c>
      <c r="B3136" s="4" t="s">
        <v>611</v>
      </c>
      <c r="C3136" s="4" t="s">
        <v>612</v>
      </c>
      <c r="D3136" s="4" t="s">
        <v>637</v>
      </c>
      <c r="E3136" s="4" t="s">
        <v>41</v>
      </c>
      <c r="F3136" s="4" t="s">
        <v>1147</v>
      </c>
      <c r="G3136" s="4" t="s">
        <v>2501</v>
      </c>
      <c r="H3136" s="4">
        <v>1</v>
      </c>
      <c r="I3136" s="4">
        <v>1</v>
      </c>
      <c r="J3136" s="4" t="s">
        <v>2512</v>
      </c>
      <c r="K3136" s="4" t="s">
        <v>616</v>
      </c>
      <c r="L3136" s="6">
        <v>46319</v>
      </c>
      <c r="M3136" s="4" t="s">
        <v>5864</v>
      </c>
      <c r="N3136" s="4" t="s">
        <v>5870</v>
      </c>
    </row>
    <row r="3137" spans="1:14" ht="40" customHeight="1">
      <c r="A3137" s="8" t="s">
        <v>5840</v>
      </c>
      <c r="B3137" s="8" t="s">
        <v>611</v>
      </c>
      <c r="C3137" s="8" t="s">
        <v>612</v>
      </c>
      <c r="D3137" s="8" t="s">
        <v>7</v>
      </c>
      <c r="E3137" s="8" t="s">
        <v>41</v>
      </c>
      <c r="F3137" s="8" t="s">
        <v>6212</v>
      </c>
      <c r="G3137" s="8" t="s">
        <v>2501</v>
      </c>
      <c r="H3137" s="8">
        <v>1</v>
      </c>
      <c r="I3137" s="8">
        <v>1</v>
      </c>
      <c r="J3137" s="8" t="s">
        <v>5841</v>
      </c>
      <c r="K3137" s="8" t="s">
        <v>616</v>
      </c>
      <c r="L3137" s="9">
        <v>46319</v>
      </c>
      <c r="M3137" s="8" t="s">
        <v>5864</v>
      </c>
      <c r="N3137" s="8" t="s">
        <v>5870</v>
      </c>
    </row>
    <row r="3138" spans="1:14" ht="40" customHeight="1">
      <c r="A3138" s="4" t="s">
        <v>5842</v>
      </c>
      <c r="B3138" s="4" t="s">
        <v>611</v>
      </c>
      <c r="C3138" s="4" t="s">
        <v>612</v>
      </c>
      <c r="D3138" s="4" t="s">
        <v>7</v>
      </c>
      <c r="E3138" s="4" t="s">
        <v>41</v>
      </c>
      <c r="F3138" s="4" t="s">
        <v>6213</v>
      </c>
      <c r="G3138" s="4" t="s">
        <v>2501</v>
      </c>
      <c r="H3138" s="4">
        <v>1</v>
      </c>
      <c r="I3138" s="4">
        <v>1</v>
      </c>
      <c r="J3138" s="4" t="s">
        <v>3487</v>
      </c>
      <c r="K3138" s="4" t="s">
        <v>616</v>
      </c>
      <c r="L3138" s="6">
        <v>46319</v>
      </c>
      <c r="M3138" s="4" t="s">
        <v>5864</v>
      </c>
      <c r="N3138" s="4" t="s">
        <v>5870</v>
      </c>
    </row>
    <row r="3139" spans="1:14" ht="40" customHeight="1">
      <c r="A3139" s="8" t="s">
        <v>5843</v>
      </c>
      <c r="B3139" s="8" t="s">
        <v>611</v>
      </c>
      <c r="C3139" s="8" t="s">
        <v>612</v>
      </c>
      <c r="D3139" s="8" t="s">
        <v>7</v>
      </c>
      <c r="E3139" s="8" t="s">
        <v>41</v>
      </c>
      <c r="F3139" s="8" t="s">
        <v>6214</v>
      </c>
      <c r="G3139" s="8" t="s">
        <v>2501</v>
      </c>
      <c r="H3139" s="8">
        <v>1</v>
      </c>
      <c r="I3139" s="8">
        <v>1</v>
      </c>
      <c r="J3139" s="8" t="s">
        <v>5844</v>
      </c>
      <c r="K3139" s="8" t="s">
        <v>616</v>
      </c>
      <c r="L3139" s="9">
        <v>46319</v>
      </c>
      <c r="M3139" s="8" t="s">
        <v>5864</v>
      </c>
      <c r="N3139" s="8" t="s">
        <v>5870</v>
      </c>
    </row>
    <row r="3140" spans="1:14" ht="40" customHeight="1">
      <c r="A3140" s="4" t="s">
        <v>5845</v>
      </c>
      <c r="B3140" s="4" t="s">
        <v>611</v>
      </c>
      <c r="C3140" s="4" t="s">
        <v>612</v>
      </c>
      <c r="D3140" s="4" t="s">
        <v>7</v>
      </c>
      <c r="E3140" s="4" t="s">
        <v>41</v>
      </c>
      <c r="F3140" s="4" t="s">
        <v>6215</v>
      </c>
      <c r="G3140" s="4" t="s">
        <v>2501</v>
      </c>
      <c r="H3140" s="4">
        <v>1</v>
      </c>
      <c r="I3140" s="4">
        <v>1</v>
      </c>
      <c r="J3140" s="4" t="s">
        <v>5846</v>
      </c>
      <c r="K3140" s="4" t="s">
        <v>616</v>
      </c>
      <c r="L3140" s="6">
        <v>46319</v>
      </c>
      <c r="M3140" s="4" t="s">
        <v>5864</v>
      </c>
      <c r="N3140" s="4" t="s">
        <v>5870</v>
      </c>
    </row>
    <row r="3141" spans="1:14" ht="40" customHeight="1">
      <c r="A3141" s="8" t="s">
        <v>5847</v>
      </c>
      <c r="B3141" s="8" t="s">
        <v>611</v>
      </c>
      <c r="C3141" s="8" t="s">
        <v>612</v>
      </c>
      <c r="D3141" s="8" t="s">
        <v>7</v>
      </c>
      <c r="E3141" s="8" t="s">
        <v>41</v>
      </c>
      <c r="F3141" s="8" t="s">
        <v>6216</v>
      </c>
      <c r="G3141" s="8" t="s">
        <v>2501</v>
      </c>
      <c r="H3141" s="8">
        <v>1</v>
      </c>
      <c r="I3141" s="8">
        <v>1</v>
      </c>
      <c r="J3141" s="8" t="s">
        <v>5848</v>
      </c>
      <c r="K3141" s="8" t="s">
        <v>616</v>
      </c>
      <c r="L3141" s="9">
        <v>46319</v>
      </c>
      <c r="M3141" s="8" t="s">
        <v>5864</v>
      </c>
      <c r="N3141" s="8" t="s">
        <v>5870</v>
      </c>
    </row>
    <row r="3142" spans="1:14" ht="40" customHeight="1">
      <c r="A3142" s="4" t="s">
        <v>5849</v>
      </c>
      <c r="B3142" s="4" t="s">
        <v>611</v>
      </c>
      <c r="C3142" s="4" t="s">
        <v>612</v>
      </c>
      <c r="D3142" s="4" t="s">
        <v>7</v>
      </c>
      <c r="E3142" s="4" t="s">
        <v>41</v>
      </c>
      <c r="F3142" s="4" t="s">
        <v>6284</v>
      </c>
      <c r="G3142" s="4" t="s">
        <v>2501</v>
      </c>
      <c r="H3142" s="4">
        <v>1</v>
      </c>
      <c r="I3142" s="4">
        <v>1</v>
      </c>
      <c r="J3142" s="4" t="s">
        <v>5850</v>
      </c>
      <c r="K3142" s="4" t="s">
        <v>616</v>
      </c>
      <c r="L3142" s="6">
        <v>46319</v>
      </c>
      <c r="M3142" s="4" t="s">
        <v>5864</v>
      </c>
      <c r="N3142" s="4" t="s">
        <v>5870</v>
      </c>
    </row>
    <row r="3143" spans="1:14" ht="40" customHeight="1">
      <c r="A3143" s="8" t="s">
        <v>5851</v>
      </c>
      <c r="B3143" s="8" t="s">
        <v>611</v>
      </c>
      <c r="C3143" s="8" t="s">
        <v>612</v>
      </c>
      <c r="D3143" s="8" t="s">
        <v>7</v>
      </c>
      <c r="E3143" s="8" t="s">
        <v>41</v>
      </c>
      <c r="F3143" s="8" t="s">
        <v>6285</v>
      </c>
      <c r="G3143" s="8" t="s">
        <v>2501</v>
      </c>
      <c r="H3143" s="8">
        <v>1</v>
      </c>
      <c r="I3143" s="8">
        <v>1</v>
      </c>
      <c r="J3143" s="8" t="s">
        <v>5852</v>
      </c>
      <c r="K3143" s="8" t="s">
        <v>616</v>
      </c>
      <c r="L3143" s="9">
        <v>46319</v>
      </c>
      <c r="M3143" s="8" t="s">
        <v>5864</v>
      </c>
      <c r="N3143" s="8" t="s">
        <v>5870</v>
      </c>
    </row>
    <row r="3144" spans="1:14" ht="40" customHeight="1">
      <c r="A3144" s="4" t="s">
        <v>4914</v>
      </c>
      <c r="B3144" s="4" t="s">
        <v>611</v>
      </c>
      <c r="C3144" s="4" t="s">
        <v>612</v>
      </c>
      <c r="D3144" s="4" t="s">
        <v>5879</v>
      </c>
      <c r="E3144" s="4" t="s">
        <v>4915</v>
      </c>
      <c r="F3144" s="4" t="s">
        <v>3449</v>
      </c>
      <c r="G3144" s="4" t="s">
        <v>2501</v>
      </c>
      <c r="H3144" s="4">
        <v>1</v>
      </c>
      <c r="I3144" s="4">
        <v>1</v>
      </c>
      <c r="J3144" s="4" t="s">
        <v>4915</v>
      </c>
      <c r="K3144" s="4" t="s">
        <v>616</v>
      </c>
      <c r="L3144" s="6">
        <v>46319</v>
      </c>
      <c r="M3144" s="4" t="s">
        <v>5864</v>
      </c>
      <c r="N3144" s="4" t="s">
        <v>5865</v>
      </c>
    </row>
    <row r="3145" spans="1:14" ht="40" customHeight="1">
      <c r="A3145" s="8" t="s">
        <v>4916</v>
      </c>
      <c r="B3145" s="8" t="s">
        <v>611</v>
      </c>
      <c r="C3145" s="8" t="s">
        <v>612</v>
      </c>
      <c r="D3145" s="8" t="s">
        <v>5879</v>
      </c>
      <c r="E3145" s="8" t="s">
        <v>4915</v>
      </c>
      <c r="F3145" s="8" t="s">
        <v>3454</v>
      </c>
      <c r="G3145" s="8" t="s">
        <v>2501</v>
      </c>
      <c r="H3145" s="8">
        <v>1</v>
      </c>
      <c r="I3145" s="8">
        <v>1</v>
      </c>
      <c r="J3145" s="8" t="s">
        <v>4917</v>
      </c>
      <c r="K3145" s="8" t="s">
        <v>616</v>
      </c>
      <c r="L3145" s="9">
        <v>46319</v>
      </c>
      <c r="M3145" s="8" t="s">
        <v>5864</v>
      </c>
      <c r="N3145" s="8" t="s">
        <v>5870</v>
      </c>
    </row>
    <row r="3146" spans="1:14" ht="40" customHeight="1">
      <c r="A3146" s="4" t="s">
        <v>4918</v>
      </c>
      <c r="B3146" s="4" t="s">
        <v>611</v>
      </c>
      <c r="C3146" s="4" t="s">
        <v>612</v>
      </c>
      <c r="D3146" s="4" t="s">
        <v>5879</v>
      </c>
      <c r="E3146" s="4" t="s">
        <v>4915</v>
      </c>
      <c r="F3146" s="4" t="s">
        <v>3519</v>
      </c>
      <c r="G3146" s="4" t="s">
        <v>2501</v>
      </c>
      <c r="H3146" s="4">
        <v>1</v>
      </c>
      <c r="I3146" s="4">
        <v>1</v>
      </c>
      <c r="J3146" s="4" t="s">
        <v>4919</v>
      </c>
      <c r="K3146" s="4" t="s">
        <v>616</v>
      </c>
      <c r="L3146" s="6">
        <v>46319</v>
      </c>
      <c r="M3146" s="4" t="s">
        <v>5864</v>
      </c>
      <c r="N3146" s="4" t="s">
        <v>5870</v>
      </c>
    </row>
    <row r="3147" spans="1:14" ht="40" customHeight="1">
      <c r="A3147" s="8" t="s">
        <v>4920</v>
      </c>
      <c r="B3147" s="8" t="s">
        <v>611</v>
      </c>
      <c r="C3147" s="8" t="s">
        <v>612</v>
      </c>
      <c r="D3147" s="8" t="s">
        <v>5879</v>
      </c>
      <c r="E3147" s="8" t="s">
        <v>4915</v>
      </c>
      <c r="F3147" s="8" t="s">
        <v>3522</v>
      </c>
      <c r="G3147" s="8" t="s">
        <v>2501</v>
      </c>
      <c r="H3147" s="8">
        <v>1</v>
      </c>
      <c r="I3147" s="8">
        <v>1</v>
      </c>
      <c r="J3147" s="8" t="s">
        <v>4921</v>
      </c>
      <c r="K3147" s="8" t="s">
        <v>616</v>
      </c>
      <c r="L3147" s="9">
        <v>46319</v>
      </c>
      <c r="M3147" s="8" t="s">
        <v>5864</v>
      </c>
      <c r="N3147" s="8" t="s">
        <v>5870</v>
      </c>
    </row>
    <row r="3148" spans="1:14" ht="40" customHeight="1">
      <c r="A3148" s="4" t="s">
        <v>4922</v>
      </c>
      <c r="B3148" s="4" t="s">
        <v>611</v>
      </c>
      <c r="C3148" s="4" t="s">
        <v>612</v>
      </c>
      <c r="D3148" s="4" t="s">
        <v>5879</v>
      </c>
      <c r="E3148" s="4" t="s">
        <v>4915</v>
      </c>
      <c r="F3148" s="4" t="s">
        <v>3525</v>
      </c>
      <c r="G3148" s="4" t="s">
        <v>2501</v>
      </c>
      <c r="H3148" s="4">
        <v>1</v>
      </c>
      <c r="I3148" s="4">
        <v>1</v>
      </c>
      <c r="J3148" s="4" t="s">
        <v>4923</v>
      </c>
      <c r="K3148" s="4" t="s">
        <v>616</v>
      </c>
      <c r="L3148" s="6">
        <v>46319</v>
      </c>
      <c r="M3148" s="4" t="s">
        <v>5864</v>
      </c>
      <c r="N3148" s="4" t="s">
        <v>5870</v>
      </c>
    </row>
    <row r="3149" spans="1:14" ht="40" customHeight="1">
      <c r="A3149" s="8" t="s">
        <v>4924</v>
      </c>
      <c r="B3149" s="8" t="s">
        <v>611</v>
      </c>
      <c r="C3149" s="8" t="s">
        <v>612</v>
      </c>
      <c r="D3149" s="8" t="s">
        <v>5879</v>
      </c>
      <c r="E3149" s="8" t="s">
        <v>4915</v>
      </c>
      <c r="F3149" s="8" t="s">
        <v>4377</v>
      </c>
      <c r="G3149" s="8" t="s">
        <v>2501</v>
      </c>
      <c r="H3149" s="8">
        <v>1</v>
      </c>
      <c r="I3149" s="8">
        <v>1</v>
      </c>
      <c r="J3149" s="8" t="s">
        <v>4925</v>
      </c>
      <c r="K3149" s="8" t="s">
        <v>616</v>
      </c>
      <c r="L3149" s="9">
        <v>46319</v>
      </c>
      <c r="M3149" s="8" t="s">
        <v>5864</v>
      </c>
      <c r="N3149" s="8" t="s">
        <v>5870</v>
      </c>
    </row>
    <row r="3150" spans="1:14" ht="40" customHeight="1">
      <c r="A3150" s="4" t="s">
        <v>4926</v>
      </c>
      <c r="B3150" s="4" t="s">
        <v>611</v>
      </c>
      <c r="C3150" s="4" t="s">
        <v>612</v>
      </c>
      <c r="D3150" s="4" t="s">
        <v>5879</v>
      </c>
      <c r="E3150" s="4" t="s">
        <v>4927</v>
      </c>
      <c r="F3150" s="4" t="s">
        <v>3472</v>
      </c>
      <c r="G3150" s="4" t="s">
        <v>2501</v>
      </c>
      <c r="H3150" s="4">
        <v>1</v>
      </c>
      <c r="I3150" s="4">
        <v>1</v>
      </c>
      <c r="J3150" s="4" t="s">
        <v>4927</v>
      </c>
      <c r="K3150" s="4" t="s">
        <v>616</v>
      </c>
      <c r="L3150" s="6">
        <v>46319</v>
      </c>
      <c r="M3150" s="4" t="s">
        <v>5864</v>
      </c>
      <c r="N3150" s="4" t="s">
        <v>5865</v>
      </c>
    </row>
    <row r="3151" spans="1:14" ht="40" customHeight="1">
      <c r="A3151" s="8" t="s">
        <v>4928</v>
      </c>
      <c r="B3151" s="8" t="s">
        <v>611</v>
      </c>
      <c r="C3151" s="8" t="s">
        <v>612</v>
      </c>
      <c r="D3151" s="8" t="s">
        <v>5879</v>
      </c>
      <c r="E3151" s="8" t="s">
        <v>4927</v>
      </c>
      <c r="F3151" s="8" t="s">
        <v>3538</v>
      </c>
      <c r="G3151" s="8" t="s">
        <v>2501</v>
      </c>
      <c r="H3151" s="8">
        <v>1</v>
      </c>
      <c r="I3151" s="8">
        <v>1</v>
      </c>
      <c r="J3151" s="8" t="s">
        <v>4929</v>
      </c>
      <c r="K3151" s="8" t="s">
        <v>616</v>
      </c>
      <c r="L3151" s="9">
        <v>46319</v>
      </c>
      <c r="M3151" s="8" t="s">
        <v>5864</v>
      </c>
      <c r="N3151" s="8" t="s">
        <v>5870</v>
      </c>
    </row>
    <row r="3152" spans="1:14" ht="40" customHeight="1">
      <c r="A3152" s="4" t="s">
        <v>4930</v>
      </c>
      <c r="B3152" s="4" t="s">
        <v>611</v>
      </c>
      <c r="C3152" s="4" t="s">
        <v>612</v>
      </c>
      <c r="D3152" s="4" t="s">
        <v>5879</v>
      </c>
      <c r="E3152" s="4" t="s">
        <v>4927</v>
      </c>
      <c r="F3152" s="4" t="s">
        <v>3907</v>
      </c>
      <c r="G3152" s="4" t="s">
        <v>2501</v>
      </c>
      <c r="H3152" s="4">
        <v>1</v>
      </c>
      <c r="I3152" s="4">
        <v>1</v>
      </c>
      <c r="J3152" s="4" t="s">
        <v>4931</v>
      </c>
      <c r="K3152" s="4" t="s">
        <v>616</v>
      </c>
      <c r="L3152" s="6">
        <v>46319</v>
      </c>
      <c r="M3152" s="4" t="s">
        <v>5864</v>
      </c>
      <c r="N3152" s="4" t="s">
        <v>5870</v>
      </c>
    </row>
    <row r="3153" spans="1:14" ht="40" customHeight="1">
      <c r="A3153" s="8" t="s">
        <v>4932</v>
      </c>
      <c r="B3153" s="8" t="s">
        <v>611</v>
      </c>
      <c r="C3153" s="8" t="s">
        <v>612</v>
      </c>
      <c r="D3153" s="8" t="s">
        <v>5879</v>
      </c>
      <c r="E3153" s="8" t="s">
        <v>4927</v>
      </c>
      <c r="F3153" s="8" t="s">
        <v>4721</v>
      </c>
      <c r="G3153" s="8" t="s">
        <v>2501</v>
      </c>
      <c r="H3153" s="8">
        <v>1</v>
      </c>
      <c r="I3153" s="8">
        <v>1</v>
      </c>
      <c r="J3153" s="8" t="s">
        <v>4933</v>
      </c>
      <c r="K3153" s="8" t="s">
        <v>616</v>
      </c>
      <c r="L3153" s="9">
        <v>46319</v>
      </c>
      <c r="M3153" s="8" t="s">
        <v>5864</v>
      </c>
      <c r="N3153" s="8" t="s">
        <v>5870</v>
      </c>
    </row>
    <row r="3154" spans="1:14" ht="40" customHeight="1">
      <c r="A3154" s="4" t="s">
        <v>4934</v>
      </c>
      <c r="B3154" s="4" t="s">
        <v>611</v>
      </c>
      <c r="C3154" s="4" t="s">
        <v>612</v>
      </c>
      <c r="D3154" s="4" t="s">
        <v>5879</v>
      </c>
      <c r="E3154" s="4" t="s">
        <v>4927</v>
      </c>
      <c r="F3154" s="4" t="s">
        <v>4936</v>
      </c>
      <c r="G3154" s="4" t="s">
        <v>2501</v>
      </c>
      <c r="H3154" s="4">
        <v>1</v>
      </c>
      <c r="I3154" s="4">
        <v>1</v>
      </c>
      <c r="J3154" s="4" t="s">
        <v>4935</v>
      </c>
      <c r="K3154" s="4" t="s">
        <v>616</v>
      </c>
      <c r="L3154" s="6">
        <v>46319</v>
      </c>
      <c r="M3154" s="4" t="s">
        <v>5864</v>
      </c>
      <c r="N3154" s="4" t="s">
        <v>5870</v>
      </c>
    </row>
    <row r="3155" spans="1:14" ht="40" customHeight="1">
      <c r="A3155" s="8" t="s">
        <v>9655</v>
      </c>
      <c r="B3155" s="8" t="s">
        <v>611</v>
      </c>
      <c r="C3155" s="8" t="s">
        <v>612</v>
      </c>
      <c r="D3155" s="8" t="s">
        <v>2969</v>
      </c>
      <c r="E3155" s="8" t="s">
        <v>41</v>
      </c>
      <c r="F3155" s="8" t="s">
        <v>5881</v>
      </c>
      <c r="G3155" s="8" t="s">
        <v>2501</v>
      </c>
      <c r="H3155" s="8">
        <v>1</v>
      </c>
      <c r="I3155" s="8">
        <v>1</v>
      </c>
      <c r="J3155" s="8" t="s">
        <v>9656</v>
      </c>
      <c r="K3155" s="8" t="s">
        <v>616</v>
      </c>
      <c r="L3155" s="9">
        <v>46319</v>
      </c>
      <c r="M3155" s="8" t="s">
        <v>5864</v>
      </c>
      <c r="N3155" s="8" t="s">
        <v>5883</v>
      </c>
    </row>
    <row r="3156" spans="1:14" ht="54" customHeight="1">
      <c r="A3156" s="4" t="s">
        <v>9657</v>
      </c>
      <c r="B3156" s="4" t="s">
        <v>611</v>
      </c>
      <c r="C3156" s="4" t="s">
        <v>612</v>
      </c>
      <c r="D3156" s="4" t="s">
        <v>2969</v>
      </c>
      <c r="E3156" s="4" t="s">
        <v>41</v>
      </c>
      <c r="F3156" s="4" t="s">
        <v>5885</v>
      </c>
      <c r="G3156" s="4" t="s">
        <v>2501</v>
      </c>
      <c r="H3156" s="4">
        <v>1</v>
      </c>
      <c r="I3156" s="4">
        <v>1</v>
      </c>
      <c r="J3156" s="4" t="s">
        <v>9658</v>
      </c>
      <c r="K3156" s="4" t="s">
        <v>616</v>
      </c>
      <c r="L3156" s="6">
        <v>46319</v>
      </c>
      <c r="M3156" s="4" t="s">
        <v>5864</v>
      </c>
      <c r="N3156" s="4" t="s">
        <v>5883</v>
      </c>
    </row>
    <row r="3157" spans="1:14" ht="54" customHeight="1">
      <c r="A3157" s="8" t="s">
        <v>9659</v>
      </c>
      <c r="B3157" s="8" t="s">
        <v>611</v>
      </c>
      <c r="C3157" s="8" t="s">
        <v>612</v>
      </c>
      <c r="D3157" s="8" t="s">
        <v>2969</v>
      </c>
      <c r="E3157" s="8" t="s">
        <v>41</v>
      </c>
      <c r="F3157" s="8" t="s">
        <v>5888</v>
      </c>
      <c r="G3157" s="8" t="s">
        <v>2501</v>
      </c>
      <c r="H3157" s="8">
        <v>1</v>
      </c>
      <c r="I3157" s="8">
        <v>1</v>
      </c>
      <c r="J3157" s="8" t="s">
        <v>9660</v>
      </c>
      <c r="K3157" s="8" t="s">
        <v>616</v>
      </c>
      <c r="L3157" s="9">
        <v>46319</v>
      </c>
      <c r="M3157" s="8" t="s">
        <v>5864</v>
      </c>
      <c r="N3157" s="8" t="s">
        <v>5883</v>
      </c>
    </row>
    <row r="3158" spans="1:14" ht="40" customHeight="1">
      <c r="A3158" s="4" t="s">
        <v>9661</v>
      </c>
      <c r="B3158" s="4" t="s">
        <v>611</v>
      </c>
      <c r="C3158" s="4" t="s">
        <v>612</v>
      </c>
      <c r="D3158" s="4" t="s">
        <v>2969</v>
      </c>
      <c r="E3158" s="4" t="s">
        <v>41</v>
      </c>
      <c r="F3158" s="4" t="s">
        <v>5891</v>
      </c>
      <c r="G3158" s="4" t="s">
        <v>2501</v>
      </c>
      <c r="H3158" s="4">
        <v>1</v>
      </c>
      <c r="I3158" s="4">
        <v>1</v>
      </c>
      <c r="J3158" s="4" t="s">
        <v>9662</v>
      </c>
      <c r="K3158" s="4" t="s">
        <v>616</v>
      </c>
      <c r="L3158" s="6">
        <v>46319</v>
      </c>
      <c r="M3158" s="4" t="s">
        <v>5864</v>
      </c>
      <c r="N3158" s="4" t="s">
        <v>5883</v>
      </c>
    </row>
    <row r="3159" spans="1:14" ht="40" customHeight="1">
      <c r="A3159" s="8" t="s">
        <v>9663</v>
      </c>
      <c r="B3159" s="8" t="s">
        <v>611</v>
      </c>
      <c r="C3159" s="8" t="s">
        <v>612</v>
      </c>
      <c r="D3159" s="8" t="s">
        <v>2969</v>
      </c>
      <c r="E3159" s="8" t="s">
        <v>41</v>
      </c>
      <c r="F3159" s="8" t="s">
        <v>5894</v>
      </c>
      <c r="G3159" s="8" t="s">
        <v>2501</v>
      </c>
      <c r="H3159" s="8">
        <v>1</v>
      </c>
      <c r="I3159" s="8">
        <v>1</v>
      </c>
      <c r="J3159" s="8" t="s">
        <v>9664</v>
      </c>
      <c r="K3159" s="8" t="s">
        <v>616</v>
      </c>
      <c r="L3159" s="9">
        <v>46319</v>
      </c>
      <c r="M3159" s="8" t="s">
        <v>5864</v>
      </c>
      <c r="N3159" s="8" t="s">
        <v>5883</v>
      </c>
    </row>
    <row r="3160" spans="1:14" ht="54" customHeight="1">
      <c r="A3160" s="4" t="s">
        <v>9665</v>
      </c>
      <c r="B3160" s="4" t="s">
        <v>611</v>
      </c>
      <c r="C3160" s="4" t="s">
        <v>612</v>
      </c>
      <c r="D3160" s="4" t="s">
        <v>2969</v>
      </c>
      <c r="E3160" s="4" t="s">
        <v>41</v>
      </c>
      <c r="F3160" s="4" t="s">
        <v>5897</v>
      </c>
      <c r="G3160" s="4" t="s">
        <v>2501</v>
      </c>
      <c r="H3160" s="4">
        <v>1</v>
      </c>
      <c r="I3160" s="4">
        <v>1</v>
      </c>
      <c r="J3160" s="4" t="s">
        <v>9666</v>
      </c>
      <c r="K3160" s="4" t="s">
        <v>616</v>
      </c>
      <c r="L3160" s="6">
        <v>46319</v>
      </c>
      <c r="M3160" s="4" t="s">
        <v>5864</v>
      </c>
      <c r="N3160" s="4" t="s">
        <v>5883</v>
      </c>
    </row>
    <row r="3161" spans="1:14" ht="40" customHeight="1">
      <c r="A3161" s="8" t="s">
        <v>9667</v>
      </c>
      <c r="B3161" s="8" t="s">
        <v>611</v>
      </c>
      <c r="C3161" s="8" t="s">
        <v>612</v>
      </c>
      <c r="D3161" s="8" t="s">
        <v>2969</v>
      </c>
      <c r="E3161" s="8" t="s">
        <v>41</v>
      </c>
      <c r="F3161" s="8" t="s">
        <v>5900</v>
      </c>
      <c r="G3161" s="8" t="s">
        <v>2501</v>
      </c>
      <c r="H3161" s="8">
        <v>1</v>
      </c>
      <c r="I3161" s="8">
        <v>1</v>
      </c>
      <c r="J3161" s="8" t="s">
        <v>9668</v>
      </c>
      <c r="K3161" s="8" t="s">
        <v>616</v>
      </c>
      <c r="L3161" s="9">
        <v>46319</v>
      </c>
      <c r="M3161" s="8" t="s">
        <v>5864</v>
      </c>
      <c r="N3161" s="8" t="s">
        <v>5883</v>
      </c>
    </row>
    <row r="3162" spans="1:14" ht="40" customHeight="1">
      <c r="A3162" s="4" t="s">
        <v>9669</v>
      </c>
      <c r="B3162" s="4" t="s">
        <v>611</v>
      </c>
      <c r="C3162" s="4" t="s">
        <v>612</v>
      </c>
      <c r="D3162" s="4" t="s">
        <v>2969</v>
      </c>
      <c r="E3162" s="4" t="s">
        <v>41</v>
      </c>
      <c r="F3162" s="4" t="s">
        <v>5903</v>
      </c>
      <c r="G3162" s="4" t="s">
        <v>2501</v>
      </c>
      <c r="H3162" s="4">
        <v>1</v>
      </c>
      <c r="I3162" s="4">
        <v>1</v>
      </c>
      <c r="J3162" s="4" t="s">
        <v>9670</v>
      </c>
      <c r="K3162" s="4" t="s">
        <v>616</v>
      </c>
      <c r="L3162" s="6">
        <v>46319</v>
      </c>
      <c r="M3162" s="4" t="s">
        <v>5864</v>
      </c>
      <c r="N3162" s="4" t="s">
        <v>5883</v>
      </c>
    </row>
    <row r="3163" spans="1:14" ht="40" customHeight="1">
      <c r="A3163" s="8" t="s">
        <v>9671</v>
      </c>
      <c r="B3163" s="8" t="s">
        <v>611</v>
      </c>
      <c r="C3163" s="8" t="s">
        <v>612</v>
      </c>
      <c r="D3163" s="8" t="s">
        <v>2969</v>
      </c>
      <c r="E3163" s="8" t="s">
        <v>41</v>
      </c>
      <c r="F3163" s="8" t="s">
        <v>5906</v>
      </c>
      <c r="G3163" s="8" t="s">
        <v>2501</v>
      </c>
      <c r="H3163" s="8">
        <v>1</v>
      </c>
      <c r="I3163" s="8">
        <v>1</v>
      </c>
      <c r="J3163" s="8" t="s">
        <v>9672</v>
      </c>
      <c r="K3163" s="8" t="s">
        <v>616</v>
      </c>
      <c r="L3163" s="9">
        <v>46319</v>
      </c>
      <c r="M3163" s="8" t="s">
        <v>5864</v>
      </c>
      <c r="N3163" s="8" t="s">
        <v>5883</v>
      </c>
    </row>
    <row r="3164" spans="1:14" ht="54" customHeight="1">
      <c r="A3164" s="4" t="s">
        <v>9673</v>
      </c>
      <c r="B3164" s="4" t="s">
        <v>611</v>
      </c>
      <c r="C3164" s="4" t="s">
        <v>612</v>
      </c>
      <c r="D3164" s="4" t="s">
        <v>2969</v>
      </c>
      <c r="E3164" s="4" t="s">
        <v>41</v>
      </c>
      <c r="F3164" s="4" t="s">
        <v>5909</v>
      </c>
      <c r="G3164" s="4" t="s">
        <v>2501</v>
      </c>
      <c r="H3164" s="4">
        <v>1</v>
      </c>
      <c r="I3164" s="4">
        <v>1</v>
      </c>
      <c r="J3164" s="4" t="s">
        <v>9674</v>
      </c>
      <c r="K3164" s="4" t="s">
        <v>616</v>
      </c>
      <c r="L3164" s="6">
        <v>46319</v>
      </c>
      <c r="M3164" s="4" t="s">
        <v>5864</v>
      </c>
      <c r="N3164" s="4" t="s">
        <v>5883</v>
      </c>
    </row>
    <row r="3165" spans="1:14" ht="40" customHeight="1">
      <c r="A3165" s="8" t="s">
        <v>9675</v>
      </c>
      <c r="B3165" s="8" t="s">
        <v>611</v>
      </c>
      <c r="C3165" s="8" t="s">
        <v>612</v>
      </c>
      <c r="D3165" s="8" t="s">
        <v>2969</v>
      </c>
      <c r="E3165" s="8" t="s">
        <v>41</v>
      </c>
      <c r="F3165" s="8" t="s">
        <v>5912</v>
      </c>
      <c r="G3165" s="8" t="s">
        <v>2501</v>
      </c>
      <c r="H3165" s="8">
        <v>1</v>
      </c>
      <c r="I3165" s="8">
        <v>1</v>
      </c>
      <c r="J3165" s="8" t="s">
        <v>9676</v>
      </c>
      <c r="K3165" s="8" t="s">
        <v>616</v>
      </c>
      <c r="L3165" s="9">
        <v>46319</v>
      </c>
      <c r="M3165" s="8" t="s">
        <v>5864</v>
      </c>
      <c r="N3165" s="8" t="s">
        <v>5883</v>
      </c>
    </row>
    <row r="3166" spans="1:14" ht="54" customHeight="1">
      <c r="A3166" s="4" t="s">
        <v>9677</v>
      </c>
      <c r="B3166" s="4" t="s">
        <v>611</v>
      </c>
      <c r="C3166" s="4" t="s">
        <v>612</v>
      </c>
      <c r="D3166" s="4" t="s">
        <v>2969</v>
      </c>
      <c r="E3166" s="4" t="s">
        <v>41</v>
      </c>
      <c r="F3166" s="4" t="s">
        <v>5973</v>
      </c>
      <c r="G3166" s="4" t="s">
        <v>2501</v>
      </c>
      <c r="H3166" s="4">
        <v>1</v>
      </c>
      <c r="I3166" s="4">
        <v>1</v>
      </c>
      <c r="J3166" s="4" t="s">
        <v>9678</v>
      </c>
      <c r="K3166" s="4" t="s">
        <v>616</v>
      </c>
      <c r="L3166" s="6">
        <v>46319</v>
      </c>
      <c r="M3166" s="4" t="s">
        <v>5864</v>
      </c>
      <c r="N3166" s="4" t="s">
        <v>5883</v>
      </c>
    </row>
  </sheetData>
  <pageMargins left="0.7" right="0.7" top="0.75" bottom="0.75" header="0.3" footer="0.3"/>
  <pageSetup paperSize="9" fitToHeight="0" orientation="landscape"/>
  <tableParts count="1">
    <tablePart r:id="rId1"/>
  </tableParts>
</worksheet>
</file>

<file path=xl/worksheets/sheet7.xml><?xml version="1.0" encoding="utf-8"?>
<worksheet xmlns="http://schemas.openxmlformats.org/spreadsheetml/2006/main" xmlns:r="http://schemas.openxmlformats.org/officeDocument/2006/relationships">
  <sheetPr>
    <pageSetUpPr fitToPage="1"/>
  </sheetPr>
  <dimension ref="A2:G41"/>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5"/>
  <cols>
    <col min="1" max="1" width="25.7109375" customWidth="1"/>
    <col min="2" max="2" width="65.7109375" customWidth="1"/>
    <col min="3" max="3" width="38.7109375" customWidth="1"/>
    <col min="4" max="4" width="25.7109375" customWidth="1"/>
    <col min="5" max="5" width="85.7109375" customWidth="1"/>
    <col min="6" max="6" width="60.7109375" customWidth="1"/>
    <col min="7" max="7" width="95.7109375" customWidth="1"/>
  </cols>
  <sheetData>
    <row r="2" spans="1:7" ht="28" customHeight="1">
      <c r="A2" s="1" t="s">
        <v>9679</v>
      </c>
    </row>
    <row r="3" spans="1:7" ht="22" customHeight="1">
      <c r="A3" s="2" t="s">
        <v>9680</v>
      </c>
    </row>
    <row r="5" spans="1:7" ht="45" customHeight="1">
      <c r="A5" s="3" t="s">
        <v>9681</v>
      </c>
      <c r="B5" s="3" t="s">
        <v>9682</v>
      </c>
      <c r="C5" s="3" t="s">
        <v>9683</v>
      </c>
      <c r="D5" s="3" t="s">
        <v>9684</v>
      </c>
      <c r="E5" s="3" t="s">
        <v>9685</v>
      </c>
      <c r="F5" s="3" t="s">
        <v>9686</v>
      </c>
      <c r="G5" s="3" t="s">
        <v>9687</v>
      </c>
    </row>
    <row r="6" spans="1:7" ht="40" customHeight="1">
      <c r="A6" s="4" t="s">
        <v>9688</v>
      </c>
      <c r="B6" s="4" t="s">
        <v>9689</v>
      </c>
      <c r="C6" s="4" t="s">
        <v>9690</v>
      </c>
      <c r="D6" s="4" t="s">
        <v>9691</v>
      </c>
      <c r="E6" s="4" t="s">
        <v>9692</v>
      </c>
      <c r="F6" s="4" t="s">
        <v>33</v>
      </c>
      <c r="G6" s="4" t="s">
        <v>9693</v>
      </c>
    </row>
    <row r="7" spans="1:7" ht="40" customHeight="1">
      <c r="A7" s="8" t="s">
        <v>9688</v>
      </c>
      <c r="B7" s="8" t="s">
        <v>9694</v>
      </c>
      <c r="C7" s="8" t="s">
        <v>9695</v>
      </c>
      <c r="D7" s="8" t="s">
        <v>9696</v>
      </c>
      <c r="E7" s="8" t="s">
        <v>9697</v>
      </c>
      <c r="F7" s="8" t="s">
        <v>47</v>
      </c>
      <c r="G7" s="8" t="s">
        <v>9698</v>
      </c>
    </row>
    <row r="8" spans="1:7" ht="40" customHeight="1">
      <c r="A8" s="4" t="s">
        <v>9688</v>
      </c>
      <c r="B8" s="4" t="s">
        <v>9699</v>
      </c>
      <c r="C8" s="4" t="s">
        <v>9700</v>
      </c>
      <c r="D8" s="4" t="s">
        <v>9691</v>
      </c>
      <c r="E8" s="4" t="s">
        <v>9701</v>
      </c>
      <c r="F8" s="4" t="s">
        <v>9702</v>
      </c>
      <c r="G8" s="4" t="s">
        <v>9703</v>
      </c>
    </row>
    <row r="9" spans="1:7" ht="40" customHeight="1">
      <c r="A9" s="8" t="s">
        <v>9688</v>
      </c>
      <c r="B9" s="8" t="s">
        <v>9704</v>
      </c>
      <c r="C9" s="8" t="s">
        <v>9705</v>
      </c>
      <c r="D9" s="8" t="s">
        <v>9691</v>
      </c>
      <c r="E9" s="8" t="s">
        <v>9706</v>
      </c>
      <c r="F9" s="8" t="s">
        <v>9707</v>
      </c>
      <c r="G9" s="8" t="s">
        <v>9708</v>
      </c>
    </row>
    <row r="10" spans="1:7" ht="40" customHeight="1">
      <c r="A10" s="4" t="s">
        <v>9688</v>
      </c>
      <c r="B10" s="4" t="s">
        <v>9709</v>
      </c>
      <c r="C10" s="4" t="s">
        <v>9705</v>
      </c>
      <c r="D10" s="4" t="s">
        <v>9691</v>
      </c>
      <c r="E10" s="4" t="s">
        <v>9710</v>
      </c>
      <c r="F10" s="4" t="s">
        <v>9711</v>
      </c>
      <c r="G10" s="4" t="s">
        <v>9712</v>
      </c>
    </row>
    <row r="11" spans="1:7" ht="40" customHeight="1">
      <c r="A11" s="8" t="s">
        <v>9688</v>
      </c>
      <c r="B11" s="8" t="s">
        <v>9713</v>
      </c>
      <c r="C11" s="8" t="s">
        <v>9714</v>
      </c>
      <c r="D11" s="8" t="s">
        <v>9696</v>
      </c>
      <c r="E11" s="8" t="s">
        <v>9715</v>
      </c>
      <c r="F11" s="8" t="s">
        <v>9716</v>
      </c>
      <c r="G11" s="8" t="s">
        <v>9717</v>
      </c>
    </row>
    <row r="12" spans="1:7" ht="40" customHeight="1">
      <c r="A12" s="4" t="s">
        <v>9688</v>
      </c>
      <c r="B12" s="4" t="s">
        <v>9718</v>
      </c>
      <c r="C12" s="4" t="s">
        <v>9719</v>
      </c>
      <c r="D12" s="4" t="s">
        <v>9696</v>
      </c>
      <c r="E12" s="4" t="s">
        <v>9720</v>
      </c>
      <c r="F12" s="4" t="s">
        <v>9721</v>
      </c>
      <c r="G12" s="4" t="s">
        <v>9722</v>
      </c>
    </row>
    <row r="13" spans="1:7" ht="40" customHeight="1">
      <c r="A13" s="8" t="s">
        <v>9723</v>
      </c>
      <c r="B13" s="8" t="s">
        <v>9724</v>
      </c>
      <c r="C13" s="8" t="s">
        <v>9725</v>
      </c>
      <c r="D13" s="8" t="s">
        <v>9726</v>
      </c>
      <c r="E13" s="8" t="s">
        <v>9727</v>
      </c>
      <c r="F13" s="8" t="s">
        <v>9728</v>
      </c>
      <c r="G13" s="8" t="s">
        <v>9729</v>
      </c>
    </row>
    <row r="14" spans="1:7" ht="40" customHeight="1">
      <c r="A14" s="4" t="s">
        <v>9730</v>
      </c>
      <c r="B14" s="4" t="s">
        <v>9731</v>
      </c>
      <c r="C14" s="4" t="s">
        <v>9690</v>
      </c>
      <c r="D14" s="4" t="s">
        <v>9691</v>
      </c>
      <c r="E14" s="4" t="s">
        <v>9732</v>
      </c>
      <c r="F14" s="4" t="s">
        <v>9733</v>
      </c>
      <c r="G14" s="4" t="s">
        <v>9734</v>
      </c>
    </row>
    <row r="15" spans="1:7" ht="40" customHeight="1">
      <c r="A15" s="8" t="s">
        <v>9730</v>
      </c>
      <c r="B15" s="8" t="s">
        <v>9735</v>
      </c>
      <c r="C15" s="8" t="s">
        <v>9736</v>
      </c>
      <c r="D15" s="8" t="s">
        <v>9737</v>
      </c>
      <c r="E15" s="8" t="s">
        <v>9738</v>
      </c>
      <c r="F15" s="8" t="s">
        <v>9739</v>
      </c>
      <c r="G15" s="8" t="s">
        <v>9740</v>
      </c>
    </row>
    <row r="16" spans="1:7" ht="40" customHeight="1">
      <c r="A16" s="4" t="s">
        <v>9730</v>
      </c>
      <c r="B16" s="4" t="s">
        <v>9741</v>
      </c>
      <c r="C16" s="4" t="s">
        <v>9742</v>
      </c>
      <c r="D16" s="4" t="s">
        <v>9696</v>
      </c>
      <c r="E16" s="4" t="s">
        <v>9743</v>
      </c>
      <c r="F16" s="4" t="s">
        <v>9744</v>
      </c>
      <c r="G16" s="4" t="s">
        <v>9745</v>
      </c>
    </row>
    <row r="17" spans="1:7" ht="40" customHeight="1">
      <c r="A17" s="8" t="s">
        <v>9730</v>
      </c>
      <c r="B17" s="8" t="s">
        <v>9746</v>
      </c>
      <c r="C17" s="8" t="s">
        <v>9747</v>
      </c>
      <c r="D17" s="8" t="s">
        <v>9737</v>
      </c>
      <c r="E17" s="8" t="s">
        <v>9748</v>
      </c>
      <c r="F17" s="8" t="s">
        <v>49</v>
      </c>
      <c r="G17" s="8" t="s">
        <v>9749</v>
      </c>
    </row>
    <row r="18" spans="1:7" ht="40" customHeight="1">
      <c r="A18" s="4" t="s">
        <v>9750</v>
      </c>
      <c r="B18" s="4" t="s">
        <v>9751</v>
      </c>
      <c r="C18" s="4" t="s">
        <v>9752</v>
      </c>
      <c r="D18" s="4" t="s">
        <v>9691</v>
      </c>
      <c r="E18" s="4" t="s">
        <v>9753</v>
      </c>
      <c r="F18" s="4" t="s">
        <v>182</v>
      </c>
      <c r="G18" s="4" t="s">
        <v>9754</v>
      </c>
    </row>
    <row r="19" spans="1:7" ht="40" customHeight="1">
      <c r="A19" s="8" t="s">
        <v>9750</v>
      </c>
      <c r="B19" s="8" t="s">
        <v>9755</v>
      </c>
      <c r="C19" s="8" t="s">
        <v>9690</v>
      </c>
      <c r="D19" s="8" t="s">
        <v>9691</v>
      </c>
      <c r="E19" s="8" t="s">
        <v>9756</v>
      </c>
      <c r="F19" s="8" t="s">
        <v>9757</v>
      </c>
      <c r="G19" s="8" t="s">
        <v>9758</v>
      </c>
    </row>
    <row r="20" spans="1:7" ht="40" customHeight="1">
      <c r="A20" s="4" t="s">
        <v>9759</v>
      </c>
      <c r="B20" s="4" t="s">
        <v>9760</v>
      </c>
      <c r="C20" s="4" t="s">
        <v>9690</v>
      </c>
      <c r="D20" s="4" t="s">
        <v>9691</v>
      </c>
      <c r="E20" s="4" t="s">
        <v>9761</v>
      </c>
      <c r="F20" s="4" t="s">
        <v>6464</v>
      </c>
      <c r="G20" s="4" t="s">
        <v>9762</v>
      </c>
    </row>
    <row r="21" spans="1:7" ht="40" customHeight="1">
      <c r="A21" s="8" t="s">
        <v>9759</v>
      </c>
      <c r="B21" s="8" t="s">
        <v>9763</v>
      </c>
      <c r="C21" s="8" t="s">
        <v>9764</v>
      </c>
      <c r="D21" s="8" t="s">
        <v>9737</v>
      </c>
      <c r="E21" s="8" t="s">
        <v>9765</v>
      </c>
      <c r="F21" s="8" t="s">
        <v>9766</v>
      </c>
      <c r="G21" s="8" t="s">
        <v>9767</v>
      </c>
    </row>
    <row r="22" spans="1:7" ht="40" customHeight="1">
      <c r="A22" s="4" t="s">
        <v>9759</v>
      </c>
      <c r="B22" s="4" t="s">
        <v>9768</v>
      </c>
      <c r="C22" s="4" t="s">
        <v>9769</v>
      </c>
      <c r="D22" s="4" t="s">
        <v>9691</v>
      </c>
      <c r="E22" s="4" t="s">
        <v>9770</v>
      </c>
      <c r="F22" s="4" t="s">
        <v>9771</v>
      </c>
      <c r="G22" s="4" t="s">
        <v>9772</v>
      </c>
    </row>
    <row r="23" spans="1:7" ht="40" customHeight="1">
      <c r="A23" s="8" t="s">
        <v>9773</v>
      </c>
      <c r="B23" s="8" t="s">
        <v>9774</v>
      </c>
      <c r="C23" s="8" t="s">
        <v>9725</v>
      </c>
      <c r="D23" s="8" t="s">
        <v>9691</v>
      </c>
      <c r="E23" s="8" t="s">
        <v>9775</v>
      </c>
      <c r="F23" s="8" t="s">
        <v>9776</v>
      </c>
      <c r="G23" s="8" t="s">
        <v>9777</v>
      </c>
    </row>
    <row r="24" spans="1:7" ht="40" customHeight="1">
      <c r="A24" s="4" t="s">
        <v>9773</v>
      </c>
      <c r="B24" s="4" t="s">
        <v>9778</v>
      </c>
      <c r="C24" s="4" t="s">
        <v>9747</v>
      </c>
      <c r="D24" s="4" t="s">
        <v>9691</v>
      </c>
      <c r="E24" s="4" t="s">
        <v>9779</v>
      </c>
      <c r="F24" s="4" t="s">
        <v>9780</v>
      </c>
      <c r="G24" s="4" t="s">
        <v>9781</v>
      </c>
    </row>
    <row r="25" spans="1:7" ht="40" customHeight="1">
      <c r="A25" s="8" t="s">
        <v>9773</v>
      </c>
      <c r="B25" s="8" t="s">
        <v>9782</v>
      </c>
      <c r="C25" s="8" t="s">
        <v>9783</v>
      </c>
      <c r="D25" s="8" t="s">
        <v>9691</v>
      </c>
      <c r="E25" s="8" t="s">
        <v>9784</v>
      </c>
      <c r="F25" s="8" t="s">
        <v>9785</v>
      </c>
      <c r="G25" s="8" t="s">
        <v>9786</v>
      </c>
    </row>
    <row r="26" spans="1:7" ht="40" customHeight="1">
      <c r="A26" s="4" t="s">
        <v>9773</v>
      </c>
      <c r="B26" s="4" t="s">
        <v>9787</v>
      </c>
      <c r="C26" s="4" t="s">
        <v>9788</v>
      </c>
      <c r="D26" s="4" t="s">
        <v>9789</v>
      </c>
      <c r="E26" s="4" t="s">
        <v>9790</v>
      </c>
      <c r="F26" s="4" t="s">
        <v>9791</v>
      </c>
      <c r="G26" s="4" t="s">
        <v>9792</v>
      </c>
    </row>
    <row r="27" spans="1:7" ht="40" customHeight="1">
      <c r="A27" s="8" t="s">
        <v>9773</v>
      </c>
      <c r="B27" s="8" t="s">
        <v>9793</v>
      </c>
      <c r="C27" s="8" t="s">
        <v>9788</v>
      </c>
      <c r="D27" s="8" t="s">
        <v>9696</v>
      </c>
      <c r="E27" s="8" t="s">
        <v>9794</v>
      </c>
      <c r="F27" s="8" t="s">
        <v>9795</v>
      </c>
      <c r="G27" s="8" t="s">
        <v>9796</v>
      </c>
    </row>
    <row r="28" spans="1:7" ht="40" customHeight="1">
      <c r="A28" s="4" t="s">
        <v>9773</v>
      </c>
      <c r="B28" s="4" t="s">
        <v>9797</v>
      </c>
      <c r="C28" s="4" t="s">
        <v>9798</v>
      </c>
      <c r="D28" s="4" t="s">
        <v>9726</v>
      </c>
      <c r="E28" s="4" t="s">
        <v>9799</v>
      </c>
      <c r="F28" s="4" t="s">
        <v>9800</v>
      </c>
      <c r="G28" s="4" t="s">
        <v>9801</v>
      </c>
    </row>
    <row r="29" spans="1:7" ht="40" customHeight="1">
      <c r="A29" s="8" t="s">
        <v>9773</v>
      </c>
      <c r="B29" s="8" t="s">
        <v>9802</v>
      </c>
      <c r="C29" s="8" t="s">
        <v>9803</v>
      </c>
      <c r="D29" s="8" t="s">
        <v>9691</v>
      </c>
      <c r="E29" s="8" t="s">
        <v>9804</v>
      </c>
      <c r="F29" s="8" t="s">
        <v>42</v>
      </c>
      <c r="G29" s="8" t="s">
        <v>9805</v>
      </c>
    </row>
    <row r="30" spans="1:7" ht="40" customHeight="1">
      <c r="A30" s="4" t="s">
        <v>9806</v>
      </c>
      <c r="B30" s="4" t="s">
        <v>9807</v>
      </c>
      <c r="C30" s="4" t="s">
        <v>9808</v>
      </c>
      <c r="D30" s="4" t="s">
        <v>9691</v>
      </c>
      <c r="E30" s="4" t="s">
        <v>9809</v>
      </c>
      <c r="F30" s="4" t="s">
        <v>9810</v>
      </c>
      <c r="G30" s="4" t="s">
        <v>9811</v>
      </c>
    </row>
    <row r="31" spans="1:7" ht="40" customHeight="1">
      <c r="A31" s="8" t="s">
        <v>9806</v>
      </c>
      <c r="B31" s="8" t="s">
        <v>9812</v>
      </c>
      <c r="C31" s="8" t="s">
        <v>9788</v>
      </c>
      <c r="D31" s="8" t="s">
        <v>9696</v>
      </c>
      <c r="E31" s="8" t="s">
        <v>9813</v>
      </c>
      <c r="F31" s="8" t="s">
        <v>9814</v>
      </c>
      <c r="G31" s="8" t="s">
        <v>9815</v>
      </c>
    </row>
    <row r="32" spans="1:7" ht="40" customHeight="1">
      <c r="A32" s="4" t="s">
        <v>9816</v>
      </c>
      <c r="B32" s="4" t="s">
        <v>9817</v>
      </c>
      <c r="C32" s="4" t="s">
        <v>9818</v>
      </c>
      <c r="D32" s="4" t="s">
        <v>9691</v>
      </c>
      <c r="E32" s="4" t="s">
        <v>9819</v>
      </c>
      <c r="F32" s="4" t="s">
        <v>9820</v>
      </c>
      <c r="G32" s="4" t="s">
        <v>9821</v>
      </c>
    </row>
    <row r="33" spans="1:7" ht="40" customHeight="1">
      <c r="A33" s="8" t="s">
        <v>9816</v>
      </c>
      <c r="B33" s="8" t="s">
        <v>9822</v>
      </c>
      <c r="C33" s="8" t="s">
        <v>9823</v>
      </c>
      <c r="D33" s="8" t="s">
        <v>9691</v>
      </c>
      <c r="E33" s="8" t="s">
        <v>9824</v>
      </c>
      <c r="F33" s="8" t="s">
        <v>9825</v>
      </c>
      <c r="G33" s="8" t="s">
        <v>9826</v>
      </c>
    </row>
    <row r="34" spans="1:7" ht="40" customHeight="1">
      <c r="A34" s="4" t="s">
        <v>9827</v>
      </c>
      <c r="B34" s="4" t="s">
        <v>9828</v>
      </c>
      <c r="C34" s="4" t="s">
        <v>9829</v>
      </c>
      <c r="D34" s="4" t="s">
        <v>9691</v>
      </c>
      <c r="E34" s="4" t="s">
        <v>9830</v>
      </c>
      <c r="F34" s="4" t="s">
        <v>9831</v>
      </c>
      <c r="G34" s="4" t="s">
        <v>9832</v>
      </c>
    </row>
    <row r="35" spans="1:7" ht="40" customHeight="1">
      <c r="A35" s="8" t="s">
        <v>9833</v>
      </c>
      <c r="B35" s="8" t="s">
        <v>9834</v>
      </c>
      <c r="C35" s="8" t="s">
        <v>9835</v>
      </c>
      <c r="D35" s="8" t="s">
        <v>9691</v>
      </c>
      <c r="E35" s="8" t="s">
        <v>9836</v>
      </c>
      <c r="F35" s="8" t="s">
        <v>9837</v>
      </c>
      <c r="G35" s="8" t="s">
        <v>9838</v>
      </c>
    </row>
    <row r="36" spans="1:7" ht="40" customHeight="1">
      <c r="A36" s="4" t="s">
        <v>9833</v>
      </c>
      <c r="B36" s="4" t="s">
        <v>9839</v>
      </c>
      <c r="C36" s="4" t="s">
        <v>9840</v>
      </c>
      <c r="D36" s="4" t="s">
        <v>9696</v>
      </c>
      <c r="E36" s="4" t="s">
        <v>9841</v>
      </c>
      <c r="F36" s="4" t="s">
        <v>9842</v>
      </c>
      <c r="G36" s="4" t="s">
        <v>9843</v>
      </c>
    </row>
    <row r="37" spans="1:7" ht="40" customHeight="1">
      <c r="A37" s="8" t="s">
        <v>9844</v>
      </c>
      <c r="B37" s="8" t="s">
        <v>9845</v>
      </c>
      <c r="C37" s="8" t="s">
        <v>9846</v>
      </c>
      <c r="D37" s="8" t="s">
        <v>9847</v>
      </c>
      <c r="E37" s="8" t="s">
        <v>9848</v>
      </c>
      <c r="F37" s="8" t="s">
        <v>9849</v>
      </c>
      <c r="G37" s="8" t="s">
        <v>9850</v>
      </c>
    </row>
    <row r="38" spans="1:7" ht="40" customHeight="1">
      <c r="A38" s="4" t="s">
        <v>9851</v>
      </c>
      <c r="B38" s="4" t="s">
        <v>9852</v>
      </c>
      <c r="C38" s="4" t="s">
        <v>9853</v>
      </c>
      <c r="D38" s="4" t="s">
        <v>9726</v>
      </c>
      <c r="E38" s="4" t="s">
        <v>9854</v>
      </c>
      <c r="F38" s="4" t="s">
        <v>9855</v>
      </c>
      <c r="G38" s="4" t="s">
        <v>9856</v>
      </c>
    </row>
    <row r="39" spans="1:7" ht="40" customHeight="1">
      <c r="A39" s="8" t="s">
        <v>9857</v>
      </c>
      <c r="B39" s="8" t="s">
        <v>9858</v>
      </c>
      <c r="C39" s="8" t="s">
        <v>9788</v>
      </c>
      <c r="D39" s="8" t="s">
        <v>9691</v>
      </c>
      <c r="E39" s="8" t="s">
        <v>9859</v>
      </c>
      <c r="F39" s="8" t="s">
        <v>9860</v>
      </c>
      <c r="G39" s="8" t="s">
        <v>9861</v>
      </c>
    </row>
    <row r="40" spans="1:7" ht="40" customHeight="1">
      <c r="A40" s="4" t="s">
        <v>9862</v>
      </c>
      <c r="B40" s="4" t="s">
        <v>9863</v>
      </c>
      <c r="C40" s="4" t="s">
        <v>9864</v>
      </c>
      <c r="D40" s="4" t="s">
        <v>9691</v>
      </c>
      <c r="E40" s="4" t="s">
        <v>9865</v>
      </c>
      <c r="F40" s="4" t="s">
        <v>9866</v>
      </c>
      <c r="G40" s="4" t="s">
        <v>9867</v>
      </c>
    </row>
    <row r="41" spans="1:7" ht="40" customHeight="1">
      <c r="A41" s="8" t="s">
        <v>9868</v>
      </c>
      <c r="B41" s="8" t="s">
        <v>9869</v>
      </c>
      <c r="C41" s="8" t="s">
        <v>9788</v>
      </c>
      <c r="D41" s="8" t="s">
        <v>9696</v>
      </c>
      <c r="E41" s="8" t="s">
        <v>9870</v>
      </c>
      <c r="F41" s="8" t="s">
        <v>9871</v>
      </c>
      <c r="G41" s="8" t="s">
        <v>9872</v>
      </c>
    </row>
  </sheetData>
  <pageMargins left="0.7" right="0.7" top="0.75" bottom="0.75" header="0.3" footer="0.3"/>
  <pageSetup paperSize="9" fitToHeight="0" orientation="landscape"/>
  <tableParts count="1">
    <tablePart r:id="rId1"/>
  </tableParts>
</worksheet>
</file>

<file path=xl/worksheets/sheet8.xml><?xml version="1.0" encoding="utf-8"?>
<ns0:worksheet xmlns:ns0="http://schemas.openxmlformats.org/spreadsheetml/2006/main" xmlns:ns1="http://schemas.openxmlformats.org/officeDocument/2006/relationships">
  <ns0:sheetPr>
    <ns0:pageSetUpPr fitToPage="1"/>
  </ns0:sheetPr>
  <ns0:dimension ref="A2:D35"/>
  <ns0:sheetViews>
    <ns0:sheetView showGridLines="0" workbookViewId="0">
      <ns0:pane ySplit="5" topLeftCell="A6" activePane="bottomLeft" state="frozen"/>
      <ns0:selection pane="bottomLeft"/>
    </ns0:sheetView>
  </ns0:sheetViews>
  <ns0:sheetFormatPr defaultRowHeight="15"/>
  <ns0:cols>
    <ns0:col min="1" max="1" width="24.7109375" customWidth="1"/>
    <ns0:col min="2" max="2" width="70.7109375" customWidth="1"/>
    <ns0:col min="3" max="3" width="16.7109375" customWidth="1"/>
    <ns0:col min="4" max="4" width="130.7109375" customWidth="1"/>
  </ns0:cols>
  <ns0:sheetData>
    <ns0:row r="2" spans="1:4" ht="28" customHeight="1">
      <ns0:c r="A2" s="1" t="s">
        <ns0:v>9873</ns0:v>
      </ns0:c>
    </ns0:row>
    <ns0:row r="3" spans="1:4" ht="22" customHeight="1">
      <ns0:c r="A3" s="2" t="s">
        <ns0:v>9874</ns0:v>
      </ns0:c>
    </ns0:row>
    <ns0:row r="5" spans="1:4" ht="45" customHeight="1">
      <ns0:c r="A5" s="3" t="s">
        <ns0:v>9875</ns0:v>
      </ns0:c>
      <ns0:c r="B5" s="3" t="s">
        <ns0:v>9876</ns0:v>
      </ns0:c>
      <ns0:c r="C5" s="3" t="s">
        <ns0:v>9877</ns0:v>
      </ns0:c>
      <ns0:c r="D5" s="3" t="s">
        <ns0:v>9878</ns0:v>
      </ns0:c>
    </ns0:row>
    <ns0:row r="6" spans="1:4" ht="40" customHeight="1">
      <ns0:c r="A6" s="4" t="s">
        <ns0:v>9879</ns0:v>
      </ns0:c>
      <ns0:c r="B6" s="4" t="s">
        <ns0:v>9880</ns0:v>
      </ns0:c>
      <ns0:c r="C6" s="10">
        <ns0:f>COUNTA('Scheme review'!A6:A65)</ns0:f>
        <ns0:v>60</ns0:v>
      </ns0:c>
      <ns0:c r="D6" s="4" t="s">
        <ns0:v>9881</ns0:v>
      </ns0:c>
    </ns0:row>
    <ns0:row r="7" spans="1:4" ht="40" customHeight="1">
      <ns0:c r="A7" s="8" t="s">
        <ns0:v>9879</ns0:v>
      </ns0:c>
      <ns0:c r="B7" s="8" t="s">
        <ns0:v>35</ns0:v>
      </ns0:c>
      <ns0:c r="C7" s="11">
        <ns0:f>COUNTIFS('Scheme review'!C6:C65,"Central")</ns0:f>
        <ns0:v>39</ns0:v>
      </ns0:c>
      <ns0:c r="D7" s="8" t="s">
        <ns0:v>41</ns0:v>
      </ns0:c>
    </ns0:row>
    <ns0:row r="8" spans="1:4" ht="40" customHeight="1">
      <ns0:c r="A8" s="4" t="s">
        <ns0:v>9879</ns0:v>
      </ns0:c>
      <ns0:c r="B8" s="4" t="s">
        <ns0:v>9882</ns0:v>
      </ns0:c>
      <ns0:c r="C8" s="10">
        <ns0:f>COUNTIFS('Scheme review'!C6:C65,"State")</ns0:f>
        <ns0:v>21</ns0:v>
      </ns0:c>
      <ns0:c r="D8" s="4" t="s">
        <ns0:v>9883</ns0:v>
      </ns0:c>
    </ns0:row>
    <ns0:row r="9" spans="1:4" ht="40" customHeight="1">
      <ns0:c r="A9" s="8" t="s">
        <ns0:v>9884</ns0:v>
      </ns0:c>
      <ns0:c r="B9" s="8" t="s">
        <ns0:v>9885</ns0:v>
      </ns0:c>
      <ns0:c r="C9" s="8">
        <ns0:v>58</ns0:v>
      </ns0:c>
      <ns0:c r="D9" s="8" t="s">
        <ns0:v>9886</ns0:v>
      </ns0:c>
    </ns0:row>
    <ns0:row r="10" spans="1:4" ht="40" customHeight="1">
      <ns0:c r="A10" s="4" t="s">
        <ns0:v>9884</ns0:v>
      </ns0:c>
      <ns0:c r="B10" s="4" t="s">
        <ns0:v>9887</ns0:v>
      </ns0:c>
      <ns0:c r="C10" s="4">
        <ns0:v>2</ns0:v>
      </ns0:c>
      <ns0:c r="D10" s="4" t="s">
        <ns0:v>9888</ns0:v>
      </ns0:c>
    </ns0:row>
    <ns0:row r="11" spans="1:4" ht="40" customHeight="1">
      <ns0:c r="A11" s="8" t="s">
        <ns0:v>9889</ns0:v>
      </ns0:c>
      <ns0:c r="B11" s="8" t="s">
        <ns0:v>9890</ns0:v>
      </ns0:c>
      <ns0:c r="C11" s="11">
        <ns0:f>COUNTIFS('Scheme review'!K6:K65,"Approved")</ns0:f>
        <ns0:v>3</ns0:v>
      </ns0:c>
      <ns0:c r="D11" s="8" t="s">
        <ns0:v>9891</ns0:v>
      </ns0:c>
    </ns0:row>
    <ns0:row r="12" spans="1:4" ht="40" customHeight="1">
      <ns0:c r="A12" s="4" t="s">
        <ns0:v>9889</ns0:v>
      </ns0:c>
      <ns0:c r="B12" s="4" t="s">
        <ns0:v>9892</ns0:v>
      </ns0:c>
      <ns0:c r="C12" s="10">
        <ns0:f>C6-C11</ns0:f>
        <ns0:v>57</ns0:v>
      </ns0:c>
      <ns0:c r="D12" s="4" t="s">
        <ns0:v>9893</ns0:v>
      </ns0:c>
    </ns0:row>
    <ns0:row r="13" spans="1:4" ht="40" customHeight="1">
      <ns0:c r="A13" s="8" t="s">
        <ns0:v>832</ns0:v>
      </ns0:c>
      <ns0:c r="B13" s="8" t="s">
        <ns0:v>61</ns0:v>
      </ns0:c>
      <ns0:c r="C13" s="11">
        <ns0:f>COUNTIFS('Scheme review'!N6:N65,"*Banking,Financial Services and Insurance*")</ns0:f>
        <ns0:v>12</ns0:v>
      </ns0:c>
      <ns0:c r="D13" s="8" t="s">
        <ns0:v>9894</ns0:v>
      </ns0:c>
    </ns0:row>
    <ns0:row r="14" spans="1:4" ht="40" customHeight="1">
      <ns0:c r="A14" s="4" t="s">
        <ns0:v>832</ns0:v>
      </ns0:c>
      <ns0:c r="B14" s="4" t="s">
        <ns0:v>98</ns0:v>
      </ns0:c>
      <ns0:c r="C14" s="10">
        <ns0:f>COUNTIFS('Scheme review'!N6:N65,"*Social welfare &amp; Empowerment*")</ns0:f>
        <ns0:v>29</ns0:v>
      </ns0:c>
      <ns0:c r="D14" s="4" t="s">
        <ns0:v>9894</ns0:v>
      </ns0:c>
    </ns0:row>
    <ns0:row r="15" spans="1:4" ht="40" customHeight="1">
      <ns0:c r="A15" s="8" t="s">
        <ns0:v>832</ns0:v>
      </ns0:c>
      <ns0:c r="B15" s="8" t="s">
        <ns0:v>179</ns0:v>
      </ns0:c>
      <ns0:c r="C15" s="11">
        <ns0:f>COUNTIFS('Scheme review'!N6:N65,"*Agriculture,Rural &amp; Environment*")</ns0:f>
        <ns0:v>6</ns0:v>
      </ns0:c>
      <ns0:c r="D15" s="8" t="s">
        <ns0:v>9894</ns0:v>
      </ns0:c>
    </ns0:row>
    <ns0:row r="16" spans="1:4" ht="40" customHeight="1">
      <ns0:c r="A16" s="4" t="s">
        <ns0:v>832</ns0:v>
      </ns0:c>
      <ns0:c r="B16" s="4" t="s">
        <ns0:v>153</ns0:v>
      </ns0:c>
      <ns0:c r="C16" s="10">
        <ns0:f>COUNTIFS('Scheme review'!N6:N65,"*Women and Child*")</ns0:f>
        <ns0:v>8</ns0:v>
      </ns0:c>
      <ns0:c r="D16" s="4" t="s">
        <ns0:v>9894</ns0:v>
      </ns0:c>
    </ns0:row>
    <ns0:row r="17" spans="1:4" ht="40" customHeight="1">
      <ns0:c r="A17" s="8" t="s">
        <ns0:v>832</ns0:v>
      </ns0:c>
      <ns0:c r="B17" s="8" t="s">
        <ns0:v>214</ns0:v>
      </ns0:c>
      <ns0:c r="C17" s="11">
        <ns0:f>COUNTIFS('Scheme review'!N6:N65,"*Business &amp; Entrepreneurship*")</ns0:f>
        <ns0:v>11</ns0:v>
      </ns0:c>
      <ns0:c r="D17" s="8" t="s">
        <ns0:v>9894</ns0:v>
      </ns0:c>
    </ns0:row>
    <ns0:row r="18" spans="1:4" ht="40" customHeight="1">
      <ns0:c r="A18" s="4" t="s">
        <ns0:v>832</ns0:v>
      </ns0:c>
      <ns0:c r="B18" s="4" t="s">
        <ns0:v>347</ns0:v>
      </ns0:c>
      <ns0:c r="C18" s="10">
        <ns0:f>COUNTIFS('Scheme review'!N6:N65,"*Science, IT &amp; Communications*")</ns0:f>
        <ns0:v>5</ns0:v>
      </ns0:c>
      <ns0:c r="D18" s="4" t="s">
        <ns0:v>9894</ns0:v>
      </ns0:c>
    </ns0:row>
    <ns0:row r="19" spans="1:4" ht="40" customHeight="1">
      <ns0:c r="A19" s="8" t="s">
        <ns0:v>832</ns0:v>
      </ns0:c>
      <ns0:c r="B19" s="8" t="s">
        <ns0:v>9895</ns0:v>
      </ns0:c>
      <ns0:c r="C19" s="11">
        <ns0:f>COUNTIFS('Scheme review'!N6:N65,"*Education &amp; Learning*")</ns0:f>
        <ns0:v>8</ns0:v>
      </ns0:c>
      <ns0:c r="D19" s="8" t="s">
        <ns0:v>9894</ns0:v>
      </ns0:c>
    </ns0:row>
    <ns0:row r="20" spans="1:4" ht="40" customHeight="1">
      <ns0:c r="A20" s="4" t="s">
        <ns0:v>832</ns0:v>
      </ns0:c>
      <ns0:c r="B20" s="4" t="s">
        <ns0:v>284</ns0:v>
      </ns0:c>
      <ns0:c r="C20" s="10">
        <ns0:f>COUNTIFS('Scheme review'!N6:N65,"*Health &amp; Wellness*")</ns0:f>
        <ns0:v>6</ns0:v>
      </ns0:c>
      <ns0:c r="D20" s="4" t="s">
        <ns0:v>9894</ns0:v>
      </ns0:c>
    </ns0:row>
    <ns0:row r="21" spans="1:4" ht="40" customHeight="1">
      <ns0:c r="A21" s="8" t="s">
        <ns0:v>832</ns0:v>
      </ns0:c>
      <ns0:c r="B21" s="8" t="s">
        <ns0:v>311</ns0:v>
      </ns0:c>
      <ns0:c r="C21" s="11">
        <ns0:f>COUNTIFS('Scheme review'!N6:N65,"*Housing &amp; Shelter*")</ns0:f>
        <ns0:v>5</ns0:v>
      </ns0:c>
      <ns0:c r="D21" s="8" t="s">
        <ns0:v>9894</ns0:v>
      </ns0:c>
    </ns0:row>
    <ns0:row r="22" spans="1:4" ht="40" customHeight="1">
      <ns0:c r="A22" s="4" t="s">
        <ns0:v>832</ns0:v>
      </ns0:c>
      <ns0:c r="B22" s="4" t="s">
        <ns0:v>9896</ns0:v>
      </ns0:c>
      <ns0:c r="C22" s="10">
        <ns0:f>COUNTIFS('Scheme review'!N6:N65,"*Public Safety,Law &amp; Justice*")</ns0:f>
        <ns0:v>2</ns0:v>
      </ns0:c>
      <ns0:c r="D22" s="4" t="s">
        <ns0:v>9894</ns0:v>
      </ns0:c>
    </ns0:row>
    <ns0:row r="23" spans="1:4" ht="40" customHeight="1">
      <ns0:c r="A23" s="8" t="s">
        <ns0:v>832</ns0:v>
      </ns0:c>
      <ns0:c r="B23" s="8" t="s">
        <ns0:v>381</ns0:v>
      </ns0:c>
      <ns0:c r="C23" s="11">
        <ns0:f>COUNTIFS('Scheme review'!N6:N65,"*Skills &amp; Employment*")</ns0:f>
        <ns0:v>6</ns0:v>
      </ns0:c>
      <ns0:c r="D23" s="8" t="s">
        <ns0:v>9894</ns0:v>
      </ns0:c>
    </ns0:row>
    <ns0:row r="24" spans="1:4" ht="40" customHeight="1">
      <ns0:c r="A24" s="4" t="s">
        <ns0:v>832</ns0:v>
      </ns0:c>
      <ns0:c r="B24" s="4" t="s">
        <ns0:v>9897</ns0:v>
      </ns0:c>
      <ns0:c r="C24" s="10">
        <ns0:f>COUNTIFS('Scheme review'!N6:N65,"*Sports &amp; Culture*")</ns0:f>
        <ns0:v>2</ns0:v>
      </ns0:c>
      <ns0:c r="D24" s="4" t="s">
        <ns0:v>9894</ns0:v>
      </ns0:c>
    </ns0:row>
    <ns0:row r="25" spans="1:4" ht="40" customHeight="1">
      <ns0:c r="A25" s="8" t="s">
        <ns0:v>832</ns0:v>
      </ns0:c>
      <ns0:c r="B25" s="8" t="s">
        <ns0:v>9898</ns0:v>
      </ns0:c>
      <ns0:c r="C25" s="11">
        <ns0:f>COUNTIFS('Scheme review'!N6:N65,"*Transport &amp; Infrastructure*")</ns0:f>
        <ns0:v>4</ns0:v>
      </ns0:c>
      <ns0:c r="D25" s="8" t="s">
        <ns0:v>9894</ns0:v>
      </ns0:c>
    </ns0:row>
    <ns0:row r="26" spans="1:4" ht="40" customHeight="1">
      <ns0:c r="A26" s="4" t="s">
        <ns0:v>832</ns0:v>
      </ns0:c>
      <ns0:c r="B26" s="4" t="s">
        <ns0:v>470</ns0:v>
      </ns0:c>
      <ns0:c r="C26" s="10">
        <ns0:f>COUNTIFS('Scheme review'!N6:N65,"*Utility &amp; Sanitation*")</ns0:f>
        <ns0:v>3</ns0:v>
      </ns0:c>
      <ns0:c r="D26" s="4" t="s">
        <ns0:v>9894</ns0:v>
      </ns0:c>
    </ns0:row>
    <ns0:row r="27" spans="1:4" ht="40" customHeight="1">
      <ns0:c r="A27" s="8" t="s">
        <ns0:v>832</ns0:v>
      </ns0:c>
      <ns0:c r="B27" s="8" t="s">
        <ns0:v>9899</ns0:v>
      </ns0:c>
      <ns0:c r="C27" s="11">
        <ns0:f>COUNTIFS('Scheme review'!N6:N65,"*Travel &amp; Tourism*")</ns0:f>
        <ns0:v>3</ns0:v>
      </ns0:c>
      <ns0:c r="D27" s="8" t="s">
        <ns0:v>9894</ns0:v>
      </ns0:c>
    </ns0:row>
    <ns0:row r="28" spans="1:4" ht="40" customHeight="1">
      <ns0:c r="A28" s="4" t="s">
        <ns0:v>9900</ns0:v>
      </ns0:c>
      <ns0:c r="B28" s="4" t="s">
        <ns0:v>9901</ns0:v>
      </ns0:c>
      <ns0:c r="C28" s="4"/>
      <ns0:c r="D28" s="4" t="s">
        <ns0:v>9902</ns0:v>
      </ns0:c>
    </ns0:row>
    <ns0:row r="29" spans="1:4" ht="40" customHeight="1">
      <ns0:c r="A29" s="8" t="s">
        <ns0:v>9900</ns0:v>
      </ns0:c>
      <ns0:c r="B29" s="8" t="s">
        <ns0:v>9903</ns0:v>
      </ns0:c>
      <ns0:c r="C29" s="8"/>
      <ns0:c r="D29" s="8" t="s">
        <ns0:v>9904</ns0:v>
      </ns0:c>
    </ns0:row>
    <ns0:row r="30" spans="1:4" ht="40" customHeight="1">
      <ns0:c r="A30" s="4" t="s">
        <ns0:v>9900</ns0:v>
      </ns0:c>
      <ns0:c r="B30" s="4" t="s">
        <ns0:v>9905</ns0:v>
      </ns0:c>
      <ns0:c r="C30" s="4"/>
      <ns0:c r="D30" s="4" t="s">
        <ns0:v>9906</ns0:v>
      </ns0:c>
    </ns0:row>
    <ns0:row r="31" spans="1:4" ht="40" customHeight="1">
      <ns0:c r="A31" s="8" t="s">
        <ns0:v>9900</ns0:v>
      </ns0:c>
      <ns0:c r="B31" s="8" t="s">
        <ns0:v>9907</ns0:v>
      </ns0:c>
      <ns0:c r="C31" s="8"/>
      <ns0:c r="D31" s="8" t="s">
        <ns0:v>9908</ns0:v>
      </ns0:c>
    </ns0:row>
    <ns0:row r="32" spans="1:4" ht="40" customHeight="1">
      <ns0:c r="A32" s="4" t="s">
        <ns0:v>9900</ns0:v>
      </ns0:c>
      <ns0:c r="B32" s="4" t="s">
        <ns0:v>9909</ns0:v>
      </ns0:c>
      <ns0:c r="C32" s="4"/>
      <ns0:c r="D32" s="4" t="s">
        <ns0:v>9910</ns0:v>
      </ns0:c>
    </ns0:row>
    <ns0:row r="33" spans="1:4" ht="40" customHeight="1">
      <ns0:c r="A33" s="8" t="s">
        <ns0:v>9900</ns0:v>
      </ns0:c>
      <ns0:c r="B33" s="8" t="s">
        <ns0:v>9911</ns0:v>
      </ns0:c>
      <ns0:c r="C33" s="8"/>
      <ns0:c r="D33" s="8" t="s">
        <ns0:v>9912</ns0:v>
      </ns0:c>
    </ns0:row>
    <ns0:row r="34" spans="1:4" ht="40" customHeight="1">
      <ns0:c r="A34" s="4" t="s">
        <ns0:v>9900</ns0:v>
      </ns0:c>
      <ns0:c r="B34" s="4" t="s">
        <ns0:v>9913</ns0:v>
      </ns0:c>
      <ns0:c r="C34" s="4"/>
      <ns0:c r="D34" s="4" t="s">
        <ns0:v>9914</ns0:v>
      </ns0:c>
    </ns0:row>
    <ns0:row r="35" spans="1:4" ht="40" customHeight="1">
      <ns0:c r="A35" s="8" t="s">
        <ns0:v>9900</ns0:v>
      </ns0:c>
      <ns0:c r="B35" s="8" t="s">
        <ns0:v>9915</ns0:v>
      </ns0:c>
      <ns0:c r="C35" s="8"/>
      <ns0:c r="D35" s="8" t="s">
        <ns0:v>9916</ns0:v>
      </ns0:c>
    </ns0:row>
  </ns0:sheetData>
  <ns0:pageMargins left="0.7" right="0.7" top="0.75" bottom="0.75" header="0.3" footer="0.3"/>
  <ns0:pageSetup paperSize="9" fitToHeight="0" orientation="landscape"/>
  <ns0:tableParts count="1">
    <ns0:tablePart ns1:id="rId1"/>
  </ns0:tableParts>
</ns0: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Scheme review</vt:lpstr>
      <vt:lpstr>Eligibility</vt:lpstr>
      <vt:lpstr>Documents and links</vt:lpstr>
      <vt:lpstr>Application steps</vt:lpstr>
      <vt:lpstr>Applicant documents</vt:lpstr>
      <vt:lpstr>Source passages</vt:lpstr>
      <vt:lpstr>Schema fields</vt:lpstr>
      <vt:lpstr>Coverage</vt:lpstr>
      <vt:lpstr>'Applicant documents'!Print_Titles</vt:lpstr>
      <vt:lpstr>'Application steps'!Print_Titles</vt:lpstr>
      <vt:lpstr>Coverage!Print_Titles</vt:lpstr>
      <vt:lpstr>'Documents and links'!Print_Titles</vt:lpstr>
      <vt:lpstr>Eligibility!Print_Titles</vt:lpstr>
      <vt:lpstr>'Schema fields'!Print_Titles</vt:lpstr>
      <vt:lpstr>'Scheme review'!Print_Titles</vt:lpstr>
      <vt:lpstr>'Source passages'!Print_Titles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2026-10-24T05:12:43Z</dcterms:created>
  <dcterms:modified xsi:type="dcterms:W3CDTF">2026-10-24T05:12:43Z</dcterms:modified>
</cp:coreProperties>
</file>